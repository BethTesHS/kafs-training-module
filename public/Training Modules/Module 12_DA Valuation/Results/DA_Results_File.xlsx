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12_DA Valuation/Results/"/>
    </mc:Choice>
  </mc:AlternateContent>
  <xr:revisionPtr revIDLastSave="325" documentId="8_{19C6C001-D083-4EF6-BF63-5AA0752540CC}" xr6:coauthVersionLast="47" xr6:coauthVersionMax="47" xr10:uidLastSave="{8DF3A90E-1830-4F10-8C6E-64B824445AD1}"/>
  <bookViews>
    <workbookView xWindow="-98" yWindow="-98" windowWidth="21795" windowHeight="13875" firstSheet="7" activeTab="6" xr2:uid="{00000000-000D-0000-FFFF-FFFF00000000}"/>
  </bookViews>
  <sheets>
    <sheet name="Intro" sheetId="5" r:id="rId1"/>
    <sheet name="Guidance Notes" sheetId="6" r:id="rId2"/>
    <sheet name="Contributions_Data" sheetId="2" r:id="rId3"/>
    <sheet name="Withdrawals_Data" sheetId="3" r:id="rId4"/>
    <sheet name="Data_Clean_Up" sheetId="7" r:id="rId5"/>
    <sheet name="Transaction_Date" sheetId="13" r:id="rId6"/>
    <sheet name="Model" sheetId="11" r:id="rId7"/>
    <sheet name="Results" sheetId="10" r:id="rId8"/>
  </sheets>
  <definedNames>
    <definedName name="_xlnm._FilterDatabase" localSheetId="5" hidden="1">Transaction_Date!$D$7:$I$7</definedName>
    <definedName name="_xlnm._FilterDatabase" localSheetId="3" hidden="1">Withdrawals_Data!$A$1:$D$1</definedName>
    <definedName name="Daily_Fees_Rate">Model!$C$7</definedName>
    <definedName name="Daily_Interest">Model!$C$6</definedName>
    <definedName name="i">Model!$C$4</definedName>
    <definedName name="Monthly_Cut_off_Date">Model!$C$11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0" l="1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C18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C17" i="10"/>
  <c r="G16" i="11" l="1"/>
  <c r="G15" i="11" s="1"/>
  <c r="F16" i="11"/>
  <c r="F15" i="11" s="1"/>
  <c r="E19" i="11"/>
  <c r="C4" i="10"/>
  <c r="C5" i="10" s="1"/>
  <c r="Q5" i="10"/>
  <c r="P5" i="10"/>
  <c r="N5" i="10"/>
  <c r="L5" i="10"/>
  <c r="K5" i="10"/>
  <c r="J5" i="10"/>
  <c r="I5" i="10"/>
  <c r="G5" i="10"/>
  <c r="F5" i="10"/>
  <c r="E5" i="10"/>
  <c r="C7" i="11"/>
  <c r="C5" i="11"/>
  <c r="C6" i="11" a="1"/>
  <c r="C6" i="11" s="1"/>
  <c r="H136" i="11" l="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7" i="11"/>
  <c r="H2098" i="11"/>
  <c r="H2099" i="11"/>
  <c r="H2100" i="11"/>
  <c r="H2101" i="11"/>
  <c r="H2102" i="11"/>
  <c r="H2103" i="11"/>
  <c r="H2104" i="11"/>
  <c r="H2105" i="11"/>
  <c r="H2106" i="11"/>
  <c r="H2107" i="11"/>
  <c r="H2108" i="11"/>
  <c r="H2109" i="11"/>
  <c r="H2110" i="11"/>
  <c r="H2111" i="11"/>
  <c r="H2112" i="11"/>
  <c r="H2113" i="11"/>
  <c r="H2114" i="11"/>
  <c r="H2115" i="11"/>
  <c r="H2116" i="11"/>
  <c r="H2117" i="11"/>
  <c r="H2118" i="11"/>
  <c r="H2119" i="11"/>
  <c r="H2120" i="11"/>
  <c r="H2121" i="11"/>
  <c r="H2122" i="11"/>
  <c r="H2123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3" i="11"/>
  <c r="H2154" i="11"/>
  <c r="H2155" i="11"/>
  <c r="H2156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8" i="11"/>
  <c r="H2199" i="11"/>
  <c r="H2200" i="11"/>
  <c r="H2201" i="11"/>
  <c r="H2202" i="11"/>
  <c r="H2203" i="11"/>
  <c r="H2204" i="11"/>
  <c r="H2205" i="11"/>
  <c r="H2206" i="11"/>
  <c r="H2207" i="11"/>
  <c r="H2208" i="11"/>
  <c r="H2209" i="11"/>
  <c r="H2210" i="11"/>
  <c r="H2211" i="11"/>
  <c r="H2212" i="11"/>
  <c r="H2213" i="11"/>
  <c r="H2214" i="11"/>
  <c r="H2215" i="11"/>
  <c r="H2216" i="11"/>
  <c r="H2217" i="11"/>
  <c r="H2218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8" i="11"/>
  <c r="H2239" i="11"/>
  <c r="H2240" i="11"/>
  <c r="H2241" i="11"/>
  <c r="H2242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5" i="11"/>
  <c r="H2256" i="11"/>
  <c r="H2257" i="11"/>
  <c r="H2258" i="11"/>
  <c r="H2259" i="11"/>
  <c r="H2260" i="11"/>
  <c r="H2261" i="11"/>
  <c r="H2262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6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8" i="11"/>
  <c r="H2309" i="11"/>
  <c r="H2310" i="11"/>
  <c r="H2311" i="11"/>
  <c r="H2312" i="11"/>
  <c r="H2313" i="11"/>
  <c r="H2314" i="11"/>
  <c r="H2315" i="11"/>
  <c r="H2316" i="11"/>
  <c r="H2317" i="11"/>
  <c r="H2318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H2337" i="11"/>
  <c r="H2338" i="11"/>
  <c r="H2339" i="11"/>
  <c r="H2340" i="11"/>
  <c r="H2341" i="11"/>
  <c r="H2342" i="11"/>
  <c r="H2343" i="11"/>
  <c r="H2344" i="11"/>
  <c r="H2345" i="11"/>
  <c r="H2346" i="11"/>
  <c r="H2347" i="11"/>
  <c r="H2348" i="11"/>
  <c r="H2349" i="11"/>
  <c r="H2350" i="11"/>
  <c r="H2351" i="11"/>
  <c r="H2352" i="11"/>
  <c r="H2353" i="11"/>
  <c r="H2354" i="11"/>
  <c r="H2355" i="11"/>
  <c r="H2356" i="11"/>
  <c r="H2357" i="11"/>
  <c r="H2358" i="11"/>
  <c r="H2359" i="11"/>
  <c r="H2360" i="11"/>
  <c r="H2361" i="11"/>
  <c r="H2362" i="11"/>
  <c r="H2363" i="11"/>
  <c r="H2364" i="11"/>
  <c r="H2365" i="11"/>
  <c r="H2366" i="11"/>
  <c r="H2367" i="11"/>
  <c r="H2368" i="11"/>
  <c r="H2369" i="11"/>
  <c r="H2370" i="11"/>
  <c r="H2371" i="11"/>
  <c r="H2372" i="11"/>
  <c r="H2373" i="11"/>
  <c r="H2374" i="11"/>
  <c r="H2375" i="11"/>
  <c r="H2376" i="11"/>
  <c r="H2377" i="11"/>
  <c r="H2378" i="11"/>
  <c r="H2379" i="11"/>
  <c r="H2380" i="11"/>
  <c r="H2381" i="11"/>
  <c r="H2382" i="11"/>
  <c r="H2383" i="11"/>
  <c r="H2384" i="11"/>
  <c r="H2385" i="11"/>
  <c r="H2386" i="11"/>
  <c r="H2387" i="11"/>
  <c r="H2388" i="11"/>
  <c r="H2389" i="11"/>
  <c r="H2390" i="11"/>
  <c r="H2391" i="11"/>
  <c r="H2392" i="11"/>
  <c r="H2393" i="11"/>
  <c r="H2394" i="11"/>
  <c r="H2395" i="11"/>
  <c r="H2396" i="11"/>
  <c r="H2397" i="11"/>
  <c r="H2398" i="11"/>
  <c r="H2399" i="11"/>
  <c r="H2400" i="11"/>
  <c r="H2401" i="11"/>
  <c r="H2402" i="11"/>
  <c r="H2403" i="11"/>
  <c r="H2404" i="11"/>
  <c r="H2405" i="11"/>
  <c r="H2406" i="11"/>
  <c r="H2407" i="11"/>
  <c r="H2408" i="11"/>
  <c r="H2409" i="11"/>
  <c r="H2410" i="11"/>
  <c r="H2411" i="11"/>
  <c r="H2412" i="11"/>
  <c r="H2413" i="11"/>
  <c r="H2414" i="11"/>
  <c r="H2415" i="11"/>
  <c r="H2416" i="11"/>
  <c r="H2417" i="11"/>
  <c r="H2418" i="11"/>
  <c r="H2419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20" i="11"/>
  <c r="K19" i="11"/>
  <c r="E20" i="11" s="1"/>
  <c r="I1091" i="13"/>
  <c r="G1091" i="13"/>
  <c r="F1091" i="13"/>
  <c r="E1091" i="13"/>
  <c r="I2178" i="13"/>
  <c r="G2178" i="13"/>
  <c r="F2178" i="13"/>
  <c r="E2178" i="13"/>
  <c r="I874" i="13"/>
  <c r="G874" i="13"/>
  <c r="F874" i="13"/>
  <c r="E874" i="13"/>
  <c r="I1260" i="13"/>
  <c r="G1260" i="13"/>
  <c r="F1260" i="13"/>
  <c r="E1260" i="13"/>
  <c r="I2053" i="13"/>
  <c r="G2053" i="13"/>
  <c r="F2053" i="13"/>
  <c r="E2053" i="13"/>
  <c r="I210" i="13"/>
  <c r="G210" i="13"/>
  <c r="F210" i="13"/>
  <c r="E210" i="13"/>
  <c r="I2191" i="13"/>
  <c r="G2191" i="13"/>
  <c r="F2191" i="13"/>
  <c r="E2191" i="13"/>
  <c r="I1933" i="13"/>
  <c r="G1933" i="13"/>
  <c r="F1933" i="13"/>
  <c r="E1933" i="13"/>
  <c r="I2219" i="13"/>
  <c r="G2219" i="13"/>
  <c r="F2219" i="13"/>
  <c r="E2219" i="13"/>
  <c r="I112" i="13"/>
  <c r="G112" i="13"/>
  <c r="F112" i="13"/>
  <c r="E112" i="13"/>
  <c r="I1737" i="13"/>
  <c r="G1737" i="13"/>
  <c r="F1737" i="13"/>
  <c r="E1737" i="13"/>
  <c r="I512" i="13"/>
  <c r="G512" i="13"/>
  <c r="F512" i="13"/>
  <c r="E512" i="13"/>
  <c r="I2228" i="13"/>
  <c r="G2228" i="13"/>
  <c r="F2228" i="13"/>
  <c r="E2228" i="13"/>
  <c r="I258" i="13"/>
  <c r="G258" i="13"/>
  <c r="F258" i="13"/>
  <c r="E258" i="13"/>
  <c r="I1778" i="13"/>
  <c r="G1778" i="13"/>
  <c r="F1778" i="13"/>
  <c r="E1778" i="13"/>
  <c r="I209" i="13"/>
  <c r="G209" i="13"/>
  <c r="F209" i="13"/>
  <c r="E209" i="13"/>
  <c r="I1745" i="13"/>
  <c r="G1745" i="13"/>
  <c r="F1745" i="13"/>
  <c r="E1745" i="13"/>
  <c r="I1627" i="13"/>
  <c r="G1627" i="13"/>
  <c r="F1627" i="13"/>
  <c r="E1627" i="13"/>
  <c r="I1144" i="13"/>
  <c r="G1144" i="13"/>
  <c r="F1144" i="13"/>
  <c r="E1144" i="13"/>
  <c r="I886" i="13"/>
  <c r="G886" i="13"/>
  <c r="F886" i="13"/>
  <c r="E886" i="13"/>
  <c r="I88" i="13"/>
  <c r="G88" i="13"/>
  <c r="F88" i="13"/>
  <c r="E88" i="13"/>
  <c r="I678" i="13"/>
  <c r="G678" i="13"/>
  <c r="F678" i="13"/>
  <c r="E678" i="13"/>
  <c r="I2190" i="13"/>
  <c r="G2190" i="13"/>
  <c r="F2190" i="13"/>
  <c r="E2190" i="13"/>
  <c r="I1851" i="13"/>
  <c r="G1851" i="13"/>
  <c r="F1851" i="13"/>
  <c r="E1851" i="13"/>
  <c r="I1544" i="13"/>
  <c r="G1544" i="13"/>
  <c r="F1544" i="13"/>
  <c r="E1544" i="13"/>
  <c r="I544" i="13"/>
  <c r="G544" i="13"/>
  <c r="F544" i="13"/>
  <c r="E544" i="13"/>
  <c r="I1777" i="13"/>
  <c r="G1777" i="13"/>
  <c r="F1777" i="13"/>
  <c r="E1777" i="13"/>
  <c r="I2124" i="13"/>
  <c r="G2124" i="13"/>
  <c r="F2124" i="13"/>
  <c r="E2124" i="13"/>
  <c r="I1927" i="13"/>
  <c r="G1927" i="13"/>
  <c r="F1927" i="13"/>
  <c r="E1927" i="13"/>
  <c r="I1404" i="13"/>
  <c r="G1404" i="13"/>
  <c r="F1404" i="13"/>
  <c r="E1404" i="13"/>
  <c r="I408" i="13"/>
  <c r="G408" i="13"/>
  <c r="F408" i="13"/>
  <c r="E408" i="13"/>
  <c r="I1626" i="13"/>
  <c r="G1626" i="13"/>
  <c r="F1626" i="13"/>
  <c r="E1626" i="13"/>
  <c r="I993" i="13"/>
  <c r="G993" i="13"/>
  <c r="F993" i="13"/>
  <c r="E993" i="13"/>
  <c r="I2301" i="13"/>
  <c r="G2301" i="13"/>
  <c r="F2301" i="13"/>
  <c r="E2301" i="13"/>
  <c r="I2213" i="13"/>
  <c r="G2213" i="13"/>
  <c r="F2213" i="13"/>
  <c r="E2213" i="13"/>
  <c r="I1827" i="13"/>
  <c r="G1827" i="13"/>
  <c r="F1827" i="13"/>
  <c r="E1827" i="13"/>
  <c r="I1784" i="13"/>
  <c r="G1784" i="13"/>
  <c r="F1784" i="13"/>
  <c r="E1784" i="13"/>
  <c r="I669" i="13"/>
  <c r="G669" i="13"/>
  <c r="F669" i="13"/>
  <c r="E669" i="13"/>
  <c r="I318" i="13"/>
  <c r="G318" i="13"/>
  <c r="F318" i="13"/>
  <c r="E318" i="13"/>
  <c r="I2107" i="13"/>
  <c r="G2107" i="13"/>
  <c r="F2107" i="13"/>
  <c r="E2107" i="13"/>
  <c r="I1090" i="13"/>
  <c r="G1090" i="13"/>
  <c r="F1090" i="13"/>
  <c r="E1090" i="13"/>
  <c r="I1634" i="13"/>
  <c r="G1634" i="13"/>
  <c r="F1634" i="13"/>
  <c r="E1634" i="13"/>
  <c r="I2117" i="13"/>
  <c r="G2117" i="13"/>
  <c r="F2117" i="13"/>
  <c r="E2117" i="13"/>
  <c r="I677" i="13"/>
  <c r="G677" i="13"/>
  <c r="F677" i="13"/>
  <c r="E677" i="13"/>
  <c r="I1537" i="13"/>
  <c r="G1537" i="13"/>
  <c r="F1537" i="13"/>
  <c r="E1537" i="13"/>
  <c r="I1343" i="13"/>
  <c r="G1343" i="13"/>
  <c r="F1343" i="13"/>
  <c r="E1343" i="13"/>
  <c r="I2274" i="13"/>
  <c r="G2274" i="13"/>
  <c r="F2274" i="13"/>
  <c r="E2274" i="13"/>
  <c r="I1300" i="13"/>
  <c r="G1300" i="13"/>
  <c r="F1300" i="13"/>
  <c r="E1300" i="13"/>
  <c r="I1143" i="13"/>
  <c r="G1143" i="13"/>
  <c r="F1143" i="13"/>
  <c r="E1143" i="13"/>
  <c r="I95" i="13"/>
  <c r="G95" i="13"/>
  <c r="F95" i="13"/>
  <c r="E95" i="13"/>
  <c r="I921" i="13"/>
  <c r="G921" i="13"/>
  <c r="F921" i="13"/>
  <c r="E921" i="13"/>
  <c r="I1805" i="13"/>
  <c r="G1805" i="13"/>
  <c r="F1805" i="13"/>
  <c r="E1805" i="13"/>
  <c r="I407" i="13"/>
  <c r="G407" i="13"/>
  <c r="F407" i="13"/>
  <c r="E407" i="13"/>
  <c r="I984" i="13"/>
  <c r="G984" i="13"/>
  <c r="F984" i="13"/>
  <c r="E984" i="13"/>
  <c r="I1608" i="13"/>
  <c r="G1608" i="13"/>
  <c r="F1608" i="13"/>
  <c r="E1608" i="13"/>
  <c r="I208" i="13"/>
  <c r="G208" i="13"/>
  <c r="F208" i="13"/>
  <c r="E208" i="13"/>
  <c r="I2165" i="13"/>
  <c r="G2165" i="13"/>
  <c r="F2165" i="13"/>
  <c r="E2165" i="13"/>
  <c r="I1185" i="13"/>
  <c r="G1185" i="13"/>
  <c r="F1185" i="13"/>
  <c r="E1185" i="13"/>
  <c r="I324" i="13"/>
  <c r="G324" i="13"/>
  <c r="F324" i="13"/>
  <c r="E324" i="13"/>
  <c r="I340" i="13"/>
  <c r="G340" i="13"/>
  <c r="F340" i="13"/>
  <c r="E340" i="13"/>
  <c r="I176" i="13"/>
  <c r="G176" i="13"/>
  <c r="F176" i="13"/>
  <c r="E176" i="13"/>
  <c r="I1392" i="13"/>
  <c r="G1392" i="13"/>
  <c r="F1392" i="13"/>
  <c r="E1392" i="13"/>
  <c r="I2130" i="13"/>
  <c r="G2130" i="13"/>
  <c r="F2130" i="13"/>
  <c r="E2130" i="13"/>
  <c r="I1378" i="13"/>
  <c r="G1378" i="13"/>
  <c r="F1378" i="13"/>
  <c r="E1378" i="13"/>
  <c r="I2051" i="13"/>
  <c r="G2051" i="13"/>
  <c r="F2051" i="13"/>
  <c r="E2051" i="13"/>
  <c r="I425" i="13"/>
  <c r="G425" i="13"/>
  <c r="F425" i="13"/>
  <c r="E425" i="13"/>
  <c r="I417" i="13"/>
  <c r="G417" i="13"/>
  <c r="F417" i="13"/>
  <c r="E417" i="13"/>
  <c r="I1633" i="13"/>
  <c r="G1633" i="13"/>
  <c r="F1633" i="13"/>
  <c r="E1633" i="13"/>
  <c r="I103" i="13"/>
  <c r="G103" i="13"/>
  <c r="F103" i="13"/>
  <c r="E103" i="13"/>
  <c r="I943" i="13"/>
  <c r="G943" i="13"/>
  <c r="F943" i="13"/>
  <c r="E943" i="13"/>
  <c r="I2129" i="13"/>
  <c r="G2129" i="13"/>
  <c r="F2129" i="13"/>
  <c r="E2129" i="13"/>
  <c r="I2172" i="13"/>
  <c r="G2172" i="13"/>
  <c r="F2172" i="13"/>
  <c r="E2172" i="13"/>
  <c r="I760" i="13"/>
  <c r="G760" i="13"/>
  <c r="F760" i="13"/>
  <c r="E760" i="13"/>
  <c r="I1384" i="13"/>
  <c r="G1384" i="13"/>
  <c r="F1384" i="13"/>
  <c r="E1384" i="13"/>
  <c r="I1978" i="13"/>
  <c r="G1978" i="13"/>
  <c r="F1978" i="13"/>
  <c r="E1978" i="13"/>
  <c r="I1358" i="13"/>
  <c r="G1358" i="13"/>
  <c r="F1358" i="13"/>
  <c r="E1358" i="13"/>
  <c r="I1659" i="13"/>
  <c r="G1659" i="13"/>
  <c r="F1659" i="13"/>
  <c r="E1659" i="13"/>
  <c r="I1317" i="13"/>
  <c r="G1317" i="13"/>
  <c r="F1317" i="13"/>
  <c r="E1317" i="13"/>
  <c r="I1223" i="13"/>
  <c r="G1223" i="13"/>
  <c r="F1223" i="13"/>
  <c r="E1223" i="13"/>
  <c r="I1253" i="13"/>
  <c r="G1253" i="13"/>
  <c r="F1253" i="13"/>
  <c r="E1253" i="13"/>
  <c r="I183" i="13"/>
  <c r="G183" i="13"/>
  <c r="F183" i="13"/>
  <c r="E183" i="13"/>
  <c r="I499" i="13"/>
  <c r="G499" i="13"/>
  <c r="F499" i="13"/>
  <c r="E499" i="13"/>
  <c r="I999" i="13"/>
  <c r="G999" i="13"/>
  <c r="F999" i="13"/>
  <c r="E999" i="13"/>
  <c r="I878" i="13"/>
  <c r="G878" i="13"/>
  <c r="F878" i="13"/>
  <c r="E878" i="13"/>
  <c r="I1702" i="13"/>
  <c r="G1702" i="13"/>
  <c r="F1702" i="13"/>
  <c r="E1702" i="13"/>
  <c r="I1911" i="13"/>
  <c r="G1911" i="13"/>
  <c r="F1911" i="13"/>
  <c r="E1911" i="13"/>
  <c r="I2333" i="13"/>
  <c r="G2333" i="13"/>
  <c r="F2333" i="13"/>
  <c r="E2333" i="13"/>
  <c r="I1557" i="13"/>
  <c r="G1557" i="13"/>
  <c r="F1557" i="13"/>
  <c r="E1557" i="13"/>
  <c r="I2059" i="13"/>
  <c r="G2059" i="13"/>
  <c r="F2059" i="13"/>
  <c r="E2059" i="13"/>
  <c r="I1237" i="13"/>
  <c r="G1237" i="13"/>
  <c r="F1237" i="13"/>
  <c r="E1237" i="13"/>
  <c r="I1113" i="13"/>
  <c r="G1113" i="13"/>
  <c r="F1113" i="13"/>
  <c r="E1113" i="13"/>
  <c r="I988" i="13"/>
  <c r="G988" i="13"/>
  <c r="F988" i="13"/>
  <c r="E988" i="13"/>
  <c r="I865" i="13"/>
  <c r="G865" i="13"/>
  <c r="F865" i="13"/>
  <c r="E865" i="13"/>
  <c r="I628" i="13"/>
  <c r="G628" i="13"/>
  <c r="F628" i="13"/>
  <c r="E628" i="13"/>
  <c r="I1536" i="13"/>
  <c r="G1536" i="13"/>
  <c r="F1536" i="13"/>
  <c r="E1536" i="13"/>
  <c r="I1952" i="13"/>
  <c r="G1952" i="13"/>
  <c r="F1952" i="13"/>
  <c r="E1952" i="13"/>
  <c r="I508" i="13"/>
  <c r="G508" i="13"/>
  <c r="F508" i="13"/>
  <c r="E508" i="13"/>
  <c r="I627" i="13"/>
  <c r="G627" i="13"/>
  <c r="F627" i="13"/>
  <c r="E627" i="13"/>
  <c r="I1104" i="13"/>
  <c r="G1104" i="13"/>
  <c r="F1104" i="13"/>
  <c r="E1104" i="13"/>
  <c r="I1759" i="13"/>
  <c r="G1759" i="13"/>
  <c r="F1759" i="13"/>
  <c r="E1759" i="13"/>
  <c r="I1022" i="13"/>
  <c r="G1022" i="13"/>
  <c r="F1022" i="13"/>
  <c r="E1022" i="13"/>
  <c r="I992" i="13"/>
  <c r="G992" i="13"/>
  <c r="F992" i="13"/>
  <c r="E992" i="13"/>
  <c r="I537" i="13"/>
  <c r="G537" i="13"/>
  <c r="F537" i="13"/>
  <c r="E537" i="13"/>
  <c r="I568" i="13"/>
  <c r="G568" i="13"/>
  <c r="F568" i="13"/>
  <c r="E568" i="13"/>
  <c r="I1999" i="13"/>
  <c r="G1999" i="13"/>
  <c r="F1999" i="13"/>
  <c r="E1999" i="13"/>
  <c r="I2023" i="13"/>
  <c r="G2023" i="13"/>
  <c r="F2023" i="13"/>
  <c r="E2023" i="13"/>
  <c r="I529" i="13"/>
  <c r="G529" i="13"/>
  <c r="F529" i="13"/>
  <c r="E529" i="13"/>
  <c r="I478" i="13"/>
  <c r="G478" i="13"/>
  <c r="F478" i="13"/>
  <c r="E478" i="13"/>
  <c r="I905" i="13"/>
  <c r="G905" i="13"/>
  <c r="F905" i="13"/>
  <c r="E905" i="13"/>
  <c r="I278" i="13"/>
  <c r="G278" i="13"/>
  <c r="F278" i="13"/>
  <c r="E278" i="13"/>
  <c r="I40" i="13"/>
  <c r="G40" i="13"/>
  <c r="F40" i="13"/>
  <c r="E40" i="13"/>
  <c r="I376" i="13"/>
  <c r="G376" i="13"/>
  <c r="F376" i="13"/>
  <c r="E376" i="13"/>
  <c r="I1488" i="13"/>
  <c r="G1488" i="13"/>
  <c r="F1488" i="13"/>
  <c r="E1488" i="13"/>
  <c r="I803" i="13"/>
  <c r="G803" i="13"/>
  <c r="F803" i="13"/>
  <c r="E803" i="13"/>
  <c r="I626" i="13"/>
  <c r="G626" i="13"/>
  <c r="F626" i="13"/>
  <c r="E626" i="13"/>
  <c r="I1316" i="13"/>
  <c r="G1316" i="13"/>
  <c r="F1316" i="13"/>
  <c r="E1316" i="13"/>
  <c r="I1162" i="13"/>
  <c r="G1162" i="13"/>
  <c r="F1162" i="13"/>
  <c r="E1162" i="13"/>
  <c r="I477" i="13"/>
  <c r="G477" i="13"/>
  <c r="F477" i="13"/>
  <c r="E477" i="13"/>
  <c r="I1673" i="13"/>
  <c r="G1673" i="13"/>
  <c r="F1673" i="13"/>
  <c r="E1673" i="13"/>
  <c r="I2212" i="13"/>
  <c r="G2212" i="13"/>
  <c r="F2212" i="13"/>
  <c r="E2212" i="13"/>
  <c r="I442" i="13"/>
  <c r="G442" i="13"/>
  <c r="F442" i="13"/>
  <c r="E442" i="13"/>
  <c r="I1445" i="13"/>
  <c r="G1445" i="13"/>
  <c r="F1445" i="13"/>
  <c r="E1445" i="13"/>
  <c r="I2162" i="13"/>
  <c r="G2162" i="13"/>
  <c r="F2162" i="13"/>
  <c r="E2162" i="13"/>
  <c r="I188" i="13"/>
  <c r="G188" i="13"/>
  <c r="F188" i="13"/>
  <c r="E188" i="13"/>
  <c r="I27" i="13"/>
  <c r="G27" i="13"/>
  <c r="F27" i="13"/>
  <c r="E27" i="13"/>
  <c r="I1205" i="13"/>
  <c r="G1205" i="13"/>
  <c r="F1205" i="13"/>
  <c r="E1205" i="13"/>
  <c r="I58" i="13"/>
  <c r="G58" i="13"/>
  <c r="F58" i="13"/>
  <c r="E58" i="13"/>
  <c r="I1242" i="13"/>
  <c r="G1242" i="13"/>
  <c r="F1242" i="13"/>
  <c r="E1242" i="13"/>
  <c r="I2385" i="13"/>
  <c r="G2385" i="13"/>
  <c r="F2385" i="13"/>
  <c r="E2385" i="13"/>
  <c r="I1758" i="13"/>
  <c r="G1758" i="13"/>
  <c r="F1758" i="13"/>
  <c r="E1758" i="13"/>
  <c r="I168" i="13"/>
  <c r="G168" i="13"/>
  <c r="F168" i="13"/>
  <c r="E168" i="13"/>
  <c r="I441" i="13"/>
  <c r="G441" i="13"/>
  <c r="F441" i="13"/>
  <c r="E441" i="13"/>
  <c r="I125" i="13"/>
  <c r="G125" i="13"/>
  <c r="F125" i="13"/>
  <c r="E125" i="13"/>
  <c r="I563" i="13"/>
  <c r="G563" i="13"/>
  <c r="F563" i="13"/>
  <c r="E563" i="13"/>
  <c r="I1142" i="13"/>
  <c r="G1142" i="13"/>
  <c r="F1142" i="13"/>
  <c r="E1142" i="13"/>
  <c r="I1526" i="13"/>
  <c r="G1526" i="13"/>
  <c r="F1526" i="13"/>
  <c r="E1526" i="13"/>
  <c r="I625" i="13"/>
  <c r="G625" i="13"/>
  <c r="F625" i="13"/>
  <c r="E625" i="13"/>
  <c r="I942" i="13"/>
  <c r="G942" i="13"/>
  <c r="F942" i="13"/>
  <c r="E942" i="13"/>
  <c r="I2320" i="13"/>
  <c r="G2320" i="13"/>
  <c r="F2320" i="13"/>
  <c r="E2320" i="13"/>
  <c r="I551" i="13"/>
  <c r="G551" i="13"/>
  <c r="F551" i="13"/>
  <c r="E551" i="13"/>
  <c r="I2116" i="13"/>
  <c r="G2116" i="13"/>
  <c r="F2116" i="13"/>
  <c r="E2116" i="13"/>
  <c r="I987" i="13"/>
  <c r="G987" i="13"/>
  <c r="F987" i="13"/>
  <c r="E987" i="13"/>
  <c r="I1252" i="13"/>
  <c r="G1252" i="13"/>
  <c r="F1252" i="13"/>
  <c r="E1252" i="13"/>
  <c r="I117" i="13"/>
  <c r="G117" i="13"/>
  <c r="F117" i="13"/>
  <c r="E117" i="13"/>
  <c r="I845" i="13"/>
  <c r="G845" i="13"/>
  <c r="F845" i="13"/>
  <c r="E845" i="13"/>
  <c r="I237" i="13"/>
  <c r="G237" i="13"/>
  <c r="F237" i="13"/>
  <c r="E237" i="13"/>
  <c r="I799" i="13"/>
  <c r="G799" i="13"/>
  <c r="F799" i="13"/>
  <c r="E799" i="13"/>
  <c r="I824" i="13"/>
  <c r="G824" i="13"/>
  <c r="F824" i="13"/>
  <c r="E824" i="13"/>
  <c r="I1570" i="13"/>
  <c r="G1570" i="13"/>
  <c r="F1570" i="13"/>
  <c r="E1570" i="13"/>
  <c r="I1487" i="13"/>
  <c r="G1487" i="13"/>
  <c r="F1487" i="13"/>
  <c r="E1487" i="13"/>
  <c r="I1592" i="13"/>
  <c r="G1592" i="13"/>
  <c r="F1592" i="13"/>
  <c r="E1592" i="13"/>
  <c r="I543" i="13"/>
  <c r="G543" i="13"/>
  <c r="F543" i="13"/>
  <c r="E543" i="13"/>
  <c r="I676" i="13"/>
  <c r="G676" i="13"/>
  <c r="F676" i="13"/>
  <c r="E676" i="13"/>
  <c r="I2177" i="13"/>
  <c r="G2177" i="13"/>
  <c r="F2177" i="13"/>
  <c r="E2177" i="13"/>
  <c r="I725" i="13"/>
  <c r="G725" i="13"/>
  <c r="F725" i="13"/>
  <c r="E725" i="13"/>
  <c r="I476" i="13"/>
  <c r="G476" i="13"/>
  <c r="F476" i="13"/>
  <c r="E476" i="13"/>
  <c r="I1679" i="13"/>
  <c r="G1679" i="13"/>
  <c r="F1679" i="13"/>
  <c r="E1679" i="13"/>
  <c r="I317" i="13"/>
  <c r="G317" i="13"/>
  <c r="F317" i="13"/>
  <c r="E317" i="13"/>
  <c r="I823" i="13"/>
  <c r="G823" i="13"/>
  <c r="F823" i="13"/>
  <c r="E823" i="13"/>
  <c r="I111" i="13"/>
  <c r="G111" i="13"/>
  <c r="F111" i="13"/>
  <c r="E111" i="13"/>
  <c r="I2359" i="13"/>
  <c r="G2359" i="13"/>
  <c r="F2359" i="13"/>
  <c r="E2359" i="13"/>
  <c r="I615" i="13"/>
  <c r="G615" i="13"/>
  <c r="F615" i="13"/>
  <c r="E615" i="13"/>
  <c r="I1460" i="13"/>
  <c r="G1460" i="13"/>
  <c r="F1460" i="13"/>
  <c r="E1460" i="13"/>
  <c r="I339" i="13"/>
  <c r="G339" i="13"/>
  <c r="F339" i="13"/>
  <c r="E339" i="13"/>
  <c r="I1607" i="13"/>
  <c r="G1607" i="13"/>
  <c r="F1607" i="13"/>
  <c r="E1607" i="13"/>
  <c r="I1591" i="13"/>
  <c r="G1591" i="13"/>
  <c r="F1591" i="13"/>
  <c r="E1591" i="13"/>
  <c r="I2161" i="13"/>
  <c r="G2161" i="13"/>
  <c r="F2161" i="13"/>
  <c r="E2161" i="13"/>
  <c r="I57" i="13"/>
  <c r="G57" i="13"/>
  <c r="F57" i="13"/>
  <c r="E57" i="13"/>
  <c r="I1554" i="13"/>
  <c r="G1554" i="13"/>
  <c r="F1554" i="13"/>
  <c r="E1554" i="13"/>
  <c r="I759" i="13"/>
  <c r="G759" i="13"/>
  <c r="F759" i="13"/>
  <c r="E759" i="13"/>
  <c r="I84" i="13"/>
  <c r="G84" i="13"/>
  <c r="F84" i="13"/>
  <c r="E84" i="13"/>
  <c r="I718" i="13"/>
  <c r="G718" i="13"/>
  <c r="F718" i="13"/>
  <c r="E718" i="13"/>
  <c r="I2160" i="13"/>
  <c r="G2160" i="13"/>
  <c r="F2160" i="13"/>
  <c r="E2160" i="13"/>
  <c r="I1794" i="13"/>
  <c r="G1794" i="13"/>
  <c r="F1794" i="13"/>
  <c r="E1794" i="13"/>
  <c r="I1495" i="13"/>
  <c r="G1495" i="13"/>
  <c r="F1495" i="13"/>
  <c r="E1495" i="13"/>
  <c r="I1044" i="13"/>
  <c r="G1044" i="13"/>
  <c r="F1044" i="13"/>
  <c r="E1044" i="13"/>
  <c r="I464" i="13"/>
  <c r="G464" i="13"/>
  <c r="F464" i="13"/>
  <c r="E464" i="13"/>
  <c r="I2240" i="13"/>
  <c r="G2240" i="13"/>
  <c r="F2240" i="13"/>
  <c r="E2240" i="13"/>
  <c r="I873" i="13"/>
  <c r="G873" i="13"/>
  <c r="F873" i="13"/>
  <c r="E873" i="13"/>
  <c r="I1324" i="13"/>
  <c r="G1324" i="13"/>
  <c r="F1324" i="13"/>
  <c r="E1324" i="13"/>
  <c r="I1315" i="13"/>
  <c r="G1315" i="13"/>
  <c r="F1315" i="13"/>
  <c r="E1315" i="13"/>
  <c r="I1944" i="13"/>
  <c r="G1944" i="13"/>
  <c r="F1944" i="13"/>
  <c r="E1944" i="13"/>
  <c r="I1251" i="13"/>
  <c r="G1251" i="13"/>
  <c r="F1251" i="13"/>
  <c r="E1251" i="13"/>
  <c r="I2080" i="13"/>
  <c r="G2080" i="13"/>
  <c r="F2080" i="13"/>
  <c r="E2080" i="13"/>
  <c r="I2211" i="13"/>
  <c r="G2211" i="13"/>
  <c r="F2211" i="13"/>
  <c r="E2211" i="13"/>
  <c r="I2273" i="13"/>
  <c r="G2273" i="13"/>
  <c r="F2273" i="13"/>
  <c r="E2273" i="13"/>
  <c r="I655" i="13"/>
  <c r="G655" i="13"/>
  <c r="F655" i="13"/>
  <c r="E655" i="13"/>
  <c r="I2022" i="13"/>
  <c r="G2022" i="13"/>
  <c r="F2022" i="13"/>
  <c r="E2022" i="13"/>
  <c r="I1664" i="13"/>
  <c r="G1664" i="13"/>
  <c r="F1664" i="13"/>
  <c r="E1664" i="13"/>
  <c r="I2218" i="13"/>
  <c r="G2218" i="13"/>
  <c r="F2218" i="13"/>
  <c r="E2218" i="13"/>
  <c r="I668" i="13"/>
  <c r="G668" i="13"/>
  <c r="F668" i="13"/>
  <c r="E668" i="13"/>
  <c r="I1658" i="13"/>
  <c r="G1658" i="13"/>
  <c r="F1658" i="13"/>
  <c r="E1658" i="13"/>
  <c r="I1619" i="13"/>
  <c r="G1619" i="13"/>
  <c r="F1619" i="13"/>
  <c r="E1619" i="13"/>
  <c r="I904" i="13"/>
  <c r="G904" i="13"/>
  <c r="F904" i="13"/>
  <c r="E904" i="13"/>
  <c r="I250" i="13"/>
  <c r="G250" i="13"/>
  <c r="F250" i="13"/>
  <c r="E250" i="13"/>
  <c r="I1211" i="13"/>
  <c r="G1211" i="13"/>
  <c r="F1211" i="13"/>
  <c r="E1211" i="13"/>
  <c r="I1139" i="13"/>
  <c r="G1139" i="13"/>
  <c r="F1139" i="13"/>
  <c r="E1139" i="13"/>
  <c r="I1926" i="13"/>
  <c r="G1926" i="13"/>
  <c r="F1926" i="13"/>
  <c r="E1926" i="13"/>
  <c r="I2018" i="13"/>
  <c r="G2018" i="13"/>
  <c r="F2018" i="13"/>
  <c r="E2018" i="13"/>
  <c r="I675" i="13"/>
  <c r="G675" i="13"/>
  <c r="F675" i="13"/>
  <c r="E675" i="13"/>
  <c r="I437" i="13"/>
  <c r="G437" i="13"/>
  <c r="F437" i="13"/>
  <c r="E437" i="13"/>
  <c r="I659" i="13"/>
  <c r="G659" i="13"/>
  <c r="F659" i="13"/>
  <c r="E659" i="13"/>
  <c r="I1891" i="13"/>
  <c r="G1891" i="13"/>
  <c r="F1891" i="13"/>
  <c r="E1891" i="13"/>
  <c r="I2154" i="13"/>
  <c r="G2154" i="13"/>
  <c r="F2154" i="13"/>
  <c r="E2154" i="13"/>
  <c r="I1486" i="13"/>
  <c r="G1486" i="13"/>
  <c r="F1486" i="13"/>
  <c r="E1486" i="13"/>
  <c r="I915" i="13"/>
  <c r="G915" i="13"/>
  <c r="F915" i="13"/>
  <c r="E915" i="13"/>
  <c r="I2008" i="13"/>
  <c r="G2008" i="13"/>
  <c r="F2008" i="13"/>
  <c r="E2008" i="13"/>
  <c r="I1736" i="13"/>
  <c r="G1736" i="13"/>
  <c r="F1736" i="13"/>
  <c r="E1736" i="13"/>
  <c r="I1459" i="13"/>
  <c r="G1459" i="13"/>
  <c r="F1459" i="13"/>
  <c r="E1459" i="13"/>
  <c r="I1872" i="13"/>
  <c r="G1872" i="13"/>
  <c r="F1872" i="13"/>
  <c r="E1872" i="13"/>
  <c r="I1033" i="13"/>
  <c r="G1033" i="13"/>
  <c r="F1033" i="13"/>
  <c r="E1033" i="13"/>
  <c r="I1195" i="13"/>
  <c r="G1195" i="13"/>
  <c r="F1195" i="13"/>
  <c r="E1195" i="13"/>
  <c r="I1654" i="13"/>
  <c r="G1654" i="13"/>
  <c r="F1654" i="13"/>
  <c r="E1654" i="13"/>
  <c r="I2065" i="13"/>
  <c r="G2065" i="13"/>
  <c r="F2065" i="13"/>
  <c r="E2065" i="13"/>
  <c r="I383" i="13"/>
  <c r="G383" i="13"/>
  <c r="F383" i="13"/>
  <c r="E383" i="13"/>
  <c r="I683" i="13"/>
  <c r="G683" i="13"/>
  <c r="F683" i="13"/>
  <c r="E683" i="13"/>
  <c r="I2210" i="13"/>
  <c r="G2210" i="13"/>
  <c r="F2210" i="13"/>
  <c r="E2210" i="13"/>
  <c r="I2050" i="13"/>
  <c r="G2050" i="13"/>
  <c r="F2050" i="13"/>
  <c r="E2050" i="13"/>
  <c r="I1279" i="13"/>
  <c r="G1279" i="13"/>
  <c r="F1279" i="13"/>
  <c r="E1279" i="13"/>
  <c r="I432" i="13"/>
  <c r="G432" i="13"/>
  <c r="F432" i="13"/>
  <c r="E432" i="13"/>
  <c r="I2316" i="13"/>
  <c r="G2316" i="13"/>
  <c r="F2316" i="13"/>
  <c r="E2316" i="13"/>
  <c r="I557" i="13"/>
  <c r="G557" i="13"/>
  <c r="F557" i="13"/>
  <c r="E557" i="13"/>
  <c r="I1862" i="13"/>
  <c r="G1862" i="13"/>
  <c r="F1862" i="13"/>
  <c r="E1862" i="13"/>
  <c r="I1776" i="13"/>
  <c r="G1776" i="13"/>
  <c r="F1776" i="13"/>
  <c r="E1776" i="13"/>
  <c r="I203" i="13"/>
  <c r="G203" i="13"/>
  <c r="F203" i="13"/>
  <c r="E203" i="13"/>
  <c r="I299" i="13"/>
  <c r="G299" i="13"/>
  <c r="F299" i="13"/>
  <c r="E299" i="13"/>
  <c r="I1771" i="13"/>
  <c r="G1771" i="13"/>
  <c r="F1771" i="13"/>
  <c r="E1771" i="13"/>
  <c r="I1549" i="13"/>
  <c r="G1549" i="13"/>
  <c r="F1549" i="13"/>
  <c r="E1549" i="13"/>
  <c r="I2217" i="13"/>
  <c r="G2217" i="13"/>
  <c r="F2217" i="13"/>
  <c r="E2217" i="13"/>
  <c r="I1925" i="13"/>
  <c r="G1925" i="13"/>
  <c r="F1925" i="13"/>
  <c r="E1925" i="13"/>
  <c r="I44" i="13"/>
  <c r="G44" i="13"/>
  <c r="F44" i="13"/>
  <c r="E44" i="13"/>
  <c r="I734" i="13"/>
  <c r="G734" i="13"/>
  <c r="F734" i="13"/>
  <c r="E734" i="13"/>
  <c r="I2358" i="13"/>
  <c r="G2358" i="13"/>
  <c r="F2358" i="13"/>
  <c r="E2358" i="13"/>
  <c r="I436" i="13"/>
  <c r="G436" i="13"/>
  <c r="F436" i="13"/>
  <c r="E436" i="13"/>
  <c r="I1184" i="13"/>
  <c r="G1184" i="13"/>
  <c r="F1184" i="13"/>
  <c r="E1184" i="13"/>
  <c r="I1259" i="13"/>
  <c r="G1259" i="13"/>
  <c r="F1259" i="13"/>
  <c r="E1259" i="13"/>
  <c r="I2280" i="13"/>
  <c r="G2280" i="13"/>
  <c r="F2280" i="13"/>
  <c r="E2280" i="13"/>
  <c r="I1932" i="13"/>
  <c r="G1932" i="13"/>
  <c r="F1932" i="13"/>
  <c r="E1932" i="13"/>
  <c r="I1434" i="13"/>
  <c r="G1434" i="13"/>
  <c r="F1434" i="13"/>
  <c r="E1434" i="13"/>
  <c r="I1299" i="13"/>
  <c r="G1299" i="13"/>
  <c r="F1299" i="13"/>
  <c r="E1299" i="13"/>
  <c r="I1984" i="13"/>
  <c r="G1984" i="13"/>
  <c r="F1984" i="13"/>
  <c r="E1984" i="13"/>
  <c r="I536" i="13"/>
  <c r="G536" i="13"/>
  <c r="F536" i="13"/>
  <c r="E536" i="13"/>
  <c r="I895" i="13"/>
  <c r="G895" i="13"/>
  <c r="F895" i="13"/>
  <c r="E895" i="13"/>
  <c r="I2272" i="13"/>
  <c r="G2272" i="13"/>
  <c r="F2272" i="13"/>
  <c r="E2272" i="13"/>
  <c r="I2072" i="13"/>
  <c r="G2072" i="13"/>
  <c r="F2072" i="13"/>
  <c r="E2072" i="13"/>
  <c r="I597" i="13"/>
  <c r="G597" i="13"/>
  <c r="F597" i="13"/>
  <c r="E597" i="13"/>
  <c r="I2007" i="13"/>
  <c r="G2007" i="13"/>
  <c r="F2007" i="13"/>
  <c r="E2007" i="13"/>
  <c r="I392" i="13"/>
  <c r="G392" i="13"/>
  <c r="F392" i="13"/>
  <c r="E392" i="13"/>
  <c r="I1856" i="13"/>
  <c r="G1856" i="13"/>
  <c r="F1856" i="13"/>
  <c r="E1856" i="13"/>
  <c r="I785" i="13"/>
  <c r="G785" i="13"/>
  <c r="F785" i="13"/>
  <c r="E785" i="13"/>
  <c r="I1910" i="13"/>
  <c r="G1910" i="13"/>
  <c r="F1910" i="13"/>
  <c r="E1910" i="13"/>
  <c r="I983" i="13"/>
  <c r="G983" i="13"/>
  <c r="F983" i="13"/>
  <c r="E983" i="13"/>
  <c r="I784" i="13"/>
  <c r="G784" i="13"/>
  <c r="F784" i="13"/>
  <c r="E784" i="13"/>
  <c r="I770" i="13"/>
  <c r="G770" i="13"/>
  <c r="F770" i="13"/>
  <c r="E770" i="13"/>
  <c r="I674" i="13"/>
  <c r="G674" i="13"/>
  <c r="F674" i="13"/>
  <c r="E674" i="13"/>
  <c r="I346" i="13"/>
  <c r="G346" i="13"/>
  <c r="F346" i="13"/>
  <c r="E346" i="13"/>
  <c r="I1578" i="13"/>
  <c r="G1578" i="13"/>
  <c r="F1578" i="13"/>
  <c r="E1578" i="13"/>
  <c r="I798" i="13"/>
  <c r="G798" i="13"/>
  <c r="F798" i="13"/>
  <c r="E798" i="13"/>
  <c r="I486" i="13"/>
  <c r="G486" i="13"/>
  <c r="F486" i="13"/>
  <c r="E486" i="13"/>
  <c r="I751" i="13"/>
  <c r="G751" i="13"/>
  <c r="F751" i="13"/>
  <c r="E751" i="13"/>
  <c r="I2049" i="13"/>
  <c r="G2049" i="13"/>
  <c r="F2049" i="13"/>
  <c r="E2049" i="13"/>
  <c r="I455" i="13"/>
  <c r="G455" i="13"/>
  <c r="F455" i="13"/>
  <c r="E455" i="13"/>
  <c r="I2271" i="13"/>
  <c r="G2271" i="13"/>
  <c r="F2271" i="13"/>
  <c r="E2271" i="13"/>
  <c r="I66" i="13"/>
  <c r="G66" i="13"/>
  <c r="F66" i="13"/>
  <c r="E66" i="13"/>
  <c r="I267" i="13"/>
  <c r="G267" i="13"/>
  <c r="F267" i="13"/>
  <c r="E267" i="13"/>
  <c r="I624" i="13"/>
  <c r="G624" i="13"/>
  <c r="F624" i="13"/>
  <c r="E624" i="13"/>
  <c r="I1838" i="13"/>
  <c r="G1838" i="13"/>
  <c r="F1838" i="13"/>
  <c r="E1838" i="13"/>
  <c r="I1809" i="13"/>
  <c r="G1809" i="13"/>
  <c r="F1809" i="13"/>
  <c r="E1809" i="13"/>
  <c r="I1470" i="13"/>
  <c r="G1470" i="13"/>
  <c r="F1470" i="13"/>
  <c r="E1470" i="13"/>
  <c r="I658" i="13"/>
  <c r="G658" i="13"/>
  <c r="F658" i="13"/>
  <c r="E658" i="13"/>
  <c r="I1618" i="13"/>
  <c r="G1618" i="13"/>
  <c r="F1618" i="13"/>
  <c r="E1618" i="13"/>
  <c r="I399" i="13"/>
  <c r="G399" i="13"/>
  <c r="F399" i="13"/>
  <c r="E399" i="13"/>
  <c r="I2209" i="13"/>
  <c r="G2209" i="13"/>
  <c r="F2209" i="13"/>
  <c r="E2209" i="13"/>
  <c r="I277" i="13"/>
  <c r="G277" i="13"/>
  <c r="F277" i="13"/>
  <c r="E277" i="13"/>
  <c r="I2017" i="13"/>
  <c r="G2017" i="13"/>
  <c r="F2017" i="13"/>
  <c r="E2017" i="13"/>
  <c r="I1032" i="13"/>
  <c r="G1032" i="13"/>
  <c r="F1032" i="13"/>
  <c r="E1032" i="13"/>
  <c r="I673" i="13"/>
  <c r="G673" i="13"/>
  <c r="F673" i="13"/>
  <c r="E673" i="13"/>
  <c r="I2300" i="13"/>
  <c r="G2300" i="13"/>
  <c r="F2300" i="13"/>
  <c r="E2300" i="13"/>
  <c r="I306" i="13"/>
  <c r="G306" i="13"/>
  <c r="F306" i="13"/>
  <c r="E306" i="13"/>
  <c r="I1802" i="13"/>
  <c r="G1802" i="13"/>
  <c r="F1802" i="13"/>
  <c r="E1802" i="13"/>
  <c r="I1412" i="13"/>
  <c r="G1412" i="13"/>
  <c r="F1412" i="13"/>
  <c r="E1412" i="13"/>
  <c r="I94" i="13"/>
  <c r="G94" i="13"/>
  <c r="F94" i="13"/>
  <c r="E94" i="13"/>
  <c r="I903" i="13"/>
  <c r="G903" i="13"/>
  <c r="F903" i="13"/>
  <c r="E903" i="13"/>
  <c r="I2128" i="13"/>
  <c r="G2128" i="13"/>
  <c r="F2128" i="13"/>
  <c r="E2128" i="13"/>
  <c r="I1992" i="13"/>
  <c r="G1992" i="13"/>
  <c r="F1992" i="13"/>
  <c r="E1992" i="13"/>
  <c r="I167" i="13"/>
  <c r="G167" i="13"/>
  <c r="F167" i="13"/>
  <c r="E167" i="13"/>
  <c r="I2184" i="13"/>
  <c r="G2184" i="13"/>
  <c r="F2184" i="13"/>
  <c r="E2184" i="13"/>
  <c r="I948" i="13"/>
  <c r="G948" i="13"/>
  <c r="F948" i="13"/>
  <c r="E948" i="13"/>
  <c r="I965" i="13"/>
  <c r="G965" i="13"/>
  <c r="F965" i="13"/>
  <c r="E965" i="13"/>
  <c r="I249" i="13"/>
  <c r="G249" i="13"/>
  <c r="F249" i="13"/>
  <c r="E249" i="13"/>
  <c r="I451" i="13"/>
  <c r="G451" i="13"/>
  <c r="F451" i="13"/>
  <c r="E451" i="13"/>
  <c r="I116" i="13"/>
  <c r="G116" i="13"/>
  <c r="F116" i="13"/>
  <c r="E116" i="13"/>
  <c r="I1157" i="13"/>
  <c r="G1157" i="13"/>
  <c r="F1157" i="13"/>
  <c r="E1157" i="13"/>
  <c r="I614" i="13"/>
  <c r="G614" i="13"/>
  <c r="F614" i="13"/>
  <c r="E614" i="13"/>
  <c r="I1653" i="13"/>
  <c r="G1653" i="13"/>
  <c r="F1653" i="13"/>
  <c r="E1653" i="13"/>
  <c r="I2353" i="13"/>
  <c r="G2353" i="13"/>
  <c r="F2353" i="13"/>
  <c r="E2353" i="13"/>
  <c r="I802" i="13"/>
  <c r="G802" i="13"/>
  <c r="F802" i="13"/>
  <c r="E802" i="13"/>
  <c r="I2199" i="13"/>
  <c r="G2199" i="13"/>
  <c r="F2199" i="13"/>
  <c r="E2199" i="13"/>
  <c r="I1940" i="13"/>
  <c r="G1940" i="13"/>
  <c r="F1940" i="13"/>
  <c r="E1940" i="13"/>
  <c r="I65" i="13"/>
  <c r="G65" i="13"/>
  <c r="F65" i="13"/>
  <c r="E65" i="13"/>
  <c r="I623" i="13"/>
  <c r="G623" i="13"/>
  <c r="F623" i="13"/>
  <c r="E623" i="13"/>
  <c r="I1701" i="13"/>
  <c r="G1701" i="13"/>
  <c r="F1701" i="13"/>
  <c r="E1701" i="13"/>
  <c r="I1151" i="13"/>
  <c r="G1151" i="13"/>
  <c r="F1151" i="13"/>
  <c r="E1151" i="13"/>
  <c r="I1517" i="13"/>
  <c r="G1517" i="13"/>
  <c r="F1517" i="13"/>
  <c r="E1517" i="13"/>
  <c r="I1977" i="13"/>
  <c r="G1977" i="13"/>
  <c r="F1977" i="13"/>
  <c r="E1977" i="13"/>
  <c r="I1006" i="13"/>
  <c r="G1006" i="13"/>
  <c r="F1006" i="13"/>
  <c r="E1006" i="13"/>
  <c r="I941" i="13"/>
  <c r="G941" i="13"/>
  <c r="F941" i="13"/>
  <c r="E941" i="13"/>
  <c r="I246" i="13"/>
  <c r="G246" i="13"/>
  <c r="F246" i="13"/>
  <c r="E246" i="13"/>
  <c r="I783" i="13"/>
  <c r="G783" i="13"/>
  <c r="F783" i="13"/>
  <c r="E783" i="13"/>
  <c r="I316" i="13"/>
  <c r="G316" i="13"/>
  <c r="F316" i="13"/>
  <c r="E316" i="13"/>
  <c r="I1429" i="13"/>
  <c r="G1429" i="13"/>
  <c r="F1429" i="13"/>
  <c r="E1429" i="13"/>
  <c r="I1967" i="13"/>
  <c r="G1967" i="13"/>
  <c r="F1967" i="13"/>
  <c r="E1967" i="13"/>
  <c r="I682" i="13"/>
  <c r="G682" i="13"/>
  <c r="F682" i="13"/>
  <c r="E682" i="13"/>
  <c r="I1871" i="13"/>
  <c r="G1871" i="13"/>
  <c r="F1871" i="13"/>
  <c r="E1871" i="13"/>
  <c r="I1481" i="13"/>
  <c r="G1481" i="13"/>
  <c r="F1481" i="13"/>
  <c r="E1481" i="13"/>
  <c r="I947" i="13"/>
  <c r="G947" i="13"/>
  <c r="F947" i="13"/>
  <c r="E947" i="13"/>
  <c r="I215" i="13"/>
  <c r="G215" i="13"/>
  <c r="F215" i="13"/>
  <c r="E215" i="13"/>
  <c r="I2115" i="13"/>
  <c r="G2115" i="13"/>
  <c r="F2115" i="13"/>
  <c r="E2115" i="13"/>
  <c r="I2319" i="13"/>
  <c r="G2319" i="13"/>
  <c r="F2319" i="13"/>
  <c r="E2319" i="13"/>
  <c r="I398" i="13"/>
  <c r="G398" i="13"/>
  <c r="F398" i="13"/>
  <c r="E398" i="13"/>
  <c r="I338" i="13"/>
  <c r="G338" i="13"/>
  <c r="F338" i="13"/>
  <c r="E338" i="13"/>
  <c r="I1357" i="13"/>
  <c r="G1357" i="13"/>
  <c r="F1357" i="13"/>
  <c r="E1357" i="13"/>
  <c r="I587" i="13"/>
  <c r="G587" i="13"/>
  <c r="F587" i="13"/>
  <c r="E587" i="13"/>
  <c r="I750" i="13"/>
  <c r="G750" i="13"/>
  <c r="F750" i="13"/>
  <c r="E750" i="13"/>
  <c r="I1855" i="13"/>
  <c r="G1855" i="13"/>
  <c r="F1855" i="13"/>
  <c r="E1855" i="13"/>
  <c r="I550" i="13"/>
  <c r="G550" i="13"/>
  <c r="F550" i="13"/>
  <c r="E550" i="13"/>
  <c r="I782" i="13"/>
  <c r="G782" i="13"/>
  <c r="F782" i="13"/>
  <c r="E782" i="13"/>
  <c r="I115" i="13"/>
  <c r="G115" i="13"/>
  <c r="F115" i="13"/>
  <c r="E115" i="13"/>
  <c r="I1349" i="13"/>
  <c r="G1349" i="13"/>
  <c r="F1349" i="13"/>
  <c r="E1349" i="13"/>
  <c r="I586" i="13"/>
  <c r="G586" i="13"/>
  <c r="F586" i="13"/>
  <c r="E586" i="13"/>
  <c r="I1652" i="13"/>
  <c r="G1652" i="13"/>
  <c r="F1652" i="13"/>
  <c r="E1652" i="13"/>
  <c r="I266" i="13"/>
  <c r="G266" i="13"/>
  <c r="F266" i="13"/>
  <c r="E266" i="13"/>
  <c r="I857" i="13"/>
  <c r="G857" i="13"/>
  <c r="F857" i="13"/>
  <c r="E857" i="13"/>
  <c r="I187" i="13"/>
  <c r="G187" i="13"/>
  <c r="F187" i="13"/>
  <c r="E187" i="13"/>
  <c r="I1298" i="13"/>
  <c r="G1298" i="13"/>
  <c r="F1298" i="13"/>
  <c r="E1298" i="13"/>
  <c r="I619" i="13"/>
  <c r="G619" i="13"/>
  <c r="F619" i="13"/>
  <c r="E619" i="13"/>
  <c r="I355" i="13"/>
  <c r="G355" i="13"/>
  <c r="F355" i="13"/>
  <c r="E355" i="13"/>
  <c r="I781" i="13"/>
  <c r="G781" i="13"/>
  <c r="F781" i="13"/>
  <c r="E781" i="13"/>
  <c r="I1177" i="13"/>
  <c r="G1177" i="13"/>
  <c r="F1177" i="13"/>
  <c r="E1177" i="13"/>
  <c r="I2123" i="13"/>
  <c r="G2123" i="13"/>
  <c r="F2123" i="13"/>
  <c r="E2123" i="13"/>
  <c r="I397" i="13"/>
  <c r="G397" i="13"/>
  <c r="F397" i="13"/>
  <c r="E397" i="13"/>
  <c r="I1543" i="13"/>
  <c r="G1543" i="13"/>
  <c r="F1543" i="13"/>
  <c r="E1543" i="13"/>
  <c r="I2114" i="13"/>
  <c r="G2114" i="13"/>
  <c r="F2114" i="13"/>
  <c r="E2114" i="13"/>
  <c r="I1348" i="13"/>
  <c r="G1348" i="13"/>
  <c r="F1348" i="13"/>
  <c r="E1348" i="13"/>
  <c r="I1284" i="13"/>
  <c r="G1284" i="13"/>
  <c r="F1284" i="13"/>
  <c r="E1284" i="13"/>
  <c r="I507" i="13"/>
  <c r="G507" i="13"/>
  <c r="F507" i="13"/>
  <c r="E507" i="13"/>
  <c r="I2176" i="13"/>
  <c r="G2176" i="13"/>
  <c r="F2176" i="13"/>
  <c r="E2176" i="13"/>
  <c r="I14" i="13"/>
  <c r="G14" i="13"/>
  <c r="F14" i="13"/>
  <c r="E14" i="13"/>
  <c r="I1270" i="13"/>
  <c r="G1270" i="13"/>
  <c r="F1270" i="13"/>
  <c r="E1270" i="13"/>
  <c r="I1012" i="13"/>
  <c r="G1012" i="13"/>
  <c r="F1012" i="13"/>
  <c r="E1012" i="13"/>
  <c r="I1732" i="13"/>
  <c r="G1732" i="13"/>
  <c r="F1732" i="13"/>
  <c r="E1732" i="13"/>
  <c r="I518" i="13"/>
  <c r="G518" i="13"/>
  <c r="F518" i="13"/>
  <c r="E518" i="13"/>
  <c r="I498" i="13"/>
  <c r="G498" i="13"/>
  <c r="F498" i="13"/>
  <c r="E498" i="13"/>
  <c r="I435" i="13"/>
  <c r="G435" i="13"/>
  <c r="F435" i="13"/>
  <c r="E435" i="13"/>
  <c r="I1011" i="13"/>
  <c r="G1011" i="13"/>
  <c r="F1011" i="13"/>
  <c r="E1011" i="13"/>
  <c r="I375" i="13"/>
  <c r="G375" i="13"/>
  <c r="F375" i="13"/>
  <c r="E375" i="13"/>
  <c r="I1156" i="13"/>
  <c r="G1156" i="13"/>
  <c r="F1156" i="13"/>
  <c r="E1156" i="13"/>
  <c r="I1089" i="13"/>
  <c r="G1089" i="13"/>
  <c r="F1089" i="13"/>
  <c r="E1089" i="13"/>
  <c r="I391" i="13"/>
  <c r="G391" i="13"/>
  <c r="F391" i="13"/>
  <c r="E391" i="13"/>
  <c r="I2064" i="13"/>
  <c r="G2064" i="13"/>
  <c r="F2064" i="13"/>
  <c r="E2064" i="13"/>
  <c r="I1038" i="13"/>
  <c r="G1038" i="13"/>
  <c r="F1038" i="13"/>
  <c r="E1038" i="13"/>
  <c r="I1896" i="13"/>
  <c r="G1896" i="13"/>
  <c r="F1896" i="13"/>
  <c r="E1896" i="13"/>
  <c r="I1173" i="13"/>
  <c r="G1173" i="13"/>
  <c r="F1173" i="13"/>
  <c r="E1173" i="13"/>
  <c r="I1176" i="13"/>
  <c r="G1176" i="13"/>
  <c r="F1176" i="13"/>
  <c r="E1176" i="13"/>
  <c r="I207" i="13"/>
  <c r="G207" i="13"/>
  <c r="F207" i="13"/>
  <c r="E207" i="13"/>
  <c r="I2250" i="13"/>
  <c r="G2250" i="13"/>
  <c r="F2250" i="13"/>
  <c r="E2250" i="13"/>
  <c r="I2208" i="13"/>
  <c r="G2208" i="13"/>
  <c r="F2208" i="13"/>
  <c r="E2208" i="13"/>
  <c r="I914" i="13"/>
  <c r="G914" i="13"/>
  <c r="F914" i="13"/>
  <c r="E914" i="13"/>
  <c r="I2260" i="13"/>
  <c r="G2260" i="13"/>
  <c r="F2260" i="13"/>
  <c r="E2260" i="13"/>
  <c r="I2294" i="13"/>
  <c r="G2294" i="13"/>
  <c r="F2294" i="13"/>
  <c r="E2294" i="13"/>
  <c r="I332" i="13"/>
  <c r="G332" i="13"/>
  <c r="F332" i="13"/>
  <c r="E332" i="13"/>
  <c r="I1793" i="13"/>
  <c r="G1793" i="13"/>
  <c r="F1793" i="13"/>
  <c r="E1793" i="13"/>
  <c r="I1590" i="13"/>
  <c r="G1590" i="13"/>
  <c r="F1590" i="13"/>
  <c r="E1590" i="13"/>
  <c r="I1155" i="13"/>
  <c r="G1155" i="13"/>
  <c r="F1155" i="13"/>
  <c r="E1155" i="13"/>
  <c r="I1770" i="13"/>
  <c r="G1770" i="13"/>
  <c r="F1770" i="13"/>
  <c r="E1770" i="13"/>
  <c r="I1062" i="13"/>
  <c r="G1062" i="13"/>
  <c r="F1062" i="13"/>
  <c r="E1062" i="13"/>
  <c r="I1236" i="13"/>
  <c r="G1236" i="13"/>
  <c r="F1236" i="13"/>
  <c r="E1236" i="13"/>
  <c r="I1283" i="13"/>
  <c r="G1283" i="13"/>
  <c r="F1283" i="13"/>
  <c r="E1283" i="13"/>
  <c r="I1691" i="13"/>
  <c r="G1691" i="13"/>
  <c r="F1691" i="13"/>
  <c r="E1691" i="13"/>
  <c r="I1556" i="13"/>
  <c r="G1556" i="13"/>
  <c r="F1556" i="13"/>
  <c r="E1556" i="13"/>
  <c r="I872" i="13"/>
  <c r="G872" i="13"/>
  <c r="F872" i="13"/>
  <c r="E872" i="13"/>
  <c r="I971" i="13"/>
  <c r="G971" i="13"/>
  <c r="F971" i="13"/>
  <c r="E971" i="13"/>
  <c r="I236" i="13"/>
  <c r="G236" i="13"/>
  <c r="F236" i="13"/>
  <c r="E236" i="13"/>
  <c r="I2048" i="13"/>
  <c r="G2048" i="13"/>
  <c r="F2048" i="13"/>
  <c r="E2048" i="13"/>
  <c r="I1103" i="13"/>
  <c r="G1103" i="13"/>
  <c r="F1103" i="13"/>
  <c r="E1103" i="13"/>
  <c r="I2207" i="13"/>
  <c r="G2207" i="13"/>
  <c r="F2207" i="13"/>
  <c r="E2207" i="13"/>
  <c r="I195" i="13"/>
  <c r="G195" i="13"/>
  <c r="F195" i="13"/>
  <c r="E195" i="13"/>
  <c r="I1469" i="13"/>
  <c r="G1469" i="13"/>
  <c r="F1469" i="13"/>
  <c r="E1469" i="13"/>
  <c r="I1330" i="13"/>
  <c r="G1330" i="13"/>
  <c r="F1330" i="13"/>
  <c r="E1330" i="13"/>
  <c r="I940" i="13"/>
  <c r="G940" i="13"/>
  <c r="F940" i="13"/>
  <c r="E940" i="13"/>
  <c r="I194" i="13"/>
  <c r="G194" i="13"/>
  <c r="F194" i="13"/>
  <c r="E194" i="13"/>
  <c r="I222" i="13"/>
  <c r="G222" i="13"/>
  <c r="F222" i="13"/>
  <c r="E222" i="13"/>
  <c r="I83" i="13"/>
  <c r="G83" i="13"/>
  <c r="F83" i="13"/>
  <c r="E83" i="13"/>
  <c r="I1612" i="13"/>
  <c r="G1612" i="13"/>
  <c r="F1612" i="13"/>
  <c r="E1612" i="13"/>
  <c r="I1444" i="13"/>
  <c r="G1444" i="13"/>
  <c r="F1444" i="13"/>
  <c r="E1444" i="13"/>
  <c r="I1204" i="13"/>
  <c r="G1204" i="13"/>
  <c r="F1204" i="13"/>
  <c r="E1204" i="13"/>
  <c r="I1919" i="13"/>
  <c r="G1919" i="13"/>
  <c r="F1919" i="13"/>
  <c r="E1919" i="13"/>
  <c r="I1071" i="13"/>
  <c r="G1071" i="13"/>
  <c r="F1071" i="13"/>
  <c r="E1071" i="13"/>
  <c r="I1329" i="13"/>
  <c r="G1329" i="13"/>
  <c r="F1329" i="13"/>
  <c r="E1329" i="13"/>
  <c r="I2189" i="13"/>
  <c r="G2189" i="13"/>
  <c r="F2189" i="13"/>
  <c r="E2189" i="13"/>
  <c r="I2259" i="13"/>
  <c r="G2259" i="13"/>
  <c r="F2259" i="13"/>
  <c r="E2259" i="13"/>
  <c r="I836" i="13"/>
  <c r="G836" i="13"/>
  <c r="F836" i="13"/>
  <c r="E836" i="13"/>
  <c r="I1428" i="13"/>
  <c r="G1428" i="13"/>
  <c r="F1428" i="13"/>
  <c r="E1428" i="13"/>
  <c r="I758" i="13"/>
  <c r="G758" i="13"/>
  <c r="F758" i="13"/>
  <c r="E758" i="13"/>
  <c r="I1183" i="13"/>
  <c r="G1183" i="13"/>
  <c r="F1183" i="13"/>
  <c r="E1183" i="13"/>
  <c r="I226" i="13"/>
  <c r="G226" i="13"/>
  <c r="F226" i="13"/>
  <c r="E226" i="13"/>
  <c r="I811" i="13"/>
  <c r="G811" i="13"/>
  <c r="F811" i="13"/>
  <c r="E811" i="13"/>
  <c r="I1826" i="13"/>
  <c r="G1826" i="13"/>
  <c r="F1826" i="13"/>
  <c r="E1826" i="13"/>
  <c r="I1494" i="13"/>
  <c r="G1494" i="13"/>
  <c r="F1494" i="13"/>
  <c r="E1494" i="13"/>
  <c r="I1222" i="13"/>
  <c r="G1222" i="13"/>
  <c r="F1222" i="13"/>
  <c r="E1222" i="13"/>
  <c r="I1890" i="13"/>
  <c r="G1890" i="13"/>
  <c r="F1890" i="13"/>
  <c r="E1890" i="13"/>
  <c r="I596" i="13"/>
  <c r="G596" i="13"/>
  <c r="F596" i="13"/>
  <c r="E596" i="13"/>
  <c r="I650" i="13"/>
  <c r="G650" i="13"/>
  <c r="F650" i="13"/>
  <c r="E650" i="13"/>
  <c r="I72" i="13"/>
  <c r="G72" i="13"/>
  <c r="F72" i="13"/>
  <c r="E72" i="13"/>
  <c r="I595" i="13"/>
  <c r="G595" i="13"/>
  <c r="F595" i="13"/>
  <c r="E595" i="13"/>
  <c r="I2132" i="13"/>
  <c r="G2132" i="13"/>
  <c r="F2132" i="13"/>
  <c r="E2132" i="13"/>
  <c r="I1480" i="13"/>
  <c r="G1480" i="13"/>
  <c r="F1480" i="13"/>
  <c r="E1480" i="13"/>
  <c r="I672" i="13"/>
  <c r="G672" i="13"/>
  <c r="F672" i="13"/>
  <c r="E672" i="13"/>
  <c r="I136" i="13"/>
  <c r="G136" i="13"/>
  <c r="F136" i="13"/>
  <c r="E136" i="13"/>
  <c r="I2206" i="13"/>
  <c r="G2206" i="13"/>
  <c r="F2206" i="13"/>
  <c r="E2206" i="13"/>
  <c r="I613" i="13"/>
  <c r="G613" i="13"/>
  <c r="F613" i="13"/>
  <c r="E613" i="13"/>
  <c r="I2384" i="13"/>
  <c r="G2384" i="13"/>
  <c r="F2384" i="13"/>
  <c r="E2384" i="13"/>
  <c r="I315" i="13"/>
  <c r="G315" i="13"/>
  <c r="F315" i="13"/>
  <c r="E315" i="13"/>
  <c r="I2397" i="13"/>
  <c r="G2397" i="13"/>
  <c r="F2397" i="13"/>
  <c r="E2397" i="13"/>
  <c r="I1297" i="13"/>
  <c r="G1297" i="13"/>
  <c r="F1297" i="13"/>
  <c r="E1297" i="13"/>
  <c r="I1328" i="13"/>
  <c r="G1328" i="13"/>
  <c r="F1328" i="13"/>
  <c r="E1328" i="13"/>
  <c r="I56" i="13"/>
  <c r="G56" i="13"/>
  <c r="F56" i="13"/>
  <c r="E56" i="13"/>
  <c r="I1548" i="13"/>
  <c r="G1548" i="13"/>
  <c r="F1548" i="13"/>
  <c r="E1548" i="13"/>
  <c r="I1721" i="13"/>
  <c r="G1721" i="13"/>
  <c r="F1721" i="13"/>
  <c r="E1721" i="13"/>
  <c r="I416" i="13"/>
  <c r="G416" i="13"/>
  <c r="F416" i="13"/>
  <c r="E416" i="13"/>
  <c r="I1403" i="13"/>
  <c r="G1403" i="13"/>
  <c r="F1403" i="13"/>
  <c r="E1403" i="13"/>
  <c r="I2175" i="13"/>
  <c r="G2175" i="13"/>
  <c r="F2175" i="13"/>
  <c r="E2175" i="13"/>
  <c r="I1601" i="13"/>
  <c r="G1601" i="13"/>
  <c r="F1601" i="13"/>
  <c r="E1601" i="13"/>
  <c r="I713" i="13"/>
  <c r="G713" i="13"/>
  <c r="F713" i="13"/>
  <c r="E713" i="13"/>
  <c r="I1061" i="13"/>
  <c r="G1061" i="13"/>
  <c r="F1061" i="13"/>
  <c r="E1061" i="13"/>
  <c r="I1663" i="13"/>
  <c r="G1663" i="13"/>
  <c r="F1663" i="13"/>
  <c r="E1663" i="13"/>
  <c r="I2332" i="13"/>
  <c r="G2332" i="13"/>
  <c r="F2332" i="13"/>
  <c r="E2332" i="13"/>
  <c r="I323" i="13"/>
  <c r="G323" i="13"/>
  <c r="F323" i="13"/>
  <c r="E323" i="13"/>
  <c r="I370" i="13"/>
  <c r="G370" i="13"/>
  <c r="F370" i="13"/>
  <c r="E370" i="13"/>
  <c r="I959" i="13"/>
  <c r="G959" i="13"/>
  <c r="F959" i="13"/>
  <c r="E959" i="13"/>
  <c r="I835" i="13"/>
  <c r="G835" i="13"/>
  <c r="F835" i="13"/>
  <c r="E835" i="13"/>
  <c r="I913" i="13"/>
  <c r="G913" i="13"/>
  <c r="F913" i="13"/>
  <c r="E913" i="13"/>
  <c r="I1402" i="13"/>
  <c r="G1402" i="13"/>
  <c r="F1402" i="13"/>
  <c r="E1402" i="13"/>
  <c r="I2357" i="13"/>
  <c r="G2357" i="13"/>
  <c r="F2357" i="13"/>
  <c r="E2357" i="13"/>
  <c r="I102" i="13"/>
  <c r="G102" i="13"/>
  <c r="F102" i="13"/>
  <c r="E102" i="13"/>
  <c r="I635" i="13"/>
  <c r="G635" i="13"/>
  <c r="F635" i="13"/>
  <c r="E635" i="13"/>
  <c r="I1383" i="13"/>
  <c r="G1383" i="13"/>
  <c r="F1383" i="13"/>
  <c r="E1383" i="13"/>
  <c r="I2293" i="13"/>
  <c r="G2293" i="13"/>
  <c r="F2293" i="13"/>
  <c r="E2293" i="13"/>
  <c r="I712" i="13"/>
  <c r="G712" i="13"/>
  <c r="F712" i="13"/>
  <c r="E712" i="13"/>
  <c r="I2071" i="13"/>
  <c r="G2071" i="13"/>
  <c r="F2071" i="13"/>
  <c r="E2071" i="13"/>
  <c r="I1078" i="13"/>
  <c r="G1078" i="13"/>
  <c r="F1078" i="13"/>
  <c r="E1078" i="13"/>
  <c r="I1678" i="13"/>
  <c r="G1678" i="13"/>
  <c r="F1678" i="13"/>
  <c r="E1678" i="13"/>
  <c r="I2100" i="13"/>
  <c r="G2100" i="13"/>
  <c r="F2100" i="13"/>
  <c r="E2100" i="13"/>
  <c r="I2270" i="13"/>
  <c r="G2270" i="13"/>
  <c r="F2270" i="13"/>
  <c r="E2270" i="13"/>
  <c r="I482" i="13"/>
  <c r="G482" i="13"/>
  <c r="F482" i="13"/>
  <c r="E482" i="13"/>
  <c r="I2146" i="13"/>
  <c r="G2146" i="13"/>
  <c r="F2146" i="13"/>
  <c r="E2146" i="13"/>
  <c r="I1095" i="13"/>
  <c r="G1095" i="13"/>
  <c r="F1095" i="13"/>
  <c r="E1095" i="13"/>
  <c r="I1314" i="13"/>
  <c r="G1314" i="13"/>
  <c r="F1314" i="13"/>
  <c r="E1314" i="13"/>
  <c r="I289" i="13"/>
  <c r="G289" i="13"/>
  <c r="F289" i="13"/>
  <c r="E289" i="13"/>
  <c r="I1697" i="13"/>
  <c r="G1697" i="13"/>
  <c r="F1697" i="13"/>
  <c r="E1697" i="13"/>
  <c r="I1338" i="13"/>
  <c r="G1338" i="13"/>
  <c r="F1338" i="13"/>
  <c r="E1338" i="13"/>
  <c r="I1235" i="13"/>
  <c r="G1235" i="13"/>
  <c r="F1235" i="13"/>
  <c r="E1235" i="13"/>
  <c r="I26" i="13"/>
  <c r="G26" i="13"/>
  <c r="F26" i="13"/>
  <c r="E26" i="13"/>
  <c r="I1569" i="13"/>
  <c r="G1569" i="13"/>
  <c r="F1569" i="13"/>
  <c r="E1569" i="13"/>
  <c r="I1625" i="13"/>
  <c r="G1625" i="13"/>
  <c r="F1625" i="13"/>
  <c r="E1625" i="13"/>
  <c r="I390" i="13"/>
  <c r="G390" i="13"/>
  <c r="F390" i="13"/>
  <c r="E390" i="13"/>
  <c r="I612" i="13"/>
  <c r="G612" i="13"/>
  <c r="F612" i="13"/>
  <c r="E612" i="13"/>
  <c r="I2034" i="13"/>
  <c r="G2034" i="13"/>
  <c r="F2034" i="13"/>
  <c r="E2034" i="13"/>
  <c r="I1043" i="13"/>
  <c r="G1043" i="13"/>
  <c r="F1043" i="13"/>
  <c r="E1043" i="13"/>
  <c r="I1367" i="13"/>
  <c r="G1367" i="13"/>
  <c r="F1367" i="13"/>
  <c r="E1367" i="13"/>
  <c r="I2279" i="13"/>
  <c r="G2279" i="13"/>
  <c r="F2279" i="13"/>
  <c r="E2279" i="13"/>
  <c r="I286" i="13"/>
  <c r="G286" i="13"/>
  <c r="F286" i="13"/>
  <c r="E286" i="13"/>
  <c r="I481" i="13"/>
  <c r="G481" i="13"/>
  <c r="F481" i="13"/>
  <c r="E481" i="13"/>
  <c r="I1150" i="13"/>
  <c r="G1150" i="13"/>
  <c r="F1150" i="13"/>
  <c r="E1150" i="13"/>
  <c r="I1443" i="13"/>
  <c r="G1443" i="13"/>
  <c r="F1443" i="13"/>
  <c r="E1443" i="13"/>
  <c r="I1194" i="13"/>
  <c r="G1194" i="13"/>
  <c r="F1194" i="13"/>
  <c r="E1194" i="13"/>
  <c r="I166" i="13"/>
  <c r="G166" i="13"/>
  <c r="F166" i="13"/>
  <c r="E166" i="13"/>
  <c r="I1203" i="13"/>
  <c r="G1203" i="13"/>
  <c r="F1203" i="13"/>
  <c r="E1203" i="13"/>
  <c r="I1401" i="13"/>
  <c r="G1401" i="13"/>
  <c r="F1401" i="13"/>
  <c r="E1401" i="13"/>
  <c r="I1850" i="13"/>
  <c r="G1850" i="13"/>
  <c r="F1850" i="13"/>
  <c r="E1850" i="13"/>
  <c r="I1427" i="13"/>
  <c r="G1427" i="13"/>
  <c r="F1427" i="13"/>
  <c r="E1427" i="13"/>
  <c r="I964" i="13"/>
  <c r="G964" i="13"/>
  <c r="F964" i="13"/>
  <c r="E964" i="13"/>
  <c r="I2016" i="13"/>
  <c r="G2016" i="13"/>
  <c r="F2016" i="13"/>
  <c r="E2016" i="13"/>
  <c r="I810" i="13"/>
  <c r="G810" i="13"/>
  <c r="F810" i="13"/>
  <c r="E810" i="13"/>
  <c r="I1149" i="13"/>
  <c r="G1149" i="13"/>
  <c r="F1149" i="13"/>
  <c r="E1149" i="13"/>
  <c r="I1377" i="13"/>
  <c r="G1377" i="13"/>
  <c r="F1377" i="13"/>
  <c r="E1377" i="13"/>
  <c r="I667" i="13"/>
  <c r="G667" i="13"/>
  <c r="F667" i="13"/>
  <c r="E667" i="13"/>
  <c r="I594" i="13"/>
  <c r="G594" i="13"/>
  <c r="F594" i="13"/>
  <c r="E594" i="13"/>
  <c r="I124" i="13"/>
  <c r="G124" i="13"/>
  <c r="F124" i="13"/>
  <c r="E124" i="13"/>
  <c r="I1757" i="13"/>
  <c r="G1757" i="13"/>
  <c r="F1757" i="13"/>
  <c r="E1757" i="13"/>
  <c r="I475" i="13"/>
  <c r="G475" i="13"/>
  <c r="F475" i="13"/>
  <c r="E475" i="13"/>
  <c r="I39" i="13"/>
  <c r="G39" i="13"/>
  <c r="F39" i="13"/>
  <c r="E39" i="13"/>
  <c r="I71" i="13"/>
  <c r="G71" i="13"/>
  <c r="F71" i="13"/>
  <c r="E71" i="13"/>
  <c r="I1282" i="13"/>
  <c r="G1282" i="13"/>
  <c r="F1282" i="13"/>
  <c r="E1282" i="13"/>
  <c r="I1646" i="13"/>
  <c r="G1646" i="13"/>
  <c r="F1646" i="13"/>
  <c r="E1646" i="13"/>
  <c r="I310" i="13"/>
  <c r="G310" i="13"/>
  <c r="F310" i="13"/>
  <c r="E310" i="13"/>
  <c r="I1651" i="13"/>
  <c r="G1651" i="13"/>
  <c r="F1651" i="13"/>
  <c r="E1651" i="13"/>
  <c r="I850" i="13"/>
  <c r="G850" i="13"/>
  <c r="F850" i="13"/>
  <c r="E850" i="13"/>
  <c r="I2145" i="13"/>
  <c r="G2145" i="13"/>
  <c r="F2145" i="13"/>
  <c r="E2145" i="13"/>
  <c r="I1248" i="13"/>
  <c r="G1248" i="13"/>
  <c r="F1248" i="13"/>
  <c r="E1248" i="13"/>
  <c r="I2239" i="13"/>
  <c r="G2239" i="13"/>
  <c r="F2239" i="13"/>
  <c r="E2239" i="13"/>
  <c r="I1031" i="13"/>
  <c r="G1031" i="13"/>
  <c r="F1031" i="13"/>
  <c r="E1031" i="13"/>
  <c r="I1169" i="13"/>
  <c r="G1169" i="13"/>
  <c r="F1169" i="13"/>
  <c r="E1169" i="13"/>
  <c r="I1516" i="13"/>
  <c r="G1516" i="13"/>
  <c r="F1516" i="13"/>
  <c r="E1516" i="13"/>
  <c r="I1700" i="13"/>
  <c r="G1700" i="13"/>
  <c r="F1700" i="13"/>
  <c r="E1700" i="13"/>
  <c r="I894" i="13"/>
  <c r="G894" i="13"/>
  <c r="F894" i="13"/>
  <c r="E894" i="13"/>
  <c r="I1707" i="13"/>
  <c r="G1707" i="13"/>
  <c r="F1707" i="13"/>
  <c r="E1707" i="13"/>
  <c r="I1699" i="13"/>
  <c r="G1699" i="13"/>
  <c r="F1699" i="13"/>
  <c r="E1699" i="13"/>
  <c r="I977" i="13"/>
  <c r="G977" i="13"/>
  <c r="F977" i="13"/>
  <c r="E977" i="13"/>
  <c r="I1801" i="13"/>
  <c r="G1801" i="13"/>
  <c r="F1801" i="13"/>
  <c r="E1801" i="13"/>
  <c r="I2352" i="13"/>
  <c r="G2352" i="13"/>
  <c r="F2352" i="13"/>
  <c r="E2352" i="13"/>
  <c r="I1727" i="13"/>
  <c r="G1727" i="13"/>
  <c r="F1727" i="13"/>
  <c r="E1727" i="13"/>
  <c r="I265" i="13"/>
  <c r="G265" i="13"/>
  <c r="F265" i="13"/>
  <c r="E265" i="13"/>
  <c r="I946" i="13"/>
  <c r="G946" i="13"/>
  <c r="F946" i="13"/>
  <c r="E946" i="13"/>
  <c r="I1216" i="13"/>
  <c r="G1216" i="13"/>
  <c r="F1216" i="13"/>
  <c r="E1216" i="13"/>
  <c r="I611" i="13"/>
  <c r="G611" i="13"/>
  <c r="F611" i="13"/>
  <c r="E611" i="13"/>
  <c r="I542" i="13"/>
  <c r="G542" i="13"/>
  <c r="F542" i="13"/>
  <c r="E542" i="13"/>
  <c r="I1525" i="13"/>
  <c r="G1525" i="13"/>
  <c r="F1525" i="13"/>
  <c r="E1525" i="13"/>
  <c r="I2106" i="13"/>
  <c r="G2106" i="13"/>
  <c r="F2106" i="13"/>
  <c r="E2106" i="13"/>
  <c r="I1657" i="13"/>
  <c r="G1657" i="13"/>
  <c r="F1657" i="13"/>
  <c r="E1657" i="13"/>
  <c r="I834" i="13"/>
  <c r="G834" i="13"/>
  <c r="F834" i="13"/>
  <c r="E834" i="13"/>
  <c r="I1455" i="13"/>
  <c r="G1455" i="13"/>
  <c r="F1455" i="13"/>
  <c r="E1455" i="13"/>
  <c r="I728" i="13"/>
  <c r="G728" i="13"/>
  <c r="F728" i="13"/>
  <c r="E728" i="13"/>
  <c r="I797" i="13"/>
  <c r="G797" i="13"/>
  <c r="F797" i="13"/>
  <c r="E797" i="13"/>
  <c r="I1366" i="13"/>
  <c r="G1366" i="13"/>
  <c r="F1366" i="13"/>
  <c r="E1366" i="13"/>
  <c r="I956" i="13"/>
  <c r="G956" i="13"/>
  <c r="F956" i="13"/>
  <c r="E956" i="13"/>
  <c r="I374" i="13"/>
  <c r="G374" i="13"/>
  <c r="F374" i="13"/>
  <c r="E374" i="13"/>
  <c r="I1241" i="13"/>
  <c r="G1241" i="13"/>
  <c r="F1241" i="13"/>
  <c r="E1241" i="13"/>
  <c r="I1215" i="13"/>
  <c r="G1215" i="13"/>
  <c r="F1215" i="13"/>
  <c r="E1215" i="13"/>
  <c r="I749" i="13"/>
  <c r="G749" i="13"/>
  <c r="F749" i="13"/>
  <c r="E749" i="13"/>
  <c r="I885" i="13"/>
  <c r="G885" i="13"/>
  <c r="F885" i="13"/>
  <c r="E885" i="13"/>
  <c r="I1672" i="13"/>
  <c r="G1672" i="13"/>
  <c r="F1672" i="13"/>
  <c r="E1672" i="13"/>
  <c r="I450" i="13"/>
  <c r="G450" i="13"/>
  <c r="F450" i="13"/>
  <c r="E450" i="13"/>
  <c r="I902" i="13"/>
  <c r="G902" i="13"/>
  <c r="F902" i="13"/>
  <c r="E902" i="13"/>
  <c r="I221" i="13"/>
  <c r="G221" i="13"/>
  <c r="F221" i="13"/>
  <c r="E221" i="13"/>
  <c r="I556" i="13"/>
  <c r="G556" i="13"/>
  <c r="F556" i="13"/>
  <c r="E556" i="13"/>
  <c r="I893" i="13"/>
  <c r="G893" i="13"/>
  <c r="F893" i="13"/>
  <c r="E893" i="13"/>
  <c r="I780" i="13"/>
  <c r="G780" i="13"/>
  <c r="F780" i="13"/>
  <c r="E780" i="13"/>
  <c r="I1918" i="13"/>
  <c r="G1918" i="13"/>
  <c r="F1918" i="13"/>
  <c r="E1918" i="13"/>
  <c r="I829" i="13"/>
  <c r="G829" i="13"/>
  <c r="F829" i="13"/>
  <c r="E829" i="13"/>
  <c r="I245" i="13"/>
  <c r="G245" i="13"/>
  <c r="F245" i="13"/>
  <c r="E245" i="13"/>
  <c r="I580" i="13"/>
  <c r="G580" i="13"/>
  <c r="F580" i="13"/>
  <c r="E580" i="13"/>
  <c r="I1052" i="13"/>
  <c r="G1052" i="13"/>
  <c r="F1052" i="13"/>
  <c r="E1052" i="13"/>
  <c r="I528" i="13"/>
  <c r="G528" i="13"/>
  <c r="F528" i="13"/>
  <c r="E528" i="13"/>
  <c r="I1278" i="13"/>
  <c r="G1278" i="13"/>
  <c r="F1278" i="13"/>
  <c r="E1278" i="13"/>
  <c r="I1210" i="13"/>
  <c r="G1210" i="13"/>
  <c r="F1210" i="13"/>
  <c r="E1210" i="13"/>
  <c r="I2396" i="13"/>
  <c r="G2396" i="13"/>
  <c r="F2396" i="13"/>
  <c r="E2396" i="13"/>
  <c r="I1650" i="13"/>
  <c r="G1650" i="13"/>
  <c r="F1650" i="13"/>
  <c r="E1650" i="13"/>
  <c r="I525" i="13"/>
  <c r="G525" i="13"/>
  <c r="F525" i="13"/>
  <c r="E525" i="13"/>
  <c r="I912" i="13"/>
  <c r="G912" i="13"/>
  <c r="F912" i="13"/>
  <c r="E912" i="13"/>
  <c r="I1524" i="13"/>
  <c r="G1524" i="13"/>
  <c r="F1524" i="13"/>
  <c r="E1524" i="13"/>
  <c r="I2015" i="13"/>
  <c r="G2015" i="13"/>
  <c r="F2015" i="13"/>
  <c r="E2015" i="13"/>
  <c r="I2006" i="13"/>
  <c r="G2006" i="13"/>
  <c r="F2006" i="13"/>
  <c r="E2006" i="13"/>
  <c r="I38" i="13"/>
  <c r="G38" i="13"/>
  <c r="F38" i="13"/>
  <c r="E38" i="13"/>
  <c r="I610" i="13"/>
  <c r="G610" i="13"/>
  <c r="F610" i="13"/>
  <c r="E610" i="13"/>
  <c r="I1138" i="13"/>
  <c r="G1138" i="13"/>
  <c r="F1138" i="13"/>
  <c r="E1138" i="13"/>
  <c r="I406" i="13"/>
  <c r="G406" i="13"/>
  <c r="F406" i="13"/>
  <c r="E406" i="13"/>
  <c r="I1168" i="13"/>
  <c r="G1168" i="13"/>
  <c r="F1168" i="13"/>
  <c r="E1168" i="13"/>
  <c r="I1323" i="13"/>
  <c r="G1323" i="13"/>
  <c r="F1323" i="13"/>
  <c r="E1323" i="13"/>
  <c r="I524" i="13"/>
  <c r="G524" i="13"/>
  <c r="F524" i="13"/>
  <c r="E524" i="13"/>
  <c r="I1081" i="13"/>
  <c r="G1081" i="13"/>
  <c r="F1081" i="13"/>
  <c r="E1081" i="13"/>
  <c r="I2099" i="13"/>
  <c r="G2099" i="13"/>
  <c r="F2099" i="13"/>
  <c r="E2099" i="13"/>
  <c r="I1943" i="13"/>
  <c r="G1943" i="13"/>
  <c r="F1943" i="13"/>
  <c r="E1943" i="13"/>
  <c r="I1426" i="13"/>
  <c r="G1426" i="13"/>
  <c r="F1426" i="13"/>
  <c r="E1426" i="13"/>
  <c r="I2033" i="13"/>
  <c r="G2033" i="13"/>
  <c r="F2033" i="13"/>
  <c r="E2033" i="13"/>
  <c r="I822" i="13"/>
  <c r="G822" i="13"/>
  <c r="F822" i="13"/>
  <c r="E822" i="13"/>
  <c r="I1433" i="13"/>
  <c r="G1433" i="13"/>
  <c r="F1433" i="13"/>
  <c r="E1433" i="13"/>
  <c r="I1606" i="13"/>
  <c r="G1606" i="13"/>
  <c r="F1606" i="13"/>
  <c r="E1606" i="13"/>
  <c r="I1005" i="13"/>
  <c r="G1005" i="13"/>
  <c r="F1005" i="13"/>
  <c r="E1005" i="13"/>
  <c r="I1589" i="13"/>
  <c r="G1589" i="13"/>
  <c r="F1589" i="13"/>
  <c r="E1589" i="13"/>
  <c r="I1337" i="13"/>
  <c r="G1337" i="13"/>
  <c r="F1337" i="13"/>
  <c r="E1337" i="13"/>
  <c r="I2311" i="13"/>
  <c r="G2311" i="13"/>
  <c r="F2311" i="13"/>
  <c r="E2311" i="13"/>
  <c r="I1391" i="13"/>
  <c r="G1391" i="13"/>
  <c r="F1391" i="13"/>
  <c r="E1391" i="13"/>
  <c r="I609" i="13"/>
  <c r="G609" i="13"/>
  <c r="F609" i="13"/>
  <c r="E609" i="13"/>
  <c r="I1400" i="13"/>
  <c r="G1400" i="13"/>
  <c r="F1400" i="13"/>
  <c r="E1400" i="13"/>
  <c r="I1102" i="13"/>
  <c r="G1102" i="13"/>
  <c r="F1102" i="13"/>
  <c r="E1102" i="13"/>
  <c r="I1277" i="13"/>
  <c r="G1277" i="13"/>
  <c r="F1277" i="13"/>
  <c r="E1277" i="13"/>
  <c r="I463" i="13"/>
  <c r="G463" i="13"/>
  <c r="F463" i="13"/>
  <c r="E463" i="13"/>
  <c r="I2091" i="13"/>
  <c r="G2091" i="13"/>
  <c r="F2091" i="13"/>
  <c r="E2091" i="13"/>
  <c r="I1720" i="13"/>
  <c r="G1720" i="13"/>
  <c r="F1720" i="13"/>
  <c r="E1720" i="13"/>
  <c r="I1182" i="13"/>
  <c r="G1182" i="13"/>
  <c r="F1182" i="13"/>
  <c r="E1182" i="13"/>
  <c r="I1942" i="13"/>
  <c r="G1942" i="13"/>
  <c r="F1942" i="13"/>
  <c r="E1942" i="13"/>
  <c r="I1305" i="13"/>
  <c r="G1305" i="13"/>
  <c r="F1305" i="13"/>
  <c r="E1305" i="13"/>
  <c r="I37" i="13"/>
  <c r="G37" i="13"/>
  <c r="F37" i="13"/>
  <c r="E37" i="13"/>
  <c r="I2258" i="13"/>
  <c r="G2258" i="13"/>
  <c r="F2258" i="13"/>
  <c r="E2258" i="13"/>
  <c r="I748" i="13"/>
  <c r="G748" i="13"/>
  <c r="F748" i="13"/>
  <c r="E748" i="13"/>
  <c r="I2278" i="13"/>
  <c r="G2278" i="13"/>
  <c r="F2278" i="13"/>
  <c r="E2278" i="13"/>
  <c r="I1818" i="13"/>
  <c r="G1818" i="13"/>
  <c r="F1818" i="13"/>
  <c r="E1818" i="13"/>
  <c r="I1313" i="13"/>
  <c r="G1313" i="13"/>
  <c r="F1313" i="13"/>
  <c r="E1313" i="13"/>
  <c r="I821" i="13"/>
  <c r="G821" i="13"/>
  <c r="F821" i="13"/>
  <c r="E821" i="13"/>
  <c r="I2095" i="13"/>
  <c r="G2095" i="13"/>
  <c r="F2095" i="13"/>
  <c r="E2095" i="13"/>
  <c r="I1479" i="13"/>
  <c r="G1479" i="13"/>
  <c r="F1479" i="13"/>
  <c r="E1479" i="13"/>
  <c r="I1600" i="13"/>
  <c r="G1600" i="13"/>
  <c r="F1600" i="13"/>
  <c r="E1600" i="13"/>
  <c r="I175" i="13"/>
  <c r="G175" i="13"/>
  <c r="F175" i="13"/>
  <c r="E175" i="13"/>
  <c r="I541" i="13"/>
  <c r="G541" i="13"/>
  <c r="F541" i="13"/>
  <c r="E541" i="13"/>
  <c r="I1788" i="13"/>
  <c r="G1788" i="13"/>
  <c r="F1788" i="13"/>
  <c r="E1788" i="13"/>
  <c r="I123" i="13"/>
  <c r="G123" i="13"/>
  <c r="F123" i="13"/>
  <c r="E123" i="13"/>
  <c r="I1837" i="13"/>
  <c r="G1837" i="13"/>
  <c r="F1837" i="13"/>
  <c r="E1837" i="13"/>
  <c r="I1836" i="13"/>
  <c r="G1836" i="13"/>
  <c r="F1836" i="13"/>
  <c r="E1836" i="13"/>
  <c r="I2325" i="13"/>
  <c r="G2325" i="13"/>
  <c r="F2325" i="13"/>
  <c r="E2325" i="13"/>
  <c r="I579" i="13"/>
  <c r="G579" i="13"/>
  <c r="F579" i="13"/>
  <c r="E579" i="13"/>
  <c r="I135" i="13"/>
  <c r="G135" i="13"/>
  <c r="F135" i="13"/>
  <c r="E135" i="13"/>
  <c r="I1505" i="13"/>
  <c r="G1505" i="13"/>
  <c r="F1505" i="13"/>
  <c r="E1505" i="13"/>
  <c r="I1783" i="13"/>
  <c r="G1783" i="13"/>
  <c r="F1783" i="13"/>
  <c r="E1783" i="13"/>
  <c r="I920" i="13"/>
  <c r="G920" i="13"/>
  <c r="F920" i="13"/>
  <c r="E920" i="13"/>
  <c r="I1126" i="13"/>
  <c r="G1126" i="13"/>
  <c r="F1126" i="13"/>
  <c r="E1126" i="13"/>
  <c r="I1523" i="13"/>
  <c r="G1523" i="13"/>
  <c r="F1523" i="13"/>
  <c r="E1523" i="13"/>
  <c r="I1874" i="13"/>
  <c r="G1874" i="13"/>
  <c r="F1874" i="13"/>
  <c r="E1874" i="13"/>
  <c r="I134" i="13"/>
  <c r="G134" i="13"/>
  <c r="F134" i="13"/>
  <c r="E134" i="13"/>
  <c r="I1342" i="13"/>
  <c r="G1342" i="13"/>
  <c r="F1342" i="13"/>
  <c r="E1342" i="13"/>
  <c r="I110" i="13"/>
  <c r="G110" i="13"/>
  <c r="F110" i="13"/>
  <c r="E110" i="13"/>
  <c r="I1336" i="13"/>
  <c r="G1336" i="13"/>
  <c r="F1336" i="13"/>
  <c r="E1336" i="13"/>
  <c r="I1924" i="13"/>
  <c r="G1924" i="13"/>
  <c r="F1924" i="13"/>
  <c r="E1924" i="13"/>
  <c r="I1037" i="13"/>
  <c r="G1037" i="13"/>
  <c r="F1037" i="13"/>
  <c r="E1037" i="13"/>
  <c r="I1685" i="13"/>
  <c r="G1685" i="13"/>
  <c r="F1685" i="13"/>
  <c r="E1685" i="13"/>
  <c r="I517" i="13"/>
  <c r="G517" i="13"/>
  <c r="F517" i="13"/>
  <c r="E517" i="13"/>
  <c r="I796" i="13"/>
  <c r="G796" i="13"/>
  <c r="F796" i="13"/>
  <c r="E796" i="13"/>
  <c r="I114" i="13"/>
  <c r="G114" i="13"/>
  <c r="F114" i="13"/>
  <c r="E114" i="13"/>
  <c r="I1782" i="13"/>
  <c r="G1782" i="13"/>
  <c r="F1782" i="13"/>
  <c r="E1782" i="13"/>
  <c r="I314" i="13"/>
  <c r="G314" i="13"/>
  <c r="F314" i="13"/>
  <c r="E314" i="13"/>
  <c r="I255" i="13"/>
  <c r="G255" i="13"/>
  <c r="F255" i="13"/>
  <c r="E255" i="13"/>
  <c r="I415" i="13"/>
  <c r="G415" i="13"/>
  <c r="F415" i="13"/>
  <c r="E415" i="13"/>
  <c r="I2269" i="13"/>
  <c r="G2269" i="13"/>
  <c r="F2269" i="13"/>
  <c r="E2269" i="13"/>
  <c r="I1881" i="13"/>
  <c r="G1881" i="13"/>
  <c r="F1881" i="13"/>
  <c r="E1881" i="13"/>
  <c r="I1245" i="13"/>
  <c r="G1245" i="13"/>
  <c r="F1245" i="13"/>
  <c r="E1245" i="13"/>
  <c r="I285" i="13"/>
  <c r="G285" i="13"/>
  <c r="F285" i="13"/>
  <c r="E285" i="13"/>
  <c r="I654" i="13"/>
  <c r="G654" i="13"/>
  <c r="F654" i="13"/>
  <c r="E654" i="13"/>
  <c r="I1624" i="13"/>
  <c r="G1624" i="13"/>
  <c r="F1624" i="13"/>
  <c r="E1624" i="13"/>
  <c r="I365" i="13"/>
  <c r="G365" i="13"/>
  <c r="F365" i="13"/>
  <c r="E365" i="13"/>
  <c r="I1172" i="13"/>
  <c r="G1172" i="13"/>
  <c r="F1172" i="13"/>
  <c r="E1172" i="13"/>
  <c r="I337" i="13"/>
  <c r="G337" i="13"/>
  <c r="F337" i="13"/>
  <c r="E337" i="13"/>
  <c r="I1797" i="13"/>
  <c r="G1797" i="13"/>
  <c r="F1797" i="13"/>
  <c r="E1797" i="13"/>
  <c r="I1411" i="13"/>
  <c r="G1411" i="13"/>
  <c r="F1411" i="13"/>
  <c r="E1411" i="13"/>
  <c r="I622" i="13"/>
  <c r="G622" i="13"/>
  <c r="F622" i="13"/>
  <c r="E622" i="13"/>
  <c r="I113" i="13"/>
  <c r="G113" i="13"/>
  <c r="F113" i="13"/>
  <c r="E113" i="13"/>
  <c r="I2063" i="13"/>
  <c r="G2063" i="13"/>
  <c r="F2063" i="13"/>
  <c r="E2063" i="13"/>
  <c r="I449" i="13"/>
  <c r="G449" i="13"/>
  <c r="F449" i="13"/>
  <c r="E449" i="13"/>
  <c r="I298" i="13"/>
  <c r="G298" i="13"/>
  <c r="F298" i="13"/>
  <c r="E298" i="13"/>
  <c r="I1258" i="13"/>
  <c r="G1258" i="13"/>
  <c r="F1258" i="13"/>
  <c r="E1258" i="13"/>
  <c r="I2174" i="13"/>
  <c r="G2174" i="13"/>
  <c r="F2174" i="13"/>
  <c r="E2174" i="13"/>
  <c r="I1960" i="13"/>
  <c r="G1960" i="13"/>
  <c r="F1960" i="13"/>
  <c r="E1960" i="13"/>
  <c r="I733" i="13"/>
  <c r="G733" i="13"/>
  <c r="F733" i="13"/>
  <c r="E733" i="13"/>
  <c r="I448" i="13"/>
  <c r="G448" i="13"/>
  <c r="F448" i="13"/>
  <c r="E448" i="13"/>
  <c r="I497" i="13"/>
  <c r="G497" i="13"/>
  <c r="F497" i="13"/>
  <c r="E497" i="13"/>
  <c r="I1060" i="13"/>
  <c r="G1060" i="13"/>
  <c r="F1060" i="13"/>
  <c r="E1060" i="13"/>
  <c r="I149" i="13"/>
  <c r="G149" i="13"/>
  <c r="F149" i="13"/>
  <c r="E149" i="13"/>
  <c r="I2299" i="13"/>
  <c r="G2299" i="13"/>
  <c r="F2299" i="13"/>
  <c r="E2299" i="13"/>
  <c r="I828" i="13"/>
  <c r="G828" i="13"/>
  <c r="F828" i="13"/>
  <c r="E828" i="13"/>
  <c r="I884" i="13"/>
  <c r="G884" i="13"/>
  <c r="F884" i="13"/>
  <c r="E884" i="13"/>
  <c r="I1250" i="13"/>
  <c r="G1250" i="13"/>
  <c r="F1250" i="13"/>
  <c r="E1250" i="13"/>
  <c r="I555" i="13"/>
  <c r="G555" i="13"/>
  <c r="F555" i="13"/>
  <c r="E555" i="13"/>
  <c r="I2227" i="13"/>
  <c r="G2227" i="13"/>
  <c r="F2227" i="13"/>
  <c r="E2227" i="13"/>
  <c r="I2378" i="13"/>
  <c r="G2378" i="13"/>
  <c r="F2378" i="13"/>
  <c r="E2378" i="13"/>
  <c r="I309" i="13"/>
  <c r="G309" i="13"/>
  <c r="F309" i="13"/>
  <c r="E309" i="13"/>
  <c r="I608" i="13"/>
  <c r="G608" i="13"/>
  <c r="F608" i="13"/>
  <c r="E608" i="13"/>
  <c r="I2340" i="13"/>
  <c r="G2340" i="13"/>
  <c r="F2340" i="13"/>
  <c r="E2340" i="13"/>
  <c r="I833" i="13"/>
  <c r="G833" i="13"/>
  <c r="F833" i="13"/>
  <c r="E833" i="13"/>
  <c r="I447" i="13"/>
  <c r="G447" i="13"/>
  <c r="F447" i="13"/>
  <c r="E447" i="13"/>
  <c r="I2249" i="13"/>
  <c r="G2249" i="13"/>
  <c r="F2249" i="13"/>
  <c r="E2249" i="13"/>
  <c r="I2268" i="13"/>
  <c r="G2268" i="13"/>
  <c r="F2268" i="13"/>
  <c r="E2268" i="13"/>
  <c r="I1880" i="13"/>
  <c r="G1880" i="13"/>
  <c r="F1880" i="13"/>
  <c r="E1880" i="13"/>
  <c r="I1515" i="13"/>
  <c r="G1515" i="13"/>
  <c r="F1515" i="13"/>
  <c r="E1515" i="13"/>
  <c r="I2289" i="13"/>
  <c r="G2289" i="13"/>
  <c r="F2289" i="13"/>
  <c r="E2289" i="13"/>
  <c r="I1125" i="13"/>
  <c r="G1125" i="13"/>
  <c r="F1125" i="13"/>
  <c r="E1125" i="13"/>
  <c r="I186" i="13"/>
  <c r="G186" i="13"/>
  <c r="F186" i="13"/>
  <c r="E186" i="13"/>
  <c r="I1690" i="13"/>
  <c r="G1690" i="13"/>
  <c r="F1690" i="13"/>
  <c r="E1690" i="13"/>
  <c r="I1787" i="13"/>
  <c r="G1787" i="13"/>
  <c r="F1787" i="13"/>
  <c r="E1787" i="13"/>
  <c r="I1312" i="13"/>
  <c r="G1312" i="13"/>
  <c r="F1312" i="13"/>
  <c r="E1312" i="13"/>
  <c r="I1861" i="13"/>
  <c r="G1861" i="13"/>
  <c r="F1861" i="13"/>
  <c r="E1861" i="13"/>
  <c r="I440" i="13"/>
  <c r="G440" i="13"/>
  <c r="F440" i="13"/>
  <c r="E440" i="13"/>
  <c r="I1677" i="13"/>
  <c r="G1677" i="13"/>
  <c r="F1677" i="13"/>
  <c r="E1677" i="13"/>
  <c r="I1781" i="13"/>
  <c r="G1781" i="13"/>
  <c r="F1781" i="13"/>
  <c r="E1781" i="13"/>
  <c r="I1998" i="13"/>
  <c r="G1998" i="13"/>
  <c r="F1998" i="13"/>
  <c r="E1998" i="13"/>
  <c r="I1036" i="13"/>
  <c r="G1036" i="13"/>
  <c r="F1036" i="13"/>
  <c r="E1036" i="13"/>
  <c r="I1764" i="13"/>
  <c r="G1764" i="13"/>
  <c r="F1764" i="13"/>
  <c r="E1764" i="13"/>
  <c r="I2205" i="13"/>
  <c r="G2205" i="13"/>
  <c r="F2205" i="13"/>
  <c r="E2205" i="13"/>
  <c r="I1021" i="13"/>
  <c r="G1021" i="13"/>
  <c r="F1021" i="13"/>
  <c r="E1021" i="13"/>
  <c r="I1304" i="13"/>
  <c r="G1304" i="13"/>
  <c r="F1304" i="13"/>
  <c r="E1304" i="13"/>
  <c r="I1909" i="13"/>
  <c r="G1909" i="13"/>
  <c r="F1909" i="13"/>
  <c r="E1909" i="13"/>
  <c r="I1895" i="13"/>
  <c r="G1895" i="13"/>
  <c r="F1895" i="13"/>
  <c r="E1895" i="13"/>
  <c r="I924" i="13"/>
  <c r="G924" i="13"/>
  <c r="F924" i="13"/>
  <c r="E924" i="13"/>
  <c r="I322" i="13"/>
  <c r="G322" i="13"/>
  <c r="F322" i="13"/>
  <c r="E322" i="13"/>
  <c r="I2216" i="13"/>
  <c r="G2216" i="13"/>
  <c r="F2216" i="13"/>
  <c r="E2216" i="13"/>
  <c r="I467" i="13"/>
  <c r="G467" i="13"/>
  <c r="F467" i="13"/>
  <c r="E467" i="13"/>
  <c r="I1120" i="13"/>
  <c r="G1120" i="13"/>
  <c r="F1120" i="13"/>
  <c r="E1120" i="13"/>
  <c r="I140" i="13"/>
  <c r="G140" i="13"/>
  <c r="F140" i="13"/>
  <c r="E140" i="13"/>
  <c r="I1588" i="13"/>
  <c r="G1588" i="13"/>
  <c r="F1588" i="13"/>
  <c r="E1588" i="13"/>
  <c r="I2204" i="13"/>
  <c r="G2204" i="13"/>
  <c r="F2204" i="13"/>
  <c r="E2204" i="13"/>
  <c r="I2014" i="13"/>
  <c r="G2014" i="13"/>
  <c r="F2014" i="13"/>
  <c r="E2014" i="13"/>
  <c r="I1137" i="13"/>
  <c r="G1137" i="13"/>
  <c r="F1137" i="13"/>
  <c r="E1137" i="13"/>
  <c r="I93" i="13"/>
  <c r="G93" i="13"/>
  <c r="F93" i="13"/>
  <c r="E93" i="13"/>
  <c r="I1010" i="13"/>
  <c r="G1010" i="13"/>
  <c r="F1010" i="13"/>
  <c r="E1010" i="13"/>
  <c r="I1584" i="13"/>
  <c r="G1584" i="13"/>
  <c r="F1584" i="13"/>
  <c r="E1584" i="13"/>
  <c r="I607" i="13"/>
  <c r="G607" i="13"/>
  <c r="F607" i="13"/>
  <c r="E607" i="13"/>
  <c r="I1417" i="13"/>
  <c r="G1417" i="13"/>
  <c r="F1417" i="13"/>
  <c r="E1417" i="13"/>
  <c r="I506" i="13"/>
  <c r="G506" i="13"/>
  <c r="F506" i="13"/>
  <c r="E506" i="13"/>
  <c r="I1939" i="13"/>
  <c r="G1939" i="13"/>
  <c r="F1939" i="13"/>
  <c r="E1939" i="13"/>
  <c r="I666" i="13"/>
  <c r="G666" i="13"/>
  <c r="F666" i="13"/>
  <c r="E666" i="13"/>
  <c r="I276" i="13"/>
  <c r="G276" i="13"/>
  <c r="F276" i="13"/>
  <c r="E276" i="13"/>
  <c r="I1966" i="13"/>
  <c r="G1966" i="13"/>
  <c r="F1966" i="13"/>
  <c r="E1966" i="13"/>
  <c r="I702" i="13"/>
  <c r="G702" i="13"/>
  <c r="F702" i="13"/>
  <c r="E702" i="13"/>
  <c r="I1221" i="13"/>
  <c r="G1221" i="13"/>
  <c r="F1221" i="13"/>
  <c r="E1221" i="13"/>
  <c r="I1786" i="13"/>
  <c r="G1786" i="13"/>
  <c r="F1786" i="13"/>
  <c r="E1786" i="13"/>
  <c r="I275" i="13"/>
  <c r="G275" i="13"/>
  <c r="F275" i="13"/>
  <c r="E275" i="13"/>
  <c r="I2105" i="13"/>
  <c r="G2105" i="13"/>
  <c r="F2105" i="13"/>
  <c r="E2105" i="13"/>
  <c r="I1376" i="13"/>
  <c r="G1376" i="13"/>
  <c r="F1376" i="13"/>
  <c r="E1376" i="13"/>
  <c r="I1565" i="13"/>
  <c r="G1565" i="13"/>
  <c r="F1565" i="13"/>
  <c r="E1565" i="13"/>
  <c r="I1136" i="13"/>
  <c r="G1136" i="13"/>
  <c r="F1136" i="13"/>
  <c r="E1136" i="13"/>
  <c r="I2303" i="13"/>
  <c r="G2303" i="13"/>
  <c r="F2303" i="13"/>
  <c r="E2303" i="13"/>
  <c r="I296" i="13"/>
  <c r="G296" i="13"/>
  <c r="F296" i="13"/>
  <c r="E296" i="13"/>
  <c r="I2032" i="13"/>
  <c r="G2032" i="13"/>
  <c r="F2032" i="13"/>
  <c r="E2032" i="13"/>
  <c r="I955" i="13"/>
  <c r="G955" i="13"/>
  <c r="F955" i="13"/>
  <c r="E955" i="13"/>
  <c r="I2171" i="13"/>
  <c r="G2171" i="13"/>
  <c r="F2171" i="13"/>
  <c r="E2171" i="13"/>
  <c r="I2324" i="13"/>
  <c r="G2324" i="13"/>
  <c r="F2324" i="13"/>
  <c r="E2324" i="13"/>
  <c r="I1906" i="13"/>
  <c r="G1906" i="13"/>
  <c r="F1906" i="13"/>
  <c r="E1906" i="13"/>
  <c r="I2144" i="13"/>
  <c r="G2144" i="13"/>
  <c r="F2144" i="13"/>
  <c r="E2144" i="13"/>
  <c r="I779" i="13"/>
  <c r="G779" i="13"/>
  <c r="F779" i="13"/>
  <c r="E779" i="13"/>
  <c r="I844" i="13"/>
  <c r="G844" i="13"/>
  <c r="F844" i="13"/>
  <c r="E844" i="13"/>
  <c r="I1731" i="13"/>
  <c r="G1731" i="13"/>
  <c r="F1731" i="13"/>
  <c r="E1731" i="13"/>
  <c r="I1500" i="13"/>
  <c r="G1500" i="13"/>
  <c r="F1500" i="13"/>
  <c r="E1500" i="13"/>
  <c r="I982" i="13"/>
  <c r="G982" i="13"/>
  <c r="F982" i="13"/>
  <c r="E982" i="13"/>
  <c r="I55" i="13"/>
  <c r="G55" i="13"/>
  <c r="F55" i="13"/>
  <c r="E55" i="13"/>
  <c r="I562" i="13"/>
  <c r="G562" i="13"/>
  <c r="F562" i="13"/>
  <c r="E562" i="13"/>
  <c r="I2356" i="13"/>
  <c r="G2356" i="13"/>
  <c r="F2356" i="13"/>
  <c r="E2356" i="13"/>
  <c r="I264" i="13"/>
  <c r="G264" i="13"/>
  <c r="F264" i="13"/>
  <c r="E264" i="13"/>
  <c r="I1564" i="13"/>
  <c r="G1564" i="13"/>
  <c r="F1564" i="13"/>
  <c r="E1564" i="13"/>
  <c r="I1077" i="13"/>
  <c r="G1077" i="13"/>
  <c r="F1077" i="13"/>
  <c r="E1077" i="13"/>
  <c r="I1991" i="13"/>
  <c r="G1991" i="13"/>
  <c r="F1991" i="13"/>
  <c r="E1991" i="13"/>
  <c r="I439" i="13"/>
  <c r="G439" i="13"/>
  <c r="F439" i="13"/>
  <c r="E439" i="13"/>
  <c r="I206" i="13"/>
  <c r="G206" i="13"/>
  <c r="F206" i="13"/>
  <c r="E206" i="13"/>
  <c r="I101" i="13"/>
  <c r="G101" i="13"/>
  <c r="F101" i="13"/>
  <c r="E101" i="13"/>
  <c r="I832" i="13"/>
  <c r="G832" i="13"/>
  <c r="F832" i="13"/>
  <c r="E832" i="13"/>
  <c r="I1303" i="13"/>
  <c r="G1303" i="13"/>
  <c r="F1303" i="13"/>
  <c r="E1303" i="13"/>
  <c r="I263" i="13"/>
  <c r="G263" i="13"/>
  <c r="F263" i="13"/>
  <c r="E263" i="13"/>
  <c r="I665" i="13"/>
  <c r="G665" i="13"/>
  <c r="F665" i="13"/>
  <c r="E665" i="13"/>
  <c r="I43" i="13"/>
  <c r="G43" i="13"/>
  <c r="F43" i="13"/>
  <c r="E43" i="13"/>
  <c r="I122" i="13"/>
  <c r="G122" i="13"/>
  <c r="F122" i="13"/>
  <c r="E122" i="13"/>
  <c r="I1399" i="13"/>
  <c r="G1399" i="13"/>
  <c r="F1399" i="13"/>
  <c r="E1399" i="13"/>
  <c r="I1416" i="13"/>
  <c r="G1416" i="13"/>
  <c r="F1416" i="13"/>
  <c r="E1416" i="13"/>
  <c r="I883" i="13"/>
  <c r="G883" i="13"/>
  <c r="F883" i="13"/>
  <c r="E883" i="13"/>
  <c r="I1051" i="13"/>
  <c r="G1051" i="13"/>
  <c r="F1051" i="13"/>
  <c r="E1051" i="13"/>
  <c r="I1879" i="13"/>
  <c r="G1879" i="13"/>
  <c r="F1879" i="13"/>
  <c r="E1879" i="13"/>
  <c r="I892" i="13"/>
  <c r="G892" i="13"/>
  <c r="F892" i="13"/>
  <c r="E892" i="13"/>
  <c r="I1004" i="13"/>
  <c r="G1004" i="13"/>
  <c r="F1004" i="13"/>
  <c r="E1004" i="13"/>
  <c r="I1220" i="13"/>
  <c r="G1220" i="13"/>
  <c r="F1220" i="13"/>
  <c r="E1220" i="13"/>
  <c r="I1563" i="13"/>
  <c r="G1563" i="13"/>
  <c r="F1563" i="13"/>
  <c r="E1563" i="13"/>
  <c r="I446" i="13"/>
  <c r="G446" i="13"/>
  <c r="F446" i="13"/>
  <c r="E446" i="13"/>
  <c r="I11" i="13"/>
  <c r="G11" i="13"/>
  <c r="F11" i="13"/>
  <c r="E11" i="13"/>
  <c r="I618" i="13"/>
  <c r="G618" i="13"/>
  <c r="F618" i="13"/>
  <c r="E618" i="13"/>
  <c r="I843" i="13"/>
  <c r="G843" i="13"/>
  <c r="F843" i="13"/>
  <c r="E843" i="13"/>
  <c r="I1296" i="13"/>
  <c r="G1296" i="13"/>
  <c r="F1296" i="13"/>
  <c r="E1296" i="13"/>
  <c r="I405" i="13"/>
  <c r="G405" i="13"/>
  <c r="F405" i="13"/>
  <c r="E405" i="13"/>
  <c r="I382" i="13"/>
  <c r="G382" i="13"/>
  <c r="F382" i="13"/>
  <c r="E382" i="13"/>
  <c r="I820" i="13"/>
  <c r="G820" i="13"/>
  <c r="F820" i="13"/>
  <c r="E820" i="13"/>
  <c r="I10" i="13"/>
  <c r="G10" i="13"/>
  <c r="F10" i="13"/>
  <c r="E10" i="13"/>
  <c r="I1990" i="13"/>
  <c r="G1990" i="13"/>
  <c r="F1990" i="13"/>
  <c r="E1990" i="13"/>
  <c r="I1499" i="13"/>
  <c r="G1499" i="13"/>
  <c r="F1499" i="13"/>
  <c r="E1499" i="13"/>
  <c r="I1088" i="13"/>
  <c r="G1088" i="13"/>
  <c r="F1088" i="13"/>
  <c r="E1088" i="13"/>
  <c r="I1964" i="13"/>
  <c r="G1964" i="13"/>
  <c r="F1964" i="13"/>
  <c r="E1964" i="13"/>
  <c r="I1390" i="13"/>
  <c r="G1390" i="13"/>
  <c r="F1390" i="13"/>
  <c r="E1390" i="13"/>
  <c r="I963" i="13"/>
  <c r="G963" i="13"/>
  <c r="F963" i="13"/>
  <c r="E963" i="13"/>
  <c r="I1901" i="13"/>
  <c r="G1901" i="13"/>
  <c r="F1901" i="13"/>
  <c r="E1901" i="13"/>
  <c r="I1356" i="13"/>
  <c r="G1356" i="13"/>
  <c r="F1356" i="13"/>
  <c r="E1356" i="13"/>
  <c r="I1124" i="13"/>
  <c r="G1124" i="13"/>
  <c r="F1124" i="13"/>
  <c r="E1124" i="13"/>
  <c r="I1244" i="13"/>
  <c r="G1244" i="13"/>
  <c r="F1244" i="13"/>
  <c r="E1244" i="13"/>
  <c r="I2226" i="13"/>
  <c r="G2226" i="13"/>
  <c r="F2226" i="13"/>
  <c r="E2226" i="13"/>
  <c r="I1243" i="13"/>
  <c r="G1243" i="13"/>
  <c r="F1243" i="13"/>
  <c r="E1243" i="13"/>
  <c r="I2232" i="13"/>
  <c r="G2232" i="13"/>
  <c r="F2232" i="13"/>
  <c r="E2232" i="13"/>
  <c r="I2369" i="13"/>
  <c r="G2369" i="13"/>
  <c r="F2369" i="13"/>
  <c r="E2369" i="13"/>
  <c r="I2164" i="13"/>
  <c r="G2164" i="13"/>
  <c r="F2164" i="13"/>
  <c r="E2164" i="13"/>
  <c r="I1997" i="13"/>
  <c r="G1997" i="13"/>
  <c r="F1997" i="13"/>
  <c r="E1997" i="13"/>
  <c r="I1335" i="13"/>
  <c r="G1335" i="13"/>
  <c r="F1335" i="13"/>
  <c r="E1335" i="13"/>
  <c r="I1878" i="13"/>
  <c r="G1878" i="13"/>
  <c r="F1878" i="13"/>
  <c r="E1878" i="13"/>
  <c r="I2005" i="13"/>
  <c r="G2005" i="13"/>
  <c r="F2005" i="13"/>
  <c r="E2005" i="13"/>
  <c r="I496" i="13"/>
  <c r="G496" i="13"/>
  <c r="F496" i="13"/>
  <c r="E496" i="13"/>
  <c r="I2310" i="13"/>
  <c r="G2310" i="13"/>
  <c r="F2310" i="13"/>
  <c r="E2310" i="13"/>
  <c r="I606" i="13"/>
  <c r="G606" i="13"/>
  <c r="F606" i="13"/>
  <c r="E606" i="13"/>
  <c r="I64" i="13"/>
  <c r="G64" i="13"/>
  <c r="F64" i="13"/>
  <c r="E64" i="13"/>
  <c r="I593" i="13"/>
  <c r="G593" i="13"/>
  <c r="F593" i="13"/>
  <c r="E593" i="13"/>
  <c r="I2013" i="13"/>
  <c r="G2013" i="13"/>
  <c r="F2013" i="13"/>
  <c r="E2013" i="13"/>
  <c r="I1817" i="13"/>
  <c r="G1817" i="13"/>
  <c r="F1817" i="13"/>
  <c r="E1817" i="13"/>
  <c r="I1365" i="13"/>
  <c r="G1365" i="13"/>
  <c r="F1365" i="13"/>
  <c r="E1365" i="13"/>
  <c r="I25" i="13"/>
  <c r="G25" i="13"/>
  <c r="F25" i="13"/>
  <c r="E25" i="13"/>
  <c r="I930" i="13"/>
  <c r="G930" i="13"/>
  <c r="F930" i="13"/>
  <c r="E930" i="13"/>
  <c r="I711" i="13"/>
  <c r="G711" i="13"/>
  <c r="F711" i="13"/>
  <c r="E711" i="13"/>
  <c r="I389" i="13"/>
  <c r="G389" i="13"/>
  <c r="F389" i="13"/>
  <c r="E389" i="13"/>
  <c r="I1112" i="13"/>
  <c r="G1112" i="13"/>
  <c r="F1112" i="13"/>
  <c r="E1112" i="13"/>
  <c r="I2225" i="13"/>
  <c r="G2225" i="13"/>
  <c r="F2225" i="13"/>
  <c r="E2225" i="13"/>
  <c r="I1577" i="13"/>
  <c r="G1577" i="13"/>
  <c r="F1577" i="13"/>
  <c r="E1577" i="13"/>
  <c r="I1030" i="13"/>
  <c r="G1030" i="13"/>
  <c r="F1030" i="13"/>
  <c r="E1030" i="13"/>
  <c r="I592" i="13"/>
  <c r="G592" i="13"/>
  <c r="F592" i="13"/>
  <c r="E592" i="13"/>
  <c r="I1535" i="13"/>
  <c r="G1535" i="13"/>
  <c r="F1535" i="13"/>
  <c r="E1535" i="13"/>
  <c r="I1617" i="13"/>
  <c r="G1617" i="13"/>
  <c r="F1617" i="13"/>
  <c r="E1617" i="13"/>
  <c r="I63" i="13"/>
  <c r="G63" i="13"/>
  <c r="F63" i="13"/>
  <c r="E63" i="13"/>
  <c r="I474" i="13"/>
  <c r="G474" i="13"/>
  <c r="F474" i="13"/>
  <c r="E474" i="13"/>
  <c r="I24" i="13"/>
  <c r="G24" i="13"/>
  <c r="F24" i="13"/>
  <c r="E24" i="13"/>
  <c r="I1209" i="13"/>
  <c r="G1209" i="13"/>
  <c r="F1209" i="13"/>
  <c r="E1209" i="13"/>
  <c r="I1327" i="13"/>
  <c r="G1327" i="13"/>
  <c r="F1327" i="13"/>
  <c r="E1327" i="13"/>
  <c r="I535" i="13"/>
  <c r="G535" i="13"/>
  <c r="F535" i="13"/>
  <c r="E535" i="13"/>
  <c r="I1454" i="13"/>
  <c r="G1454" i="13"/>
  <c r="F1454" i="13"/>
  <c r="E1454" i="13"/>
  <c r="I1214" i="13"/>
  <c r="G1214" i="13"/>
  <c r="F1214" i="13"/>
  <c r="E1214" i="13"/>
  <c r="I109" i="13"/>
  <c r="G109" i="13"/>
  <c r="F109" i="13"/>
  <c r="E109" i="13"/>
  <c r="I235" i="13"/>
  <c r="G235" i="13"/>
  <c r="F235" i="13"/>
  <c r="E235" i="13"/>
  <c r="I1547" i="13"/>
  <c r="G1547" i="13"/>
  <c r="F1547" i="13"/>
  <c r="E1547" i="13"/>
  <c r="I54" i="13"/>
  <c r="G54" i="13"/>
  <c r="F54" i="13"/>
  <c r="E54" i="13"/>
  <c r="I778" i="13"/>
  <c r="G778" i="13"/>
  <c r="F778" i="13"/>
  <c r="E778" i="13"/>
  <c r="I1514" i="13"/>
  <c r="G1514" i="13"/>
  <c r="F1514" i="13"/>
  <c r="E1514" i="13"/>
  <c r="I1662" i="13"/>
  <c r="G1662" i="13"/>
  <c r="F1662" i="13"/>
  <c r="E1662" i="13"/>
  <c r="I2079" i="13"/>
  <c r="G2079" i="13"/>
  <c r="F2079" i="13"/>
  <c r="E2079" i="13"/>
  <c r="I1641" i="13"/>
  <c r="G1641" i="13"/>
  <c r="F1641" i="13"/>
  <c r="E1641" i="13"/>
  <c r="I1442" i="13"/>
  <c r="G1442" i="13"/>
  <c r="F1442" i="13"/>
  <c r="E1442" i="13"/>
  <c r="I1623" i="13"/>
  <c r="G1623" i="13"/>
  <c r="F1623" i="13"/>
  <c r="E1623" i="13"/>
  <c r="I741" i="13"/>
  <c r="G741" i="13"/>
  <c r="F741" i="13"/>
  <c r="E741" i="13"/>
  <c r="I649" i="13"/>
  <c r="G649" i="13"/>
  <c r="F649" i="13"/>
  <c r="E649" i="13"/>
  <c r="I414" i="13"/>
  <c r="G414" i="13"/>
  <c r="F414" i="13"/>
  <c r="E414" i="13"/>
  <c r="I605" i="13"/>
  <c r="G605" i="13"/>
  <c r="F605" i="13"/>
  <c r="E605" i="13"/>
  <c r="I2267" i="13"/>
  <c r="G2267" i="13"/>
  <c r="F2267" i="13"/>
  <c r="E2267" i="13"/>
  <c r="I1923" i="13"/>
  <c r="G1923" i="13"/>
  <c r="F1923" i="13"/>
  <c r="E1923" i="13"/>
  <c r="I155" i="13"/>
  <c r="G155" i="13"/>
  <c r="F155" i="13"/>
  <c r="E155" i="13"/>
  <c r="I360" i="13"/>
  <c r="G360" i="13"/>
  <c r="F360" i="13"/>
  <c r="E360" i="13"/>
  <c r="I1889" i="13"/>
  <c r="G1889" i="13"/>
  <c r="F1889" i="13"/>
  <c r="E1889" i="13"/>
  <c r="I1026" i="13"/>
  <c r="G1026" i="13"/>
  <c r="F1026" i="13"/>
  <c r="E1026" i="13"/>
  <c r="I2143" i="13"/>
  <c r="G2143" i="13"/>
  <c r="F2143" i="13"/>
  <c r="E2143" i="13"/>
  <c r="I2012" i="13"/>
  <c r="G2012" i="13"/>
  <c r="F2012" i="13"/>
  <c r="E2012" i="13"/>
  <c r="I1076" i="13"/>
  <c r="G1076" i="13"/>
  <c r="F1076" i="13"/>
  <c r="E1076" i="13"/>
  <c r="I485" i="13"/>
  <c r="G485" i="13"/>
  <c r="F485" i="13"/>
  <c r="E485" i="13"/>
  <c r="I1632" i="13"/>
  <c r="G1632" i="13"/>
  <c r="F1632" i="13"/>
  <c r="E1632" i="13"/>
  <c r="I505" i="13"/>
  <c r="G505" i="13"/>
  <c r="F505" i="13"/>
  <c r="E505" i="13"/>
  <c r="I1059" i="13"/>
  <c r="G1059" i="13"/>
  <c r="F1059" i="13"/>
  <c r="E1059" i="13"/>
  <c r="I244" i="13"/>
  <c r="G244" i="13"/>
  <c r="F244" i="13"/>
  <c r="E244" i="13"/>
  <c r="I2383" i="13"/>
  <c r="G2383" i="13"/>
  <c r="F2383" i="13"/>
  <c r="E2383" i="13"/>
  <c r="I1763" i="13"/>
  <c r="G1763" i="13"/>
  <c r="F1763" i="13"/>
  <c r="E1763" i="13"/>
  <c r="I1415" i="13"/>
  <c r="G1415" i="13"/>
  <c r="F1415" i="13"/>
  <c r="E1415" i="13"/>
  <c r="I516" i="13"/>
  <c r="G516" i="13"/>
  <c r="F516" i="13"/>
  <c r="E516" i="13"/>
  <c r="I1050" i="13"/>
  <c r="G1050" i="13"/>
  <c r="F1050" i="13"/>
  <c r="E1050" i="13"/>
  <c r="I567" i="13"/>
  <c r="G567" i="13"/>
  <c r="F567" i="13"/>
  <c r="E567" i="13"/>
  <c r="I234" i="13"/>
  <c r="G234" i="13"/>
  <c r="F234" i="13"/>
  <c r="E234" i="13"/>
  <c r="I284" i="13"/>
  <c r="G284" i="13"/>
  <c r="F284" i="13"/>
  <c r="E284" i="13"/>
  <c r="I2170" i="13"/>
  <c r="G2170" i="13"/>
  <c r="F2170" i="13"/>
  <c r="E2170" i="13"/>
  <c r="I133" i="13"/>
  <c r="G133" i="13"/>
  <c r="F133" i="13"/>
  <c r="E133" i="13"/>
  <c r="I121" i="13"/>
  <c r="G121" i="13"/>
  <c r="F121" i="13"/>
  <c r="E121" i="13"/>
  <c r="I139" i="13"/>
  <c r="G139" i="13"/>
  <c r="F139" i="13"/>
  <c r="E139" i="13"/>
  <c r="I653" i="13"/>
  <c r="G653" i="13"/>
  <c r="F653" i="13"/>
  <c r="E653" i="13"/>
  <c r="I1931" i="13"/>
  <c r="G1931" i="13"/>
  <c r="F1931" i="13"/>
  <c r="E1931" i="13"/>
  <c r="I321" i="13"/>
  <c r="G321" i="13"/>
  <c r="F321" i="13"/>
  <c r="E321" i="13"/>
  <c r="I2142" i="13"/>
  <c r="G2142" i="13"/>
  <c r="F2142" i="13"/>
  <c r="E2142" i="13"/>
  <c r="I856" i="13"/>
  <c r="G856" i="13"/>
  <c r="F856" i="13"/>
  <c r="E856" i="13"/>
  <c r="I549" i="13"/>
  <c r="G549" i="13"/>
  <c r="F549" i="13"/>
  <c r="E549" i="13"/>
  <c r="I2183" i="13"/>
  <c r="G2183" i="13"/>
  <c r="F2183" i="13"/>
  <c r="E2183" i="13"/>
  <c r="I2315" i="13"/>
  <c r="G2315" i="13"/>
  <c r="F2315" i="13"/>
  <c r="E2315" i="13"/>
  <c r="I1425" i="13"/>
  <c r="G1425" i="13"/>
  <c r="F1425" i="13"/>
  <c r="E1425" i="13"/>
  <c r="I424" i="13"/>
  <c r="G424" i="13"/>
  <c r="F424" i="13"/>
  <c r="E424" i="13"/>
  <c r="I1800" i="13"/>
  <c r="G1800" i="13"/>
  <c r="F1800" i="13"/>
  <c r="E1800" i="13"/>
  <c r="I1375" i="13"/>
  <c r="G1375" i="13"/>
  <c r="F1375" i="13"/>
  <c r="E1375" i="13"/>
  <c r="I1070" i="13"/>
  <c r="G1070" i="13"/>
  <c r="F1070" i="13"/>
  <c r="E1070" i="13"/>
  <c r="I950" i="13"/>
  <c r="G950" i="13"/>
  <c r="F950" i="13"/>
  <c r="E950" i="13"/>
  <c r="I1311" i="13"/>
  <c r="G1311" i="13"/>
  <c r="F1311" i="13"/>
  <c r="E1311" i="13"/>
  <c r="I2331" i="13"/>
  <c r="G2331" i="13"/>
  <c r="F2331" i="13"/>
  <c r="E2331" i="13"/>
  <c r="I336" i="13"/>
  <c r="G336" i="13"/>
  <c r="F336" i="13"/>
  <c r="E336" i="13"/>
  <c r="I954" i="13"/>
  <c r="G954" i="13"/>
  <c r="F954" i="13"/>
  <c r="E954" i="13"/>
  <c r="I1141" i="13"/>
  <c r="G1141" i="13"/>
  <c r="F1141" i="13"/>
  <c r="E1141" i="13"/>
  <c r="I1075" i="13"/>
  <c r="G1075" i="13"/>
  <c r="F1075" i="13"/>
  <c r="E1075" i="13"/>
  <c r="I1938" i="13"/>
  <c r="G1938" i="13"/>
  <c r="F1938" i="13"/>
  <c r="E1938" i="13"/>
  <c r="I53" i="13"/>
  <c r="G53" i="13"/>
  <c r="F53" i="13"/>
  <c r="E53" i="13"/>
  <c r="I1867" i="13"/>
  <c r="G1867" i="13"/>
  <c r="F1867" i="13"/>
  <c r="E1867" i="13"/>
  <c r="I2070" i="13"/>
  <c r="G2070" i="13"/>
  <c r="F2070" i="13"/>
  <c r="E2070" i="13"/>
  <c r="I1870" i="13"/>
  <c r="G1870" i="13"/>
  <c r="F1870" i="13"/>
  <c r="E1870" i="13"/>
  <c r="I1167" i="13"/>
  <c r="G1167" i="13"/>
  <c r="F1167" i="13"/>
  <c r="E1167" i="13"/>
  <c r="I2371" i="13"/>
  <c r="G2371" i="13"/>
  <c r="F2371" i="13"/>
  <c r="E2371" i="13"/>
  <c r="I1493" i="13"/>
  <c r="G1493" i="13"/>
  <c r="F1493" i="13"/>
  <c r="E1493" i="13"/>
  <c r="I1181" i="13"/>
  <c r="G1181" i="13"/>
  <c r="F1181" i="13"/>
  <c r="E1181" i="13"/>
  <c r="I2043" i="13"/>
  <c r="G2043" i="13"/>
  <c r="F2043" i="13"/>
  <c r="E2043" i="13"/>
  <c r="I1730" i="13"/>
  <c r="G1730" i="13"/>
  <c r="F1730" i="13"/>
  <c r="E1730" i="13"/>
  <c r="I617" i="13"/>
  <c r="G617" i="13"/>
  <c r="F617" i="13"/>
  <c r="E617" i="13"/>
  <c r="I2169" i="13"/>
  <c r="G2169" i="13"/>
  <c r="F2169" i="13"/>
  <c r="E2169" i="13"/>
  <c r="I1744" i="13"/>
  <c r="G1744" i="13"/>
  <c r="F1744" i="13"/>
  <c r="E1744" i="13"/>
  <c r="I2153" i="13"/>
  <c r="G2153" i="13"/>
  <c r="F2153" i="13"/>
  <c r="E2153" i="13"/>
  <c r="I2113" i="13"/>
  <c r="G2113" i="13"/>
  <c r="F2113" i="13"/>
  <c r="E2113" i="13"/>
  <c r="I423" i="13"/>
  <c r="G423" i="13"/>
  <c r="F423" i="13"/>
  <c r="E423" i="13"/>
  <c r="I1684" i="13"/>
  <c r="G1684" i="13"/>
  <c r="F1684" i="13"/>
  <c r="E1684" i="13"/>
  <c r="I220" i="13"/>
  <c r="G220" i="13"/>
  <c r="F220" i="13"/>
  <c r="E220" i="13"/>
  <c r="I1696" i="13"/>
  <c r="G1696" i="13"/>
  <c r="F1696" i="13"/>
  <c r="E1696" i="13"/>
  <c r="I1729" i="13"/>
  <c r="G1729" i="13"/>
  <c r="F1729" i="13"/>
  <c r="E1729" i="13"/>
  <c r="I2329" i="13"/>
  <c r="G2329" i="13"/>
  <c r="F2329" i="13"/>
  <c r="E2329" i="13"/>
  <c r="I36" i="13"/>
  <c r="G36" i="13"/>
  <c r="F36" i="13"/>
  <c r="E36" i="13"/>
  <c r="I1042" i="13"/>
  <c r="G1042" i="13"/>
  <c r="F1042" i="13"/>
  <c r="E1042" i="13"/>
  <c r="I1347" i="13"/>
  <c r="G1347" i="13"/>
  <c r="F1347" i="13"/>
  <c r="E1347" i="13"/>
  <c r="I1888" i="13"/>
  <c r="G1888" i="13"/>
  <c r="F1888" i="13"/>
  <c r="E1888" i="13"/>
  <c r="I2231" i="13"/>
  <c r="G2231" i="13"/>
  <c r="F2231" i="13"/>
  <c r="E2231" i="13"/>
  <c r="I981" i="13"/>
  <c r="G981" i="13"/>
  <c r="F981" i="13"/>
  <c r="E981" i="13"/>
  <c r="I1334" i="13"/>
  <c r="G1334" i="13"/>
  <c r="F1334" i="13"/>
  <c r="E1334" i="13"/>
  <c r="I1743" i="13"/>
  <c r="G1743" i="13"/>
  <c r="F1743" i="13"/>
  <c r="E1743" i="13"/>
  <c r="I747" i="13"/>
  <c r="G747" i="13"/>
  <c r="F747" i="13"/>
  <c r="E747" i="13"/>
  <c r="I214" i="13"/>
  <c r="G214" i="13"/>
  <c r="F214" i="13"/>
  <c r="E214" i="13"/>
  <c r="I1989" i="13"/>
  <c r="G1989" i="13"/>
  <c r="F1989" i="13"/>
  <c r="E1989" i="13"/>
  <c r="I864" i="13"/>
  <c r="G864" i="13"/>
  <c r="F864" i="13"/>
  <c r="E864" i="13"/>
  <c r="I1976" i="13"/>
  <c r="G1976" i="13"/>
  <c r="F1976" i="13"/>
  <c r="E1976" i="13"/>
  <c r="I1726" i="13"/>
  <c r="G1726" i="13"/>
  <c r="F1726" i="13"/>
  <c r="E1726" i="13"/>
  <c r="I295" i="13"/>
  <c r="G295" i="13"/>
  <c r="F295" i="13"/>
  <c r="E295" i="13"/>
  <c r="I901" i="13"/>
  <c r="G901" i="13"/>
  <c r="F901" i="13"/>
  <c r="E901" i="13"/>
  <c r="I2230" i="13"/>
  <c r="G2230" i="13"/>
  <c r="F2230" i="13"/>
  <c r="E2230" i="13"/>
  <c r="I148" i="13"/>
  <c r="G148" i="13"/>
  <c r="F148" i="13"/>
  <c r="E148" i="13"/>
  <c r="I1025" i="13"/>
  <c r="G1025" i="13"/>
  <c r="F1025" i="13"/>
  <c r="E1025" i="13"/>
  <c r="I1750" i="13"/>
  <c r="G1750" i="13"/>
  <c r="F1750" i="13"/>
  <c r="E1750" i="13"/>
  <c r="I863" i="13"/>
  <c r="G863" i="13"/>
  <c r="F863" i="13"/>
  <c r="E863" i="13"/>
  <c r="I2377" i="13"/>
  <c r="G2377" i="13"/>
  <c r="F2377" i="13"/>
  <c r="E2377" i="13"/>
  <c r="I1914" i="13"/>
  <c r="G1914" i="13"/>
  <c r="F1914" i="13"/>
  <c r="E1914" i="13"/>
  <c r="I1645" i="13"/>
  <c r="G1645" i="13"/>
  <c r="F1645" i="13"/>
  <c r="E1645" i="13"/>
  <c r="I1478" i="13"/>
  <c r="G1478" i="13"/>
  <c r="F1478" i="13"/>
  <c r="E1478" i="13"/>
  <c r="I132" i="13"/>
  <c r="G132" i="13"/>
  <c r="F132" i="13"/>
  <c r="E132" i="13"/>
  <c r="I2328" i="13"/>
  <c r="G2328" i="13"/>
  <c r="F2328" i="13"/>
  <c r="E2328" i="13"/>
  <c r="I1202" i="13"/>
  <c r="G1202" i="13"/>
  <c r="F1202" i="13"/>
  <c r="E1202" i="13"/>
  <c r="I1485" i="13"/>
  <c r="G1485" i="13"/>
  <c r="F1485" i="13"/>
  <c r="E1485" i="13"/>
  <c r="I1024" i="13"/>
  <c r="G1024" i="13"/>
  <c r="F1024" i="13"/>
  <c r="E1024" i="13"/>
  <c r="I254" i="13"/>
  <c r="G254" i="13"/>
  <c r="F254" i="13"/>
  <c r="E254" i="13"/>
  <c r="I165" i="13"/>
  <c r="G165" i="13"/>
  <c r="F165" i="13"/>
  <c r="E165" i="13"/>
  <c r="I953" i="13"/>
  <c r="G953" i="13"/>
  <c r="F953" i="13"/>
  <c r="E953" i="13"/>
  <c r="I369" i="13"/>
  <c r="G369" i="13"/>
  <c r="F369" i="13"/>
  <c r="E369" i="13"/>
  <c r="I1295" i="13"/>
  <c r="G1295" i="13"/>
  <c r="F1295" i="13"/>
  <c r="E1295" i="13"/>
  <c r="I695" i="13"/>
  <c r="G695" i="13"/>
  <c r="F695" i="13"/>
  <c r="E695" i="13"/>
  <c r="I131" i="13"/>
  <c r="G131" i="13"/>
  <c r="F131" i="13"/>
  <c r="E131" i="13"/>
  <c r="I1568" i="13"/>
  <c r="G1568" i="13"/>
  <c r="F1568" i="13"/>
  <c r="E1568" i="13"/>
  <c r="I1542" i="13"/>
  <c r="G1542" i="13"/>
  <c r="F1542" i="13"/>
  <c r="E1542" i="13"/>
  <c r="I495" i="13"/>
  <c r="G495" i="13"/>
  <c r="F495" i="13"/>
  <c r="E495" i="13"/>
  <c r="I82" i="13"/>
  <c r="G82" i="13"/>
  <c r="F82" i="13"/>
  <c r="E82" i="13"/>
  <c r="I1877" i="13"/>
  <c r="G1877" i="13"/>
  <c r="F1877" i="13"/>
  <c r="E1877" i="13"/>
  <c r="I2376" i="13"/>
  <c r="G2376" i="13"/>
  <c r="F2376" i="13"/>
  <c r="E2376" i="13"/>
  <c r="I2141" i="13"/>
  <c r="G2141" i="13"/>
  <c r="F2141" i="13"/>
  <c r="E2141" i="13"/>
  <c r="I354" i="13"/>
  <c r="G354" i="13"/>
  <c r="F354" i="13"/>
  <c r="E354" i="13"/>
  <c r="I795" i="13"/>
  <c r="G795" i="13"/>
  <c r="F795" i="13"/>
  <c r="E795" i="13"/>
  <c r="I205" i="13"/>
  <c r="G205" i="13"/>
  <c r="F205" i="13"/>
  <c r="E205" i="13"/>
  <c r="I1583" i="13"/>
  <c r="G1583" i="13"/>
  <c r="F1583" i="13"/>
  <c r="E1583" i="13"/>
  <c r="I1631" i="13"/>
  <c r="G1631" i="13"/>
  <c r="F1631" i="13"/>
  <c r="E1631" i="13"/>
  <c r="I511" i="13"/>
  <c r="G511" i="13"/>
  <c r="F511" i="13"/>
  <c r="E511" i="13"/>
  <c r="I809" i="13"/>
  <c r="G809" i="13"/>
  <c r="F809" i="13"/>
  <c r="E809" i="13"/>
  <c r="I2198" i="13"/>
  <c r="G2198" i="13"/>
  <c r="F2198" i="13"/>
  <c r="E2198" i="13"/>
  <c r="I454" i="13"/>
  <c r="G454" i="13"/>
  <c r="F454" i="13"/>
  <c r="E454" i="13"/>
  <c r="I1180" i="13"/>
  <c r="G1180" i="13"/>
  <c r="F1180" i="13"/>
  <c r="E1180" i="13"/>
  <c r="I120" i="13"/>
  <c r="G120" i="13"/>
  <c r="F120" i="13"/>
  <c r="E120" i="13"/>
  <c r="I2407" i="13"/>
  <c r="G2407" i="13"/>
  <c r="F2407" i="13"/>
  <c r="E2407" i="13"/>
  <c r="I2173" i="13"/>
  <c r="G2173" i="13"/>
  <c r="F2173" i="13"/>
  <c r="E2173" i="13"/>
  <c r="I1247" i="13"/>
  <c r="G1247" i="13"/>
  <c r="F1247" i="13"/>
  <c r="E1247" i="13"/>
  <c r="I219" i="13"/>
  <c r="G219" i="13"/>
  <c r="F219" i="13"/>
  <c r="E219" i="13"/>
  <c r="I757" i="13"/>
  <c r="G757" i="13"/>
  <c r="F757" i="13"/>
  <c r="E757" i="13"/>
  <c r="I1894" i="13"/>
  <c r="G1894" i="13"/>
  <c r="F1894" i="13"/>
  <c r="E1894" i="13"/>
  <c r="I1266" i="13"/>
  <c r="G1266" i="13"/>
  <c r="F1266" i="13"/>
  <c r="E1266" i="13"/>
  <c r="I639" i="13"/>
  <c r="G639" i="13"/>
  <c r="F639" i="13"/>
  <c r="E639" i="13"/>
  <c r="I1265" i="13"/>
  <c r="G1265" i="13"/>
  <c r="F1265" i="13"/>
  <c r="E1265" i="13"/>
  <c r="I353" i="13"/>
  <c r="G353" i="13"/>
  <c r="F353" i="13"/>
  <c r="E353" i="13"/>
  <c r="I1715" i="13"/>
  <c r="G1715" i="13"/>
  <c r="F1715" i="13"/>
  <c r="E1715" i="13"/>
  <c r="I2339" i="13"/>
  <c r="G2339" i="13"/>
  <c r="F2339" i="13"/>
  <c r="E2339" i="13"/>
  <c r="I701" i="13"/>
  <c r="G701" i="13"/>
  <c r="F701" i="13"/>
  <c r="E701" i="13"/>
  <c r="I1930" i="13"/>
  <c r="G1930" i="13"/>
  <c r="F1930" i="13"/>
  <c r="E1930" i="13"/>
  <c r="I81" i="13"/>
  <c r="G81" i="13"/>
  <c r="F81" i="13"/>
  <c r="E81" i="13"/>
  <c r="I1213" i="13"/>
  <c r="G1213" i="13"/>
  <c r="F1213" i="13"/>
  <c r="E1213" i="13"/>
  <c r="I756" i="13"/>
  <c r="G756" i="13"/>
  <c r="F756" i="13"/>
  <c r="E756" i="13"/>
  <c r="I842" i="13"/>
  <c r="G842" i="13"/>
  <c r="F842" i="13"/>
  <c r="E842" i="13"/>
  <c r="I900" i="13"/>
  <c r="G900" i="13"/>
  <c r="F900" i="13"/>
  <c r="E900" i="13"/>
  <c r="I686" i="13"/>
  <c r="G686" i="13"/>
  <c r="F686" i="13"/>
  <c r="E686" i="13"/>
  <c r="I855" i="13"/>
  <c r="G855" i="13"/>
  <c r="F855" i="13"/>
  <c r="E855" i="13"/>
  <c r="I1035" i="13"/>
  <c r="G1035" i="13"/>
  <c r="F1035" i="13"/>
  <c r="E1035" i="13"/>
  <c r="I1656" i="13"/>
  <c r="G1656" i="13"/>
  <c r="F1656" i="13"/>
  <c r="E1656" i="13"/>
  <c r="I1498" i="13"/>
  <c r="G1498" i="13"/>
  <c r="F1498" i="13"/>
  <c r="E1498" i="13"/>
  <c r="I1859" i="13"/>
  <c r="G1859" i="13"/>
  <c r="F1859" i="13"/>
  <c r="E1859" i="13"/>
  <c r="I381" i="13"/>
  <c r="G381" i="13"/>
  <c r="F381" i="13"/>
  <c r="E381" i="13"/>
  <c r="I1087" i="13"/>
  <c r="G1087" i="13"/>
  <c r="F1087" i="13"/>
  <c r="E1087" i="13"/>
  <c r="I1611" i="13"/>
  <c r="G1611" i="13"/>
  <c r="F1611" i="13"/>
  <c r="E1611" i="13"/>
  <c r="I710" i="13"/>
  <c r="G710" i="13"/>
  <c r="F710" i="13"/>
  <c r="E710" i="13"/>
  <c r="I939" i="13"/>
  <c r="G939" i="13"/>
  <c r="F939" i="13"/>
  <c r="E939" i="13"/>
  <c r="I554" i="13"/>
  <c r="G554" i="13"/>
  <c r="F554" i="13"/>
  <c r="E554" i="13"/>
  <c r="I35" i="13"/>
  <c r="G35" i="13"/>
  <c r="F35" i="13"/>
  <c r="E35" i="13"/>
  <c r="I2104" i="13"/>
  <c r="G2104" i="13"/>
  <c r="F2104" i="13"/>
  <c r="E2104" i="13"/>
  <c r="I1201" i="13"/>
  <c r="G1201" i="13"/>
  <c r="F1201" i="13"/>
  <c r="E1201" i="13"/>
  <c r="I1725" i="13"/>
  <c r="G1725" i="13"/>
  <c r="F1725" i="13"/>
  <c r="E1725" i="13"/>
  <c r="I1975" i="13"/>
  <c r="G1975" i="13"/>
  <c r="F1975" i="13"/>
  <c r="E1975" i="13"/>
  <c r="I2011" i="13"/>
  <c r="G2011" i="13"/>
  <c r="F2011" i="13"/>
  <c r="E2011" i="13"/>
  <c r="I2004" i="13"/>
  <c r="G2004" i="13"/>
  <c r="F2004" i="13"/>
  <c r="E2004" i="13"/>
  <c r="I591" i="13"/>
  <c r="G591" i="13"/>
  <c r="F591" i="13"/>
  <c r="E591" i="13"/>
  <c r="I709" i="13"/>
  <c r="G709" i="13"/>
  <c r="F709" i="13"/>
  <c r="E709" i="13"/>
  <c r="I2248" i="13"/>
  <c r="G2248" i="13"/>
  <c r="F2248" i="13"/>
  <c r="E2248" i="13"/>
  <c r="I1240" i="13"/>
  <c r="G1240" i="13"/>
  <c r="F1240" i="13"/>
  <c r="E1240" i="13"/>
  <c r="I462" i="13"/>
  <c r="G462" i="13"/>
  <c r="F462" i="13"/>
  <c r="E462" i="13"/>
  <c r="I1058" i="13"/>
  <c r="G1058" i="13"/>
  <c r="F1058" i="13"/>
  <c r="E1058" i="13"/>
  <c r="I1742" i="13"/>
  <c r="G1742" i="13"/>
  <c r="F1742" i="13"/>
  <c r="E1742" i="13"/>
  <c r="I574" i="13"/>
  <c r="G574" i="13"/>
  <c r="F574" i="13"/>
  <c r="E574" i="13"/>
  <c r="I949" i="13"/>
  <c r="G949" i="13"/>
  <c r="F949" i="13"/>
  <c r="E949" i="13"/>
  <c r="I1866" i="13"/>
  <c r="G1866" i="13"/>
  <c r="F1866" i="13"/>
  <c r="E1866" i="13"/>
  <c r="I438" i="13"/>
  <c r="G438" i="13"/>
  <c r="F438" i="13"/>
  <c r="E438" i="13"/>
  <c r="I2098" i="13"/>
  <c r="G2098" i="13"/>
  <c r="F2098" i="13"/>
  <c r="E2098" i="13"/>
  <c r="I1937" i="13"/>
  <c r="G1937" i="13"/>
  <c r="F1937" i="13"/>
  <c r="E1937" i="13"/>
  <c r="I933" i="13"/>
  <c r="G933" i="13"/>
  <c r="F933" i="13"/>
  <c r="E933" i="13"/>
  <c r="I2127" i="13"/>
  <c r="G2127" i="13"/>
  <c r="F2127" i="13"/>
  <c r="E2127" i="13"/>
  <c r="I1522" i="13"/>
  <c r="G1522" i="13"/>
  <c r="F1522" i="13"/>
  <c r="E1522" i="13"/>
  <c r="I534" i="13"/>
  <c r="G534" i="13"/>
  <c r="F534" i="13"/>
  <c r="E534" i="13"/>
  <c r="I604" i="13"/>
  <c r="G604" i="13"/>
  <c r="F604" i="13"/>
  <c r="E604" i="13"/>
  <c r="I233" i="13"/>
  <c r="G233" i="13"/>
  <c r="F233" i="13"/>
  <c r="E233" i="13"/>
  <c r="I359" i="13"/>
  <c r="G359" i="13"/>
  <c r="F359" i="13"/>
  <c r="E359" i="13"/>
  <c r="I453" i="13"/>
  <c r="G453" i="13"/>
  <c r="F453" i="13"/>
  <c r="E453" i="13"/>
  <c r="I801" i="13"/>
  <c r="G801" i="13"/>
  <c r="F801" i="13"/>
  <c r="E801" i="13"/>
  <c r="I404" i="13"/>
  <c r="G404" i="13"/>
  <c r="F404" i="13"/>
  <c r="E404" i="13"/>
  <c r="I2355" i="13"/>
  <c r="G2355" i="13"/>
  <c r="F2355" i="13"/>
  <c r="E2355" i="13"/>
  <c r="I923" i="13"/>
  <c r="G923" i="13"/>
  <c r="F923" i="13"/>
  <c r="E923" i="13"/>
  <c r="I1094" i="13"/>
  <c r="G1094" i="13"/>
  <c r="F1094" i="13"/>
  <c r="E1094" i="13"/>
  <c r="I657" i="13"/>
  <c r="G657" i="13"/>
  <c r="F657" i="13"/>
  <c r="E657" i="13"/>
  <c r="I1057" i="13"/>
  <c r="G1057" i="13"/>
  <c r="F1057" i="13"/>
  <c r="E1057" i="13"/>
  <c r="I283" i="13"/>
  <c r="G283" i="13"/>
  <c r="F283" i="13"/>
  <c r="E283" i="13"/>
  <c r="I1887" i="13"/>
  <c r="G1887" i="13"/>
  <c r="F1887" i="13"/>
  <c r="E1887" i="13"/>
  <c r="I504" i="13"/>
  <c r="G504" i="13"/>
  <c r="F504" i="13"/>
  <c r="E504" i="13"/>
  <c r="I331" i="13"/>
  <c r="G331" i="13"/>
  <c r="F331" i="13"/>
  <c r="E331" i="13"/>
  <c r="I1333" i="13"/>
  <c r="G1333" i="13"/>
  <c r="F1333" i="13"/>
  <c r="E1333" i="13"/>
  <c r="I282" i="13"/>
  <c r="G282" i="13"/>
  <c r="F282" i="13"/>
  <c r="E282" i="13"/>
  <c r="I2314" i="13"/>
  <c r="G2314" i="13"/>
  <c r="F2314" i="13"/>
  <c r="E2314" i="13"/>
  <c r="I461" i="13"/>
  <c r="G461" i="13"/>
  <c r="F461" i="13"/>
  <c r="E461" i="13"/>
  <c r="I494" i="13"/>
  <c r="G494" i="13"/>
  <c r="F494" i="13"/>
  <c r="E494" i="13"/>
  <c r="I1264" i="13"/>
  <c r="G1264" i="13"/>
  <c r="F1264" i="13"/>
  <c r="E1264" i="13"/>
  <c r="I108" i="13"/>
  <c r="G108" i="13"/>
  <c r="F108" i="13"/>
  <c r="E108" i="13"/>
  <c r="I52" i="13"/>
  <c r="G52" i="13"/>
  <c r="F52" i="13"/>
  <c r="E52" i="13"/>
  <c r="I919" i="13"/>
  <c r="G919" i="13"/>
  <c r="F919" i="13"/>
  <c r="E919" i="13"/>
  <c r="I1683" i="13"/>
  <c r="G1683" i="13"/>
  <c r="F1683" i="13"/>
  <c r="E1683" i="13"/>
  <c r="I104" i="13"/>
  <c r="G104" i="13"/>
  <c r="F104" i="13"/>
  <c r="E104" i="13"/>
  <c r="I2406" i="13"/>
  <c r="G2406" i="13"/>
  <c r="F2406" i="13"/>
  <c r="E2406" i="13"/>
  <c r="I1719" i="13"/>
  <c r="G1719" i="13"/>
  <c r="F1719" i="13"/>
  <c r="E1719" i="13"/>
  <c r="I345" i="13"/>
  <c r="G345" i="13"/>
  <c r="F345" i="13"/>
  <c r="E345" i="13"/>
  <c r="I2257" i="13"/>
  <c r="G2257" i="13"/>
  <c r="F2257" i="13"/>
  <c r="E2257" i="13"/>
  <c r="I2138" i="13"/>
  <c r="G2138" i="13"/>
  <c r="F2138" i="13"/>
  <c r="E2138" i="13"/>
  <c r="I1756" i="13"/>
  <c r="G1756" i="13"/>
  <c r="F1756" i="13"/>
  <c r="E1756" i="13"/>
  <c r="I1281" i="13"/>
  <c r="G1281" i="13"/>
  <c r="F1281" i="13"/>
  <c r="E1281" i="13"/>
  <c r="I849" i="13"/>
  <c r="G849" i="13"/>
  <c r="F849" i="13"/>
  <c r="E849" i="13"/>
  <c r="I1161" i="13"/>
  <c r="G1161" i="13"/>
  <c r="F1161" i="13"/>
  <c r="E1161" i="13"/>
  <c r="I1849" i="13"/>
  <c r="G1849" i="13"/>
  <c r="F1849" i="13"/>
  <c r="E1849" i="13"/>
  <c r="I2042" i="13"/>
  <c r="G2042" i="13"/>
  <c r="F2042" i="13"/>
  <c r="E2042" i="13"/>
  <c r="I2256" i="13"/>
  <c r="G2256" i="13"/>
  <c r="F2256" i="13"/>
  <c r="E2256" i="13"/>
  <c r="I23" i="13"/>
  <c r="G23" i="13"/>
  <c r="F23" i="13"/>
  <c r="E23" i="13"/>
  <c r="I2094" i="13"/>
  <c r="G2094" i="13"/>
  <c r="F2094" i="13"/>
  <c r="E2094" i="13"/>
  <c r="I717" i="13"/>
  <c r="G717" i="13"/>
  <c r="F717" i="13"/>
  <c r="E717" i="13"/>
  <c r="I1534" i="13"/>
  <c r="G1534" i="13"/>
  <c r="F1534" i="13"/>
  <c r="E1534" i="13"/>
  <c r="I819" i="13"/>
  <c r="G819" i="13"/>
  <c r="F819" i="13"/>
  <c r="E819" i="13"/>
  <c r="I1622" i="13"/>
  <c r="G1622" i="13"/>
  <c r="F1622" i="13"/>
  <c r="E1622" i="13"/>
  <c r="I2338" i="13"/>
  <c r="G2338" i="13"/>
  <c r="F2338" i="13"/>
  <c r="E2338" i="13"/>
  <c r="I493" i="13"/>
  <c r="G493" i="13"/>
  <c r="F493" i="13"/>
  <c r="E493" i="13"/>
  <c r="I51" i="13"/>
  <c r="G51" i="13"/>
  <c r="F51" i="13"/>
  <c r="E51" i="13"/>
  <c r="I818" i="13"/>
  <c r="G818" i="13"/>
  <c r="F818" i="13"/>
  <c r="E818" i="13"/>
  <c r="I1706" i="13"/>
  <c r="G1706" i="13"/>
  <c r="F1706" i="13"/>
  <c r="E1706" i="13"/>
  <c r="I648" i="13"/>
  <c r="G648" i="13"/>
  <c r="F648" i="13"/>
  <c r="E648" i="13"/>
  <c r="I422" i="13"/>
  <c r="G422" i="13"/>
  <c r="F422" i="13"/>
  <c r="E422" i="13"/>
  <c r="I2382" i="13"/>
  <c r="G2382" i="13"/>
  <c r="F2382" i="13"/>
  <c r="E2382" i="13"/>
  <c r="I1166" i="13"/>
  <c r="G1166" i="13"/>
  <c r="F1166" i="13"/>
  <c r="E1166" i="13"/>
  <c r="I2323" i="13"/>
  <c r="G2323" i="13"/>
  <c r="F2323" i="13"/>
  <c r="E2323" i="13"/>
  <c r="I1951" i="13"/>
  <c r="G1951" i="13"/>
  <c r="F1951" i="13"/>
  <c r="E1951" i="13"/>
  <c r="I1135" i="13"/>
  <c r="G1135" i="13"/>
  <c r="F1135" i="13"/>
  <c r="E1135" i="13"/>
  <c r="I1541" i="13"/>
  <c r="G1541" i="13"/>
  <c r="F1541" i="13"/>
  <c r="E1541" i="13"/>
  <c r="I2368" i="13"/>
  <c r="G2368" i="13"/>
  <c r="F2368" i="13"/>
  <c r="E2368" i="13"/>
  <c r="I305" i="13"/>
  <c r="G305" i="13"/>
  <c r="F305" i="13"/>
  <c r="E305" i="13"/>
  <c r="I1753" i="13"/>
  <c r="G1753" i="13"/>
  <c r="F1753" i="13"/>
  <c r="E1753" i="13"/>
  <c r="I2031" i="13"/>
  <c r="G2031" i="13"/>
  <c r="F2031" i="13"/>
  <c r="E2031" i="13"/>
  <c r="I2097" i="13"/>
  <c r="G2097" i="13"/>
  <c r="F2097" i="13"/>
  <c r="E2097" i="13"/>
  <c r="I827" i="13"/>
  <c r="G827" i="13"/>
  <c r="F827" i="13"/>
  <c r="E827" i="13"/>
  <c r="I1171" i="13"/>
  <c r="G1171" i="13"/>
  <c r="F1171" i="13"/>
  <c r="E1171" i="13"/>
  <c r="I2126" i="13"/>
  <c r="G2126" i="13"/>
  <c r="F2126" i="13"/>
  <c r="E2126" i="13"/>
  <c r="I460" i="13"/>
  <c r="G460" i="13"/>
  <c r="F460" i="13"/>
  <c r="E460" i="13"/>
  <c r="I2375" i="13"/>
  <c r="G2375" i="13"/>
  <c r="F2375" i="13"/>
  <c r="E2375" i="13"/>
  <c r="I1294" i="13"/>
  <c r="G1294" i="13"/>
  <c r="F1294" i="13"/>
  <c r="E1294" i="13"/>
  <c r="I1293" i="13"/>
  <c r="G1293" i="13"/>
  <c r="F1293" i="13"/>
  <c r="E1293" i="13"/>
  <c r="I503" i="13"/>
  <c r="G503" i="13"/>
  <c r="F503" i="13"/>
  <c r="E503" i="13"/>
  <c r="I1492" i="13"/>
  <c r="G1492" i="13"/>
  <c r="F1492" i="13"/>
  <c r="E1492" i="13"/>
  <c r="I1724" i="13"/>
  <c r="G1724" i="13"/>
  <c r="F1724" i="13"/>
  <c r="E1724" i="13"/>
  <c r="I2052" i="13"/>
  <c r="G2052" i="13"/>
  <c r="F2052" i="13"/>
  <c r="E2052" i="13"/>
  <c r="I313" i="13"/>
  <c r="G313" i="13"/>
  <c r="F313" i="13"/>
  <c r="E313" i="13"/>
  <c r="I459" i="13"/>
  <c r="G459" i="13"/>
  <c r="F459" i="13"/>
  <c r="E459" i="13"/>
  <c r="I2288" i="13"/>
  <c r="G2288" i="13"/>
  <c r="F2288" i="13"/>
  <c r="E2288" i="13"/>
  <c r="I1119" i="13"/>
  <c r="G1119" i="13"/>
  <c r="F1119" i="13"/>
  <c r="E1119" i="13"/>
  <c r="I1676" i="13"/>
  <c r="G1676" i="13"/>
  <c r="F1676" i="13"/>
  <c r="E1676" i="13"/>
  <c r="I911" i="13"/>
  <c r="G911" i="13"/>
  <c r="F911" i="13"/>
  <c r="E911" i="13"/>
  <c r="I2374" i="13"/>
  <c r="G2374" i="13"/>
  <c r="F2374" i="13"/>
  <c r="E2374" i="13"/>
  <c r="I107" i="13"/>
  <c r="G107" i="13"/>
  <c r="F107" i="13"/>
  <c r="E107" i="13"/>
  <c r="I1086" i="13"/>
  <c r="G1086" i="13"/>
  <c r="F1086" i="13"/>
  <c r="E1086" i="13"/>
  <c r="I2021" i="13"/>
  <c r="G2021" i="13"/>
  <c r="F2021" i="13"/>
  <c r="E2021" i="13"/>
  <c r="I484" i="13"/>
  <c r="G484" i="13"/>
  <c r="F484" i="13"/>
  <c r="E484" i="13"/>
  <c r="I22" i="13"/>
  <c r="G22" i="13"/>
  <c r="F22" i="13"/>
  <c r="E22" i="13"/>
  <c r="I2168" i="13"/>
  <c r="G2168" i="13"/>
  <c r="F2168" i="13"/>
  <c r="E2168" i="13"/>
  <c r="I854" i="13"/>
  <c r="G854" i="13"/>
  <c r="F854" i="13"/>
  <c r="E854" i="13"/>
  <c r="I1905" i="13"/>
  <c r="G1905" i="13"/>
  <c r="F1905" i="13"/>
  <c r="E1905" i="13"/>
  <c r="I1513" i="13"/>
  <c r="G1513" i="13"/>
  <c r="F1513" i="13"/>
  <c r="E1513" i="13"/>
  <c r="I1900" i="13"/>
  <c r="G1900" i="13"/>
  <c r="F1900" i="13"/>
  <c r="E1900" i="13"/>
  <c r="I621" i="13"/>
  <c r="G621" i="13"/>
  <c r="F621" i="13"/>
  <c r="E621" i="13"/>
  <c r="I1477" i="13"/>
  <c r="G1477" i="13"/>
  <c r="F1477" i="13"/>
  <c r="E1477" i="13"/>
  <c r="I2351" i="13"/>
  <c r="G2351" i="13"/>
  <c r="F2351" i="13"/>
  <c r="E2351" i="13"/>
  <c r="I2058" i="13"/>
  <c r="G2058" i="13"/>
  <c r="F2058" i="13"/>
  <c r="E2058" i="13"/>
  <c r="I304" i="13"/>
  <c r="G304" i="13"/>
  <c r="F304" i="13"/>
  <c r="E304" i="13"/>
  <c r="I1276" i="13"/>
  <c r="G1276" i="13"/>
  <c r="F1276" i="13"/>
  <c r="E1276" i="13"/>
  <c r="I1140" i="13"/>
  <c r="G1140" i="13"/>
  <c r="F1140" i="13"/>
  <c r="E1140" i="13"/>
  <c r="I724" i="13"/>
  <c r="G724" i="13"/>
  <c r="F724" i="13"/>
  <c r="E724" i="13"/>
  <c r="I991" i="13"/>
  <c r="G991" i="13"/>
  <c r="F991" i="13"/>
  <c r="E991" i="13"/>
  <c r="I1886" i="13"/>
  <c r="G1886" i="13"/>
  <c r="F1886" i="13"/>
  <c r="E1886" i="13"/>
  <c r="I248" i="13"/>
  <c r="G248" i="13"/>
  <c r="F248" i="13"/>
  <c r="E248" i="13"/>
  <c r="I1504" i="13"/>
  <c r="G1504" i="13"/>
  <c r="F1504" i="13"/>
  <c r="E1504" i="13"/>
  <c r="I1899" i="13"/>
  <c r="G1899" i="13"/>
  <c r="F1899" i="13"/>
  <c r="E1899" i="13"/>
  <c r="I1949" i="13"/>
  <c r="G1949" i="13"/>
  <c r="F1949" i="13"/>
  <c r="E1949" i="13"/>
  <c r="I262" i="13"/>
  <c r="G262" i="13"/>
  <c r="F262" i="13"/>
  <c r="E262" i="13"/>
  <c r="I1148" i="13"/>
  <c r="G1148" i="13"/>
  <c r="F1148" i="13"/>
  <c r="E1148" i="13"/>
  <c r="I1948" i="13"/>
  <c r="G1948" i="13"/>
  <c r="F1948" i="13"/>
  <c r="E1948" i="13"/>
  <c r="I1996" i="13"/>
  <c r="G1996" i="13"/>
  <c r="F1996" i="13"/>
  <c r="E1996" i="13"/>
  <c r="I421" i="13"/>
  <c r="G421" i="13"/>
  <c r="F421" i="13"/>
  <c r="E421" i="13"/>
  <c r="I1165" i="13"/>
  <c r="G1165" i="13"/>
  <c r="F1165" i="13"/>
  <c r="E1165" i="13"/>
  <c r="I2103" i="13"/>
  <c r="G2103" i="13"/>
  <c r="F2103" i="13"/>
  <c r="E2103" i="13"/>
  <c r="I2224" i="13"/>
  <c r="G2224" i="13"/>
  <c r="F2224" i="13"/>
  <c r="E2224" i="13"/>
  <c r="I420" i="13"/>
  <c r="G420" i="13"/>
  <c r="F420" i="13"/>
  <c r="E420" i="13"/>
  <c r="I664" i="13"/>
  <c r="G664" i="13"/>
  <c r="F664" i="13"/>
  <c r="E664" i="13"/>
  <c r="I1512" i="13"/>
  <c r="G1512" i="13"/>
  <c r="F1512" i="13"/>
  <c r="E1512" i="13"/>
  <c r="I1374" i="13"/>
  <c r="G1374" i="13"/>
  <c r="F1374" i="13"/>
  <c r="E1374" i="13"/>
  <c r="I671" i="13"/>
  <c r="G671" i="13"/>
  <c r="F671" i="13"/>
  <c r="E671" i="13"/>
  <c r="I2084" i="13"/>
  <c r="G2084" i="13"/>
  <c r="F2084" i="13"/>
  <c r="E2084" i="13"/>
  <c r="I2030" i="13"/>
  <c r="G2030" i="13"/>
  <c r="F2030" i="13"/>
  <c r="E2030" i="13"/>
  <c r="I2122" i="13"/>
  <c r="G2122" i="13"/>
  <c r="F2122" i="13"/>
  <c r="E2122" i="13"/>
  <c r="I2182" i="13"/>
  <c r="G2182" i="13"/>
  <c r="F2182" i="13"/>
  <c r="E2182" i="13"/>
  <c r="I261" i="13"/>
  <c r="G261" i="13"/>
  <c r="F261" i="13"/>
  <c r="E261" i="13"/>
  <c r="I1808" i="13"/>
  <c r="G1808" i="13"/>
  <c r="F1808" i="13"/>
  <c r="E1808" i="13"/>
  <c r="I1322" i="13"/>
  <c r="G1322" i="13"/>
  <c r="F1322" i="13"/>
  <c r="E1322" i="13"/>
  <c r="I1458" i="13"/>
  <c r="G1458" i="13"/>
  <c r="F1458" i="13"/>
  <c r="E1458" i="13"/>
  <c r="I1503" i="13"/>
  <c r="G1503" i="13"/>
  <c r="F1503" i="13"/>
  <c r="E1503" i="13"/>
  <c r="I431" i="13"/>
  <c r="G431" i="13"/>
  <c r="F431" i="13"/>
  <c r="E431" i="13"/>
  <c r="I243" i="13"/>
  <c r="G243" i="13"/>
  <c r="F243" i="13"/>
  <c r="E243" i="13"/>
  <c r="I1310" i="13"/>
  <c r="G1310" i="13"/>
  <c r="F1310" i="13"/>
  <c r="E1310" i="13"/>
  <c r="I2287" i="13"/>
  <c r="G2287" i="13"/>
  <c r="F2287" i="13"/>
  <c r="E2287" i="13"/>
  <c r="I590" i="13"/>
  <c r="G590" i="13"/>
  <c r="F590" i="13"/>
  <c r="E590" i="13"/>
  <c r="I871" i="13"/>
  <c r="G871" i="13"/>
  <c r="F871" i="13"/>
  <c r="E871" i="13"/>
  <c r="I986" i="13"/>
  <c r="G986" i="13"/>
  <c r="F986" i="13"/>
  <c r="E986" i="13"/>
  <c r="I1453" i="13"/>
  <c r="G1453" i="13"/>
  <c r="F1453" i="13"/>
  <c r="E1453" i="13"/>
  <c r="I1364" i="13"/>
  <c r="G1364" i="13"/>
  <c r="F1364" i="13"/>
  <c r="E1364" i="13"/>
  <c r="I732" i="13"/>
  <c r="G732" i="13"/>
  <c r="F732" i="13"/>
  <c r="E732" i="13"/>
  <c r="I647" i="13"/>
  <c r="G647" i="13"/>
  <c r="F647" i="13"/>
  <c r="E647" i="13"/>
  <c r="I1424" i="13"/>
  <c r="G1424" i="13"/>
  <c r="F1424" i="13"/>
  <c r="E1424" i="13"/>
  <c r="I1363" i="13"/>
  <c r="G1363" i="13"/>
  <c r="F1363" i="13"/>
  <c r="E1363" i="13"/>
  <c r="I50" i="13"/>
  <c r="G50" i="13"/>
  <c r="F50" i="13"/>
  <c r="E50" i="13"/>
  <c r="I1533" i="13"/>
  <c r="G1533" i="13"/>
  <c r="F1533" i="13"/>
  <c r="E1533" i="13"/>
  <c r="I434" i="13"/>
  <c r="G434" i="13"/>
  <c r="F434" i="13"/>
  <c r="E434" i="13"/>
  <c r="I182" i="13"/>
  <c r="G182" i="13"/>
  <c r="F182" i="13"/>
  <c r="E182" i="13"/>
  <c r="I740" i="13"/>
  <c r="G740" i="13"/>
  <c r="F740" i="13"/>
  <c r="E740" i="13"/>
  <c r="I1752" i="13"/>
  <c r="G1752" i="13"/>
  <c r="F1752" i="13"/>
  <c r="E1752" i="13"/>
  <c r="I2238" i="13"/>
  <c r="G2238" i="13"/>
  <c r="F2238" i="13"/>
  <c r="E2238" i="13"/>
  <c r="I777" i="13"/>
  <c r="G777" i="13"/>
  <c r="F777" i="13"/>
  <c r="E777" i="13"/>
  <c r="I1123" i="13"/>
  <c r="G1123" i="13"/>
  <c r="F1123" i="13"/>
  <c r="E1123" i="13"/>
  <c r="I100" i="13"/>
  <c r="G100" i="13"/>
  <c r="F100" i="13"/>
  <c r="E100" i="13"/>
  <c r="I2077" i="13"/>
  <c r="G2077" i="13"/>
  <c r="F2077" i="13"/>
  <c r="E2077" i="13"/>
  <c r="I1587" i="13"/>
  <c r="G1587" i="13"/>
  <c r="F1587" i="13"/>
  <c r="E1587" i="13"/>
  <c r="I2373" i="13"/>
  <c r="G2373" i="13"/>
  <c r="F2373" i="13"/>
  <c r="E2373" i="13"/>
  <c r="I1780" i="13"/>
  <c r="G1780" i="13"/>
  <c r="F1780" i="13"/>
  <c r="E1780" i="13"/>
  <c r="I21" i="13"/>
  <c r="G21" i="13"/>
  <c r="F21" i="13"/>
  <c r="E21" i="13"/>
  <c r="I1321" i="13"/>
  <c r="G1321" i="13"/>
  <c r="F1321" i="13"/>
  <c r="E1321" i="13"/>
  <c r="I1816" i="13"/>
  <c r="G1816" i="13"/>
  <c r="F1816" i="13"/>
  <c r="E1816" i="13"/>
  <c r="I1769" i="13"/>
  <c r="G1769" i="13"/>
  <c r="F1769" i="13"/>
  <c r="E1769" i="13"/>
  <c r="I2255" i="13"/>
  <c r="G2255" i="13"/>
  <c r="F2255" i="13"/>
  <c r="E2255" i="13"/>
  <c r="I1768" i="13"/>
  <c r="G1768" i="13"/>
  <c r="F1768" i="13"/>
  <c r="E1768" i="13"/>
  <c r="I2322" i="13"/>
  <c r="G2322" i="13"/>
  <c r="F2322" i="13"/>
  <c r="E2322" i="13"/>
  <c r="I247" i="13"/>
  <c r="G247" i="13"/>
  <c r="F247" i="13"/>
  <c r="E247" i="13"/>
  <c r="I877" i="13"/>
  <c r="G877" i="13"/>
  <c r="F877" i="13"/>
  <c r="E877" i="13"/>
  <c r="I80" i="13"/>
  <c r="G80" i="13"/>
  <c r="F80" i="13"/>
  <c r="E80" i="13"/>
  <c r="I853" i="13"/>
  <c r="G853" i="13"/>
  <c r="F853" i="13"/>
  <c r="E853" i="13"/>
  <c r="I2367" i="13"/>
  <c r="G2367" i="13"/>
  <c r="F2367" i="13"/>
  <c r="E2367" i="13"/>
  <c r="I2313" i="13"/>
  <c r="G2313" i="13"/>
  <c r="F2313" i="13"/>
  <c r="E2313" i="13"/>
  <c r="I910" i="13"/>
  <c r="G910" i="13"/>
  <c r="F910" i="13"/>
  <c r="E910" i="13"/>
  <c r="I1074" i="13"/>
  <c r="G1074" i="13"/>
  <c r="F1074" i="13"/>
  <c r="E1074" i="13"/>
  <c r="I1208" i="13"/>
  <c r="G1208" i="13"/>
  <c r="F1208" i="13"/>
  <c r="E1208" i="13"/>
  <c r="I2152" i="13"/>
  <c r="G2152" i="13"/>
  <c r="F2152" i="13"/>
  <c r="E2152" i="13"/>
  <c r="I2292" i="13"/>
  <c r="G2292" i="13"/>
  <c r="F2292" i="13"/>
  <c r="E2292" i="13"/>
  <c r="I1432" i="13"/>
  <c r="G1432" i="13"/>
  <c r="F1432" i="13"/>
  <c r="E1432" i="13"/>
  <c r="I1410" i="13"/>
  <c r="G1410" i="13"/>
  <c r="F1410" i="13"/>
  <c r="E1410" i="13"/>
  <c r="I1118" i="13"/>
  <c r="G1118" i="13"/>
  <c r="F1118" i="13"/>
  <c r="E1118" i="13"/>
  <c r="I708" i="13"/>
  <c r="G708" i="13"/>
  <c r="F708" i="13"/>
  <c r="E708" i="13"/>
  <c r="I1193" i="13"/>
  <c r="G1193" i="13"/>
  <c r="F1193" i="13"/>
  <c r="E1193" i="13"/>
  <c r="I1234" i="13"/>
  <c r="G1234" i="13"/>
  <c r="F1234" i="13"/>
  <c r="E1234" i="13"/>
  <c r="I2076" i="13"/>
  <c r="G2076" i="13"/>
  <c r="F2076" i="13"/>
  <c r="E2076" i="13"/>
  <c r="I1775" i="13"/>
  <c r="G1775" i="13"/>
  <c r="F1775" i="13"/>
  <c r="E1775" i="13"/>
  <c r="I1532" i="13"/>
  <c r="G1532" i="13"/>
  <c r="F1532" i="13"/>
  <c r="E1532" i="13"/>
  <c r="I1154" i="13"/>
  <c r="G1154" i="13"/>
  <c r="F1154" i="13"/>
  <c r="E1154" i="13"/>
  <c r="I1423" i="13"/>
  <c r="G1423" i="13"/>
  <c r="F1423" i="13"/>
  <c r="E1423" i="13"/>
  <c r="I242" i="13"/>
  <c r="G242" i="13"/>
  <c r="F242" i="13"/>
  <c r="E242" i="13"/>
  <c r="I769" i="13"/>
  <c r="G769" i="13"/>
  <c r="F769" i="13"/>
  <c r="E769" i="13"/>
  <c r="I1682" i="13"/>
  <c r="G1682" i="13"/>
  <c r="F1682" i="13"/>
  <c r="E1682" i="13"/>
  <c r="I2197" i="13"/>
  <c r="G2197" i="13"/>
  <c r="F2197" i="13"/>
  <c r="E2197" i="13"/>
  <c r="I1714" i="13"/>
  <c r="G1714" i="13"/>
  <c r="F1714" i="13"/>
  <c r="E1714" i="13"/>
  <c r="I1117" i="13"/>
  <c r="G1117" i="13"/>
  <c r="F1117" i="13"/>
  <c r="E1117" i="13"/>
  <c r="I1200" i="13"/>
  <c r="G1200" i="13"/>
  <c r="F1200" i="13"/>
  <c r="E1200" i="13"/>
  <c r="I1003" i="13"/>
  <c r="G1003" i="13"/>
  <c r="F1003" i="13"/>
  <c r="E1003" i="13"/>
  <c r="I1553" i="13"/>
  <c r="G1553" i="13"/>
  <c r="F1553" i="13"/>
  <c r="E1553" i="13"/>
  <c r="I218" i="13"/>
  <c r="G218" i="13"/>
  <c r="F218" i="13"/>
  <c r="E218" i="13"/>
  <c r="I1848" i="13"/>
  <c r="G1848" i="13"/>
  <c r="F1848" i="13"/>
  <c r="E1848" i="13"/>
  <c r="I1531" i="13"/>
  <c r="G1531" i="13"/>
  <c r="F1531" i="13"/>
  <c r="E1531" i="13"/>
  <c r="I1576" i="13"/>
  <c r="G1576" i="13"/>
  <c r="F1576" i="13"/>
  <c r="E1576" i="13"/>
  <c r="I2020" i="13"/>
  <c r="G2020" i="13"/>
  <c r="F2020" i="13"/>
  <c r="E2020" i="13"/>
  <c r="I213" i="13"/>
  <c r="G213" i="13"/>
  <c r="F213" i="13"/>
  <c r="E213" i="13"/>
  <c r="I1134" i="13"/>
  <c r="G1134" i="13"/>
  <c r="F1134" i="13"/>
  <c r="E1134" i="13"/>
  <c r="I1468" i="13"/>
  <c r="G1468" i="13"/>
  <c r="F1468" i="13"/>
  <c r="E1468" i="13"/>
  <c r="I473" i="13"/>
  <c r="G473" i="13"/>
  <c r="F473" i="13"/>
  <c r="E473" i="13"/>
  <c r="I707" i="13"/>
  <c r="G707" i="13"/>
  <c r="F707" i="13"/>
  <c r="E707" i="13"/>
  <c r="I891" i="13"/>
  <c r="G891" i="13"/>
  <c r="F891" i="13"/>
  <c r="E891" i="13"/>
  <c r="I335" i="13"/>
  <c r="G335" i="13"/>
  <c r="F335" i="13"/>
  <c r="E335" i="13"/>
  <c r="I938" i="13"/>
  <c r="G938" i="13"/>
  <c r="F938" i="13"/>
  <c r="E938" i="13"/>
  <c r="I890" i="13"/>
  <c r="G890" i="13"/>
  <c r="F890" i="13"/>
  <c r="E890" i="13"/>
  <c r="I1239" i="13"/>
  <c r="G1239" i="13"/>
  <c r="F1239" i="13"/>
  <c r="E1239" i="13"/>
  <c r="C1208" i="13" a="1"/>
  <c r="C1208" i="13" s="1"/>
  <c r="H2245" i="13"/>
  <c r="G2245" i="13"/>
  <c r="F2245" i="13"/>
  <c r="E2245" i="13"/>
  <c r="H2405" i="13"/>
  <c r="G2405" i="13"/>
  <c r="F2405" i="13"/>
  <c r="E2405" i="13"/>
  <c r="H1341" i="13"/>
  <c r="G1341" i="13"/>
  <c r="F1341" i="13"/>
  <c r="E1341" i="13"/>
  <c r="H1431" i="13"/>
  <c r="G1431" i="13"/>
  <c r="F1431" i="13"/>
  <c r="E1431" i="13"/>
  <c r="H1749" i="13"/>
  <c r="G1749" i="13"/>
  <c r="F1749" i="13"/>
  <c r="E1749" i="13"/>
  <c r="H1389" i="13"/>
  <c r="G1389" i="13"/>
  <c r="F1389" i="13"/>
  <c r="E1389" i="13"/>
  <c r="H1640" i="13"/>
  <c r="G1640" i="13"/>
  <c r="F1640" i="13"/>
  <c r="E1640" i="13"/>
  <c r="H1885" i="13"/>
  <c r="G1885" i="13"/>
  <c r="F1885" i="13"/>
  <c r="E1885" i="13"/>
  <c r="H445" i="13"/>
  <c r="G445" i="13"/>
  <c r="F445" i="13"/>
  <c r="E445" i="13"/>
  <c r="H1599" i="13"/>
  <c r="G1599" i="13"/>
  <c r="F1599" i="13"/>
  <c r="E1599" i="13"/>
  <c r="H976" i="13"/>
  <c r="G976" i="13"/>
  <c r="F976" i="13"/>
  <c r="E976" i="13"/>
  <c r="H1552" i="13"/>
  <c r="G1552" i="13"/>
  <c r="F1552" i="13"/>
  <c r="E1552" i="13"/>
  <c r="H1422" i="13"/>
  <c r="G1422" i="13"/>
  <c r="F1422" i="13"/>
  <c r="E1422" i="13"/>
  <c r="H1346" i="13"/>
  <c r="G1346" i="13"/>
  <c r="F1346" i="13"/>
  <c r="E1346" i="13"/>
  <c r="H634" i="13"/>
  <c r="G634" i="13"/>
  <c r="F634" i="13"/>
  <c r="E634" i="13"/>
  <c r="H257" i="13"/>
  <c r="G257" i="13"/>
  <c r="F257" i="13"/>
  <c r="E257" i="13"/>
  <c r="H174" i="13"/>
  <c r="G174" i="13"/>
  <c r="F174" i="13"/>
  <c r="E174" i="13"/>
  <c r="H1605" i="13"/>
  <c r="G1605" i="13"/>
  <c r="F1605" i="13"/>
  <c r="E1605" i="13"/>
  <c r="H2345" i="13"/>
  <c r="G2345" i="13"/>
  <c r="F2345" i="13"/>
  <c r="E2345" i="13"/>
  <c r="H483" i="13"/>
  <c r="G483" i="13"/>
  <c r="F483" i="13"/>
  <c r="E483" i="13"/>
  <c r="H1644" i="13"/>
  <c r="G1644" i="13"/>
  <c r="F1644" i="13"/>
  <c r="E1644" i="13"/>
  <c r="H2350" i="13"/>
  <c r="G2350" i="13"/>
  <c r="F2350" i="13"/>
  <c r="E2350" i="13"/>
  <c r="H1735" i="13"/>
  <c r="G1735" i="13"/>
  <c r="F1735" i="13"/>
  <c r="E1735" i="13"/>
  <c r="H2266" i="13"/>
  <c r="G2266" i="13"/>
  <c r="F2266" i="13"/>
  <c r="E2266" i="13"/>
  <c r="H1199" i="13"/>
  <c r="G1199" i="13"/>
  <c r="F1199" i="13"/>
  <c r="E1199" i="13"/>
  <c r="H553" i="13"/>
  <c r="G553" i="13"/>
  <c r="F553" i="13"/>
  <c r="E553" i="13"/>
  <c r="H1681" i="13"/>
  <c r="G1681" i="13"/>
  <c r="F1681" i="13"/>
  <c r="E1681" i="13"/>
  <c r="H1713" i="13"/>
  <c r="G1713" i="13"/>
  <c r="F1713" i="13"/>
  <c r="E1713" i="13"/>
  <c r="H502" i="13"/>
  <c r="G502" i="13"/>
  <c r="F502" i="13"/>
  <c r="E502" i="13"/>
  <c r="H852" i="13"/>
  <c r="G852" i="13"/>
  <c r="F852" i="13"/>
  <c r="E852" i="13"/>
  <c r="H1675" i="13"/>
  <c r="G1675" i="13"/>
  <c r="F1675" i="13"/>
  <c r="E1675" i="13"/>
  <c r="H20" i="13"/>
  <c r="G20" i="13"/>
  <c r="F20" i="13"/>
  <c r="E20" i="13"/>
  <c r="H2019" i="13"/>
  <c r="G2019" i="13"/>
  <c r="F2019" i="13"/>
  <c r="E2019" i="13"/>
  <c r="H2309" i="13"/>
  <c r="G2309" i="13"/>
  <c r="F2309" i="13"/>
  <c r="E2309" i="13"/>
  <c r="H1530" i="13"/>
  <c r="G1530" i="13"/>
  <c r="F1530" i="13"/>
  <c r="E1530" i="13"/>
  <c r="H62" i="13"/>
  <c r="G62" i="13"/>
  <c r="F62" i="13"/>
  <c r="E62" i="13"/>
  <c r="H561" i="13"/>
  <c r="G561" i="13"/>
  <c r="F561" i="13"/>
  <c r="E561" i="13"/>
  <c r="H193" i="13"/>
  <c r="G193" i="13"/>
  <c r="F193" i="13"/>
  <c r="E193" i="13"/>
  <c r="H700" i="13"/>
  <c r="G700" i="13"/>
  <c r="F700" i="13"/>
  <c r="E700" i="13"/>
  <c r="H646" i="13"/>
  <c r="G646" i="13"/>
  <c r="F646" i="13"/>
  <c r="E646" i="13"/>
  <c r="H2062" i="13"/>
  <c r="G2062" i="13"/>
  <c r="F2062" i="13"/>
  <c r="E2062" i="13"/>
  <c r="H510" i="13"/>
  <c r="G510" i="13"/>
  <c r="F510" i="13"/>
  <c r="E510" i="13"/>
  <c r="H1073" i="13"/>
  <c r="G1073" i="13"/>
  <c r="F1073" i="13"/>
  <c r="E1073" i="13"/>
  <c r="H2203" i="13"/>
  <c r="G2203" i="13"/>
  <c r="F2203" i="13"/>
  <c r="E2203" i="13"/>
  <c r="H548" i="13"/>
  <c r="G548" i="13"/>
  <c r="F548" i="13"/>
  <c r="E548" i="13"/>
  <c r="H699" i="13"/>
  <c r="G699" i="13"/>
  <c r="F699" i="13"/>
  <c r="E699" i="13"/>
  <c r="H1917" i="13"/>
  <c r="G1917" i="13"/>
  <c r="F1917" i="13"/>
  <c r="E1917" i="13"/>
  <c r="H380" i="13"/>
  <c r="G380" i="13"/>
  <c r="F380" i="13"/>
  <c r="E380" i="13"/>
  <c r="H727" i="13"/>
  <c r="G727" i="13"/>
  <c r="F727" i="13"/>
  <c r="E727" i="13"/>
  <c r="H2298" i="13"/>
  <c r="G2298" i="13"/>
  <c r="F2298" i="13"/>
  <c r="E2298" i="13"/>
  <c r="H739" i="13"/>
  <c r="G739" i="13"/>
  <c r="F739" i="13"/>
  <c r="E739" i="13"/>
  <c r="H1355" i="13"/>
  <c r="G1355" i="13"/>
  <c r="F1355" i="13"/>
  <c r="E1355" i="13"/>
  <c r="H1093" i="13"/>
  <c r="G1093" i="13"/>
  <c r="F1093" i="13"/>
  <c r="E1093" i="13"/>
  <c r="H1562" i="13"/>
  <c r="G1562" i="13"/>
  <c r="F1562" i="13"/>
  <c r="E1562" i="13"/>
  <c r="H1233" i="13"/>
  <c r="G1233" i="13"/>
  <c r="F1233" i="13"/>
  <c r="E1233" i="13"/>
  <c r="H159" i="13"/>
  <c r="G159" i="13"/>
  <c r="F159" i="13"/>
  <c r="E159" i="13"/>
  <c r="H1101" i="13"/>
  <c r="G1101" i="13"/>
  <c r="F1101" i="13"/>
  <c r="E1101" i="13"/>
  <c r="H2337" i="13"/>
  <c r="G2337" i="13"/>
  <c r="F2337" i="13"/>
  <c r="E2337" i="13"/>
  <c r="H918" i="13"/>
  <c r="G918" i="13"/>
  <c r="F918" i="13"/>
  <c r="E918" i="13"/>
  <c r="H1898" i="13"/>
  <c r="G1898" i="13"/>
  <c r="F1898" i="13"/>
  <c r="E1898" i="13"/>
  <c r="H1192" i="13"/>
  <c r="G1192" i="13"/>
  <c r="F1192" i="13"/>
  <c r="E1192" i="13"/>
  <c r="H1950" i="13"/>
  <c r="G1950" i="13"/>
  <c r="F1950" i="13"/>
  <c r="E1950" i="13"/>
  <c r="H2254" i="13"/>
  <c r="G2254" i="13"/>
  <c r="F2254" i="13"/>
  <c r="E2254" i="13"/>
  <c r="H578" i="13"/>
  <c r="G578" i="13"/>
  <c r="F578" i="13"/>
  <c r="E578" i="13"/>
  <c r="H303" i="13"/>
  <c r="G303" i="13"/>
  <c r="F303" i="13"/>
  <c r="E303" i="13"/>
  <c r="H2151" i="13"/>
  <c r="G2151" i="13"/>
  <c r="F2151" i="13"/>
  <c r="E2151" i="13"/>
  <c r="H1111" i="13"/>
  <c r="G1111" i="13"/>
  <c r="F1111" i="13"/>
  <c r="E1111" i="13"/>
  <c r="H1388" i="13"/>
  <c r="G1388" i="13"/>
  <c r="F1388" i="13"/>
  <c r="E1388" i="13"/>
  <c r="H738" i="13"/>
  <c r="G738" i="13"/>
  <c r="F738" i="13"/>
  <c r="E738" i="13"/>
  <c r="H42" i="13"/>
  <c r="G42" i="13"/>
  <c r="F42" i="13"/>
  <c r="E42" i="13"/>
  <c r="H663" i="13"/>
  <c r="G663" i="13"/>
  <c r="F663" i="13"/>
  <c r="E663" i="13"/>
  <c r="H202" i="13"/>
  <c r="G202" i="13"/>
  <c r="F202" i="13"/>
  <c r="E202" i="13"/>
  <c r="H9" i="13"/>
  <c r="G9" i="13"/>
  <c r="F9" i="13"/>
  <c r="E9" i="13"/>
  <c r="H1511" i="13"/>
  <c r="G1511" i="13"/>
  <c r="F1511" i="13"/>
  <c r="E1511" i="13"/>
  <c r="H1457" i="13"/>
  <c r="G1457" i="13"/>
  <c r="F1457" i="13"/>
  <c r="E1457" i="13"/>
  <c r="H1936" i="13"/>
  <c r="G1936" i="13"/>
  <c r="F1936" i="13"/>
  <c r="E1936" i="13"/>
  <c r="H1774" i="13"/>
  <c r="G1774" i="13"/>
  <c r="F1774" i="13"/>
  <c r="E1774" i="13"/>
  <c r="H2029" i="13"/>
  <c r="G2029" i="13"/>
  <c r="F2029" i="13"/>
  <c r="E2029" i="13"/>
  <c r="H1069" i="13"/>
  <c r="G1069" i="13"/>
  <c r="F1069" i="13"/>
  <c r="E1069" i="13"/>
  <c r="H1762" i="13"/>
  <c r="G1762" i="13"/>
  <c r="F1762" i="13"/>
  <c r="E1762" i="13"/>
  <c r="H1153" i="13"/>
  <c r="G1153" i="13"/>
  <c r="F1153" i="13"/>
  <c r="E1153" i="13"/>
  <c r="H1959" i="13"/>
  <c r="G1959" i="13"/>
  <c r="F1959" i="13"/>
  <c r="E1959" i="13"/>
  <c r="H1922" i="13"/>
  <c r="G1922" i="13"/>
  <c r="F1922" i="13"/>
  <c r="E1922" i="13"/>
  <c r="H876" i="13"/>
  <c r="G876" i="13"/>
  <c r="F876" i="13"/>
  <c r="E876" i="13"/>
  <c r="H1873" i="13"/>
  <c r="G1873" i="13"/>
  <c r="F1873" i="13"/>
  <c r="E1873" i="13"/>
  <c r="H1983" i="13"/>
  <c r="G1983" i="13"/>
  <c r="F1983" i="13"/>
  <c r="E1983" i="13"/>
  <c r="H814" i="13"/>
  <c r="G814" i="13"/>
  <c r="F814" i="13"/>
  <c r="E814" i="13"/>
  <c r="H1529" i="13"/>
  <c r="G1529" i="13"/>
  <c r="F1529" i="13"/>
  <c r="E1529" i="13"/>
  <c r="H302" i="13"/>
  <c r="G302" i="13"/>
  <c r="F302" i="13"/>
  <c r="E302" i="13"/>
  <c r="H1373" i="13"/>
  <c r="G1373" i="13"/>
  <c r="F1373" i="13"/>
  <c r="E1373" i="13"/>
  <c r="H1807" i="13"/>
  <c r="G1807" i="13"/>
  <c r="F1807" i="13"/>
  <c r="E1807" i="13"/>
  <c r="H1575" i="13"/>
  <c r="G1575" i="13"/>
  <c r="F1575" i="13"/>
  <c r="E1575" i="13"/>
  <c r="H1643" i="13"/>
  <c r="G1643" i="13"/>
  <c r="F1643" i="13"/>
  <c r="E1643" i="13"/>
  <c r="H1133" i="13"/>
  <c r="G1133" i="13"/>
  <c r="F1133" i="13"/>
  <c r="E1133" i="13"/>
  <c r="H1761" i="13"/>
  <c r="G1761" i="13"/>
  <c r="F1761" i="13"/>
  <c r="E1761" i="13"/>
  <c r="H1574" i="13"/>
  <c r="G1574" i="13"/>
  <c r="F1574" i="13"/>
  <c r="E1574" i="13"/>
  <c r="H413" i="13"/>
  <c r="G413" i="13"/>
  <c r="F413" i="13"/>
  <c r="E413" i="13"/>
  <c r="H1122" i="13"/>
  <c r="G1122" i="13"/>
  <c r="F1122" i="13"/>
  <c r="E1122" i="13"/>
  <c r="H1189" i="13"/>
  <c r="G1189" i="13"/>
  <c r="F1189" i="13"/>
  <c r="E1189" i="13"/>
  <c r="H2336" i="13"/>
  <c r="G2336" i="13"/>
  <c r="F2336" i="13"/>
  <c r="E2336" i="13"/>
  <c r="H1913" i="13"/>
  <c r="G1913" i="13"/>
  <c r="F1913" i="13"/>
  <c r="E1913" i="13"/>
  <c r="H358" i="13"/>
  <c r="G358" i="13"/>
  <c r="F358" i="13"/>
  <c r="E358" i="13"/>
  <c r="H164" i="13"/>
  <c r="G164" i="13"/>
  <c r="F164" i="13"/>
  <c r="E164" i="13"/>
  <c r="H1661" i="13"/>
  <c r="G1661" i="13"/>
  <c r="F1661" i="13"/>
  <c r="E1661" i="13"/>
  <c r="H1100" i="13"/>
  <c r="G1100" i="13"/>
  <c r="F1100" i="13"/>
  <c r="E1100" i="13"/>
  <c r="H706" i="13"/>
  <c r="G706" i="13"/>
  <c r="F706" i="13"/>
  <c r="E706" i="13"/>
  <c r="H1263" i="13"/>
  <c r="G1263" i="13"/>
  <c r="F1263" i="13"/>
  <c r="E1263" i="13"/>
  <c r="H1718" i="13"/>
  <c r="G1718" i="13"/>
  <c r="F1718" i="13"/>
  <c r="E1718" i="13"/>
  <c r="H34" i="13"/>
  <c r="G34" i="13"/>
  <c r="F34" i="13"/>
  <c r="E34" i="13"/>
  <c r="H2237" i="13"/>
  <c r="G2237" i="13"/>
  <c r="F2237" i="13"/>
  <c r="E2237" i="13"/>
  <c r="H1068" i="13"/>
  <c r="G1068" i="13"/>
  <c r="F1068" i="13"/>
  <c r="E1068" i="13"/>
  <c r="H458" i="13"/>
  <c r="G458" i="13"/>
  <c r="F458" i="13"/>
  <c r="E458" i="13"/>
  <c r="H882" i="13"/>
  <c r="G882" i="13"/>
  <c r="F882" i="13"/>
  <c r="E882" i="13"/>
  <c r="H201" i="13"/>
  <c r="G201" i="13"/>
  <c r="F201" i="13"/>
  <c r="E201" i="13"/>
  <c r="H1020" i="13"/>
  <c r="G1020" i="13"/>
  <c r="F1020" i="13"/>
  <c r="E1020" i="13"/>
  <c r="H341" i="13"/>
  <c r="G341" i="13"/>
  <c r="F341" i="13"/>
  <c r="E341" i="13"/>
  <c r="H633" i="13"/>
  <c r="G633" i="13"/>
  <c r="F633" i="13"/>
  <c r="E633" i="13"/>
  <c r="H457" i="13"/>
  <c r="G457" i="13"/>
  <c r="F457" i="13"/>
  <c r="E457" i="13"/>
  <c r="H1414" i="13"/>
  <c r="G1414" i="13"/>
  <c r="F1414" i="13"/>
  <c r="E1414" i="13"/>
  <c r="H2061" i="13"/>
  <c r="G2061" i="13"/>
  <c r="F2061" i="13"/>
  <c r="E2061" i="13"/>
  <c r="H433" i="13"/>
  <c r="G433" i="13"/>
  <c r="F433" i="13"/>
  <c r="E433" i="13"/>
  <c r="H1671" i="13"/>
  <c r="G1671" i="13"/>
  <c r="F1671" i="13"/>
  <c r="E1671" i="13"/>
  <c r="H1275" i="13"/>
  <c r="G1275" i="13"/>
  <c r="F1275" i="13"/>
  <c r="E1275" i="13"/>
  <c r="H364" i="13"/>
  <c r="G364" i="13"/>
  <c r="F364" i="13"/>
  <c r="E364" i="13"/>
  <c r="H1029" i="13"/>
  <c r="G1029" i="13"/>
  <c r="F1029" i="13"/>
  <c r="E1029" i="13"/>
  <c r="H273" i="13"/>
  <c r="G273" i="13"/>
  <c r="F273" i="13"/>
  <c r="E273" i="13"/>
  <c r="H2366" i="13"/>
  <c r="G2366" i="13"/>
  <c r="F2366" i="13"/>
  <c r="E2366" i="13"/>
  <c r="H560" i="13"/>
  <c r="G560" i="13"/>
  <c r="F560" i="13"/>
  <c r="E560" i="13"/>
  <c r="H1598" i="13"/>
  <c r="G1598" i="13"/>
  <c r="F1598" i="13"/>
  <c r="E1598" i="13"/>
  <c r="H670" i="13"/>
  <c r="G670" i="13"/>
  <c r="F670" i="13"/>
  <c r="E670" i="13"/>
  <c r="H1387" i="13"/>
  <c r="G1387" i="13"/>
  <c r="F1387" i="13"/>
  <c r="E1387" i="13"/>
  <c r="H620" i="13"/>
  <c r="G620" i="13"/>
  <c r="F620" i="13"/>
  <c r="E620" i="13"/>
  <c r="H2137" i="13"/>
  <c r="G2137" i="13"/>
  <c r="F2137" i="13"/>
  <c r="E2137" i="13"/>
  <c r="H1354" i="13"/>
  <c r="G1354" i="13"/>
  <c r="F1354" i="13"/>
  <c r="E1354" i="13"/>
  <c r="H253" i="13"/>
  <c r="G253" i="13"/>
  <c r="F253" i="13"/>
  <c r="E253" i="13"/>
  <c r="H1670" i="13"/>
  <c r="G1670" i="13"/>
  <c r="F1670" i="13"/>
  <c r="E1670" i="13"/>
  <c r="H1767" i="13"/>
  <c r="G1767" i="13"/>
  <c r="F1767" i="13"/>
  <c r="E1767" i="13"/>
  <c r="H1049" i="13"/>
  <c r="G1049" i="13"/>
  <c r="F1049" i="13"/>
  <c r="E1049" i="13"/>
  <c r="H1586" i="13"/>
  <c r="G1586" i="13"/>
  <c r="F1586" i="13"/>
  <c r="E1586" i="13"/>
  <c r="H2041" i="13"/>
  <c r="G2041" i="13"/>
  <c r="F2041" i="13"/>
  <c r="E2041" i="13"/>
  <c r="H2047" i="13"/>
  <c r="G2047" i="13"/>
  <c r="F2047" i="13"/>
  <c r="E2047" i="13"/>
  <c r="H1674" i="13"/>
  <c r="G1674" i="13"/>
  <c r="F1674" i="13"/>
  <c r="E1674" i="13"/>
  <c r="H848" i="13"/>
  <c r="G848" i="13"/>
  <c r="F848" i="13"/>
  <c r="E848" i="13"/>
  <c r="H1441" i="13"/>
  <c r="G1441" i="13"/>
  <c r="F1441" i="13"/>
  <c r="E1441" i="13"/>
  <c r="H870" i="13"/>
  <c r="G870" i="13"/>
  <c r="F870" i="13"/>
  <c r="E870" i="13"/>
  <c r="H2370" i="13"/>
  <c r="G2370" i="13"/>
  <c r="F2370" i="13"/>
  <c r="E2370" i="13"/>
  <c r="H1630" i="13"/>
  <c r="G1630" i="13"/>
  <c r="F1630" i="13"/>
  <c r="E1630" i="13"/>
  <c r="H1320" i="13"/>
  <c r="G1320" i="13"/>
  <c r="F1320" i="13"/>
  <c r="E1320" i="13"/>
  <c r="H452" i="13"/>
  <c r="G452" i="13"/>
  <c r="F452" i="13"/>
  <c r="E452" i="13"/>
  <c r="H881" i="13"/>
  <c r="G881" i="13"/>
  <c r="F881" i="13"/>
  <c r="E881" i="13"/>
  <c r="H1958" i="13"/>
  <c r="G1958" i="13"/>
  <c r="F1958" i="13"/>
  <c r="E1958" i="13"/>
  <c r="H1048" i="13"/>
  <c r="G1048" i="13"/>
  <c r="F1048" i="13"/>
  <c r="E1048" i="13"/>
  <c r="H841" i="13"/>
  <c r="G841" i="13"/>
  <c r="F841" i="13"/>
  <c r="E841" i="13"/>
  <c r="H2136" i="13"/>
  <c r="G2136" i="13"/>
  <c r="F2136" i="13"/>
  <c r="E2136" i="13"/>
  <c r="H1409" i="13"/>
  <c r="G1409" i="13"/>
  <c r="F1409" i="13"/>
  <c r="E1409" i="13"/>
  <c r="H294" i="13"/>
  <c r="G294" i="13"/>
  <c r="F294" i="13"/>
  <c r="E294" i="13"/>
  <c r="H794" i="13"/>
  <c r="G794" i="13"/>
  <c r="F794" i="13"/>
  <c r="E794" i="13"/>
  <c r="H2010" i="13"/>
  <c r="G2010" i="13"/>
  <c r="F2010" i="13"/>
  <c r="E2010" i="13"/>
  <c r="H232" i="13"/>
  <c r="G232" i="13"/>
  <c r="F232" i="13"/>
  <c r="E232" i="13"/>
  <c r="H962" i="13"/>
  <c r="G962" i="13"/>
  <c r="F962" i="13"/>
  <c r="E962" i="13"/>
  <c r="H1491" i="13"/>
  <c r="G1491" i="13"/>
  <c r="F1491" i="13"/>
  <c r="E1491" i="13"/>
  <c r="H2040" i="13"/>
  <c r="G2040" i="13"/>
  <c r="F2040" i="13"/>
  <c r="E2040" i="13"/>
  <c r="H638" i="13"/>
  <c r="G638" i="13"/>
  <c r="F638" i="13"/>
  <c r="E638" i="13"/>
  <c r="H1610" i="13"/>
  <c r="G1610" i="13"/>
  <c r="F1610" i="13"/>
  <c r="E1610" i="13"/>
  <c r="H540" i="13"/>
  <c r="G540" i="13"/>
  <c r="F540" i="13"/>
  <c r="E540" i="13"/>
  <c r="H379" i="13"/>
  <c r="G379" i="13"/>
  <c r="F379" i="13"/>
  <c r="E379" i="13"/>
  <c r="H2090" i="13"/>
  <c r="G2090" i="13"/>
  <c r="F2090" i="13"/>
  <c r="E2090" i="13"/>
  <c r="H1815" i="13"/>
  <c r="G1815" i="13"/>
  <c r="F1815" i="13"/>
  <c r="E1815" i="13"/>
  <c r="H344" i="13"/>
  <c r="G344" i="13"/>
  <c r="F344" i="13"/>
  <c r="E344" i="13"/>
  <c r="H1844" i="13"/>
  <c r="G1844" i="13"/>
  <c r="F1844" i="13"/>
  <c r="E1844" i="13"/>
  <c r="H1695" i="13"/>
  <c r="G1695" i="13"/>
  <c r="F1695" i="13"/>
  <c r="E1695" i="13"/>
  <c r="H19" i="13"/>
  <c r="G19" i="13"/>
  <c r="F19" i="13"/>
  <c r="E19" i="13"/>
  <c r="H1804" i="13"/>
  <c r="G1804" i="13"/>
  <c r="F1804" i="13"/>
  <c r="E1804" i="13"/>
  <c r="H241" i="13"/>
  <c r="G241" i="13"/>
  <c r="F241" i="13"/>
  <c r="E241" i="13"/>
  <c r="H173" i="13"/>
  <c r="G173" i="13"/>
  <c r="F173" i="13"/>
  <c r="E173" i="13"/>
  <c r="H880" i="13"/>
  <c r="G880" i="13"/>
  <c r="F880" i="13"/>
  <c r="E880" i="13"/>
  <c r="H192" i="13"/>
  <c r="G192" i="13"/>
  <c r="F192" i="13"/>
  <c r="E192" i="13"/>
  <c r="H1957" i="13"/>
  <c r="G1957" i="13"/>
  <c r="F1957" i="13"/>
  <c r="E1957" i="13"/>
  <c r="H388" i="13"/>
  <c r="G388" i="13"/>
  <c r="F388" i="13"/>
  <c r="E388" i="13"/>
  <c r="H18" i="13"/>
  <c r="G18" i="13"/>
  <c r="F18" i="13"/>
  <c r="E18" i="13"/>
  <c r="H70" i="13"/>
  <c r="G70" i="13"/>
  <c r="F70" i="13"/>
  <c r="E70" i="13"/>
  <c r="H1935" i="13"/>
  <c r="G1935" i="13"/>
  <c r="F1935" i="13"/>
  <c r="E1935" i="13"/>
  <c r="H2069" i="13"/>
  <c r="G2069" i="13"/>
  <c r="F2069" i="13"/>
  <c r="E2069" i="13"/>
  <c r="H33" i="13"/>
  <c r="G33" i="13"/>
  <c r="F33" i="13"/>
  <c r="E33" i="13"/>
  <c r="H768" i="13"/>
  <c r="G768" i="13"/>
  <c r="F768" i="13"/>
  <c r="E768" i="13"/>
  <c r="H1649" i="13"/>
  <c r="G1649" i="13"/>
  <c r="F1649" i="13"/>
  <c r="E1649" i="13"/>
  <c r="H2135" i="13"/>
  <c r="G2135" i="13"/>
  <c r="F2135" i="13"/>
  <c r="E2135" i="13"/>
  <c r="H1561" i="13"/>
  <c r="G1561" i="13"/>
  <c r="F1561" i="13"/>
  <c r="E1561" i="13"/>
  <c r="H808" i="13"/>
  <c r="G808" i="13"/>
  <c r="F808" i="13"/>
  <c r="E808" i="13"/>
  <c r="H662" i="13"/>
  <c r="G662" i="13"/>
  <c r="F662" i="13"/>
  <c r="E662" i="13"/>
  <c r="H2253" i="13"/>
  <c r="G2253" i="13"/>
  <c r="F2253" i="13"/>
  <c r="E2253" i="13"/>
  <c r="H1191" i="13"/>
  <c r="G1191" i="13"/>
  <c r="F1191" i="13"/>
  <c r="E1191" i="13"/>
  <c r="H2244" i="13"/>
  <c r="G2244" i="13"/>
  <c r="F2244" i="13"/>
  <c r="E2244" i="13"/>
  <c r="H1947" i="13"/>
  <c r="G1947" i="13"/>
  <c r="F1947" i="13"/>
  <c r="E1947" i="13"/>
  <c r="H937" i="13"/>
  <c r="G937" i="13"/>
  <c r="F937" i="13"/>
  <c r="E937" i="13"/>
  <c r="H527" i="13"/>
  <c r="G527" i="13"/>
  <c r="F527" i="13"/>
  <c r="E527" i="13"/>
  <c r="H1540" i="13"/>
  <c r="G1540" i="13"/>
  <c r="F1540" i="13"/>
  <c r="E1540" i="13"/>
  <c r="H2075" i="13"/>
  <c r="G2075" i="13"/>
  <c r="F2075" i="13"/>
  <c r="E2075" i="13"/>
  <c r="H970" i="13"/>
  <c r="G970" i="13"/>
  <c r="F970" i="13"/>
  <c r="E970" i="13"/>
  <c r="H1262" i="13"/>
  <c r="G1262" i="13"/>
  <c r="F1262" i="13"/>
  <c r="E1262" i="13"/>
  <c r="H1326" i="13"/>
  <c r="G1326" i="13"/>
  <c r="F1326" i="13"/>
  <c r="E1326" i="13"/>
  <c r="H2291" i="13"/>
  <c r="G2291" i="13"/>
  <c r="F2291" i="13"/>
  <c r="E2291" i="13"/>
  <c r="H79" i="13"/>
  <c r="G79" i="13"/>
  <c r="F79" i="13"/>
  <c r="E79" i="13"/>
  <c r="H1988" i="13"/>
  <c r="G1988" i="13"/>
  <c r="F1988" i="13"/>
  <c r="E1988" i="13"/>
  <c r="H1843" i="13"/>
  <c r="G1843" i="13"/>
  <c r="F1843" i="13"/>
  <c r="E1843" i="13"/>
  <c r="H2089" i="13"/>
  <c r="G2089" i="13"/>
  <c r="F2089" i="13"/>
  <c r="E2089" i="13"/>
  <c r="H2150" i="13"/>
  <c r="G2150" i="13"/>
  <c r="F2150" i="13"/>
  <c r="E2150" i="13"/>
  <c r="H1132" i="13"/>
  <c r="G1132" i="13"/>
  <c r="F1132" i="13"/>
  <c r="E1132" i="13"/>
  <c r="H698" i="13"/>
  <c r="G698" i="13"/>
  <c r="F698" i="13"/>
  <c r="E698" i="13"/>
  <c r="H158" i="13"/>
  <c r="G158" i="13"/>
  <c r="F158" i="13"/>
  <c r="E158" i="13"/>
  <c r="H2277" i="13"/>
  <c r="G2277" i="13"/>
  <c r="F2277" i="13"/>
  <c r="E2277" i="13"/>
  <c r="H231" i="13"/>
  <c r="G231" i="13"/>
  <c r="F231" i="13"/>
  <c r="E231" i="13"/>
  <c r="H929" i="13"/>
  <c r="G929" i="13"/>
  <c r="F929" i="13"/>
  <c r="E929" i="13"/>
  <c r="H1047" i="13"/>
  <c r="G1047" i="13"/>
  <c r="F1047" i="13"/>
  <c r="E1047" i="13"/>
  <c r="H387" i="13"/>
  <c r="G387" i="13"/>
  <c r="F387" i="13"/>
  <c r="E387" i="13"/>
  <c r="H157" i="13"/>
  <c r="G157" i="13"/>
  <c r="F157" i="13"/>
  <c r="E157" i="13"/>
  <c r="H2125" i="13"/>
  <c r="G2125" i="13"/>
  <c r="F2125" i="13"/>
  <c r="E2125" i="13"/>
  <c r="H998" i="13"/>
  <c r="G998" i="13"/>
  <c r="F998" i="13"/>
  <c r="E998" i="13"/>
  <c r="H1694" i="13"/>
  <c r="G1694" i="13"/>
  <c r="F1694" i="13"/>
  <c r="E1694" i="13"/>
  <c r="H1689" i="13"/>
  <c r="G1689" i="13"/>
  <c r="F1689" i="13"/>
  <c r="E1689" i="13"/>
  <c r="H1521" i="13"/>
  <c r="G1521" i="13"/>
  <c r="F1521" i="13"/>
  <c r="E1521" i="13"/>
  <c r="H585" i="13"/>
  <c r="G585" i="13"/>
  <c r="F585" i="13"/>
  <c r="E585" i="13"/>
  <c r="H119" i="13"/>
  <c r="G119" i="13"/>
  <c r="F119" i="13"/>
  <c r="E119" i="13"/>
  <c r="H1179" i="13"/>
  <c r="G1179" i="13"/>
  <c r="F1179" i="13"/>
  <c r="E1179" i="13"/>
  <c r="H2134" i="13"/>
  <c r="G2134" i="13"/>
  <c r="F2134" i="13"/>
  <c r="E2134" i="13"/>
  <c r="H301" i="13"/>
  <c r="G301" i="13"/>
  <c r="F301" i="13"/>
  <c r="E301" i="13"/>
  <c r="H281" i="13"/>
  <c r="G281" i="13"/>
  <c r="F281" i="13"/>
  <c r="E281" i="13"/>
  <c r="H1448" i="13"/>
  <c r="G1448" i="13"/>
  <c r="F1448" i="13"/>
  <c r="E1448" i="13"/>
  <c r="H32" i="13"/>
  <c r="G32" i="13"/>
  <c r="F32" i="13"/>
  <c r="E32" i="13"/>
  <c r="H1131" i="13"/>
  <c r="G1131" i="13"/>
  <c r="F1131" i="13"/>
  <c r="E1131" i="13"/>
  <c r="H480" i="13"/>
  <c r="G480" i="13"/>
  <c r="F480" i="13"/>
  <c r="E480" i="13"/>
  <c r="H969" i="13"/>
  <c r="G969" i="13"/>
  <c r="F969" i="13"/>
  <c r="E969" i="13"/>
  <c r="H130" i="13"/>
  <c r="G130" i="13"/>
  <c r="F130" i="13"/>
  <c r="E130" i="13"/>
  <c r="H1129" i="13"/>
  <c r="G1129" i="13"/>
  <c r="F1129" i="13"/>
  <c r="E1129" i="13"/>
  <c r="H961" i="13"/>
  <c r="G961" i="13"/>
  <c r="F961" i="13"/>
  <c r="E961" i="13"/>
  <c r="H1497" i="13"/>
  <c r="G1497" i="13"/>
  <c r="F1497" i="13"/>
  <c r="E1497" i="13"/>
  <c r="H817" i="13"/>
  <c r="G817" i="13"/>
  <c r="F817" i="13"/>
  <c r="E817" i="13"/>
  <c r="H181" i="13"/>
  <c r="G181" i="13"/>
  <c r="F181" i="13"/>
  <c r="E181" i="13"/>
  <c r="H78" i="13"/>
  <c r="G78" i="13"/>
  <c r="F78" i="13"/>
  <c r="E78" i="13"/>
  <c r="H2024" i="13"/>
  <c r="G2024" i="13"/>
  <c r="F2024" i="13"/>
  <c r="E2024" i="13"/>
  <c r="H163" i="13"/>
  <c r="G163" i="13"/>
  <c r="F163" i="13"/>
  <c r="E163" i="13"/>
  <c r="H909" i="13"/>
  <c r="G909" i="13"/>
  <c r="F909" i="13"/>
  <c r="E909" i="13"/>
  <c r="H260" i="13"/>
  <c r="G260" i="13"/>
  <c r="F260" i="13"/>
  <c r="E260" i="13"/>
  <c r="H1847" i="13"/>
  <c r="G1847" i="13"/>
  <c r="F1847" i="13"/>
  <c r="E1847" i="13"/>
  <c r="H172" i="13"/>
  <c r="G172" i="13"/>
  <c r="F172" i="13"/>
  <c r="E172" i="13"/>
  <c r="H693" i="13"/>
  <c r="G693" i="13"/>
  <c r="F693" i="13"/>
  <c r="E693" i="13"/>
  <c r="H1398" i="13"/>
  <c r="G1398" i="13"/>
  <c r="F1398" i="13"/>
  <c r="E1398" i="13"/>
  <c r="H840" i="13"/>
  <c r="G840" i="13"/>
  <c r="F840" i="13"/>
  <c r="E840" i="13"/>
  <c r="H755" i="13"/>
  <c r="G755" i="13"/>
  <c r="F755" i="13"/>
  <c r="E755" i="13"/>
  <c r="H1041" i="13"/>
  <c r="G1041" i="13"/>
  <c r="F1041" i="13"/>
  <c r="E1041" i="13"/>
  <c r="H217" i="13"/>
  <c r="G217" i="13"/>
  <c r="F217" i="13"/>
  <c r="E217" i="13"/>
  <c r="H1842" i="13"/>
  <c r="G1842" i="13"/>
  <c r="F1842" i="13"/>
  <c r="E1842" i="13"/>
  <c r="H1987" i="13"/>
  <c r="G1987" i="13"/>
  <c r="F1987" i="13"/>
  <c r="E1987" i="13"/>
  <c r="H928" i="13"/>
  <c r="G928" i="13"/>
  <c r="F928" i="13"/>
  <c r="E928" i="13"/>
  <c r="H1929" i="13"/>
  <c r="G1929" i="13"/>
  <c r="F1929" i="13"/>
  <c r="E1929" i="13"/>
  <c r="H2121" i="13"/>
  <c r="G2121" i="13"/>
  <c r="F2121" i="13"/>
  <c r="E2121" i="13"/>
  <c r="H692" i="13"/>
  <c r="G692" i="13"/>
  <c r="F692" i="13"/>
  <c r="E692" i="13"/>
  <c r="H1484" i="13"/>
  <c r="G1484" i="13"/>
  <c r="F1484" i="13"/>
  <c r="E1484" i="13"/>
  <c r="H256" i="13"/>
  <c r="G256" i="13"/>
  <c r="F256" i="13"/>
  <c r="E256" i="13"/>
  <c r="H2247" i="13"/>
  <c r="G2247" i="13"/>
  <c r="F2247" i="13"/>
  <c r="E2247" i="13"/>
  <c r="H1198" i="13"/>
  <c r="G1198" i="13"/>
  <c r="F1198" i="13"/>
  <c r="E1198" i="13"/>
  <c r="H2039" i="13"/>
  <c r="G2039" i="13"/>
  <c r="F2039" i="13"/>
  <c r="E2039" i="13"/>
  <c r="H1835" i="13"/>
  <c r="G1835" i="13"/>
  <c r="F1835" i="13"/>
  <c r="E1835" i="13"/>
  <c r="H288" i="13"/>
  <c r="G288" i="13"/>
  <c r="F288" i="13"/>
  <c r="E288" i="13"/>
  <c r="H2057" i="13"/>
  <c r="G2057" i="13"/>
  <c r="F2057" i="13"/>
  <c r="E2057" i="13"/>
  <c r="H92" i="13"/>
  <c r="G92" i="13"/>
  <c r="F92" i="13"/>
  <c r="E92" i="13"/>
  <c r="H2120" i="13"/>
  <c r="G2120" i="13"/>
  <c r="F2120" i="13"/>
  <c r="E2120" i="13"/>
  <c r="H1219" i="13"/>
  <c r="G1219" i="13"/>
  <c r="F1219" i="13"/>
  <c r="E1219" i="13"/>
  <c r="H1616" i="13"/>
  <c r="G1616" i="13"/>
  <c r="F1616" i="13"/>
  <c r="E1616" i="13"/>
  <c r="H334" i="13"/>
  <c r="G334" i="13"/>
  <c r="F334" i="13"/>
  <c r="E334" i="13"/>
  <c r="H2112" i="13"/>
  <c r="G2112" i="13"/>
  <c r="F2112" i="13"/>
  <c r="E2112" i="13"/>
  <c r="H1232" i="13"/>
  <c r="G1232" i="13"/>
  <c r="F1232" i="13"/>
  <c r="E1232" i="13"/>
  <c r="H1274" i="13"/>
  <c r="G1274" i="13"/>
  <c r="F1274" i="13"/>
  <c r="E1274" i="13"/>
  <c r="H373" i="13"/>
  <c r="G373" i="13"/>
  <c r="F373" i="13"/>
  <c r="E373" i="13"/>
  <c r="H767" i="13"/>
  <c r="G767" i="13"/>
  <c r="F767" i="13"/>
  <c r="E767" i="13"/>
  <c r="H1705" i="13"/>
  <c r="G1705" i="13"/>
  <c r="F1705" i="13"/>
  <c r="E1705" i="13"/>
  <c r="H147" i="13"/>
  <c r="G147" i="13"/>
  <c r="F147" i="13"/>
  <c r="E147" i="13"/>
  <c r="H2188" i="13"/>
  <c r="G2188" i="13"/>
  <c r="F2188" i="13"/>
  <c r="E2188" i="13"/>
  <c r="H2149" i="13"/>
  <c r="G2149" i="13"/>
  <c r="F2149" i="13"/>
  <c r="E2149" i="13"/>
  <c r="H1582" i="13"/>
  <c r="G1582" i="13"/>
  <c r="F1582" i="13"/>
  <c r="E1582" i="13"/>
  <c r="H1116" i="13"/>
  <c r="G1116" i="13"/>
  <c r="F1116" i="13"/>
  <c r="E1116" i="13"/>
  <c r="H1273" i="13"/>
  <c r="G1273" i="13"/>
  <c r="F1273" i="13"/>
  <c r="E1273" i="13"/>
  <c r="H2335" i="13"/>
  <c r="G2335" i="13"/>
  <c r="F2335" i="13"/>
  <c r="E2335" i="13"/>
  <c r="H533" i="13"/>
  <c r="G533" i="13"/>
  <c r="F533" i="13"/>
  <c r="E533" i="13"/>
  <c r="H2148" i="13"/>
  <c r="G2148" i="13"/>
  <c r="F2148" i="13"/>
  <c r="E2148" i="13"/>
  <c r="H2243" i="13"/>
  <c r="G2243" i="13"/>
  <c r="F2243" i="13"/>
  <c r="E2243" i="13"/>
  <c r="H716" i="13"/>
  <c r="G716" i="13"/>
  <c r="F716" i="13"/>
  <c r="E716" i="13"/>
  <c r="H705" i="13"/>
  <c r="G705" i="13"/>
  <c r="F705" i="13"/>
  <c r="E705" i="13"/>
  <c r="H308" i="13"/>
  <c r="G308" i="13"/>
  <c r="F308" i="13"/>
  <c r="E308" i="13"/>
  <c r="H1520" i="13"/>
  <c r="G1520" i="13"/>
  <c r="F1520" i="13"/>
  <c r="E1520" i="13"/>
  <c r="H1099" i="13"/>
  <c r="G1099" i="13"/>
  <c r="F1099" i="13"/>
  <c r="E1099" i="13"/>
  <c r="H8" i="13"/>
  <c r="G8" i="13"/>
  <c r="F8" i="13"/>
  <c r="E8" i="13"/>
  <c r="H793" i="13"/>
  <c r="G793" i="13"/>
  <c r="F793" i="13"/>
  <c r="E793" i="13"/>
  <c r="H1345" i="13"/>
  <c r="G1345" i="13"/>
  <c r="F1345" i="13"/>
  <c r="E1345" i="13"/>
  <c r="H746" i="13"/>
  <c r="G746" i="13"/>
  <c r="F746" i="13"/>
  <c r="E746" i="13"/>
  <c r="H1408" i="13"/>
  <c r="G1408" i="13"/>
  <c r="F1408" i="13"/>
  <c r="E1408" i="13"/>
  <c r="H2147" i="13"/>
  <c r="G2147" i="13"/>
  <c r="F2147" i="13"/>
  <c r="E2147" i="13"/>
  <c r="H1231" i="13"/>
  <c r="G1231" i="13"/>
  <c r="F1231" i="13"/>
  <c r="E1231" i="13"/>
  <c r="H1825" i="13"/>
  <c r="G1825" i="13"/>
  <c r="F1825" i="13"/>
  <c r="E1825" i="13"/>
  <c r="H297" i="13"/>
  <c r="G297" i="13"/>
  <c r="F297" i="13"/>
  <c r="E297" i="13"/>
  <c r="H1884" i="13"/>
  <c r="G1884" i="13"/>
  <c r="F1884" i="13"/>
  <c r="E1884" i="13"/>
  <c r="H927" i="13"/>
  <c r="G927" i="13"/>
  <c r="F927" i="13"/>
  <c r="E927" i="13"/>
  <c r="H1712" i="13"/>
  <c r="G1712" i="13"/>
  <c r="F1712" i="13"/>
  <c r="E1712" i="13"/>
  <c r="H1615" i="13"/>
  <c r="G1615" i="13"/>
  <c r="F1615" i="13"/>
  <c r="E1615" i="13"/>
  <c r="H1741" i="13"/>
  <c r="G1741" i="13"/>
  <c r="F1741" i="13"/>
  <c r="E1741" i="13"/>
  <c r="H272" i="13"/>
  <c r="G272" i="13"/>
  <c r="F272" i="13"/>
  <c r="E272" i="13"/>
  <c r="H1669" i="13"/>
  <c r="G1669" i="13"/>
  <c r="F1669" i="13"/>
  <c r="E1669" i="13"/>
  <c r="H691" i="13"/>
  <c r="G691" i="13"/>
  <c r="F691" i="13"/>
  <c r="E691" i="13"/>
  <c r="H1814" i="13"/>
  <c r="G1814" i="13"/>
  <c r="F1814" i="13"/>
  <c r="E1814" i="13"/>
  <c r="H1519" i="13"/>
  <c r="G1519" i="13"/>
  <c r="F1519" i="13"/>
  <c r="E1519" i="13"/>
  <c r="H603" i="13"/>
  <c r="G603" i="13"/>
  <c r="F603" i="13"/>
  <c r="E603" i="13"/>
  <c r="H1467" i="13"/>
  <c r="G1467" i="13"/>
  <c r="F1467" i="13"/>
  <c r="E1467" i="13"/>
  <c r="H200" i="13"/>
  <c r="G200" i="13"/>
  <c r="F200" i="13"/>
  <c r="E200" i="13"/>
  <c r="H1292" i="13"/>
  <c r="G1292" i="13"/>
  <c r="F1292" i="13"/>
  <c r="E1292" i="13"/>
  <c r="H154" i="13"/>
  <c r="G154" i="13"/>
  <c r="F154" i="13"/>
  <c r="E154" i="13"/>
  <c r="H681" i="13"/>
  <c r="G681" i="13"/>
  <c r="F681" i="13"/>
  <c r="E681" i="13"/>
  <c r="H1528" i="13"/>
  <c r="G1528" i="13"/>
  <c r="F1528" i="13"/>
  <c r="E1528" i="13"/>
  <c r="H1372" i="13"/>
  <c r="G1372" i="13"/>
  <c r="F1372" i="13"/>
  <c r="E1372" i="13"/>
  <c r="H199" i="13"/>
  <c r="G199" i="13"/>
  <c r="F199" i="13"/>
  <c r="E199" i="13"/>
  <c r="H715" i="13"/>
  <c r="G715" i="13"/>
  <c r="F715" i="13"/>
  <c r="E715" i="13"/>
  <c r="H1956" i="13"/>
  <c r="G1956" i="13"/>
  <c r="F1956" i="13"/>
  <c r="E1956" i="13"/>
  <c r="H1382" i="13"/>
  <c r="G1382" i="13"/>
  <c r="F1382" i="13"/>
  <c r="E1382" i="13"/>
  <c r="H2068" i="13"/>
  <c r="G2068" i="13"/>
  <c r="F2068" i="13"/>
  <c r="E2068" i="13"/>
  <c r="H1723" i="13"/>
  <c r="G1723" i="13"/>
  <c r="F1723" i="13"/>
  <c r="E1723" i="13"/>
  <c r="H1941" i="13"/>
  <c r="G1941" i="13"/>
  <c r="F1941" i="13"/>
  <c r="E1941" i="13"/>
  <c r="H1597" i="13"/>
  <c r="G1597" i="13"/>
  <c r="F1597" i="13"/>
  <c r="E1597" i="13"/>
  <c r="H2344" i="13"/>
  <c r="G2344" i="13"/>
  <c r="F2344" i="13"/>
  <c r="E2344" i="13"/>
  <c r="H2167" i="13"/>
  <c r="G2167" i="13"/>
  <c r="F2167" i="13"/>
  <c r="E2167" i="13"/>
  <c r="H766" i="13"/>
  <c r="G766" i="13"/>
  <c r="F766" i="13"/>
  <c r="E766" i="13"/>
  <c r="H225" i="13"/>
  <c r="G225" i="13"/>
  <c r="F225" i="13"/>
  <c r="E225" i="13"/>
  <c r="H396" i="13"/>
  <c r="G396" i="13"/>
  <c r="F396" i="13"/>
  <c r="E396" i="13"/>
  <c r="H419" i="13"/>
  <c r="G419" i="13"/>
  <c r="F419" i="13"/>
  <c r="E419" i="13"/>
  <c r="H539" i="13"/>
  <c r="G539" i="13"/>
  <c r="F539" i="13"/>
  <c r="E539" i="13"/>
  <c r="H2365" i="13"/>
  <c r="G2365" i="13"/>
  <c r="F2365" i="13"/>
  <c r="E2365" i="13"/>
  <c r="H685" i="13"/>
  <c r="G685" i="13"/>
  <c r="F685" i="13"/>
  <c r="E685" i="13"/>
  <c r="H1085" i="13"/>
  <c r="G1085" i="13"/>
  <c r="F1085" i="13"/>
  <c r="E1085" i="13"/>
  <c r="H69" i="13"/>
  <c r="G69" i="13"/>
  <c r="F69" i="13"/>
  <c r="E69" i="13"/>
  <c r="H559" i="13"/>
  <c r="G559" i="13"/>
  <c r="F559" i="13"/>
  <c r="E559" i="13"/>
  <c r="H2265" i="13"/>
  <c r="G2265" i="13"/>
  <c r="F2265" i="13"/>
  <c r="E2265" i="13"/>
  <c r="H2290" i="13"/>
  <c r="G2290" i="13"/>
  <c r="F2290" i="13"/>
  <c r="E2290" i="13"/>
  <c r="H792" i="13"/>
  <c r="G792" i="13"/>
  <c r="F792" i="13"/>
  <c r="E792" i="13"/>
  <c r="H791" i="13"/>
  <c r="G791" i="13"/>
  <c r="F791" i="13"/>
  <c r="E791" i="13"/>
  <c r="H1813" i="13"/>
  <c r="G1813" i="13"/>
  <c r="F1813" i="13"/>
  <c r="E1813" i="13"/>
  <c r="H1466" i="13"/>
  <c r="G1466" i="13"/>
  <c r="F1466" i="13"/>
  <c r="E1466" i="13"/>
  <c r="H807" i="13"/>
  <c r="G807" i="13"/>
  <c r="F807" i="13"/>
  <c r="E807" i="13"/>
  <c r="H1230" i="13"/>
  <c r="G1230" i="13"/>
  <c r="F1230" i="13"/>
  <c r="E1230" i="13"/>
  <c r="H723" i="13"/>
  <c r="G723" i="13"/>
  <c r="F723" i="13"/>
  <c r="E723" i="13"/>
  <c r="H352" i="13"/>
  <c r="G352" i="13"/>
  <c r="F352" i="13"/>
  <c r="E352" i="13"/>
  <c r="H1028" i="13"/>
  <c r="G1028" i="13"/>
  <c r="F1028" i="13"/>
  <c r="E1028" i="13"/>
  <c r="H1897" i="13"/>
  <c r="G1897" i="13"/>
  <c r="F1897" i="13"/>
  <c r="E1897" i="13"/>
  <c r="H1332" i="13"/>
  <c r="G1332" i="13"/>
  <c r="F1332" i="13"/>
  <c r="E1332" i="13"/>
  <c r="H280" i="13"/>
  <c r="G280" i="13"/>
  <c r="F280" i="13"/>
  <c r="E280" i="13"/>
  <c r="H889" i="13"/>
  <c r="G889" i="13"/>
  <c r="F889" i="13"/>
  <c r="E889" i="13"/>
  <c r="H2196" i="13"/>
  <c r="G2196" i="13"/>
  <c r="F2196" i="13"/>
  <c r="E2196" i="13"/>
  <c r="H1668" i="13"/>
  <c r="G1668" i="13"/>
  <c r="F1668" i="13"/>
  <c r="E1668" i="13"/>
  <c r="H1995" i="13"/>
  <c r="G1995" i="13"/>
  <c r="F1995" i="13"/>
  <c r="E1995" i="13"/>
  <c r="H1660" i="13"/>
  <c r="G1660" i="13"/>
  <c r="F1660" i="13"/>
  <c r="E1660" i="13"/>
  <c r="H1084" i="13"/>
  <c r="G1084" i="13"/>
  <c r="F1084" i="13"/>
  <c r="E1084" i="13"/>
  <c r="H2395" i="13"/>
  <c r="G2395" i="13"/>
  <c r="F2395" i="13"/>
  <c r="E2395" i="13"/>
  <c r="H1604" i="13"/>
  <c r="G1604" i="13"/>
  <c r="F1604" i="13"/>
  <c r="E1604" i="13"/>
  <c r="H1056" i="13"/>
  <c r="G1056" i="13"/>
  <c r="F1056" i="13"/>
  <c r="E1056" i="13"/>
  <c r="H1539" i="13"/>
  <c r="G1539" i="13"/>
  <c r="F1539" i="13"/>
  <c r="E1539" i="13"/>
  <c r="H252" i="13"/>
  <c r="G252" i="13"/>
  <c r="F252" i="13"/>
  <c r="E252" i="13"/>
  <c r="H1803" i="13"/>
  <c r="G1803" i="13"/>
  <c r="F1803" i="13"/>
  <c r="E1803" i="13"/>
  <c r="H1846" i="13"/>
  <c r="G1846" i="13"/>
  <c r="F1846" i="13"/>
  <c r="E1846" i="13"/>
  <c r="H1067" i="13"/>
  <c r="G1067" i="13"/>
  <c r="F1067" i="13"/>
  <c r="E1067" i="13"/>
  <c r="H1728" i="13"/>
  <c r="G1728" i="13"/>
  <c r="F1728" i="13"/>
  <c r="E1728" i="13"/>
  <c r="H1291" i="13"/>
  <c r="G1291" i="13"/>
  <c r="F1291" i="13"/>
  <c r="E1291" i="13"/>
  <c r="H862" i="13"/>
  <c r="G862" i="13"/>
  <c r="F862" i="13"/>
  <c r="E862" i="13"/>
  <c r="H1955" i="13"/>
  <c r="G1955" i="13"/>
  <c r="F1955" i="13"/>
  <c r="E1955" i="13"/>
  <c r="H146" i="13"/>
  <c r="G146" i="13"/>
  <c r="F146" i="13"/>
  <c r="E146" i="13"/>
  <c r="H1629" i="13"/>
  <c r="G1629" i="13"/>
  <c r="F1629" i="13"/>
  <c r="E1629" i="13"/>
  <c r="H1573" i="13"/>
  <c r="G1573" i="13"/>
  <c r="F1573" i="13"/>
  <c r="E1573" i="13"/>
  <c r="H1188" i="13"/>
  <c r="G1188" i="13"/>
  <c r="F1188" i="13"/>
  <c r="E1188" i="13"/>
  <c r="H1290" i="13"/>
  <c r="G1290" i="13"/>
  <c r="F1290" i="13"/>
  <c r="E1290" i="13"/>
  <c r="H1904" i="13"/>
  <c r="G1904" i="13"/>
  <c r="F1904" i="13"/>
  <c r="E1904" i="13"/>
  <c r="H2236" i="13"/>
  <c r="G2236" i="13"/>
  <c r="F2236" i="13"/>
  <c r="E2236" i="13"/>
  <c r="H1261" i="13"/>
  <c r="G1261" i="13"/>
  <c r="F1261" i="13"/>
  <c r="E1261" i="13"/>
  <c r="H577" i="13"/>
  <c r="G577" i="13"/>
  <c r="F577" i="13"/>
  <c r="E577" i="13"/>
  <c r="H1397" i="13"/>
  <c r="G1397" i="13"/>
  <c r="F1397" i="13"/>
  <c r="E1397" i="13"/>
  <c r="H1869" i="13"/>
  <c r="G1869" i="13"/>
  <c r="F1869" i="13"/>
  <c r="E1869" i="13"/>
  <c r="H1483" i="13"/>
  <c r="G1483" i="13"/>
  <c r="F1483" i="13"/>
  <c r="E1483" i="13"/>
  <c r="H2307" i="13"/>
  <c r="G2307" i="13"/>
  <c r="F2307" i="13"/>
  <c r="E2307" i="13"/>
  <c r="H1893" i="13"/>
  <c r="G1893" i="13"/>
  <c r="F1893" i="13"/>
  <c r="E1893" i="13"/>
  <c r="H2223" i="13"/>
  <c r="G2223" i="13"/>
  <c r="F2223" i="13"/>
  <c r="E2223" i="13"/>
  <c r="H1596" i="13"/>
  <c r="G1596" i="13"/>
  <c r="F1596" i="13"/>
  <c r="E1596" i="13"/>
  <c r="H861" i="13"/>
  <c r="G861" i="13"/>
  <c r="F861" i="13"/>
  <c r="E861" i="13"/>
  <c r="H2312" i="13"/>
  <c r="G2312" i="13"/>
  <c r="F2312" i="13"/>
  <c r="E2312" i="13"/>
  <c r="H2394" i="13"/>
  <c r="G2394" i="13"/>
  <c r="F2394" i="13"/>
  <c r="E2394" i="13"/>
  <c r="H776" i="13"/>
  <c r="G776" i="13"/>
  <c r="F776" i="13"/>
  <c r="E776" i="13"/>
  <c r="H1946" i="13"/>
  <c r="G1946" i="13"/>
  <c r="F1946" i="13"/>
  <c r="E1946" i="13"/>
  <c r="H216" i="13"/>
  <c r="G216" i="13"/>
  <c r="F216" i="13"/>
  <c r="E216" i="13"/>
  <c r="H1711" i="13"/>
  <c r="G1711" i="13"/>
  <c r="F1711" i="13"/>
  <c r="E1711" i="13"/>
  <c r="H1289" i="13"/>
  <c r="G1289" i="13"/>
  <c r="F1289" i="13"/>
  <c r="E1289" i="13"/>
  <c r="H1066" i="13"/>
  <c r="G1066" i="13"/>
  <c r="F1066" i="13"/>
  <c r="E1066" i="13"/>
  <c r="H330" i="13"/>
  <c r="G330" i="13"/>
  <c r="F330" i="13"/>
  <c r="E330" i="13"/>
  <c r="H1257" i="13"/>
  <c r="G1257" i="13"/>
  <c r="F1257" i="13"/>
  <c r="E1257" i="13"/>
  <c r="H765" i="13"/>
  <c r="G765" i="13"/>
  <c r="F765" i="13"/>
  <c r="E765" i="13"/>
  <c r="H1229" i="13"/>
  <c r="G1229" i="13"/>
  <c r="F1229" i="13"/>
  <c r="E1229" i="13"/>
  <c r="H806" i="13"/>
  <c r="G806" i="13"/>
  <c r="F806" i="13"/>
  <c r="E806" i="13"/>
  <c r="H343" i="13"/>
  <c r="G343" i="13"/>
  <c r="F343" i="13"/>
  <c r="E343" i="13"/>
  <c r="H2242" i="13"/>
  <c r="G2242" i="13"/>
  <c r="F2242" i="13"/>
  <c r="E2242" i="13"/>
  <c r="H77" i="13"/>
  <c r="G77" i="13"/>
  <c r="F77" i="13"/>
  <c r="E77" i="13"/>
  <c r="H395" i="13"/>
  <c r="G395" i="13"/>
  <c r="F395" i="13"/>
  <c r="E395" i="13"/>
  <c r="H2264" i="13"/>
  <c r="G2264" i="13"/>
  <c r="F2264" i="13"/>
  <c r="E2264" i="13"/>
  <c r="H968" i="13"/>
  <c r="G968" i="13"/>
  <c r="F968" i="13"/>
  <c r="E968" i="13"/>
  <c r="H869" i="13"/>
  <c r="G869" i="13"/>
  <c r="F869" i="13"/>
  <c r="E869" i="13"/>
  <c r="H357" i="13"/>
  <c r="G357" i="13"/>
  <c r="F357" i="13"/>
  <c r="E357" i="13"/>
  <c r="H926" i="13"/>
  <c r="G926" i="13"/>
  <c r="F926" i="13"/>
  <c r="E926" i="13"/>
  <c r="H1207" i="13"/>
  <c r="G1207" i="13"/>
  <c r="F1207" i="13"/>
  <c r="E1207" i="13"/>
  <c r="H573" i="13"/>
  <c r="G573" i="13"/>
  <c r="F573" i="13"/>
  <c r="E573" i="13"/>
  <c r="H2393" i="13"/>
  <c r="G2393" i="13"/>
  <c r="F2393" i="13"/>
  <c r="E2393" i="13"/>
  <c r="H1452" i="13"/>
  <c r="G1452" i="13"/>
  <c r="F1452" i="13"/>
  <c r="E1452" i="13"/>
  <c r="H1115" i="13"/>
  <c r="G1115" i="13"/>
  <c r="F1115" i="13"/>
  <c r="E1115" i="13"/>
  <c r="H1963" i="13"/>
  <c r="G1963" i="13"/>
  <c r="F1963" i="13"/>
  <c r="E1963" i="13"/>
  <c r="H652" i="13"/>
  <c r="G652" i="13"/>
  <c r="F652" i="13"/>
  <c r="E652" i="13"/>
  <c r="H342" i="13"/>
  <c r="G342" i="13"/>
  <c r="F342" i="13"/>
  <c r="E342" i="13"/>
  <c r="H356" i="13"/>
  <c r="G356" i="13"/>
  <c r="F356" i="13"/>
  <c r="E356" i="13"/>
  <c r="H1986" i="13"/>
  <c r="G1986" i="13"/>
  <c r="F1986" i="13"/>
  <c r="E1986" i="13"/>
  <c r="H2349" i="13"/>
  <c r="G2349" i="13"/>
  <c r="F2349" i="13"/>
  <c r="E2349" i="13"/>
  <c r="H2003" i="13"/>
  <c r="G2003" i="13"/>
  <c r="F2003" i="13"/>
  <c r="E2003" i="13"/>
  <c r="H1465" i="13"/>
  <c r="G1465" i="13"/>
  <c r="F1465" i="13"/>
  <c r="E1465" i="13"/>
  <c r="H1555" i="13"/>
  <c r="G1555" i="13"/>
  <c r="F1555" i="13"/>
  <c r="E1555" i="13"/>
  <c r="H847" i="13"/>
  <c r="G847" i="13"/>
  <c r="F847" i="13"/>
  <c r="E847" i="13"/>
  <c r="H1585" i="13"/>
  <c r="G1585" i="13"/>
  <c r="F1585" i="13"/>
  <c r="E1585" i="13"/>
  <c r="H726" i="13"/>
  <c r="G726" i="13"/>
  <c r="F726" i="13"/>
  <c r="E726" i="13"/>
  <c r="H985" i="13"/>
  <c r="G985" i="13"/>
  <c r="F985" i="13"/>
  <c r="E985" i="13"/>
  <c r="H754" i="13"/>
  <c r="G754" i="13"/>
  <c r="F754" i="13"/>
  <c r="E754" i="13"/>
  <c r="H1595" i="13"/>
  <c r="G1595" i="13"/>
  <c r="F1595" i="13"/>
  <c r="E1595" i="13"/>
  <c r="H1903" i="13"/>
  <c r="G1903" i="13"/>
  <c r="F1903" i="13"/>
  <c r="E1903" i="13"/>
  <c r="H1371" i="13"/>
  <c r="G1371" i="13"/>
  <c r="F1371" i="13"/>
  <c r="E1371" i="13"/>
  <c r="H2202" i="13"/>
  <c r="G2202" i="13"/>
  <c r="F2202" i="13"/>
  <c r="E2202" i="13"/>
  <c r="H1834" i="13"/>
  <c r="G1834" i="13"/>
  <c r="F1834" i="13"/>
  <c r="E1834" i="13"/>
  <c r="H1717" i="13"/>
  <c r="G1717" i="13"/>
  <c r="F1717" i="13"/>
  <c r="E1717" i="13"/>
  <c r="H145" i="13"/>
  <c r="G145" i="13"/>
  <c r="F145" i="13"/>
  <c r="E145" i="13"/>
  <c r="H1002" i="13"/>
  <c r="G1002" i="13"/>
  <c r="F1002" i="13"/>
  <c r="E1002" i="13"/>
  <c r="H1527" i="13"/>
  <c r="G1527" i="13"/>
  <c r="F1527" i="13"/>
  <c r="E1527" i="13"/>
  <c r="H1228" i="13"/>
  <c r="G1228" i="13"/>
  <c r="F1228" i="13"/>
  <c r="E1228" i="13"/>
  <c r="H1407" i="13"/>
  <c r="G1407" i="13"/>
  <c r="F1407" i="13"/>
  <c r="E1407" i="13"/>
  <c r="H2159" i="13"/>
  <c r="G2159" i="13"/>
  <c r="F2159" i="13"/>
  <c r="E2159" i="13"/>
  <c r="H212" i="13"/>
  <c r="G212" i="13"/>
  <c r="F212" i="13"/>
  <c r="E212" i="13"/>
  <c r="H1386" i="13"/>
  <c r="G1386" i="13"/>
  <c r="F1386" i="13"/>
  <c r="E1386" i="13"/>
  <c r="H1302" i="13"/>
  <c r="G1302" i="13"/>
  <c r="F1302" i="13"/>
  <c r="E1302" i="13"/>
  <c r="H731" i="13"/>
  <c r="G731" i="13"/>
  <c r="F731" i="13"/>
  <c r="E731" i="13"/>
  <c r="H1560" i="13"/>
  <c r="G1560" i="13"/>
  <c r="F1560" i="13"/>
  <c r="E1560" i="13"/>
  <c r="H2111" i="13"/>
  <c r="G2111" i="13"/>
  <c r="F2111" i="13"/>
  <c r="E2111" i="13"/>
  <c r="H312" i="13"/>
  <c r="G312" i="13"/>
  <c r="F312" i="13"/>
  <c r="E312" i="13"/>
  <c r="H1962" i="13"/>
  <c r="G1962" i="13"/>
  <c r="F1962" i="13"/>
  <c r="E1962" i="13"/>
  <c r="H99" i="13"/>
  <c r="G99" i="13"/>
  <c r="F99" i="13"/>
  <c r="E99" i="13"/>
  <c r="H1945" i="13"/>
  <c r="G1945" i="13"/>
  <c r="F1945" i="13"/>
  <c r="E1945" i="13"/>
  <c r="H1760" i="13"/>
  <c r="G1760" i="13"/>
  <c r="F1760" i="13"/>
  <c r="E1760" i="13"/>
  <c r="H722" i="13"/>
  <c r="G722" i="13"/>
  <c r="F722" i="13"/>
  <c r="E722" i="13"/>
  <c r="H2002" i="13"/>
  <c r="G2002" i="13"/>
  <c r="F2002" i="13"/>
  <c r="E2002" i="13"/>
  <c r="H1256" i="13"/>
  <c r="G1256" i="13"/>
  <c r="F1256" i="13"/>
  <c r="E1256" i="13"/>
  <c r="H1994" i="13"/>
  <c r="G1994" i="13"/>
  <c r="F1994" i="13"/>
  <c r="E1994" i="13"/>
  <c r="H2286" i="13"/>
  <c r="G2286" i="13"/>
  <c r="F2286" i="13"/>
  <c r="E2286" i="13"/>
  <c r="H967" i="13"/>
  <c r="G967" i="13"/>
  <c r="F967" i="13"/>
  <c r="E967" i="13"/>
  <c r="H958" i="13"/>
  <c r="G958" i="13"/>
  <c r="F958" i="13"/>
  <c r="E958" i="13"/>
  <c r="H697" i="13"/>
  <c r="G697" i="13"/>
  <c r="F697" i="13"/>
  <c r="E697" i="13"/>
  <c r="H1046" i="13"/>
  <c r="G1046" i="13"/>
  <c r="F1046" i="13"/>
  <c r="E1046" i="13"/>
  <c r="H444" i="13"/>
  <c r="G444" i="13"/>
  <c r="F444" i="13"/>
  <c r="E444" i="13"/>
  <c r="H1740" i="13"/>
  <c r="G1740" i="13"/>
  <c r="F1740" i="13"/>
  <c r="E1740" i="13"/>
  <c r="H2110" i="13"/>
  <c r="G2110" i="13"/>
  <c r="F2110" i="13"/>
  <c r="E2110" i="13"/>
  <c r="H472" i="13"/>
  <c r="G472" i="13"/>
  <c r="F472" i="13"/>
  <c r="E472" i="13"/>
  <c r="H2056" i="13"/>
  <c r="G2056" i="13"/>
  <c r="F2056" i="13"/>
  <c r="E2056" i="13"/>
  <c r="H1755" i="13"/>
  <c r="G1755" i="13"/>
  <c r="F1755" i="13"/>
  <c r="E1755" i="13"/>
  <c r="H1490" i="13"/>
  <c r="G1490" i="13"/>
  <c r="F1490" i="13"/>
  <c r="E1490" i="13"/>
  <c r="H1309" i="13"/>
  <c r="G1309" i="13"/>
  <c r="F1309" i="13"/>
  <c r="E1309" i="13"/>
  <c r="H1206" i="13"/>
  <c r="G1206" i="13"/>
  <c r="F1206" i="13"/>
  <c r="E1206" i="13"/>
  <c r="H198" i="13"/>
  <c r="G198" i="13"/>
  <c r="F198" i="13"/>
  <c r="E198" i="13"/>
  <c r="H1197" i="13"/>
  <c r="G1197" i="13"/>
  <c r="F1197" i="13"/>
  <c r="E1197" i="13"/>
  <c r="H936" i="13"/>
  <c r="G936" i="13"/>
  <c r="F936" i="13"/>
  <c r="E936" i="13"/>
  <c r="H76" i="13"/>
  <c r="G76" i="13"/>
  <c r="F76" i="13"/>
  <c r="E76" i="13"/>
  <c r="H1902" i="13"/>
  <c r="G1902" i="13"/>
  <c r="F1902" i="13"/>
  <c r="E1902" i="13"/>
  <c r="H1440" i="13"/>
  <c r="G1440" i="13"/>
  <c r="F1440" i="13"/>
  <c r="E1440" i="13"/>
  <c r="H1175" i="13"/>
  <c r="G1175" i="13"/>
  <c r="F1175" i="13"/>
  <c r="E1175" i="13"/>
  <c r="H2119" i="13"/>
  <c r="G2119" i="13"/>
  <c r="F2119" i="13"/>
  <c r="E2119" i="13"/>
  <c r="H156" i="13"/>
  <c r="G156" i="13"/>
  <c r="F156" i="13"/>
  <c r="E156" i="13"/>
  <c r="H1796" i="13"/>
  <c r="G1796" i="13"/>
  <c r="F1796" i="13"/>
  <c r="E1796" i="13"/>
  <c r="H1974" i="13"/>
  <c r="G1974" i="13"/>
  <c r="F1974" i="13"/>
  <c r="E1974" i="13"/>
  <c r="H1370" i="13"/>
  <c r="G1370" i="13"/>
  <c r="F1370" i="13"/>
  <c r="E1370" i="13"/>
  <c r="H1447" i="13"/>
  <c r="G1447" i="13"/>
  <c r="F1447" i="13"/>
  <c r="E1447" i="13"/>
  <c r="H271" i="13"/>
  <c r="G271" i="13"/>
  <c r="F271" i="13"/>
  <c r="E271" i="13"/>
  <c r="H1396" i="13"/>
  <c r="G1396" i="13"/>
  <c r="F1396" i="13"/>
  <c r="E1396" i="13"/>
  <c r="H1934" i="13"/>
  <c r="G1934" i="13"/>
  <c r="F1934" i="13"/>
  <c r="E1934" i="13"/>
  <c r="H1812" i="13"/>
  <c r="G1812" i="13"/>
  <c r="F1812" i="13"/>
  <c r="E1812" i="13"/>
  <c r="H270" i="13"/>
  <c r="G270" i="13"/>
  <c r="F270" i="13"/>
  <c r="E270" i="13"/>
  <c r="H61" i="13"/>
  <c r="G61" i="13"/>
  <c r="F61" i="13"/>
  <c r="E61" i="13"/>
  <c r="H690" i="13"/>
  <c r="G690" i="13"/>
  <c r="F690" i="13"/>
  <c r="E690" i="13"/>
  <c r="H1353" i="13"/>
  <c r="G1353" i="13"/>
  <c r="F1353" i="13"/>
  <c r="E1353" i="13"/>
  <c r="H1785" i="13"/>
  <c r="G1785" i="13"/>
  <c r="F1785" i="13"/>
  <c r="E1785" i="13"/>
  <c r="H2372" i="13"/>
  <c r="G2372" i="13"/>
  <c r="F2372" i="13"/>
  <c r="E2372" i="13"/>
  <c r="H1269" i="13"/>
  <c r="G1269" i="13"/>
  <c r="F1269" i="13"/>
  <c r="E1269" i="13"/>
  <c r="H1954" i="13"/>
  <c r="G1954" i="13"/>
  <c r="F1954" i="13"/>
  <c r="E1954" i="13"/>
  <c r="H1621" i="13"/>
  <c r="G1621" i="13"/>
  <c r="F1621" i="13"/>
  <c r="E1621" i="13"/>
  <c r="H2046" i="13"/>
  <c r="G2046" i="13"/>
  <c r="F2046" i="13"/>
  <c r="E2046" i="13"/>
  <c r="H661" i="13"/>
  <c r="G661" i="13"/>
  <c r="F661" i="13"/>
  <c r="E661" i="13"/>
  <c r="H1833" i="13"/>
  <c r="G1833" i="13"/>
  <c r="F1833" i="13"/>
  <c r="E1833" i="13"/>
  <c r="H1581" i="13"/>
  <c r="G1581" i="13"/>
  <c r="F1581" i="13"/>
  <c r="E1581" i="13"/>
  <c r="H49" i="13"/>
  <c r="G49" i="13"/>
  <c r="F49" i="13"/>
  <c r="E49" i="13"/>
  <c r="H2088" i="13"/>
  <c r="G2088" i="13"/>
  <c r="F2088" i="13"/>
  <c r="E2088" i="13"/>
  <c r="H1567" i="13"/>
  <c r="G1567" i="13"/>
  <c r="F1567" i="13"/>
  <c r="E1567" i="13"/>
  <c r="H1639" i="13"/>
  <c r="G1639" i="13"/>
  <c r="F1639" i="13"/>
  <c r="E1639" i="13"/>
  <c r="H846" i="13"/>
  <c r="G846" i="13"/>
  <c r="F846" i="13"/>
  <c r="E846" i="13"/>
  <c r="H1352" i="13"/>
  <c r="G1352" i="13"/>
  <c r="F1352" i="13"/>
  <c r="E1352" i="13"/>
  <c r="H1128" i="13"/>
  <c r="G1128" i="13"/>
  <c r="F1128" i="13"/>
  <c r="E1128" i="13"/>
  <c r="H2001" i="13"/>
  <c r="G2001" i="13"/>
  <c r="F2001" i="13"/>
  <c r="E2001" i="13"/>
  <c r="H2297" i="13"/>
  <c r="G2297" i="13"/>
  <c r="F2297" i="13"/>
  <c r="E2297" i="13"/>
  <c r="H479" i="13"/>
  <c r="G479" i="13"/>
  <c r="F479" i="13"/>
  <c r="E479" i="13"/>
  <c r="H349" i="13"/>
  <c r="G349" i="13"/>
  <c r="F349" i="13"/>
  <c r="E349" i="13"/>
  <c r="H1982" i="13"/>
  <c r="G1982" i="13"/>
  <c r="F1982" i="13"/>
  <c r="E1982" i="13"/>
  <c r="H1212" i="13"/>
  <c r="G1212" i="13"/>
  <c r="F1212" i="13"/>
  <c r="E1212" i="13"/>
  <c r="H1187" i="13"/>
  <c r="G1187" i="13"/>
  <c r="F1187" i="13"/>
  <c r="E1187" i="13"/>
  <c r="H403" i="13"/>
  <c r="G403" i="13"/>
  <c r="F403" i="13"/>
  <c r="E403" i="13"/>
  <c r="H98" i="13"/>
  <c r="G98" i="13"/>
  <c r="F98" i="13"/>
  <c r="E98" i="13"/>
  <c r="H1916" i="13"/>
  <c r="G1916" i="13"/>
  <c r="F1916" i="13"/>
  <c r="E1916" i="13"/>
  <c r="H1638" i="13"/>
  <c r="G1638" i="13"/>
  <c r="F1638" i="13"/>
  <c r="E1638" i="13"/>
  <c r="H274" i="13"/>
  <c r="G274" i="13"/>
  <c r="F274" i="13"/>
  <c r="E274" i="13"/>
  <c r="H1406" i="13"/>
  <c r="G1406" i="13"/>
  <c r="F1406" i="13"/>
  <c r="E1406" i="13"/>
  <c r="H1637" i="13"/>
  <c r="G1637" i="13"/>
  <c r="F1637" i="13"/>
  <c r="E1637" i="13"/>
  <c r="H1688" i="13"/>
  <c r="G1688" i="13"/>
  <c r="F1688" i="13"/>
  <c r="E1688" i="13"/>
  <c r="H2187" i="13"/>
  <c r="G2187" i="13"/>
  <c r="F2187" i="13"/>
  <c r="E2187" i="13"/>
  <c r="H1255" i="13"/>
  <c r="G1255" i="13"/>
  <c r="F1255" i="13"/>
  <c r="E1255" i="13"/>
  <c r="H1716" i="13"/>
  <c r="G1716" i="13"/>
  <c r="F1716" i="13"/>
  <c r="E1716" i="13"/>
  <c r="H2306" i="13"/>
  <c r="G2306" i="13"/>
  <c r="F2306" i="13"/>
  <c r="E2306" i="13"/>
  <c r="H1218" i="13"/>
  <c r="G1218" i="13"/>
  <c r="F1218" i="13"/>
  <c r="E1218" i="13"/>
  <c r="H471" i="13"/>
  <c r="G471" i="13"/>
  <c r="F471" i="13"/>
  <c r="E471" i="13"/>
  <c r="H91" i="13"/>
  <c r="G91" i="13"/>
  <c r="F91" i="13"/>
  <c r="E91" i="13"/>
  <c r="H230" i="13"/>
  <c r="G230" i="13"/>
  <c r="F230" i="13"/>
  <c r="E230" i="13"/>
  <c r="H1510" i="13"/>
  <c r="G1510" i="13"/>
  <c r="F1510" i="13"/>
  <c r="E1510" i="13"/>
  <c r="H1055" i="13"/>
  <c r="G1055" i="13"/>
  <c r="F1055" i="13"/>
  <c r="E1055" i="13"/>
  <c r="H48" i="13"/>
  <c r="G48" i="13"/>
  <c r="F48" i="13"/>
  <c r="E48" i="13"/>
  <c r="H1080" i="13"/>
  <c r="G1080" i="13"/>
  <c r="F1080" i="13"/>
  <c r="E1080" i="13"/>
  <c r="H153" i="13"/>
  <c r="G153" i="13"/>
  <c r="F153" i="13"/>
  <c r="E153" i="13"/>
  <c r="H2392" i="13"/>
  <c r="G2392" i="13"/>
  <c r="F2392" i="13"/>
  <c r="E2392" i="13"/>
  <c r="H1421" i="13"/>
  <c r="G1421" i="13"/>
  <c r="F1421" i="13"/>
  <c r="E1421" i="13"/>
  <c r="H826" i="13"/>
  <c r="G826" i="13"/>
  <c r="F826" i="13"/>
  <c r="E826" i="13"/>
  <c r="H1130" i="13"/>
  <c r="G1130" i="13"/>
  <c r="F1130" i="13"/>
  <c r="E1130" i="13"/>
  <c r="H1704" i="13"/>
  <c r="G1704" i="13"/>
  <c r="F1704" i="13"/>
  <c r="E1704" i="13"/>
  <c r="H2074" i="13"/>
  <c r="G2074" i="13"/>
  <c r="F2074" i="13"/>
  <c r="E2074" i="13"/>
  <c r="H1832" i="13"/>
  <c r="G1832" i="13"/>
  <c r="F1832" i="13"/>
  <c r="E1832" i="13"/>
  <c r="H2285" i="13"/>
  <c r="G2285" i="13"/>
  <c r="F2285" i="13"/>
  <c r="E2285" i="13"/>
  <c r="H2009" i="13"/>
  <c r="G2009" i="13"/>
  <c r="F2009" i="13"/>
  <c r="E2009" i="13"/>
  <c r="H1636" i="13"/>
  <c r="G1636" i="13"/>
  <c r="F1636" i="13"/>
  <c r="E1636" i="13"/>
  <c r="H329" i="13"/>
  <c r="G329" i="13"/>
  <c r="F329" i="13"/>
  <c r="E329" i="13"/>
  <c r="H1147" i="13"/>
  <c r="G1147" i="13"/>
  <c r="F1147" i="13"/>
  <c r="E1147" i="13"/>
  <c r="H2343" i="13"/>
  <c r="G2343" i="13"/>
  <c r="F2343" i="13"/>
  <c r="E2343" i="13"/>
  <c r="H402" i="13"/>
  <c r="G402" i="13"/>
  <c r="F402" i="13"/>
  <c r="E402" i="13"/>
  <c r="H917" i="13"/>
  <c r="G917" i="13"/>
  <c r="F917" i="13"/>
  <c r="E917" i="13"/>
  <c r="H1146" i="13"/>
  <c r="G1146" i="13"/>
  <c r="F1146" i="13"/>
  <c r="E1146" i="13"/>
  <c r="H2404" i="13"/>
  <c r="G2404" i="13"/>
  <c r="F2404" i="13"/>
  <c r="E2404" i="13"/>
  <c r="H2284" i="13"/>
  <c r="G2284" i="13"/>
  <c r="F2284" i="13"/>
  <c r="E2284" i="13"/>
  <c r="H2181" i="13"/>
  <c r="G2181" i="13"/>
  <c r="F2181" i="13"/>
  <c r="E2181" i="13"/>
  <c r="H144" i="13"/>
  <c r="G144" i="13"/>
  <c r="F144" i="13"/>
  <c r="E144" i="13"/>
  <c r="H704" i="13"/>
  <c r="G704" i="13"/>
  <c r="F704" i="13"/>
  <c r="E704" i="13"/>
  <c r="H492" i="13"/>
  <c r="G492" i="13"/>
  <c r="F492" i="13"/>
  <c r="E492" i="13"/>
  <c r="H47" i="13"/>
  <c r="G47" i="13"/>
  <c r="F47" i="13"/>
  <c r="E47" i="13"/>
  <c r="H412" i="13"/>
  <c r="G412" i="13"/>
  <c r="F412" i="13"/>
  <c r="E412" i="13"/>
  <c r="H2330" i="13"/>
  <c r="G2330" i="13"/>
  <c r="F2330" i="13"/>
  <c r="E2330" i="13"/>
  <c r="H1854" i="13"/>
  <c r="G1854" i="13"/>
  <c r="F1854" i="13"/>
  <c r="E1854" i="13"/>
  <c r="H1687" i="13"/>
  <c r="G1687" i="13"/>
  <c r="F1687" i="13"/>
  <c r="E1687" i="13"/>
  <c r="H2180" i="13"/>
  <c r="G2180" i="13"/>
  <c r="F2180" i="13"/>
  <c r="E2180" i="13"/>
  <c r="H138" i="13"/>
  <c r="G138" i="13"/>
  <c r="F138" i="13"/>
  <c r="E138" i="13"/>
  <c r="H68" i="13"/>
  <c r="G68" i="13"/>
  <c r="F68" i="13"/>
  <c r="E68" i="13"/>
  <c r="H1868" i="13"/>
  <c r="G1868" i="13"/>
  <c r="F1868" i="13"/>
  <c r="E1868" i="13"/>
  <c r="H328" i="13"/>
  <c r="G328" i="13"/>
  <c r="F328" i="13"/>
  <c r="E328" i="13"/>
  <c r="H180" i="13"/>
  <c r="G180" i="13"/>
  <c r="F180" i="13"/>
  <c r="E180" i="13"/>
  <c r="H1981" i="13"/>
  <c r="G1981" i="13"/>
  <c r="F1981" i="13"/>
  <c r="E1981" i="13"/>
  <c r="H1908" i="13"/>
  <c r="G1908" i="13"/>
  <c r="F1908" i="13"/>
  <c r="E1908" i="13"/>
  <c r="H1831" i="13"/>
  <c r="G1831" i="13"/>
  <c r="F1831" i="13"/>
  <c r="E1831" i="13"/>
  <c r="H2364" i="13"/>
  <c r="G2364" i="13"/>
  <c r="F2364" i="13"/>
  <c r="E2364" i="13"/>
  <c r="H251" i="13"/>
  <c r="G251" i="13"/>
  <c r="F251" i="13"/>
  <c r="E251" i="13"/>
  <c r="H162" i="13"/>
  <c r="G162" i="13"/>
  <c r="F162" i="13"/>
  <c r="E162" i="13"/>
  <c r="H2235" i="13"/>
  <c r="G2235" i="13"/>
  <c r="F2235" i="13"/>
  <c r="E2235" i="13"/>
  <c r="H2263" i="13"/>
  <c r="G2263" i="13"/>
  <c r="F2263" i="13"/>
  <c r="E2263" i="13"/>
  <c r="H386" i="13"/>
  <c r="G386" i="13"/>
  <c r="F386" i="13"/>
  <c r="E386" i="13"/>
  <c r="H470" i="13"/>
  <c r="G470" i="13"/>
  <c r="F470" i="13"/>
  <c r="E470" i="13"/>
  <c r="H411" i="13"/>
  <c r="G411" i="13"/>
  <c r="F411" i="13"/>
  <c r="E411" i="13"/>
  <c r="H491" i="13"/>
  <c r="G491" i="13"/>
  <c r="F491" i="13"/>
  <c r="E491" i="13"/>
  <c r="H589" i="13"/>
  <c r="G589" i="13"/>
  <c r="F589" i="13"/>
  <c r="E589" i="13"/>
  <c r="H1980" i="13"/>
  <c r="G1980" i="13"/>
  <c r="F1980" i="13"/>
  <c r="E1980" i="13"/>
  <c r="H385" i="13"/>
  <c r="G385" i="13"/>
  <c r="F385" i="13"/>
  <c r="E385" i="13"/>
  <c r="H1841" i="13"/>
  <c r="G1841" i="13"/>
  <c r="F1841" i="13"/>
  <c r="E1841" i="13"/>
  <c r="H775" i="13"/>
  <c r="G775" i="13"/>
  <c r="F775" i="13"/>
  <c r="E775" i="13"/>
  <c r="H363" i="13"/>
  <c r="G363" i="13"/>
  <c r="F363" i="13"/>
  <c r="E363" i="13"/>
  <c r="H975" i="13"/>
  <c r="G975" i="13"/>
  <c r="F975" i="13"/>
  <c r="E975" i="13"/>
  <c r="H813" i="13"/>
  <c r="G813" i="13"/>
  <c r="F813" i="13"/>
  <c r="E813" i="13"/>
  <c r="H1019" i="13"/>
  <c r="G1019" i="13"/>
  <c r="F1019" i="13"/>
  <c r="E1019" i="13"/>
  <c r="H2252" i="13"/>
  <c r="G2252" i="13"/>
  <c r="F2252" i="13"/>
  <c r="E2252" i="13"/>
  <c r="H2179" i="13"/>
  <c r="G2179" i="13"/>
  <c r="F2179" i="13"/>
  <c r="E2179" i="13"/>
  <c r="H2055" i="13"/>
  <c r="G2055" i="13"/>
  <c r="F2055" i="13"/>
  <c r="E2055" i="13"/>
  <c r="H2222" i="13"/>
  <c r="G2222" i="13"/>
  <c r="F2222" i="13"/>
  <c r="E2222" i="13"/>
  <c r="H703" i="13"/>
  <c r="G703" i="13"/>
  <c r="F703" i="13"/>
  <c r="E703" i="13"/>
  <c r="H774" i="13"/>
  <c r="G774" i="13"/>
  <c r="F774" i="13"/>
  <c r="E774" i="13"/>
  <c r="H2403" i="13"/>
  <c r="G2403" i="13"/>
  <c r="F2403" i="13"/>
  <c r="E2403" i="13"/>
  <c r="H2221" i="13"/>
  <c r="G2221" i="13"/>
  <c r="F2221" i="13"/>
  <c r="E2221" i="13"/>
  <c r="H2045" i="13"/>
  <c r="G2045" i="13"/>
  <c r="F2045" i="13"/>
  <c r="E2045" i="13"/>
  <c r="H1110" i="13"/>
  <c r="G1110" i="13"/>
  <c r="F1110" i="13"/>
  <c r="E1110" i="13"/>
  <c r="H790" i="13"/>
  <c r="G790" i="13"/>
  <c r="F790" i="13"/>
  <c r="E790" i="13"/>
  <c r="H171" i="13"/>
  <c r="G171" i="13"/>
  <c r="F171" i="13"/>
  <c r="E171" i="13"/>
  <c r="H378" i="13"/>
  <c r="G378" i="13"/>
  <c r="F378" i="13"/>
  <c r="E378" i="13"/>
  <c r="H1860" i="13"/>
  <c r="G1860" i="13"/>
  <c r="F1860" i="13"/>
  <c r="E1860" i="13"/>
  <c r="H185" i="13"/>
  <c r="G185" i="13"/>
  <c r="F185" i="13"/>
  <c r="E185" i="13"/>
  <c r="H1779" i="13"/>
  <c r="G1779" i="13"/>
  <c r="F1779" i="13"/>
  <c r="E1779" i="13"/>
  <c r="H368" i="13"/>
  <c r="G368" i="13"/>
  <c r="F368" i="13"/>
  <c r="E368" i="13"/>
  <c r="H2044" i="13"/>
  <c r="G2044" i="13"/>
  <c r="F2044" i="13"/>
  <c r="E2044" i="13"/>
  <c r="H2251" i="13"/>
  <c r="G2251" i="13"/>
  <c r="F2251" i="13"/>
  <c r="E2251" i="13"/>
  <c r="H2363" i="13"/>
  <c r="G2363" i="13"/>
  <c r="F2363" i="13"/>
  <c r="E2363" i="13"/>
  <c r="H2215" i="13"/>
  <c r="G2215" i="13"/>
  <c r="F2215" i="13"/>
  <c r="E2215" i="13"/>
  <c r="H1792" i="13"/>
  <c r="G1792" i="13"/>
  <c r="F1792" i="13"/>
  <c r="E1792" i="13"/>
  <c r="H152" i="13"/>
  <c r="G152" i="13"/>
  <c r="F152" i="13"/>
  <c r="E152" i="13"/>
  <c r="H1883" i="13"/>
  <c r="G1883" i="13"/>
  <c r="F1883" i="13"/>
  <c r="E1883" i="13"/>
  <c r="H1362" i="13"/>
  <c r="G1362" i="13"/>
  <c r="F1362" i="13"/>
  <c r="E1362" i="13"/>
  <c r="H2000" i="13"/>
  <c r="G2000" i="13"/>
  <c r="F2000" i="13"/>
  <c r="E2000" i="13"/>
  <c r="H922" i="13"/>
  <c r="G922" i="13"/>
  <c r="F922" i="13"/>
  <c r="E922" i="13"/>
  <c r="H170" i="13"/>
  <c r="G170" i="13"/>
  <c r="F170" i="13"/>
  <c r="E170" i="13"/>
  <c r="H745" i="13"/>
  <c r="G745" i="13"/>
  <c r="F745" i="13"/>
  <c r="E745" i="13"/>
  <c r="H2028" i="13"/>
  <c r="G2028" i="13"/>
  <c r="F2028" i="13"/>
  <c r="E2028" i="13"/>
  <c r="H229" i="13"/>
  <c r="G229" i="13"/>
  <c r="F229" i="13"/>
  <c r="E229" i="13"/>
  <c r="H1369" i="13"/>
  <c r="G1369" i="13"/>
  <c r="F1369" i="13"/>
  <c r="E1369" i="13"/>
  <c r="H1018" i="13"/>
  <c r="G1018" i="13"/>
  <c r="F1018" i="13"/>
  <c r="E1018" i="13"/>
  <c r="H2186" i="13"/>
  <c r="G2186" i="13"/>
  <c r="F2186" i="13"/>
  <c r="E2186" i="13"/>
  <c r="H632" i="13"/>
  <c r="G632" i="13"/>
  <c r="F632" i="13"/>
  <c r="E632" i="13"/>
  <c r="H572" i="13"/>
  <c r="G572" i="13"/>
  <c r="F572" i="13"/>
  <c r="E572" i="13"/>
  <c r="H1799" i="13"/>
  <c r="G1799" i="13"/>
  <c r="F1799" i="13"/>
  <c r="E1799" i="13"/>
  <c r="H1921" i="13"/>
  <c r="G1921" i="13"/>
  <c r="F1921" i="13"/>
  <c r="E1921" i="13"/>
  <c r="H169" i="13"/>
  <c r="G169" i="13"/>
  <c r="F169" i="13"/>
  <c r="E169" i="13"/>
  <c r="H17" i="13"/>
  <c r="G17" i="13"/>
  <c r="F17" i="13"/>
  <c r="E17" i="13"/>
  <c r="H952" i="13"/>
  <c r="G952" i="13"/>
  <c r="F952" i="13"/>
  <c r="E952" i="13"/>
  <c r="H1227" i="13"/>
  <c r="G1227" i="13"/>
  <c r="F1227" i="13"/>
  <c r="E1227" i="13"/>
  <c r="H1301" i="13"/>
  <c r="G1301" i="13"/>
  <c r="F1301" i="13"/>
  <c r="E1301" i="13"/>
  <c r="H2348" i="13"/>
  <c r="G2348" i="13"/>
  <c r="F2348" i="13"/>
  <c r="E2348" i="13"/>
  <c r="H966" i="13"/>
  <c r="G966" i="13"/>
  <c r="F966" i="13"/>
  <c r="E966" i="13"/>
  <c r="H1496" i="13"/>
  <c r="G1496" i="13"/>
  <c r="F1496" i="13"/>
  <c r="E1496" i="13"/>
  <c r="H1546" i="13"/>
  <c r="G1546" i="13"/>
  <c r="F1546" i="13"/>
  <c r="E1546" i="13"/>
  <c r="H1648" i="13"/>
  <c r="G1648" i="13"/>
  <c r="F1648" i="13"/>
  <c r="E1648" i="13"/>
  <c r="H1420" i="13"/>
  <c r="G1420" i="13"/>
  <c r="F1420" i="13"/>
  <c r="E1420" i="13"/>
  <c r="H1614" i="13"/>
  <c r="G1614" i="13"/>
  <c r="F1614" i="13"/>
  <c r="E1614" i="13"/>
  <c r="H1840" i="13"/>
  <c r="G1840" i="13"/>
  <c r="F1840" i="13"/>
  <c r="E1840" i="13"/>
  <c r="H805" i="13"/>
  <c r="G805" i="13"/>
  <c r="F805" i="13"/>
  <c r="E805" i="13"/>
  <c r="H1858" i="13"/>
  <c r="G1858" i="13"/>
  <c r="F1858" i="13"/>
  <c r="E1858" i="13"/>
  <c r="H1795" i="13"/>
  <c r="G1795" i="13"/>
  <c r="F1795" i="13"/>
  <c r="E1795" i="13"/>
  <c r="H1865" i="13"/>
  <c r="G1865" i="13"/>
  <c r="F1865" i="13"/>
  <c r="E1865" i="13"/>
  <c r="H816" i="13"/>
  <c r="G816" i="13"/>
  <c r="F816" i="13"/>
  <c r="E816" i="13"/>
  <c r="H1559" i="13"/>
  <c r="G1559" i="13"/>
  <c r="F1559" i="13"/>
  <c r="E1559" i="13"/>
  <c r="H2109" i="13"/>
  <c r="G2109" i="13"/>
  <c r="F2109" i="13"/>
  <c r="E2109" i="13"/>
  <c r="H571" i="13"/>
  <c r="G571" i="13"/>
  <c r="F571" i="13"/>
  <c r="E571" i="13"/>
  <c r="H990" i="13"/>
  <c r="G990" i="13"/>
  <c r="F990" i="13"/>
  <c r="E990" i="13"/>
  <c r="H13" i="13"/>
  <c r="G13" i="13"/>
  <c r="F13" i="13"/>
  <c r="E13" i="13"/>
  <c r="H1609" i="13"/>
  <c r="G1609" i="13"/>
  <c r="F1609" i="13"/>
  <c r="E1609" i="13"/>
  <c r="H1580" i="13"/>
  <c r="G1580" i="13"/>
  <c r="F1580" i="13"/>
  <c r="E1580" i="13"/>
  <c r="H2283" i="13"/>
  <c r="G2283" i="13"/>
  <c r="F2283" i="13"/>
  <c r="E2283" i="13"/>
  <c r="H1545" i="13"/>
  <c r="G1545" i="13"/>
  <c r="F1545" i="13"/>
  <c r="E1545" i="13"/>
  <c r="H129" i="13"/>
  <c r="G129" i="13"/>
  <c r="F129" i="13"/>
  <c r="E129" i="13"/>
  <c r="H538" i="13"/>
  <c r="G538" i="13"/>
  <c r="F538" i="13"/>
  <c r="E538" i="13"/>
  <c r="H547" i="13"/>
  <c r="G547" i="13"/>
  <c r="F547" i="13"/>
  <c r="E547" i="13"/>
  <c r="H764" i="13"/>
  <c r="G764" i="13"/>
  <c r="F764" i="13"/>
  <c r="E764" i="13"/>
  <c r="H1288" i="13"/>
  <c r="G1288" i="13"/>
  <c r="F1288" i="13"/>
  <c r="E1288" i="13"/>
  <c r="H1351" i="13"/>
  <c r="G1351" i="13"/>
  <c r="F1351" i="13"/>
  <c r="E1351" i="13"/>
  <c r="H1766" i="13"/>
  <c r="G1766" i="13"/>
  <c r="F1766" i="13"/>
  <c r="E1766" i="13"/>
  <c r="H1114" i="13"/>
  <c r="G1114" i="13"/>
  <c r="F1114" i="13"/>
  <c r="E1114" i="13"/>
  <c r="H1164" i="13"/>
  <c r="G1164" i="13"/>
  <c r="F1164" i="13"/>
  <c r="E1164" i="13"/>
  <c r="H989" i="13"/>
  <c r="G989" i="13"/>
  <c r="F989" i="13"/>
  <c r="E989" i="13"/>
  <c r="H430" i="13"/>
  <c r="G430" i="13"/>
  <c r="F430" i="13"/>
  <c r="E430" i="13"/>
  <c r="H351" i="13"/>
  <c r="G351" i="13"/>
  <c r="F351" i="13"/>
  <c r="E351" i="13"/>
  <c r="H1603" i="13"/>
  <c r="G1603" i="13"/>
  <c r="F1603" i="13"/>
  <c r="E1603" i="13"/>
  <c r="H1451" i="13"/>
  <c r="G1451" i="13"/>
  <c r="F1451" i="13"/>
  <c r="E1451" i="13"/>
  <c r="H1017" i="13"/>
  <c r="G1017" i="13"/>
  <c r="F1017" i="13"/>
  <c r="E1017" i="13"/>
  <c r="H2362" i="13"/>
  <c r="G2362" i="13"/>
  <c r="F2362" i="13"/>
  <c r="E2362" i="13"/>
  <c r="H384" i="13"/>
  <c r="G384" i="13"/>
  <c r="F384" i="13"/>
  <c r="E384" i="13"/>
  <c r="H143" i="13"/>
  <c r="G143" i="13"/>
  <c r="F143" i="13"/>
  <c r="E143" i="13"/>
  <c r="H1748" i="13"/>
  <c r="G1748" i="13"/>
  <c r="F1748" i="13"/>
  <c r="E1748" i="13"/>
  <c r="H1509" i="13"/>
  <c r="G1509" i="13"/>
  <c r="F1509" i="13"/>
  <c r="E1509" i="13"/>
  <c r="H1027" i="13"/>
  <c r="G1027" i="13"/>
  <c r="F1027" i="13"/>
  <c r="E1027" i="13"/>
  <c r="H1710" i="13"/>
  <c r="G1710" i="13"/>
  <c r="F1710" i="13"/>
  <c r="E1710" i="13"/>
  <c r="H825" i="13"/>
  <c r="G825" i="13"/>
  <c r="F825" i="13"/>
  <c r="E825" i="13"/>
  <c r="H1170" i="13"/>
  <c r="G1170" i="13"/>
  <c r="F1170" i="13"/>
  <c r="E1170" i="13"/>
  <c r="H466" i="13"/>
  <c r="G466" i="13"/>
  <c r="F466" i="13"/>
  <c r="E466" i="13"/>
  <c r="H228" i="13"/>
  <c r="G228" i="13"/>
  <c r="F228" i="13"/>
  <c r="E228" i="13"/>
  <c r="H1439" i="13"/>
  <c r="G1439" i="13"/>
  <c r="F1439" i="13"/>
  <c r="E1439" i="13"/>
  <c r="H2102" i="13"/>
  <c r="G2102" i="13"/>
  <c r="F2102" i="13"/>
  <c r="E2102" i="13"/>
  <c r="H1882" i="13"/>
  <c r="G1882" i="13"/>
  <c r="F1882" i="13"/>
  <c r="E1882" i="13"/>
  <c r="H2038" i="13"/>
  <c r="G2038" i="13"/>
  <c r="F2038" i="13"/>
  <c r="E2038" i="13"/>
  <c r="H1381" i="13"/>
  <c r="G1381" i="13"/>
  <c r="F1381" i="13"/>
  <c r="E1381" i="13"/>
  <c r="H637" i="13"/>
  <c r="G637" i="13"/>
  <c r="F637" i="13"/>
  <c r="E637" i="13"/>
  <c r="H631" i="13"/>
  <c r="G631" i="13"/>
  <c r="F631" i="13"/>
  <c r="E631" i="13"/>
  <c r="H1765" i="13"/>
  <c r="G1765" i="13"/>
  <c r="F1765" i="13"/>
  <c r="E1765" i="13"/>
  <c r="H2060" i="13"/>
  <c r="G2060" i="13"/>
  <c r="F2060" i="13"/>
  <c r="E2060" i="13"/>
  <c r="H694" i="13"/>
  <c r="G694" i="13"/>
  <c r="F694" i="13"/>
  <c r="E694" i="13"/>
  <c r="H1308" i="13"/>
  <c r="G1308" i="13"/>
  <c r="F1308" i="13"/>
  <c r="E1308" i="13"/>
  <c r="H31" i="13"/>
  <c r="G31" i="13"/>
  <c r="F31" i="13"/>
  <c r="E31" i="13"/>
  <c r="H789" i="13"/>
  <c r="G789" i="13"/>
  <c r="F789" i="13"/>
  <c r="E789" i="13"/>
  <c r="H888" i="13"/>
  <c r="G888" i="13"/>
  <c r="F888" i="13"/>
  <c r="E888" i="13"/>
  <c r="H515" i="13"/>
  <c r="G515" i="13"/>
  <c r="F515" i="13"/>
  <c r="E515" i="13"/>
  <c r="H1109" i="13"/>
  <c r="G1109" i="13"/>
  <c r="F1109" i="13"/>
  <c r="E1109" i="13"/>
  <c r="H2391" i="13"/>
  <c r="G2391" i="13"/>
  <c r="F2391" i="13"/>
  <c r="E2391" i="13"/>
  <c r="H763" i="13"/>
  <c r="G763" i="13"/>
  <c r="F763" i="13"/>
  <c r="E763" i="13"/>
  <c r="H684" i="13"/>
  <c r="G684" i="13"/>
  <c r="F684" i="13"/>
  <c r="E684" i="13"/>
  <c r="H1016" i="13"/>
  <c r="G1016" i="13"/>
  <c r="F1016" i="13"/>
  <c r="E1016" i="13"/>
  <c r="H501" i="13"/>
  <c r="G501" i="13"/>
  <c r="F501" i="13"/>
  <c r="E501" i="13"/>
  <c r="H2276" i="13"/>
  <c r="G2276" i="13"/>
  <c r="F2276" i="13"/>
  <c r="E2276" i="13"/>
  <c r="H753" i="13"/>
  <c r="G753" i="13"/>
  <c r="F753" i="13"/>
  <c r="E753" i="13"/>
  <c r="H1380" i="13"/>
  <c r="G1380" i="13"/>
  <c r="F1380" i="13"/>
  <c r="E1380" i="13"/>
  <c r="H279" i="13"/>
  <c r="G279" i="13"/>
  <c r="F279" i="13"/>
  <c r="E279" i="13"/>
  <c r="H584" i="13"/>
  <c r="G584" i="13"/>
  <c r="F584" i="13"/>
  <c r="E584" i="13"/>
  <c r="H1655" i="13"/>
  <c r="G1655" i="13"/>
  <c r="F1655" i="13"/>
  <c r="E1655" i="13"/>
  <c r="H2140" i="13"/>
  <c r="G2140" i="13"/>
  <c r="F2140" i="13"/>
  <c r="E2140" i="13"/>
  <c r="H645" i="13"/>
  <c r="G645" i="13"/>
  <c r="F645" i="13"/>
  <c r="E645" i="13"/>
  <c r="H469" i="13"/>
  <c r="G469" i="13"/>
  <c r="F469" i="13"/>
  <c r="E469" i="13"/>
  <c r="H1040" i="13"/>
  <c r="G1040" i="13"/>
  <c r="F1040" i="13"/>
  <c r="E1040" i="13"/>
  <c r="H327" i="13"/>
  <c r="G327" i="13"/>
  <c r="F327" i="13"/>
  <c r="E327" i="13"/>
  <c r="H899" i="13"/>
  <c r="G899" i="13"/>
  <c r="F899" i="13"/>
  <c r="E899" i="13"/>
  <c r="H1985" i="13"/>
  <c r="G1985" i="13"/>
  <c r="F1985" i="13"/>
  <c r="E1985" i="13"/>
  <c r="H320" i="13"/>
  <c r="G320" i="13"/>
  <c r="F320" i="13"/>
  <c r="E320" i="13"/>
  <c r="H372" i="13"/>
  <c r="G372" i="13"/>
  <c r="F372" i="13"/>
  <c r="E372" i="13"/>
  <c r="H2282" i="13"/>
  <c r="G2282" i="13"/>
  <c r="F2282" i="13"/>
  <c r="E2282" i="13"/>
  <c r="H974" i="13"/>
  <c r="G974" i="13"/>
  <c r="F974" i="13"/>
  <c r="E974" i="13"/>
  <c r="H526" i="13"/>
  <c r="G526" i="13"/>
  <c r="F526" i="13"/>
  <c r="E526" i="13"/>
  <c r="H737" i="13"/>
  <c r="G737" i="13"/>
  <c r="F737" i="13"/>
  <c r="E737" i="13"/>
  <c r="H2185" i="13"/>
  <c r="G2185" i="13"/>
  <c r="F2185" i="13"/>
  <c r="E2185" i="13"/>
  <c r="H1824" i="13"/>
  <c r="G1824" i="13"/>
  <c r="F1824" i="13"/>
  <c r="E1824" i="13"/>
  <c r="H1108" i="13"/>
  <c r="G1108" i="13"/>
  <c r="F1108" i="13"/>
  <c r="E1108" i="13"/>
  <c r="H259" i="13"/>
  <c r="G259" i="13"/>
  <c r="F259" i="13"/>
  <c r="E259" i="13"/>
  <c r="H2027" i="13"/>
  <c r="G2027" i="13"/>
  <c r="F2027" i="13"/>
  <c r="E2027" i="13"/>
  <c r="H1791" i="13"/>
  <c r="G1791" i="13"/>
  <c r="F1791" i="13"/>
  <c r="E1791" i="13"/>
  <c r="H1254" i="13"/>
  <c r="G1254" i="13"/>
  <c r="F1254" i="13"/>
  <c r="E1254" i="13"/>
  <c r="H1853" i="13"/>
  <c r="G1853" i="13"/>
  <c r="F1853" i="13"/>
  <c r="E1853" i="13"/>
  <c r="H1907" i="13"/>
  <c r="G1907" i="13"/>
  <c r="F1907" i="13"/>
  <c r="E1907" i="13"/>
  <c r="H326" i="13"/>
  <c r="G326" i="13"/>
  <c r="F326" i="13"/>
  <c r="E326" i="13"/>
  <c r="H1912" i="13"/>
  <c r="G1912" i="13"/>
  <c r="F1912" i="13"/>
  <c r="E1912" i="13"/>
  <c r="H2342" i="13"/>
  <c r="G2342" i="13"/>
  <c r="F2342" i="13"/>
  <c r="E2342" i="13"/>
  <c r="H773" i="13"/>
  <c r="G773" i="13"/>
  <c r="F773" i="13"/>
  <c r="E773" i="13"/>
  <c r="H1773" i="13"/>
  <c r="G1773" i="13"/>
  <c r="F1773" i="13"/>
  <c r="E1773" i="13"/>
  <c r="H87" i="13"/>
  <c r="G87" i="13"/>
  <c r="F87" i="13"/>
  <c r="E87" i="13"/>
  <c r="H1092" i="13"/>
  <c r="G1092" i="13"/>
  <c r="F1092" i="13"/>
  <c r="E1092" i="13"/>
  <c r="H2327" i="13"/>
  <c r="G2327" i="13"/>
  <c r="F2327" i="13"/>
  <c r="E2327" i="13"/>
  <c r="H689" i="13"/>
  <c r="G689" i="13"/>
  <c r="F689" i="13"/>
  <c r="E689" i="13"/>
  <c r="H1464" i="13"/>
  <c r="G1464" i="13"/>
  <c r="F1464" i="13"/>
  <c r="E1464" i="13"/>
  <c r="H179" i="13"/>
  <c r="G179" i="13"/>
  <c r="F179" i="13"/>
  <c r="E179" i="13"/>
  <c r="H831" i="13"/>
  <c r="G831" i="13"/>
  <c r="F831" i="13"/>
  <c r="E831" i="13"/>
  <c r="H2195" i="13"/>
  <c r="G2195" i="13"/>
  <c r="F2195" i="13"/>
  <c r="E2195" i="13"/>
  <c r="H106" i="13"/>
  <c r="G106" i="13"/>
  <c r="F106" i="13"/>
  <c r="E106" i="13"/>
  <c r="H456" i="13"/>
  <c r="G456" i="13"/>
  <c r="F456" i="13"/>
  <c r="E456" i="13"/>
  <c r="H1190" i="13"/>
  <c r="G1190" i="13"/>
  <c r="F1190" i="13"/>
  <c r="E1190" i="13"/>
  <c r="H744" i="13"/>
  <c r="G744" i="13"/>
  <c r="F744" i="13"/>
  <c r="E744" i="13"/>
  <c r="H30" i="13"/>
  <c r="G30" i="13"/>
  <c r="F30" i="13"/>
  <c r="E30" i="13"/>
  <c r="H2194" i="13"/>
  <c r="G2194" i="13"/>
  <c r="F2194" i="13"/>
  <c r="E2194" i="13"/>
  <c r="H1331" i="13"/>
  <c r="G1331" i="13"/>
  <c r="F1331" i="13"/>
  <c r="E1331" i="13"/>
  <c r="H1196" i="13"/>
  <c r="G1196" i="13"/>
  <c r="F1196" i="13"/>
  <c r="E1196" i="13"/>
  <c r="H1852" i="13"/>
  <c r="G1852" i="13"/>
  <c r="F1852" i="13"/>
  <c r="E1852" i="13"/>
  <c r="H1482" i="13"/>
  <c r="G1482" i="13"/>
  <c r="F1482" i="13"/>
  <c r="E1482" i="13"/>
  <c r="H1163" i="13"/>
  <c r="G1163" i="13"/>
  <c r="F1163" i="13"/>
  <c r="E1163" i="13"/>
  <c r="H1602" i="13"/>
  <c r="G1602" i="13"/>
  <c r="F1602" i="13"/>
  <c r="E1602" i="13"/>
  <c r="H644" i="13"/>
  <c r="G644" i="13"/>
  <c r="F644" i="13"/>
  <c r="E644" i="13"/>
  <c r="H429" i="13"/>
  <c r="G429" i="13"/>
  <c r="F429" i="13"/>
  <c r="E429" i="13"/>
  <c r="H1476" i="13"/>
  <c r="G1476" i="13"/>
  <c r="F1476" i="13"/>
  <c r="E1476" i="13"/>
  <c r="H2354" i="13"/>
  <c r="G2354" i="13"/>
  <c r="F2354" i="13"/>
  <c r="E2354" i="13"/>
  <c r="H1864" i="13"/>
  <c r="G1864" i="13"/>
  <c r="F1864" i="13"/>
  <c r="E1864" i="13"/>
  <c r="H1508" i="13"/>
  <c r="G1508" i="13"/>
  <c r="F1508" i="13"/>
  <c r="E1508" i="13"/>
  <c r="H1023" i="13"/>
  <c r="G1023" i="13"/>
  <c r="F1023" i="13"/>
  <c r="E1023" i="13"/>
  <c r="H41" i="13"/>
  <c r="G41" i="13"/>
  <c r="F41" i="13"/>
  <c r="E41" i="13"/>
  <c r="H509" i="13"/>
  <c r="G509" i="13"/>
  <c r="F509" i="13"/>
  <c r="E509" i="13"/>
  <c r="H868" i="13"/>
  <c r="G868" i="13"/>
  <c r="F868" i="13"/>
  <c r="E868" i="13"/>
  <c r="H1892" i="13"/>
  <c r="G1892" i="13"/>
  <c r="F1892" i="13"/>
  <c r="E1892" i="13"/>
  <c r="H1238" i="13"/>
  <c r="G1238" i="13"/>
  <c r="F1238" i="13"/>
  <c r="E1238" i="13"/>
  <c r="H1489" i="13"/>
  <c r="G1489" i="13"/>
  <c r="F1489" i="13"/>
  <c r="E1489" i="13"/>
  <c r="H752" i="13"/>
  <c r="G752" i="13"/>
  <c r="F752" i="13"/>
  <c r="E752" i="13"/>
  <c r="H680" i="13"/>
  <c r="G680" i="13"/>
  <c r="F680" i="13"/>
  <c r="E680" i="13"/>
  <c r="H898" i="13"/>
  <c r="G898" i="13"/>
  <c r="F898" i="13"/>
  <c r="E898" i="13"/>
  <c r="H1876" i="13"/>
  <c r="G1876" i="13"/>
  <c r="F1876" i="13"/>
  <c r="E1876" i="13"/>
  <c r="H1034" i="13"/>
  <c r="G1034" i="13"/>
  <c r="F1034" i="13"/>
  <c r="E1034" i="13"/>
  <c r="H2037" i="13"/>
  <c r="G2037" i="13"/>
  <c r="F2037" i="13"/>
  <c r="E2037" i="13"/>
  <c r="H762" i="13"/>
  <c r="G762" i="13"/>
  <c r="F762" i="13"/>
  <c r="E762" i="13"/>
  <c r="H973" i="13"/>
  <c r="G973" i="13"/>
  <c r="F973" i="13"/>
  <c r="E973" i="13"/>
  <c r="H1572" i="13"/>
  <c r="G1572" i="13"/>
  <c r="F1572" i="13"/>
  <c r="E1572" i="13"/>
  <c r="H319" i="13"/>
  <c r="G319" i="13"/>
  <c r="F319" i="13"/>
  <c r="E319" i="13"/>
  <c r="H1015" i="13"/>
  <c r="G1015" i="13"/>
  <c r="F1015" i="13"/>
  <c r="E1015" i="13"/>
  <c r="H1463" i="13"/>
  <c r="G1463" i="13"/>
  <c r="F1463" i="13"/>
  <c r="E1463" i="13"/>
  <c r="H2275" i="13"/>
  <c r="G2275" i="13"/>
  <c r="F2275" i="13"/>
  <c r="E2275" i="13"/>
  <c r="H1703" i="13"/>
  <c r="G1703" i="13"/>
  <c r="F1703" i="13"/>
  <c r="E1703" i="13"/>
  <c r="H2201" i="13"/>
  <c r="G2201" i="13"/>
  <c r="F2201" i="13"/>
  <c r="E2201" i="13"/>
  <c r="H1039" i="13"/>
  <c r="G1039" i="13"/>
  <c r="F1039" i="13"/>
  <c r="E1039" i="13"/>
  <c r="H1635" i="13"/>
  <c r="G1635" i="13"/>
  <c r="F1635" i="13"/>
  <c r="E1635" i="13"/>
  <c r="H721" i="13"/>
  <c r="G721" i="13"/>
  <c r="F721" i="13"/>
  <c r="E721" i="13"/>
  <c r="H1863" i="13"/>
  <c r="G1863" i="13"/>
  <c r="F1863" i="13"/>
  <c r="E1863" i="13"/>
  <c r="H1127" i="13"/>
  <c r="G1127" i="13"/>
  <c r="F1127" i="13"/>
  <c r="E1127" i="13"/>
  <c r="H2390" i="13"/>
  <c r="G2390" i="13"/>
  <c r="F2390" i="13"/>
  <c r="E2390" i="13"/>
  <c r="H602" i="13"/>
  <c r="G602" i="13"/>
  <c r="F602" i="13"/>
  <c r="E602" i="13"/>
  <c r="H688" i="13"/>
  <c r="G688" i="13"/>
  <c r="F688" i="13"/>
  <c r="E688" i="13"/>
  <c r="H2158" i="13"/>
  <c r="G2158" i="13"/>
  <c r="F2158" i="13"/>
  <c r="E2158" i="13"/>
  <c r="H1709" i="13"/>
  <c r="G1709" i="13"/>
  <c r="F1709" i="13"/>
  <c r="E1709" i="13"/>
  <c r="H178" i="13"/>
  <c r="G178" i="13"/>
  <c r="F178" i="13"/>
  <c r="E178" i="13"/>
  <c r="H1708" i="13"/>
  <c r="G1708" i="13"/>
  <c r="F1708" i="13"/>
  <c r="E1708" i="13"/>
  <c r="H1001" i="13"/>
  <c r="G1001" i="13"/>
  <c r="F1001" i="13"/>
  <c r="E1001" i="13"/>
  <c r="H1747" i="13"/>
  <c r="G1747" i="13"/>
  <c r="F1747" i="13"/>
  <c r="E1747" i="13"/>
  <c r="H1054" i="13"/>
  <c r="G1054" i="13"/>
  <c r="F1054" i="13"/>
  <c r="E1054" i="13"/>
  <c r="H2262" i="13"/>
  <c r="G2262" i="13"/>
  <c r="F2262" i="13"/>
  <c r="E2262" i="13"/>
  <c r="H2402" i="13"/>
  <c r="G2402" i="13"/>
  <c r="F2402" i="13"/>
  <c r="E2402" i="13"/>
  <c r="H269" i="13"/>
  <c r="G269" i="13"/>
  <c r="F269" i="13"/>
  <c r="E269" i="13"/>
  <c r="H788" i="13"/>
  <c r="G788" i="13"/>
  <c r="F788" i="13"/>
  <c r="E788" i="13"/>
  <c r="H1915" i="13"/>
  <c r="G1915" i="13"/>
  <c r="F1915" i="13"/>
  <c r="E1915" i="13"/>
  <c r="H240" i="13"/>
  <c r="G240" i="13"/>
  <c r="F240" i="13"/>
  <c r="E240" i="13"/>
  <c r="H997" i="13"/>
  <c r="G997" i="13"/>
  <c r="F997" i="13"/>
  <c r="E997" i="13"/>
  <c r="H566" i="13"/>
  <c r="G566" i="13"/>
  <c r="F566" i="13"/>
  <c r="E566" i="13"/>
  <c r="H1811" i="13"/>
  <c r="G1811" i="13"/>
  <c r="F1811" i="13"/>
  <c r="E1811" i="13"/>
  <c r="H1845" i="13"/>
  <c r="G1845" i="13"/>
  <c r="F1845" i="13"/>
  <c r="E1845" i="13"/>
  <c r="H75" i="13"/>
  <c r="G75" i="13"/>
  <c r="F75" i="13"/>
  <c r="E75" i="13"/>
  <c r="H428" i="13"/>
  <c r="G428" i="13"/>
  <c r="F428" i="13"/>
  <c r="E428" i="13"/>
  <c r="H1823" i="13"/>
  <c r="G1823" i="13"/>
  <c r="F1823" i="13"/>
  <c r="E1823" i="13"/>
  <c r="H2096" i="13"/>
  <c r="G2096" i="13"/>
  <c r="F2096" i="13"/>
  <c r="E2096" i="13"/>
  <c r="H1405" i="13"/>
  <c r="G1405" i="13"/>
  <c r="F1405" i="13"/>
  <c r="E1405" i="13"/>
  <c r="H1739" i="13"/>
  <c r="G1739" i="13"/>
  <c r="F1739" i="13"/>
  <c r="E1739" i="13"/>
  <c r="H980" i="13"/>
  <c r="G980" i="13"/>
  <c r="F980" i="13"/>
  <c r="E980" i="13"/>
  <c r="H1450" i="13"/>
  <c r="G1450" i="13"/>
  <c r="F1450" i="13"/>
  <c r="E1450" i="13"/>
  <c r="H2401" i="13"/>
  <c r="G2401" i="13"/>
  <c r="F2401" i="13"/>
  <c r="E2401" i="13"/>
  <c r="H546" i="13"/>
  <c r="G546" i="13"/>
  <c r="F546" i="13"/>
  <c r="E546" i="13"/>
  <c r="H1014" i="13"/>
  <c r="G1014" i="13"/>
  <c r="F1014" i="13"/>
  <c r="E1014" i="13"/>
  <c r="H2334" i="13"/>
  <c r="G2334" i="13"/>
  <c r="F2334" i="13"/>
  <c r="E2334" i="13"/>
  <c r="H161" i="13"/>
  <c r="G161" i="13"/>
  <c r="F161" i="13"/>
  <c r="E161" i="13"/>
  <c r="H523" i="13"/>
  <c r="G523" i="13"/>
  <c r="F523" i="13"/>
  <c r="E523" i="13"/>
  <c r="H1502" i="13"/>
  <c r="G1502" i="13"/>
  <c r="F1502" i="13"/>
  <c r="E1502" i="13"/>
  <c r="H979" i="13"/>
  <c r="G979" i="13"/>
  <c r="F979" i="13"/>
  <c r="E979" i="13"/>
  <c r="H367" i="13"/>
  <c r="G367" i="13"/>
  <c r="F367" i="13"/>
  <c r="E367" i="13"/>
  <c r="H2087" i="13"/>
  <c r="G2087" i="13"/>
  <c r="F2087" i="13"/>
  <c r="E2087" i="13"/>
  <c r="H1160" i="13"/>
  <c r="G1160" i="13"/>
  <c r="F1160" i="13"/>
  <c r="E1160" i="13"/>
  <c r="H1973" i="13"/>
  <c r="G1973" i="13"/>
  <c r="F1973" i="13"/>
  <c r="E1973" i="13"/>
  <c r="H2296" i="13"/>
  <c r="G2296" i="13"/>
  <c r="F2296" i="13"/>
  <c r="E2296" i="13"/>
  <c r="H348" i="13"/>
  <c r="G348" i="13"/>
  <c r="F348" i="13"/>
  <c r="E348" i="13"/>
  <c r="H1395" i="13"/>
  <c r="G1395" i="13"/>
  <c r="F1395" i="13"/>
  <c r="E1395" i="13"/>
  <c r="H1972" i="13"/>
  <c r="G1972" i="13"/>
  <c r="F1972" i="13"/>
  <c r="E1972" i="13"/>
  <c r="H227" i="13"/>
  <c r="G227" i="13"/>
  <c r="F227" i="13"/>
  <c r="E227" i="13"/>
  <c r="H2086" i="13"/>
  <c r="G2086" i="13"/>
  <c r="F2086" i="13"/>
  <c r="E2086" i="13"/>
  <c r="H2302" i="13"/>
  <c r="G2302" i="13"/>
  <c r="F2302" i="13"/>
  <c r="E2302" i="13"/>
  <c r="H951" i="13"/>
  <c r="G951" i="13"/>
  <c r="F951" i="13"/>
  <c r="E951" i="13"/>
  <c r="H2241" i="13"/>
  <c r="G2241" i="13"/>
  <c r="F2241" i="13"/>
  <c r="E2241" i="13"/>
  <c r="H1246" i="13"/>
  <c r="G1246" i="13"/>
  <c r="F1246" i="13"/>
  <c r="E1246" i="13"/>
  <c r="H565" i="13"/>
  <c r="G565" i="13"/>
  <c r="F565" i="13"/>
  <c r="E565" i="13"/>
  <c r="H851" i="13"/>
  <c r="G851" i="13"/>
  <c r="F851" i="13"/>
  <c r="E851" i="13"/>
  <c r="H1361" i="13"/>
  <c r="G1361" i="13"/>
  <c r="F1361" i="13"/>
  <c r="E1361" i="13"/>
  <c r="H570" i="13"/>
  <c r="G570" i="13"/>
  <c r="F570" i="13"/>
  <c r="E570" i="13"/>
  <c r="H12" i="13"/>
  <c r="G12" i="13"/>
  <c r="F12" i="13"/>
  <c r="E12" i="13"/>
  <c r="H522" i="13"/>
  <c r="G522" i="13"/>
  <c r="F522" i="13"/>
  <c r="E522" i="13"/>
  <c r="H720" i="13"/>
  <c r="G720" i="13"/>
  <c r="F720" i="13"/>
  <c r="E720" i="13"/>
  <c r="H521" i="13"/>
  <c r="G521" i="13"/>
  <c r="F521" i="13"/>
  <c r="E521" i="13"/>
  <c r="H128" i="13"/>
  <c r="G128" i="13"/>
  <c r="F128" i="13"/>
  <c r="E128" i="13"/>
  <c r="H46" i="13"/>
  <c r="G46" i="13"/>
  <c r="F46" i="13"/>
  <c r="E46" i="13"/>
  <c r="H1839" i="13"/>
  <c r="G1839" i="13"/>
  <c r="F1839" i="13"/>
  <c r="E1839" i="13"/>
  <c r="H839" i="13"/>
  <c r="G839" i="13"/>
  <c r="F839" i="13"/>
  <c r="E839" i="13"/>
  <c r="H564" i="13"/>
  <c r="G564" i="13"/>
  <c r="F564" i="13"/>
  <c r="E564" i="13"/>
  <c r="H1159" i="13"/>
  <c r="G1159" i="13"/>
  <c r="F1159" i="13"/>
  <c r="E1159" i="13"/>
  <c r="H2083" i="13"/>
  <c r="G2083" i="13"/>
  <c r="F2083" i="13"/>
  <c r="E2083" i="13"/>
  <c r="H1667" i="13"/>
  <c r="G1667" i="13"/>
  <c r="F1667" i="13"/>
  <c r="E1667" i="13"/>
  <c r="H127" i="13"/>
  <c r="G127" i="13"/>
  <c r="F127" i="13"/>
  <c r="E127" i="13"/>
  <c r="H860" i="13"/>
  <c r="G860" i="13"/>
  <c r="F860" i="13"/>
  <c r="E860" i="13"/>
  <c r="H191" i="13"/>
  <c r="G191" i="13"/>
  <c r="F191" i="13"/>
  <c r="E191" i="13"/>
  <c r="H2389" i="13"/>
  <c r="G2389" i="13"/>
  <c r="F2389" i="13"/>
  <c r="E2389" i="13"/>
  <c r="H643" i="13"/>
  <c r="G643" i="13"/>
  <c r="F643" i="13"/>
  <c r="E643" i="13"/>
  <c r="H1249" i="13"/>
  <c r="G1249" i="13"/>
  <c r="F1249" i="13"/>
  <c r="E1249" i="13"/>
  <c r="H29" i="13"/>
  <c r="G29" i="13"/>
  <c r="F29" i="13"/>
  <c r="E29" i="13"/>
  <c r="H583" i="13"/>
  <c r="G583" i="13"/>
  <c r="F583" i="13"/>
  <c r="E583" i="13"/>
  <c r="H347" i="13"/>
  <c r="G347" i="13"/>
  <c r="F347" i="13"/>
  <c r="E347" i="13"/>
  <c r="H1438" i="13"/>
  <c r="G1438" i="13"/>
  <c r="F1438" i="13"/>
  <c r="E1438" i="13"/>
  <c r="H932" i="13"/>
  <c r="G932" i="13"/>
  <c r="F932" i="13"/>
  <c r="E932" i="13"/>
  <c r="H1083" i="13"/>
  <c r="G1083" i="13"/>
  <c r="F1083" i="13"/>
  <c r="E1083" i="13"/>
  <c r="H2036" i="13"/>
  <c r="G2036" i="13"/>
  <c r="F2036" i="13"/>
  <c r="E2036" i="13"/>
  <c r="H427" i="13"/>
  <c r="G427" i="13"/>
  <c r="F427" i="13"/>
  <c r="E427" i="13"/>
  <c r="H545" i="13"/>
  <c r="G545" i="13"/>
  <c r="F545" i="13"/>
  <c r="E545" i="13"/>
  <c r="H582" i="13"/>
  <c r="G582" i="13"/>
  <c r="F582" i="13"/>
  <c r="E582" i="13"/>
  <c r="H1098" i="13"/>
  <c r="G1098" i="13"/>
  <c r="F1098" i="13"/>
  <c r="E1098" i="13"/>
  <c r="H859" i="13"/>
  <c r="G859" i="13"/>
  <c r="F859" i="13"/>
  <c r="E859" i="13"/>
  <c r="H1319" i="13"/>
  <c r="G1319" i="13"/>
  <c r="F1319" i="13"/>
  <c r="E1319" i="13"/>
  <c r="H1107" i="13"/>
  <c r="G1107" i="13"/>
  <c r="F1107" i="13"/>
  <c r="E1107" i="13"/>
  <c r="H812" i="13"/>
  <c r="G812" i="13"/>
  <c r="F812" i="13"/>
  <c r="E812" i="13"/>
  <c r="H2193" i="13"/>
  <c r="G2193" i="13"/>
  <c r="F2193" i="13"/>
  <c r="E2193" i="13"/>
  <c r="H1822" i="13"/>
  <c r="G1822" i="13"/>
  <c r="F1822" i="13"/>
  <c r="E1822" i="13"/>
  <c r="H532" i="13"/>
  <c r="G532" i="13"/>
  <c r="F532" i="13"/>
  <c r="E532" i="13"/>
  <c r="H897" i="13"/>
  <c r="G897" i="13"/>
  <c r="F897" i="13"/>
  <c r="E897" i="13"/>
  <c r="H1666" i="13"/>
  <c r="G1666" i="13"/>
  <c r="F1666" i="13"/>
  <c r="E1666" i="13"/>
  <c r="H224" i="13"/>
  <c r="G224" i="13"/>
  <c r="F224" i="13"/>
  <c r="E224" i="13"/>
  <c r="H1475" i="13"/>
  <c r="G1475" i="13"/>
  <c r="F1475" i="13"/>
  <c r="E1475" i="13"/>
  <c r="H1551" i="13"/>
  <c r="G1551" i="13"/>
  <c r="F1551" i="13"/>
  <c r="E1551" i="13"/>
  <c r="H2073" i="13"/>
  <c r="G2073" i="13"/>
  <c r="F2073" i="13"/>
  <c r="E2073" i="13"/>
  <c r="H204" i="13"/>
  <c r="G204" i="13"/>
  <c r="F204" i="13"/>
  <c r="E204" i="13"/>
  <c r="H1379" i="13"/>
  <c r="G1379" i="13"/>
  <c r="F1379" i="13"/>
  <c r="E1379" i="13"/>
  <c r="H1507" i="13"/>
  <c r="G1507" i="13"/>
  <c r="F1507" i="13"/>
  <c r="E1507" i="13"/>
  <c r="H1979" i="13"/>
  <c r="G1979" i="13"/>
  <c r="F1979" i="13"/>
  <c r="E1979" i="13"/>
  <c r="H1734" i="13"/>
  <c r="G1734" i="13"/>
  <c r="F1734" i="13"/>
  <c r="E1734" i="13"/>
  <c r="H311" i="13"/>
  <c r="G311" i="13"/>
  <c r="F311" i="13"/>
  <c r="E311" i="13"/>
  <c r="H177" i="13"/>
  <c r="G177" i="13"/>
  <c r="F177" i="13"/>
  <c r="E177" i="13"/>
  <c r="H531" i="13"/>
  <c r="G531" i="13"/>
  <c r="F531" i="13"/>
  <c r="E531" i="13"/>
  <c r="H1558" i="13"/>
  <c r="G1558" i="13"/>
  <c r="F1558" i="13"/>
  <c r="E1558" i="13"/>
  <c r="H1178" i="13"/>
  <c r="G1178" i="13"/>
  <c r="F1178" i="13"/>
  <c r="E1178" i="13"/>
  <c r="H293" i="13"/>
  <c r="G293" i="13"/>
  <c r="F293" i="13"/>
  <c r="E293" i="13"/>
  <c r="H60" i="13"/>
  <c r="G60" i="13"/>
  <c r="F60" i="13"/>
  <c r="E60" i="13"/>
  <c r="H362" i="13"/>
  <c r="G362" i="13"/>
  <c r="F362" i="13"/>
  <c r="E362" i="13"/>
  <c r="H1579" i="13"/>
  <c r="G1579" i="13"/>
  <c r="F1579" i="13"/>
  <c r="E1579" i="13"/>
  <c r="H1594" i="13"/>
  <c r="G1594" i="13"/>
  <c r="F1594" i="13"/>
  <c r="E1594" i="13"/>
  <c r="H2082" i="13"/>
  <c r="G2082" i="13"/>
  <c r="F2082" i="13"/>
  <c r="E2082" i="13"/>
  <c r="H1280" i="13"/>
  <c r="G1280" i="13"/>
  <c r="F1280" i="13"/>
  <c r="E1280" i="13"/>
  <c r="H292" i="13"/>
  <c r="G292" i="13"/>
  <c r="F292" i="13"/>
  <c r="E292" i="13"/>
  <c r="H418" i="13"/>
  <c r="G418" i="13"/>
  <c r="F418" i="13"/>
  <c r="E418" i="13"/>
  <c r="H2229" i="13"/>
  <c r="G2229" i="13"/>
  <c r="F2229" i="13"/>
  <c r="E2229" i="13"/>
  <c r="H1340" i="13"/>
  <c r="G1340" i="13"/>
  <c r="F1340" i="13"/>
  <c r="E1340" i="13"/>
  <c r="H239" i="13"/>
  <c r="G239" i="13"/>
  <c r="F239" i="13"/>
  <c r="E239" i="13"/>
  <c r="H714" i="13"/>
  <c r="G714" i="13"/>
  <c r="F714" i="13"/>
  <c r="E714" i="13"/>
  <c r="H2305" i="13"/>
  <c r="G2305" i="13"/>
  <c r="F2305" i="13"/>
  <c r="E2305" i="13"/>
  <c r="H601" i="13"/>
  <c r="G601" i="13"/>
  <c r="F601" i="13"/>
  <c r="E601" i="13"/>
  <c r="H1360" i="13"/>
  <c r="G1360" i="13"/>
  <c r="F1360" i="13"/>
  <c r="E1360" i="13"/>
  <c r="H1698" i="13"/>
  <c r="G1698" i="13"/>
  <c r="F1698" i="13"/>
  <c r="E1698" i="13"/>
  <c r="H772" i="13"/>
  <c r="G772" i="13"/>
  <c r="F772" i="13"/>
  <c r="E772" i="13"/>
  <c r="H1226" i="13"/>
  <c r="G1226" i="13"/>
  <c r="F1226" i="13"/>
  <c r="E1226" i="13"/>
  <c r="H1045" i="13"/>
  <c r="G1045" i="13"/>
  <c r="F1045" i="13"/>
  <c r="E1045" i="13"/>
  <c r="H1628" i="13"/>
  <c r="G1628" i="13"/>
  <c r="F1628" i="13"/>
  <c r="E1628" i="13"/>
  <c r="H908" i="13"/>
  <c r="G908" i="13"/>
  <c r="F908" i="13"/>
  <c r="E908" i="13"/>
  <c r="H2026" i="13"/>
  <c r="G2026" i="13"/>
  <c r="F2026" i="13"/>
  <c r="E2026" i="13"/>
  <c r="H576" i="13"/>
  <c r="G576" i="13"/>
  <c r="F576" i="13"/>
  <c r="E576" i="13"/>
  <c r="H287" i="13"/>
  <c r="G287" i="13"/>
  <c r="F287" i="13"/>
  <c r="E287" i="13"/>
  <c r="H1268" i="13"/>
  <c r="G1268" i="13"/>
  <c r="F1268" i="13"/>
  <c r="E1268" i="13"/>
  <c r="H972" i="13"/>
  <c r="G972" i="13"/>
  <c r="F972" i="13"/>
  <c r="E972" i="13"/>
  <c r="H1186" i="13"/>
  <c r="G1186" i="13"/>
  <c r="F1186" i="13"/>
  <c r="E1186" i="13"/>
  <c r="H2308" i="13"/>
  <c r="G2308" i="13"/>
  <c r="F2308" i="13"/>
  <c r="E2308" i="13"/>
  <c r="H2361" i="13"/>
  <c r="G2361" i="13"/>
  <c r="F2361" i="13"/>
  <c r="E2361" i="13"/>
  <c r="H1325" i="13"/>
  <c r="G1325" i="13"/>
  <c r="F1325" i="13"/>
  <c r="E1325" i="13"/>
  <c r="H630" i="13"/>
  <c r="G630" i="13"/>
  <c r="F630" i="13"/>
  <c r="E630" i="13"/>
  <c r="H616" i="13"/>
  <c r="G616" i="13"/>
  <c r="F616" i="13"/>
  <c r="E616" i="13"/>
  <c r="H1965" i="13"/>
  <c r="G1965" i="13"/>
  <c r="F1965" i="13"/>
  <c r="E1965" i="13"/>
  <c r="H978" i="13"/>
  <c r="G978" i="13"/>
  <c r="F978" i="13"/>
  <c r="E978" i="13"/>
  <c r="H2388" i="13"/>
  <c r="G2388" i="13"/>
  <c r="F2388" i="13"/>
  <c r="E2388" i="13"/>
  <c r="H1830" i="13"/>
  <c r="G1830" i="13"/>
  <c r="F1830" i="13"/>
  <c r="E1830" i="13"/>
  <c r="H1339" i="13"/>
  <c r="G1339" i="13"/>
  <c r="F1339" i="13"/>
  <c r="E1339" i="13"/>
  <c r="H1106" i="13"/>
  <c r="G1106" i="13"/>
  <c r="F1106" i="13"/>
  <c r="E1106" i="13"/>
  <c r="H656" i="13"/>
  <c r="G656" i="13"/>
  <c r="F656" i="13"/>
  <c r="E656" i="13"/>
  <c r="H581" i="13"/>
  <c r="G581" i="13"/>
  <c r="F581" i="13"/>
  <c r="E581" i="13"/>
  <c r="H858" i="13"/>
  <c r="G858" i="13"/>
  <c r="F858" i="13"/>
  <c r="E858" i="13"/>
  <c r="H1961" i="13"/>
  <c r="G1961" i="13"/>
  <c r="F1961" i="13"/>
  <c r="E1961" i="13"/>
  <c r="H490" i="13"/>
  <c r="G490" i="13"/>
  <c r="F490" i="13"/>
  <c r="E490" i="13"/>
  <c r="H1857" i="13"/>
  <c r="G1857" i="13"/>
  <c r="F1857" i="13"/>
  <c r="E1857" i="13"/>
  <c r="H291" i="13"/>
  <c r="G291" i="13"/>
  <c r="F291" i="13"/>
  <c r="E291" i="13"/>
  <c r="H2133" i="13"/>
  <c r="G2133" i="13"/>
  <c r="F2133" i="13"/>
  <c r="E2133" i="13"/>
  <c r="H45" i="13"/>
  <c r="G45" i="13"/>
  <c r="F45" i="13"/>
  <c r="E45" i="13"/>
  <c r="H1368" i="13"/>
  <c r="G1368" i="13"/>
  <c r="F1368" i="13"/>
  <c r="E1368" i="13"/>
  <c r="H1152" i="13"/>
  <c r="G1152" i="13"/>
  <c r="F1152" i="13"/>
  <c r="E1152" i="13"/>
  <c r="H1174" i="13"/>
  <c r="G1174" i="13"/>
  <c r="F1174" i="13"/>
  <c r="E1174" i="13"/>
  <c r="H1665" i="13"/>
  <c r="G1665" i="13"/>
  <c r="F1665" i="13"/>
  <c r="E1665" i="13"/>
  <c r="H957" i="13"/>
  <c r="G957" i="13"/>
  <c r="F957" i="13"/>
  <c r="E957" i="13"/>
  <c r="H426" i="13"/>
  <c r="G426" i="13"/>
  <c r="F426" i="13"/>
  <c r="E426" i="13"/>
  <c r="H736" i="13"/>
  <c r="G736" i="13"/>
  <c r="F736" i="13"/>
  <c r="E736" i="13"/>
  <c r="H1307" i="13"/>
  <c r="G1307" i="13"/>
  <c r="F1307" i="13"/>
  <c r="E1307" i="13"/>
  <c r="H1790" i="13"/>
  <c r="G1790" i="13"/>
  <c r="F1790" i="13"/>
  <c r="E1790" i="13"/>
  <c r="H1000" i="13"/>
  <c r="G1000" i="13"/>
  <c r="F1000" i="13"/>
  <c r="E1000" i="13"/>
  <c r="H1065" i="13"/>
  <c r="G1065" i="13"/>
  <c r="F1065" i="13"/>
  <c r="E1065" i="13"/>
  <c r="H1079" i="13"/>
  <c r="G1079" i="13"/>
  <c r="F1079" i="13"/>
  <c r="E1079" i="13"/>
  <c r="H1971" i="13"/>
  <c r="G1971" i="13"/>
  <c r="F1971" i="13"/>
  <c r="E1971" i="13"/>
  <c r="H2078" i="13"/>
  <c r="G2078" i="13"/>
  <c r="F2078" i="13"/>
  <c r="E2078" i="13"/>
  <c r="H1449" i="13"/>
  <c r="G1449" i="13"/>
  <c r="F1449" i="13"/>
  <c r="E1449" i="13"/>
  <c r="H465" i="13"/>
  <c r="G465" i="13"/>
  <c r="F465" i="13"/>
  <c r="E465" i="13"/>
  <c r="H1462" i="13"/>
  <c r="G1462" i="13"/>
  <c r="F1462" i="13"/>
  <c r="E1462" i="13"/>
  <c r="H1225" i="13"/>
  <c r="G1225" i="13"/>
  <c r="F1225" i="13"/>
  <c r="E1225" i="13"/>
  <c r="H743" i="13"/>
  <c r="G743" i="13"/>
  <c r="F743" i="13"/>
  <c r="E743" i="13"/>
  <c r="H184" i="13"/>
  <c r="G184" i="13"/>
  <c r="F184" i="13"/>
  <c r="E184" i="13"/>
  <c r="H830" i="13"/>
  <c r="G830" i="13"/>
  <c r="F830" i="13"/>
  <c r="E830" i="13"/>
  <c r="H1217" i="13"/>
  <c r="G1217" i="13"/>
  <c r="F1217" i="13"/>
  <c r="E1217" i="13"/>
  <c r="H325" i="13"/>
  <c r="G325" i="13"/>
  <c r="F325" i="13"/>
  <c r="E325" i="13"/>
  <c r="H838" i="13"/>
  <c r="G838" i="13"/>
  <c r="F838" i="13"/>
  <c r="E838" i="13"/>
  <c r="H394" i="13"/>
  <c r="G394" i="13"/>
  <c r="F394" i="13"/>
  <c r="E394" i="13"/>
  <c r="H2326" i="13"/>
  <c r="G2326" i="13"/>
  <c r="F2326" i="13"/>
  <c r="E2326" i="13"/>
  <c r="H1806" i="13"/>
  <c r="G1806" i="13"/>
  <c r="F1806" i="13"/>
  <c r="E1806" i="13"/>
  <c r="H1082" i="13"/>
  <c r="G1082" i="13"/>
  <c r="F1082" i="13"/>
  <c r="E1082" i="13"/>
  <c r="H410" i="13"/>
  <c r="G410" i="13"/>
  <c r="F410" i="13"/>
  <c r="E410" i="13"/>
  <c r="H16" i="13"/>
  <c r="G16" i="13"/>
  <c r="F16" i="13"/>
  <c r="E16" i="13"/>
  <c r="H1097" i="13"/>
  <c r="G1097" i="13"/>
  <c r="F1097" i="13"/>
  <c r="E1097" i="13"/>
  <c r="H804" i="13"/>
  <c r="G804" i="13"/>
  <c r="F804" i="13"/>
  <c r="E804" i="13"/>
  <c r="H569" i="13"/>
  <c r="G569" i="13"/>
  <c r="F569" i="13"/>
  <c r="E569" i="13"/>
  <c r="H151" i="13"/>
  <c r="G151" i="13"/>
  <c r="F151" i="13"/>
  <c r="E151" i="13"/>
  <c r="H1272" i="13"/>
  <c r="G1272" i="13"/>
  <c r="F1272" i="13"/>
  <c r="E1272" i="13"/>
  <c r="H636" i="13"/>
  <c r="G636" i="13"/>
  <c r="F636" i="13"/>
  <c r="E636" i="13"/>
  <c r="H687" i="13"/>
  <c r="G687" i="13"/>
  <c r="F687" i="13"/>
  <c r="E687" i="13"/>
  <c r="H190" i="13"/>
  <c r="G190" i="13"/>
  <c r="F190" i="13"/>
  <c r="E190" i="13"/>
  <c r="H160" i="13"/>
  <c r="G160" i="13"/>
  <c r="F160" i="13"/>
  <c r="E160" i="13"/>
  <c r="H600" i="13"/>
  <c r="G600" i="13"/>
  <c r="F600" i="13"/>
  <c r="E600" i="13"/>
  <c r="H361" i="13"/>
  <c r="G361" i="13"/>
  <c r="F361" i="13"/>
  <c r="E361" i="13"/>
  <c r="H2166" i="13"/>
  <c r="G2166" i="13"/>
  <c r="F2166" i="13"/>
  <c r="E2166" i="13"/>
  <c r="H514" i="13"/>
  <c r="G514" i="13"/>
  <c r="F514" i="13"/>
  <c r="E514" i="13"/>
  <c r="H771" i="13"/>
  <c r="G771" i="13"/>
  <c r="F771" i="13"/>
  <c r="E771" i="13"/>
  <c r="H520" i="13"/>
  <c r="G520" i="13"/>
  <c r="F520" i="13"/>
  <c r="E520" i="13"/>
  <c r="H1821" i="13"/>
  <c r="G1821" i="13"/>
  <c r="F1821" i="13"/>
  <c r="E1821" i="13"/>
  <c r="H1506" i="13"/>
  <c r="G1506" i="13"/>
  <c r="F1506" i="13"/>
  <c r="E1506" i="13"/>
  <c r="H925" i="13"/>
  <c r="G925" i="13"/>
  <c r="F925" i="13"/>
  <c r="E925" i="13"/>
  <c r="H1064" i="13"/>
  <c r="G1064" i="13"/>
  <c r="F1064" i="13"/>
  <c r="E1064" i="13"/>
  <c r="H1772" i="13"/>
  <c r="G1772" i="13"/>
  <c r="F1772" i="13"/>
  <c r="E1772" i="13"/>
  <c r="H2192" i="13"/>
  <c r="G2192" i="13"/>
  <c r="F2192" i="13"/>
  <c r="E2192" i="13"/>
  <c r="H1009" i="13"/>
  <c r="G1009" i="13"/>
  <c r="F1009" i="13"/>
  <c r="E1009" i="13"/>
  <c r="H2163" i="13"/>
  <c r="G2163" i="13"/>
  <c r="F2163" i="13"/>
  <c r="E2163" i="13"/>
  <c r="H879" i="13"/>
  <c r="G879" i="13"/>
  <c r="F879" i="13"/>
  <c r="E879" i="13"/>
  <c r="H1953" i="13"/>
  <c r="G1953" i="13"/>
  <c r="F1953" i="13"/>
  <c r="E1953" i="13"/>
  <c r="H867" i="13"/>
  <c r="G867" i="13"/>
  <c r="F867" i="13"/>
  <c r="E867" i="13"/>
  <c r="H97" i="13"/>
  <c r="G97" i="13"/>
  <c r="F97" i="13"/>
  <c r="E97" i="13"/>
  <c r="H67" i="13"/>
  <c r="G67" i="13"/>
  <c r="F67" i="13"/>
  <c r="E67" i="13"/>
  <c r="H2234" i="13"/>
  <c r="G2234" i="13"/>
  <c r="F2234" i="13"/>
  <c r="E2234" i="13"/>
  <c r="H59" i="13"/>
  <c r="G59" i="13"/>
  <c r="F59" i="13"/>
  <c r="E59" i="13"/>
  <c r="H945" i="13"/>
  <c r="G945" i="13"/>
  <c r="F945" i="13"/>
  <c r="E945" i="13"/>
  <c r="H1287" i="13"/>
  <c r="G1287" i="13"/>
  <c r="F1287" i="13"/>
  <c r="E1287" i="13"/>
  <c r="H2381" i="13"/>
  <c r="G2381" i="13"/>
  <c r="F2381" i="13"/>
  <c r="E2381" i="13"/>
  <c r="H377" i="13"/>
  <c r="G377" i="13"/>
  <c r="F377" i="13"/>
  <c r="E377" i="13"/>
  <c r="H887" i="13"/>
  <c r="G887" i="13"/>
  <c r="F887" i="13"/>
  <c r="E887" i="13"/>
  <c r="H197" i="13"/>
  <c r="G197" i="13"/>
  <c r="F197" i="13"/>
  <c r="E197" i="13"/>
  <c r="H96" i="13"/>
  <c r="G96" i="13"/>
  <c r="F96" i="13"/>
  <c r="E96" i="13"/>
  <c r="H105" i="13"/>
  <c r="G105" i="13"/>
  <c r="F105" i="13"/>
  <c r="E105" i="13"/>
  <c r="H1829" i="13"/>
  <c r="G1829" i="13"/>
  <c r="F1829" i="13"/>
  <c r="E1829" i="13"/>
  <c r="H489" i="13"/>
  <c r="G489" i="13"/>
  <c r="F489" i="13"/>
  <c r="E489" i="13"/>
  <c r="H366" i="13"/>
  <c r="G366" i="13"/>
  <c r="F366" i="13"/>
  <c r="E366" i="13"/>
  <c r="H660" i="13"/>
  <c r="G660" i="13"/>
  <c r="F660" i="13"/>
  <c r="E660" i="13"/>
  <c r="H1970" i="13"/>
  <c r="G1970" i="13"/>
  <c r="F1970" i="13"/>
  <c r="E1970" i="13"/>
  <c r="H1072" i="13"/>
  <c r="G1072" i="13"/>
  <c r="F1072" i="13"/>
  <c r="E1072" i="13"/>
  <c r="H1385" i="13"/>
  <c r="G1385" i="13"/>
  <c r="F1385" i="13"/>
  <c r="E1385" i="13"/>
  <c r="H150" i="13"/>
  <c r="G150" i="13"/>
  <c r="F150" i="13"/>
  <c r="E150" i="13"/>
  <c r="H519" i="13"/>
  <c r="G519" i="13"/>
  <c r="F519" i="13"/>
  <c r="E519" i="13"/>
  <c r="H907" i="13"/>
  <c r="G907" i="13"/>
  <c r="F907" i="13"/>
  <c r="E907" i="13"/>
  <c r="H500" i="13"/>
  <c r="G500" i="13"/>
  <c r="F500" i="13"/>
  <c r="E500" i="13"/>
  <c r="H86" i="13"/>
  <c r="G86" i="13"/>
  <c r="F86" i="13"/>
  <c r="E86" i="13"/>
  <c r="H552" i="13"/>
  <c r="G552" i="13"/>
  <c r="F552" i="13"/>
  <c r="E552" i="13"/>
  <c r="H1969" i="13"/>
  <c r="G1969" i="13"/>
  <c r="F1969" i="13"/>
  <c r="E1969" i="13"/>
  <c r="H307" i="13"/>
  <c r="G307" i="13"/>
  <c r="F307" i="13"/>
  <c r="E307" i="13"/>
  <c r="H142" i="13"/>
  <c r="G142" i="13"/>
  <c r="F142" i="13"/>
  <c r="E142" i="13"/>
  <c r="H1828" i="13"/>
  <c r="G1828" i="13"/>
  <c r="F1828" i="13"/>
  <c r="E1828" i="13"/>
  <c r="H2067" i="13"/>
  <c r="G2067" i="13"/>
  <c r="F2067" i="13"/>
  <c r="E2067" i="13"/>
  <c r="H1810" i="13"/>
  <c r="G1810" i="13"/>
  <c r="F1810" i="13"/>
  <c r="E1810" i="13"/>
  <c r="H1613" i="13"/>
  <c r="G1613" i="13"/>
  <c r="F1613" i="13"/>
  <c r="E1613" i="13"/>
  <c r="H651" i="13"/>
  <c r="G651" i="13"/>
  <c r="F651" i="13"/>
  <c r="E651" i="13"/>
  <c r="H137" i="13"/>
  <c r="G137" i="13"/>
  <c r="F137" i="13"/>
  <c r="E137" i="13"/>
  <c r="H2093" i="13"/>
  <c r="G2093" i="13"/>
  <c r="F2093" i="13"/>
  <c r="E2093" i="13"/>
  <c r="H1437" i="13"/>
  <c r="G1437" i="13"/>
  <c r="F1437" i="13"/>
  <c r="E1437" i="13"/>
  <c r="H1430" i="13"/>
  <c r="G1430" i="13"/>
  <c r="F1430" i="13"/>
  <c r="E1430" i="13"/>
  <c r="H1642" i="13"/>
  <c r="G1642" i="13"/>
  <c r="F1642" i="13"/>
  <c r="E1642" i="13"/>
  <c r="H642" i="13"/>
  <c r="G642" i="13"/>
  <c r="F642" i="13"/>
  <c r="E642" i="13"/>
  <c r="H641" i="13"/>
  <c r="G641" i="13"/>
  <c r="F641" i="13"/>
  <c r="E641" i="13"/>
  <c r="H2157" i="13"/>
  <c r="G2157" i="13"/>
  <c r="F2157" i="13"/>
  <c r="E2157" i="13"/>
  <c r="H1474" i="13"/>
  <c r="G1474" i="13"/>
  <c r="F1474" i="13"/>
  <c r="E1474" i="13"/>
  <c r="H2214" i="13"/>
  <c r="G2214" i="13"/>
  <c r="F2214" i="13"/>
  <c r="E2214" i="13"/>
  <c r="H1746" i="13"/>
  <c r="G1746" i="13"/>
  <c r="F1746" i="13"/>
  <c r="E1746" i="13"/>
  <c r="H90" i="13"/>
  <c r="G90" i="13"/>
  <c r="F90" i="13"/>
  <c r="E90" i="13"/>
  <c r="H599" i="13"/>
  <c r="G599" i="13"/>
  <c r="F599" i="13"/>
  <c r="E599" i="13"/>
  <c r="H2131" i="13"/>
  <c r="G2131" i="13"/>
  <c r="F2131" i="13"/>
  <c r="E2131" i="13"/>
  <c r="H2321" i="13"/>
  <c r="G2321" i="13"/>
  <c r="F2321" i="13"/>
  <c r="E2321" i="13"/>
  <c r="H1286" i="13"/>
  <c r="G1286" i="13"/>
  <c r="F1286" i="13"/>
  <c r="E1286" i="13"/>
  <c r="H558" i="13"/>
  <c r="G558" i="13"/>
  <c r="F558" i="13"/>
  <c r="E558" i="13"/>
  <c r="H2304" i="13"/>
  <c r="G2304" i="13"/>
  <c r="F2304" i="13"/>
  <c r="E2304" i="13"/>
  <c r="H2246" i="13"/>
  <c r="G2246" i="13"/>
  <c r="F2246" i="13"/>
  <c r="E2246" i="13"/>
  <c r="H1473" i="13"/>
  <c r="G1473" i="13"/>
  <c r="F1473" i="13"/>
  <c r="E1473" i="13"/>
  <c r="H2360" i="13"/>
  <c r="G2360" i="13"/>
  <c r="F2360" i="13"/>
  <c r="E2360" i="13"/>
  <c r="H1008" i="13"/>
  <c r="G1008" i="13"/>
  <c r="F1008" i="13"/>
  <c r="E1008" i="13"/>
  <c r="H787" i="13"/>
  <c r="G787" i="13"/>
  <c r="F787" i="13"/>
  <c r="E787" i="13"/>
  <c r="H960" i="13"/>
  <c r="G960" i="13"/>
  <c r="F960" i="13"/>
  <c r="E960" i="13"/>
  <c r="H15" i="13"/>
  <c r="G15" i="13"/>
  <c r="F15" i="13"/>
  <c r="E15" i="13"/>
  <c r="H2025" i="13"/>
  <c r="G2025" i="13"/>
  <c r="F2025" i="13"/>
  <c r="E2025" i="13"/>
  <c r="H268" i="13"/>
  <c r="G268" i="13"/>
  <c r="F268" i="13"/>
  <c r="E268" i="13"/>
  <c r="H2156" i="13"/>
  <c r="G2156" i="13"/>
  <c r="F2156" i="13"/>
  <c r="E2156" i="13"/>
  <c r="H575" i="13"/>
  <c r="G575" i="13"/>
  <c r="F575" i="13"/>
  <c r="E575" i="13"/>
  <c r="H1693" i="13"/>
  <c r="G1693" i="13"/>
  <c r="F1693" i="13"/>
  <c r="E1693" i="13"/>
  <c r="H896" i="13"/>
  <c r="G896" i="13"/>
  <c r="F896" i="13"/>
  <c r="E896" i="13"/>
  <c r="H1446" i="13"/>
  <c r="G1446" i="13"/>
  <c r="F1446" i="13"/>
  <c r="E1446" i="13"/>
  <c r="H513" i="13"/>
  <c r="G513" i="13"/>
  <c r="F513" i="13"/>
  <c r="E513" i="13"/>
  <c r="H1751" i="13"/>
  <c r="G1751" i="13"/>
  <c r="F1751" i="13"/>
  <c r="E1751" i="13"/>
  <c r="H1993" i="13"/>
  <c r="G1993" i="13"/>
  <c r="F1993" i="13"/>
  <c r="E1993" i="13"/>
  <c r="H468" i="13"/>
  <c r="G468" i="13"/>
  <c r="F468" i="13"/>
  <c r="E468" i="13"/>
  <c r="H906" i="13"/>
  <c r="G906" i="13"/>
  <c r="F906" i="13"/>
  <c r="E906" i="13"/>
  <c r="H1686" i="13"/>
  <c r="G1686" i="13"/>
  <c r="F1686" i="13"/>
  <c r="E1686" i="13"/>
  <c r="H530" i="13"/>
  <c r="G530" i="13"/>
  <c r="F530" i="13"/>
  <c r="E530" i="13"/>
  <c r="H996" i="13"/>
  <c r="G996" i="13"/>
  <c r="F996" i="13"/>
  <c r="E996" i="13"/>
  <c r="H1820" i="13"/>
  <c r="G1820" i="13"/>
  <c r="F1820" i="13"/>
  <c r="E1820" i="13"/>
  <c r="H211" i="13"/>
  <c r="G211" i="13"/>
  <c r="F211" i="13"/>
  <c r="E211" i="13"/>
  <c r="H1394" i="13"/>
  <c r="G1394" i="13"/>
  <c r="F1394" i="13"/>
  <c r="E1394" i="13"/>
  <c r="H1158" i="13"/>
  <c r="G1158" i="13"/>
  <c r="F1158" i="13"/>
  <c r="E1158" i="13"/>
  <c r="H588" i="13"/>
  <c r="G588" i="13"/>
  <c r="F588" i="13"/>
  <c r="E588" i="13"/>
  <c r="H1571" i="13"/>
  <c r="G1571" i="13"/>
  <c r="F1571" i="13"/>
  <c r="E1571" i="13"/>
  <c r="H2233" i="13"/>
  <c r="G2233" i="13"/>
  <c r="F2233" i="13"/>
  <c r="E2233" i="13"/>
  <c r="H74" i="13"/>
  <c r="G74" i="13"/>
  <c r="F74" i="13"/>
  <c r="E74" i="13"/>
  <c r="H2101" i="13"/>
  <c r="G2101" i="13"/>
  <c r="F2101" i="13"/>
  <c r="E2101" i="13"/>
  <c r="H2318" i="13"/>
  <c r="G2318" i="13"/>
  <c r="F2318" i="13"/>
  <c r="E2318" i="13"/>
  <c r="H1875" i="13"/>
  <c r="G1875" i="13"/>
  <c r="F1875" i="13"/>
  <c r="E1875" i="13"/>
  <c r="H1754" i="13"/>
  <c r="G1754" i="13"/>
  <c r="F1754" i="13"/>
  <c r="E1754" i="13"/>
  <c r="H2400" i="13"/>
  <c r="G2400" i="13"/>
  <c r="F2400" i="13"/>
  <c r="E2400" i="13"/>
  <c r="H371" i="13"/>
  <c r="G371" i="13"/>
  <c r="F371" i="13"/>
  <c r="E371" i="13"/>
  <c r="H800" i="13"/>
  <c r="G800" i="13"/>
  <c r="F800" i="13"/>
  <c r="E800" i="13"/>
  <c r="H598" i="13"/>
  <c r="G598" i="13"/>
  <c r="F598" i="13"/>
  <c r="E598" i="13"/>
  <c r="H2054" i="13"/>
  <c r="G2054" i="13"/>
  <c r="F2054" i="13"/>
  <c r="E2054" i="13"/>
  <c r="H1096" i="13"/>
  <c r="G1096" i="13"/>
  <c r="F1096" i="13"/>
  <c r="E1096" i="13"/>
  <c r="H1692" i="13"/>
  <c r="G1692" i="13"/>
  <c r="F1692" i="13"/>
  <c r="E1692" i="13"/>
  <c r="H2295" i="13"/>
  <c r="G2295" i="13"/>
  <c r="F2295" i="13"/>
  <c r="E2295" i="13"/>
  <c r="H89" i="13"/>
  <c r="G89" i="13"/>
  <c r="F89" i="13"/>
  <c r="E89" i="13"/>
  <c r="H1393" i="13"/>
  <c r="G1393" i="13"/>
  <c r="F1393" i="13"/>
  <c r="E1393" i="13"/>
  <c r="H2399" i="13"/>
  <c r="G2399" i="13"/>
  <c r="F2399" i="13"/>
  <c r="E2399" i="13"/>
  <c r="H735" i="13"/>
  <c r="G735" i="13"/>
  <c r="F735" i="13"/>
  <c r="E735" i="13"/>
  <c r="H401" i="13"/>
  <c r="G401" i="13"/>
  <c r="F401" i="13"/>
  <c r="E401" i="13"/>
  <c r="H2387" i="13"/>
  <c r="G2387" i="13"/>
  <c r="F2387" i="13"/>
  <c r="E2387" i="13"/>
  <c r="H2281" i="13"/>
  <c r="G2281" i="13"/>
  <c r="F2281" i="13"/>
  <c r="E2281" i="13"/>
  <c r="H730" i="13"/>
  <c r="G730" i="13"/>
  <c r="F730" i="13"/>
  <c r="E730" i="13"/>
  <c r="H409" i="13"/>
  <c r="G409" i="13"/>
  <c r="F409" i="13"/>
  <c r="E409" i="13"/>
  <c r="H2220" i="13"/>
  <c r="G2220" i="13"/>
  <c r="F2220" i="13"/>
  <c r="E2220" i="13"/>
  <c r="H2200" i="13"/>
  <c r="G2200" i="13"/>
  <c r="F2200" i="13"/>
  <c r="E2200" i="13"/>
  <c r="H761" i="13"/>
  <c r="G761" i="13"/>
  <c r="F761" i="13"/>
  <c r="E761" i="13"/>
  <c r="H1318" i="13"/>
  <c r="G1318" i="13"/>
  <c r="F1318" i="13"/>
  <c r="E1318" i="13"/>
  <c r="H875" i="13"/>
  <c r="G875" i="13"/>
  <c r="F875" i="13"/>
  <c r="E875" i="13"/>
  <c r="H1013" i="13"/>
  <c r="G1013" i="13"/>
  <c r="F1013" i="13"/>
  <c r="E1013" i="13"/>
  <c r="H1566" i="13"/>
  <c r="G1566" i="13"/>
  <c r="F1566" i="13"/>
  <c r="E1566" i="13"/>
  <c r="H1436" i="13"/>
  <c r="G1436" i="13"/>
  <c r="F1436" i="13"/>
  <c r="E1436" i="13"/>
  <c r="H189" i="13"/>
  <c r="G189" i="13"/>
  <c r="F189" i="13"/>
  <c r="E189" i="13"/>
  <c r="H1121" i="13"/>
  <c r="G1121" i="13"/>
  <c r="F1121" i="13"/>
  <c r="E1121" i="13"/>
  <c r="H488" i="13"/>
  <c r="G488" i="13"/>
  <c r="F488" i="13"/>
  <c r="E488" i="13"/>
  <c r="H995" i="13"/>
  <c r="G995" i="13"/>
  <c r="F995" i="13"/>
  <c r="E995" i="13"/>
  <c r="H944" i="13"/>
  <c r="G944" i="13"/>
  <c r="F944" i="13"/>
  <c r="E944" i="13"/>
  <c r="H400" i="13"/>
  <c r="G400" i="13"/>
  <c r="F400" i="13"/>
  <c r="E400" i="13"/>
  <c r="H2386" i="13"/>
  <c r="G2386" i="13"/>
  <c r="F2386" i="13"/>
  <c r="E2386" i="13"/>
  <c r="H916" i="13"/>
  <c r="G916" i="13"/>
  <c r="F916" i="13"/>
  <c r="E916" i="13"/>
  <c r="H1285" i="13"/>
  <c r="G1285" i="13"/>
  <c r="F1285" i="13"/>
  <c r="E1285" i="13"/>
  <c r="H1550" i="13"/>
  <c r="G1550" i="13"/>
  <c r="F1550" i="13"/>
  <c r="E1550" i="13"/>
  <c r="H2092" i="13"/>
  <c r="G2092" i="13"/>
  <c r="F2092" i="13"/>
  <c r="E2092" i="13"/>
  <c r="H2261" i="13"/>
  <c r="G2261" i="13"/>
  <c r="F2261" i="13"/>
  <c r="E2261" i="13"/>
  <c r="H1722" i="13"/>
  <c r="G1722" i="13"/>
  <c r="F1722" i="13"/>
  <c r="E1722" i="13"/>
  <c r="H1224" i="13"/>
  <c r="G1224" i="13"/>
  <c r="F1224" i="13"/>
  <c r="E1224" i="13"/>
  <c r="H1798" i="13"/>
  <c r="G1798" i="13"/>
  <c r="F1798" i="13"/>
  <c r="E1798" i="13"/>
  <c r="H2347" i="13"/>
  <c r="G2347" i="13"/>
  <c r="F2347" i="13"/>
  <c r="E2347" i="13"/>
  <c r="H2380" i="13"/>
  <c r="G2380" i="13"/>
  <c r="F2380" i="13"/>
  <c r="E2380" i="13"/>
  <c r="H1271" i="13"/>
  <c r="G1271" i="13"/>
  <c r="F1271" i="13"/>
  <c r="E1271" i="13"/>
  <c r="H333" i="13"/>
  <c r="G333" i="13"/>
  <c r="F333" i="13"/>
  <c r="E333" i="13"/>
  <c r="H679" i="13"/>
  <c r="G679" i="13"/>
  <c r="F679" i="13"/>
  <c r="E679" i="13"/>
  <c r="H931" i="13"/>
  <c r="G931" i="13"/>
  <c r="F931" i="13"/>
  <c r="E931" i="13"/>
  <c r="H1472" i="13"/>
  <c r="G1472" i="13"/>
  <c r="F1472" i="13"/>
  <c r="E1472" i="13"/>
  <c r="H300" i="13"/>
  <c r="G300" i="13"/>
  <c r="F300" i="13"/>
  <c r="E300" i="13"/>
  <c r="H696" i="13"/>
  <c r="G696" i="13"/>
  <c r="F696" i="13"/>
  <c r="E696" i="13"/>
  <c r="H487" i="13"/>
  <c r="G487" i="13"/>
  <c r="F487" i="13"/>
  <c r="E487" i="13"/>
  <c r="H28" i="13"/>
  <c r="G28" i="13"/>
  <c r="F28" i="13"/>
  <c r="E28" i="13"/>
  <c r="H1435" i="13"/>
  <c r="G1435" i="13"/>
  <c r="F1435" i="13"/>
  <c r="E1435" i="13"/>
  <c r="H719" i="13"/>
  <c r="G719" i="13"/>
  <c r="F719" i="13"/>
  <c r="E719" i="13"/>
  <c r="H1680" i="13"/>
  <c r="G1680" i="13"/>
  <c r="F1680" i="13"/>
  <c r="E1680" i="13"/>
  <c r="H1007" i="13"/>
  <c r="G1007" i="13"/>
  <c r="F1007" i="13"/>
  <c r="E1007" i="13"/>
  <c r="H290" i="13"/>
  <c r="G290" i="13"/>
  <c r="F290" i="13"/>
  <c r="E290" i="13"/>
  <c r="H1471" i="13"/>
  <c r="G1471" i="13"/>
  <c r="F1471" i="13"/>
  <c r="E1471" i="13"/>
  <c r="H1593" i="13"/>
  <c r="G1593" i="13"/>
  <c r="F1593" i="13"/>
  <c r="E1593" i="13"/>
  <c r="H815" i="13"/>
  <c r="G815" i="13"/>
  <c r="F815" i="13"/>
  <c r="E815" i="13"/>
  <c r="H629" i="13"/>
  <c r="G629" i="13"/>
  <c r="F629" i="13"/>
  <c r="E629" i="13"/>
  <c r="H1350" i="13"/>
  <c r="G1350" i="13"/>
  <c r="F1350" i="13"/>
  <c r="E1350" i="13"/>
  <c r="H935" i="13"/>
  <c r="G935" i="13"/>
  <c r="F935" i="13"/>
  <c r="E935" i="13"/>
  <c r="H1267" i="13"/>
  <c r="G1267" i="13"/>
  <c r="F1267" i="13"/>
  <c r="E1267" i="13"/>
  <c r="H1419" i="13"/>
  <c r="G1419" i="13"/>
  <c r="F1419" i="13"/>
  <c r="E1419" i="13"/>
  <c r="H1620" i="13"/>
  <c r="G1620" i="13"/>
  <c r="F1620" i="13"/>
  <c r="E1620" i="13"/>
  <c r="H1789" i="13"/>
  <c r="G1789" i="13"/>
  <c r="F1789" i="13"/>
  <c r="E1789" i="13"/>
  <c r="H1306" i="13"/>
  <c r="G1306" i="13"/>
  <c r="F1306" i="13"/>
  <c r="E1306" i="13"/>
  <c r="H1518" i="13"/>
  <c r="G1518" i="13"/>
  <c r="F1518" i="13"/>
  <c r="E1518" i="13"/>
  <c r="H2379" i="13"/>
  <c r="G2379" i="13"/>
  <c r="F2379" i="13"/>
  <c r="E2379" i="13"/>
  <c r="H2346" i="13"/>
  <c r="G2346" i="13"/>
  <c r="F2346" i="13"/>
  <c r="E2346" i="13"/>
  <c r="H786" i="13"/>
  <c r="G786" i="13"/>
  <c r="F786" i="13"/>
  <c r="E786" i="13"/>
  <c r="H1647" i="13"/>
  <c r="G1647" i="13"/>
  <c r="F1647" i="13"/>
  <c r="E1647" i="13"/>
  <c r="H1359" i="13"/>
  <c r="G1359" i="13"/>
  <c r="F1359" i="13"/>
  <c r="E1359" i="13"/>
  <c r="H2398" i="13"/>
  <c r="G2398" i="13"/>
  <c r="F2398" i="13"/>
  <c r="E2398" i="13"/>
  <c r="H443" i="13"/>
  <c r="G443" i="13"/>
  <c r="F443" i="13"/>
  <c r="E443" i="13"/>
  <c r="H2085" i="13"/>
  <c r="G2085" i="13"/>
  <c r="F2085" i="13"/>
  <c r="E2085" i="13"/>
  <c r="H238" i="13"/>
  <c r="G238" i="13"/>
  <c r="F238" i="13"/>
  <c r="E238" i="13"/>
  <c r="H1063" i="13"/>
  <c r="G1063" i="13"/>
  <c r="F1063" i="13"/>
  <c r="E1063" i="13"/>
  <c r="H196" i="13"/>
  <c r="G196" i="13"/>
  <c r="F196" i="13"/>
  <c r="E196" i="13"/>
  <c r="H85" i="13"/>
  <c r="G85" i="13"/>
  <c r="F85" i="13"/>
  <c r="E85" i="13"/>
  <c r="H1920" i="13"/>
  <c r="G1920" i="13"/>
  <c r="F1920" i="13"/>
  <c r="E1920" i="13"/>
  <c r="H742" i="13"/>
  <c r="G742" i="13"/>
  <c r="F742" i="13"/>
  <c r="E742" i="13"/>
  <c r="H2066" i="13"/>
  <c r="G2066" i="13"/>
  <c r="F2066" i="13"/>
  <c r="E2066" i="13"/>
  <c r="H73" i="13"/>
  <c r="G73" i="13"/>
  <c r="F73" i="13"/>
  <c r="E73" i="13"/>
  <c r="H934" i="13"/>
  <c r="G934" i="13"/>
  <c r="F934" i="13"/>
  <c r="E934" i="13"/>
  <c r="H2035" i="13"/>
  <c r="G2035" i="13"/>
  <c r="F2035" i="13"/>
  <c r="E2035" i="13"/>
  <c r="H2155" i="13"/>
  <c r="G2155" i="13"/>
  <c r="F2155" i="13"/>
  <c r="E2155" i="13"/>
  <c r="H2341" i="13"/>
  <c r="G2341" i="13"/>
  <c r="F2341" i="13"/>
  <c r="E2341" i="13"/>
  <c r="H1538" i="13"/>
  <c r="G1538" i="13"/>
  <c r="F1538" i="13"/>
  <c r="E1538" i="13"/>
  <c r="H1413" i="13"/>
  <c r="G1413" i="13"/>
  <c r="F1413" i="13"/>
  <c r="E1413" i="13"/>
  <c r="H1738" i="13"/>
  <c r="G1738" i="13"/>
  <c r="F1738" i="13"/>
  <c r="E1738" i="13"/>
  <c r="H866" i="13"/>
  <c r="G866" i="13"/>
  <c r="F866" i="13"/>
  <c r="E866" i="13"/>
  <c r="H1344" i="13"/>
  <c r="G1344" i="13"/>
  <c r="F1344" i="13"/>
  <c r="E1344" i="13"/>
  <c r="H2118" i="13"/>
  <c r="G2118" i="13"/>
  <c r="F2118" i="13"/>
  <c r="E2118" i="13"/>
  <c r="H2108" i="13"/>
  <c r="G2108" i="13"/>
  <c r="F2108" i="13"/>
  <c r="E2108" i="13"/>
  <c r="H837" i="13"/>
  <c r="G837" i="13"/>
  <c r="F837" i="13"/>
  <c r="E837" i="13"/>
  <c r="H1819" i="13"/>
  <c r="G1819" i="13"/>
  <c r="F1819" i="13"/>
  <c r="E1819" i="13"/>
  <c r="H1053" i="13"/>
  <c r="G1053" i="13"/>
  <c r="F1053" i="13"/>
  <c r="E1053" i="13"/>
  <c r="H126" i="13"/>
  <c r="G126" i="13"/>
  <c r="F126" i="13"/>
  <c r="E126" i="13"/>
  <c r="H1501" i="13"/>
  <c r="G1501" i="13"/>
  <c r="F1501" i="13"/>
  <c r="E1501" i="13"/>
  <c r="H2081" i="13"/>
  <c r="G2081" i="13"/>
  <c r="F2081" i="13"/>
  <c r="E2081" i="13"/>
  <c r="H1456" i="13"/>
  <c r="G1456" i="13"/>
  <c r="F1456" i="13"/>
  <c r="E1456" i="13"/>
  <c r="H223" i="13"/>
  <c r="G223" i="13"/>
  <c r="F223" i="13"/>
  <c r="E223" i="13"/>
  <c r="H393" i="13"/>
  <c r="G393" i="13"/>
  <c r="F393" i="13"/>
  <c r="E393" i="13"/>
  <c r="H2139" i="13"/>
  <c r="G2139" i="13"/>
  <c r="F2139" i="13"/>
  <c r="E2139" i="13"/>
  <c r="H1928" i="13"/>
  <c r="G1928" i="13"/>
  <c r="F1928" i="13"/>
  <c r="E1928" i="13"/>
  <c r="H1968" i="13"/>
  <c r="G1968" i="13"/>
  <c r="F1968" i="13"/>
  <c r="E1968" i="13"/>
  <c r="H1145" i="13"/>
  <c r="G1145" i="13"/>
  <c r="F1145" i="13"/>
  <c r="E1145" i="13"/>
  <c r="H141" i="13"/>
  <c r="G141" i="13"/>
  <c r="F141" i="13"/>
  <c r="E141" i="13"/>
  <c r="H640" i="13"/>
  <c r="G640" i="13"/>
  <c r="F640" i="13"/>
  <c r="E640" i="13"/>
  <c r="H118" i="13"/>
  <c r="G118" i="13"/>
  <c r="F118" i="13"/>
  <c r="E118" i="13"/>
  <c r="H350" i="13"/>
  <c r="G350" i="13"/>
  <c r="F350" i="13"/>
  <c r="E350" i="13"/>
  <c r="H994" i="13"/>
  <c r="G994" i="13"/>
  <c r="F994" i="13"/>
  <c r="E994" i="13"/>
  <c r="H1461" i="13"/>
  <c r="G1461" i="13"/>
  <c r="F1461" i="13"/>
  <c r="E1461" i="13"/>
  <c r="H1733" i="13"/>
  <c r="G1733" i="13"/>
  <c r="F1733" i="13"/>
  <c r="E1733" i="13"/>
  <c r="H2317" i="13"/>
  <c r="G2317" i="13"/>
  <c r="F2317" i="13"/>
  <c r="E2317" i="13"/>
  <c r="H729" i="13"/>
  <c r="G729" i="13"/>
  <c r="F729" i="13"/>
  <c r="E729" i="13"/>
  <c r="H1418" i="13"/>
  <c r="G1418" i="13"/>
  <c r="F1418" i="13"/>
  <c r="E1418" i="13"/>
  <c r="H1105" i="13"/>
  <c r="G1105" i="13"/>
  <c r="F1105" i="13"/>
  <c r="E1105" i="13"/>
  <c r="C8" i="13" a="1"/>
  <c r="C8" i="13" s="1"/>
  <c r="H6" i="13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1208" i="7"/>
  <c r="C2" i="11"/>
  <c r="H6" i="7"/>
  <c r="E1209" i="7"/>
  <c r="F1209" i="7"/>
  <c r="G1209" i="7"/>
  <c r="E1210" i="7"/>
  <c r="F1210" i="7"/>
  <c r="G1210" i="7"/>
  <c r="E1211" i="7"/>
  <c r="F1211" i="7"/>
  <c r="G1211" i="7"/>
  <c r="E1212" i="7"/>
  <c r="F1212" i="7"/>
  <c r="G1212" i="7"/>
  <c r="E1213" i="7"/>
  <c r="F1213" i="7"/>
  <c r="G1213" i="7"/>
  <c r="E1214" i="7"/>
  <c r="F1214" i="7"/>
  <c r="G1214" i="7"/>
  <c r="E1215" i="7"/>
  <c r="F1215" i="7"/>
  <c r="G1215" i="7"/>
  <c r="E1216" i="7"/>
  <c r="F1216" i="7"/>
  <c r="G1216" i="7"/>
  <c r="E1217" i="7"/>
  <c r="F1217" i="7"/>
  <c r="G1217" i="7"/>
  <c r="E1218" i="7"/>
  <c r="F1218" i="7"/>
  <c r="G1218" i="7"/>
  <c r="E1219" i="7"/>
  <c r="F1219" i="7"/>
  <c r="G1219" i="7"/>
  <c r="E1220" i="7"/>
  <c r="F1220" i="7"/>
  <c r="G1220" i="7"/>
  <c r="E1221" i="7"/>
  <c r="F1221" i="7"/>
  <c r="G1221" i="7"/>
  <c r="E1222" i="7"/>
  <c r="F1222" i="7"/>
  <c r="G1222" i="7"/>
  <c r="E1223" i="7"/>
  <c r="F1223" i="7"/>
  <c r="G1223" i="7"/>
  <c r="E1224" i="7"/>
  <c r="F1224" i="7"/>
  <c r="G1224" i="7"/>
  <c r="E1225" i="7"/>
  <c r="F1225" i="7"/>
  <c r="G1225" i="7"/>
  <c r="E1226" i="7"/>
  <c r="F1226" i="7"/>
  <c r="G1226" i="7"/>
  <c r="E1227" i="7"/>
  <c r="F1227" i="7"/>
  <c r="G1227" i="7"/>
  <c r="E1228" i="7"/>
  <c r="F1228" i="7"/>
  <c r="G1228" i="7"/>
  <c r="E1229" i="7"/>
  <c r="F1229" i="7"/>
  <c r="G1229" i="7"/>
  <c r="E1230" i="7"/>
  <c r="F1230" i="7"/>
  <c r="G1230" i="7"/>
  <c r="E1231" i="7"/>
  <c r="F1231" i="7"/>
  <c r="G1231" i="7"/>
  <c r="E1232" i="7"/>
  <c r="F1232" i="7"/>
  <c r="G1232" i="7"/>
  <c r="E1233" i="7"/>
  <c r="F1233" i="7"/>
  <c r="G1233" i="7"/>
  <c r="E1234" i="7"/>
  <c r="F1234" i="7"/>
  <c r="G1234" i="7"/>
  <c r="E1235" i="7"/>
  <c r="F1235" i="7"/>
  <c r="G1235" i="7"/>
  <c r="E1236" i="7"/>
  <c r="F1236" i="7"/>
  <c r="G1236" i="7"/>
  <c r="E1237" i="7"/>
  <c r="F1237" i="7"/>
  <c r="G1237" i="7"/>
  <c r="E1238" i="7"/>
  <c r="F1238" i="7"/>
  <c r="G1238" i="7"/>
  <c r="E1239" i="7"/>
  <c r="F1239" i="7"/>
  <c r="G1239" i="7"/>
  <c r="E1240" i="7"/>
  <c r="F1240" i="7"/>
  <c r="G1240" i="7"/>
  <c r="E1241" i="7"/>
  <c r="F1241" i="7"/>
  <c r="G1241" i="7"/>
  <c r="E1242" i="7"/>
  <c r="F1242" i="7"/>
  <c r="G1242" i="7"/>
  <c r="E1243" i="7"/>
  <c r="F1243" i="7"/>
  <c r="G1243" i="7"/>
  <c r="E1244" i="7"/>
  <c r="F1244" i="7"/>
  <c r="G1244" i="7"/>
  <c r="E1245" i="7"/>
  <c r="F1245" i="7"/>
  <c r="G1245" i="7"/>
  <c r="E1246" i="7"/>
  <c r="F1246" i="7"/>
  <c r="G1246" i="7"/>
  <c r="E1247" i="7"/>
  <c r="F1247" i="7"/>
  <c r="G1247" i="7"/>
  <c r="E1248" i="7"/>
  <c r="F1248" i="7"/>
  <c r="G1248" i="7"/>
  <c r="E1249" i="7"/>
  <c r="F1249" i="7"/>
  <c r="G1249" i="7"/>
  <c r="E1250" i="7"/>
  <c r="F1250" i="7"/>
  <c r="G1250" i="7"/>
  <c r="E1251" i="7"/>
  <c r="F1251" i="7"/>
  <c r="G1251" i="7"/>
  <c r="E1252" i="7"/>
  <c r="F1252" i="7"/>
  <c r="G1252" i="7"/>
  <c r="E1253" i="7"/>
  <c r="F1253" i="7"/>
  <c r="G1253" i="7"/>
  <c r="E1254" i="7"/>
  <c r="F1254" i="7"/>
  <c r="G1254" i="7"/>
  <c r="E1255" i="7"/>
  <c r="F1255" i="7"/>
  <c r="G1255" i="7"/>
  <c r="E1256" i="7"/>
  <c r="F1256" i="7"/>
  <c r="G1256" i="7"/>
  <c r="E1257" i="7"/>
  <c r="F1257" i="7"/>
  <c r="G1257" i="7"/>
  <c r="E1258" i="7"/>
  <c r="F1258" i="7"/>
  <c r="G1258" i="7"/>
  <c r="E1259" i="7"/>
  <c r="F1259" i="7"/>
  <c r="G1259" i="7"/>
  <c r="E1260" i="7"/>
  <c r="F1260" i="7"/>
  <c r="G1260" i="7"/>
  <c r="E1261" i="7"/>
  <c r="F1261" i="7"/>
  <c r="G1261" i="7"/>
  <c r="E1262" i="7"/>
  <c r="F1262" i="7"/>
  <c r="G1262" i="7"/>
  <c r="E1263" i="7"/>
  <c r="F1263" i="7"/>
  <c r="G1263" i="7"/>
  <c r="E1264" i="7"/>
  <c r="F1264" i="7"/>
  <c r="G1264" i="7"/>
  <c r="E1265" i="7"/>
  <c r="F1265" i="7"/>
  <c r="G1265" i="7"/>
  <c r="E1266" i="7"/>
  <c r="F1266" i="7"/>
  <c r="G1266" i="7"/>
  <c r="E1267" i="7"/>
  <c r="F1267" i="7"/>
  <c r="G1267" i="7"/>
  <c r="E1268" i="7"/>
  <c r="F1268" i="7"/>
  <c r="G1268" i="7"/>
  <c r="E1269" i="7"/>
  <c r="F1269" i="7"/>
  <c r="G1269" i="7"/>
  <c r="E1270" i="7"/>
  <c r="F1270" i="7"/>
  <c r="G1270" i="7"/>
  <c r="E1271" i="7"/>
  <c r="F1271" i="7"/>
  <c r="G1271" i="7"/>
  <c r="E1272" i="7"/>
  <c r="F1272" i="7"/>
  <c r="G1272" i="7"/>
  <c r="E1273" i="7"/>
  <c r="F1273" i="7"/>
  <c r="G1273" i="7"/>
  <c r="E1274" i="7"/>
  <c r="F1274" i="7"/>
  <c r="G1274" i="7"/>
  <c r="E1275" i="7"/>
  <c r="F1275" i="7"/>
  <c r="G1275" i="7"/>
  <c r="E1276" i="7"/>
  <c r="F1276" i="7"/>
  <c r="G1276" i="7"/>
  <c r="E1277" i="7"/>
  <c r="F1277" i="7"/>
  <c r="G1277" i="7"/>
  <c r="E1278" i="7"/>
  <c r="F1278" i="7"/>
  <c r="G1278" i="7"/>
  <c r="E1279" i="7"/>
  <c r="F1279" i="7"/>
  <c r="G1279" i="7"/>
  <c r="E1280" i="7"/>
  <c r="F1280" i="7"/>
  <c r="G1280" i="7"/>
  <c r="E1281" i="7"/>
  <c r="F1281" i="7"/>
  <c r="G1281" i="7"/>
  <c r="E1282" i="7"/>
  <c r="F1282" i="7"/>
  <c r="G1282" i="7"/>
  <c r="E1283" i="7"/>
  <c r="F1283" i="7"/>
  <c r="G1283" i="7"/>
  <c r="E1284" i="7"/>
  <c r="F1284" i="7"/>
  <c r="G1284" i="7"/>
  <c r="E1285" i="7"/>
  <c r="F1285" i="7"/>
  <c r="G1285" i="7"/>
  <c r="E1286" i="7"/>
  <c r="F1286" i="7"/>
  <c r="G1286" i="7"/>
  <c r="E1287" i="7"/>
  <c r="F1287" i="7"/>
  <c r="G1287" i="7"/>
  <c r="E1288" i="7"/>
  <c r="F1288" i="7"/>
  <c r="G1288" i="7"/>
  <c r="E1289" i="7"/>
  <c r="F1289" i="7"/>
  <c r="G1289" i="7"/>
  <c r="E1290" i="7"/>
  <c r="F1290" i="7"/>
  <c r="G1290" i="7"/>
  <c r="E1291" i="7"/>
  <c r="F1291" i="7"/>
  <c r="G1291" i="7"/>
  <c r="E1292" i="7"/>
  <c r="F1292" i="7"/>
  <c r="G1292" i="7"/>
  <c r="E1293" i="7"/>
  <c r="F1293" i="7"/>
  <c r="G1293" i="7"/>
  <c r="E1294" i="7"/>
  <c r="F1294" i="7"/>
  <c r="G1294" i="7"/>
  <c r="E1295" i="7"/>
  <c r="F1295" i="7"/>
  <c r="G1295" i="7"/>
  <c r="E1296" i="7"/>
  <c r="F1296" i="7"/>
  <c r="G1296" i="7"/>
  <c r="E1297" i="7"/>
  <c r="F1297" i="7"/>
  <c r="G1297" i="7"/>
  <c r="E1298" i="7"/>
  <c r="F1298" i="7"/>
  <c r="G1298" i="7"/>
  <c r="E1299" i="7"/>
  <c r="F1299" i="7"/>
  <c r="G1299" i="7"/>
  <c r="E1300" i="7"/>
  <c r="F1300" i="7"/>
  <c r="G1300" i="7"/>
  <c r="E1301" i="7"/>
  <c r="F1301" i="7"/>
  <c r="G1301" i="7"/>
  <c r="E1302" i="7"/>
  <c r="F1302" i="7"/>
  <c r="G1302" i="7"/>
  <c r="E1303" i="7"/>
  <c r="F1303" i="7"/>
  <c r="G1303" i="7"/>
  <c r="E1304" i="7"/>
  <c r="F1304" i="7"/>
  <c r="G1304" i="7"/>
  <c r="E1305" i="7"/>
  <c r="F1305" i="7"/>
  <c r="G1305" i="7"/>
  <c r="E1306" i="7"/>
  <c r="F1306" i="7"/>
  <c r="G1306" i="7"/>
  <c r="E1307" i="7"/>
  <c r="F1307" i="7"/>
  <c r="G1307" i="7"/>
  <c r="E1308" i="7"/>
  <c r="F1308" i="7"/>
  <c r="G1308" i="7"/>
  <c r="E1309" i="7"/>
  <c r="F1309" i="7"/>
  <c r="G1309" i="7"/>
  <c r="E1310" i="7"/>
  <c r="F1310" i="7"/>
  <c r="G1310" i="7"/>
  <c r="E1311" i="7"/>
  <c r="F1311" i="7"/>
  <c r="G1311" i="7"/>
  <c r="E1312" i="7"/>
  <c r="F1312" i="7"/>
  <c r="G1312" i="7"/>
  <c r="E1313" i="7"/>
  <c r="F1313" i="7"/>
  <c r="G1313" i="7"/>
  <c r="E1314" i="7"/>
  <c r="F1314" i="7"/>
  <c r="G1314" i="7"/>
  <c r="E1315" i="7"/>
  <c r="F1315" i="7"/>
  <c r="G1315" i="7"/>
  <c r="E1316" i="7"/>
  <c r="F1316" i="7"/>
  <c r="G1316" i="7"/>
  <c r="E1317" i="7"/>
  <c r="F1317" i="7"/>
  <c r="G1317" i="7"/>
  <c r="E1318" i="7"/>
  <c r="F1318" i="7"/>
  <c r="G1318" i="7"/>
  <c r="E1319" i="7"/>
  <c r="F1319" i="7"/>
  <c r="G1319" i="7"/>
  <c r="E1320" i="7"/>
  <c r="F1320" i="7"/>
  <c r="G1320" i="7"/>
  <c r="E1321" i="7"/>
  <c r="F1321" i="7"/>
  <c r="G1321" i="7"/>
  <c r="E1322" i="7"/>
  <c r="F1322" i="7"/>
  <c r="G1322" i="7"/>
  <c r="E1323" i="7"/>
  <c r="F1323" i="7"/>
  <c r="G1323" i="7"/>
  <c r="E1324" i="7"/>
  <c r="F1324" i="7"/>
  <c r="G1324" i="7"/>
  <c r="E1325" i="7"/>
  <c r="F1325" i="7"/>
  <c r="G1325" i="7"/>
  <c r="E1326" i="7"/>
  <c r="F1326" i="7"/>
  <c r="G1326" i="7"/>
  <c r="E1327" i="7"/>
  <c r="F1327" i="7"/>
  <c r="G1327" i="7"/>
  <c r="E1328" i="7"/>
  <c r="F1328" i="7"/>
  <c r="G1328" i="7"/>
  <c r="E1329" i="7"/>
  <c r="F1329" i="7"/>
  <c r="G1329" i="7"/>
  <c r="E1330" i="7"/>
  <c r="F1330" i="7"/>
  <c r="G1330" i="7"/>
  <c r="E1331" i="7"/>
  <c r="F1331" i="7"/>
  <c r="G1331" i="7"/>
  <c r="E1332" i="7"/>
  <c r="F1332" i="7"/>
  <c r="G1332" i="7"/>
  <c r="E1333" i="7"/>
  <c r="F1333" i="7"/>
  <c r="G1333" i="7"/>
  <c r="E1334" i="7"/>
  <c r="F1334" i="7"/>
  <c r="G1334" i="7"/>
  <c r="E1335" i="7"/>
  <c r="F1335" i="7"/>
  <c r="G1335" i="7"/>
  <c r="E1336" i="7"/>
  <c r="F1336" i="7"/>
  <c r="G1336" i="7"/>
  <c r="E1337" i="7"/>
  <c r="F1337" i="7"/>
  <c r="G1337" i="7"/>
  <c r="E1338" i="7"/>
  <c r="F1338" i="7"/>
  <c r="G1338" i="7"/>
  <c r="E1339" i="7"/>
  <c r="F1339" i="7"/>
  <c r="G1339" i="7"/>
  <c r="E1340" i="7"/>
  <c r="F1340" i="7"/>
  <c r="G1340" i="7"/>
  <c r="E1341" i="7"/>
  <c r="F1341" i="7"/>
  <c r="G1341" i="7"/>
  <c r="E1342" i="7"/>
  <c r="F1342" i="7"/>
  <c r="G1342" i="7"/>
  <c r="E1343" i="7"/>
  <c r="F1343" i="7"/>
  <c r="G1343" i="7"/>
  <c r="E1344" i="7"/>
  <c r="F1344" i="7"/>
  <c r="G1344" i="7"/>
  <c r="E1345" i="7"/>
  <c r="F1345" i="7"/>
  <c r="G1345" i="7"/>
  <c r="E1346" i="7"/>
  <c r="F1346" i="7"/>
  <c r="G1346" i="7"/>
  <c r="E1347" i="7"/>
  <c r="F1347" i="7"/>
  <c r="G1347" i="7"/>
  <c r="E1348" i="7"/>
  <c r="F1348" i="7"/>
  <c r="G1348" i="7"/>
  <c r="E1349" i="7"/>
  <c r="F1349" i="7"/>
  <c r="G1349" i="7"/>
  <c r="E1350" i="7"/>
  <c r="F1350" i="7"/>
  <c r="G1350" i="7"/>
  <c r="E1351" i="7"/>
  <c r="F1351" i="7"/>
  <c r="G1351" i="7"/>
  <c r="E1352" i="7"/>
  <c r="F1352" i="7"/>
  <c r="G1352" i="7"/>
  <c r="E1353" i="7"/>
  <c r="F1353" i="7"/>
  <c r="G1353" i="7"/>
  <c r="E1354" i="7"/>
  <c r="F1354" i="7"/>
  <c r="G1354" i="7"/>
  <c r="E1355" i="7"/>
  <c r="F1355" i="7"/>
  <c r="G1355" i="7"/>
  <c r="E1356" i="7"/>
  <c r="F1356" i="7"/>
  <c r="G1356" i="7"/>
  <c r="E1357" i="7"/>
  <c r="F1357" i="7"/>
  <c r="G1357" i="7"/>
  <c r="E1358" i="7"/>
  <c r="F1358" i="7"/>
  <c r="G1358" i="7"/>
  <c r="E1359" i="7"/>
  <c r="F1359" i="7"/>
  <c r="G1359" i="7"/>
  <c r="E1360" i="7"/>
  <c r="F1360" i="7"/>
  <c r="G1360" i="7"/>
  <c r="E1361" i="7"/>
  <c r="F1361" i="7"/>
  <c r="G1361" i="7"/>
  <c r="E1362" i="7"/>
  <c r="F1362" i="7"/>
  <c r="G1362" i="7"/>
  <c r="E1363" i="7"/>
  <c r="F1363" i="7"/>
  <c r="G1363" i="7"/>
  <c r="E1364" i="7"/>
  <c r="F1364" i="7"/>
  <c r="G1364" i="7"/>
  <c r="E1365" i="7"/>
  <c r="F1365" i="7"/>
  <c r="G1365" i="7"/>
  <c r="E1366" i="7"/>
  <c r="F1366" i="7"/>
  <c r="G1366" i="7"/>
  <c r="E1367" i="7"/>
  <c r="F1367" i="7"/>
  <c r="G1367" i="7"/>
  <c r="E1368" i="7"/>
  <c r="F1368" i="7"/>
  <c r="G1368" i="7"/>
  <c r="E1369" i="7"/>
  <c r="F1369" i="7"/>
  <c r="G1369" i="7"/>
  <c r="E1370" i="7"/>
  <c r="F1370" i="7"/>
  <c r="G1370" i="7"/>
  <c r="E1371" i="7"/>
  <c r="F1371" i="7"/>
  <c r="G1371" i="7"/>
  <c r="E1372" i="7"/>
  <c r="F1372" i="7"/>
  <c r="G1372" i="7"/>
  <c r="E1373" i="7"/>
  <c r="F1373" i="7"/>
  <c r="G1373" i="7"/>
  <c r="E1374" i="7"/>
  <c r="F1374" i="7"/>
  <c r="G1374" i="7"/>
  <c r="E1375" i="7"/>
  <c r="F1375" i="7"/>
  <c r="G1375" i="7"/>
  <c r="E1376" i="7"/>
  <c r="F1376" i="7"/>
  <c r="G1376" i="7"/>
  <c r="E1377" i="7"/>
  <c r="F1377" i="7"/>
  <c r="G1377" i="7"/>
  <c r="E1378" i="7"/>
  <c r="F1378" i="7"/>
  <c r="G1378" i="7"/>
  <c r="E1379" i="7"/>
  <c r="F1379" i="7"/>
  <c r="G1379" i="7"/>
  <c r="E1380" i="7"/>
  <c r="F1380" i="7"/>
  <c r="G1380" i="7"/>
  <c r="E1381" i="7"/>
  <c r="F1381" i="7"/>
  <c r="G1381" i="7"/>
  <c r="E1382" i="7"/>
  <c r="F1382" i="7"/>
  <c r="G1382" i="7"/>
  <c r="E1383" i="7"/>
  <c r="F1383" i="7"/>
  <c r="G1383" i="7"/>
  <c r="E1384" i="7"/>
  <c r="F1384" i="7"/>
  <c r="G1384" i="7"/>
  <c r="E1385" i="7"/>
  <c r="F1385" i="7"/>
  <c r="G1385" i="7"/>
  <c r="E1386" i="7"/>
  <c r="F1386" i="7"/>
  <c r="G1386" i="7"/>
  <c r="E1387" i="7"/>
  <c r="F1387" i="7"/>
  <c r="G1387" i="7"/>
  <c r="E1388" i="7"/>
  <c r="F1388" i="7"/>
  <c r="G1388" i="7"/>
  <c r="E1389" i="7"/>
  <c r="F1389" i="7"/>
  <c r="G1389" i="7"/>
  <c r="E1390" i="7"/>
  <c r="F1390" i="7"/>
  <c r="G1390" i="7"/>
  <c r="E1391" i="7"/>
  <c r="F1391" i="7"/>
  <c r="G1391" i="7"/>
  <c r="E1392" i="7"/>
  <c r="F1392" i="7"/>
  <c r="G1392" i="7"/>
  <c r="E1393" i="7"/>
  <c r="F1393" i="7"/>
  <c r="G1393" i="7"/>
  <c r="E1394" i="7"/>
  <c r="F1394" i="7"/>
  <c r="G1394" i="7"/>
  <c r="E1395" i="7"/>
  <c r="F1395" i="7"/>
  <c r="G1395" i="7"/>
  <c r="E1396" i="7"/>
  <c r="F1396" i="7"/>
  <c r="G1396" i="7"/>
  <c r="E1397" i="7"/>
  <c r="F1397" i="7"/>
  <c r="G1397" i="7"/>
  <c r="E1398" i="7"/>
  <c r="F1398" i="7"/>
  <c r="G1398" i="7"/>
  <c r="E1399" i="7"/>
  <c r="F1399" i="7"/>
  <c r="G1399" i="7"/>
  <c r="E1400" i="7"/>
  <c r="F1400" i="7"/>
  <c r="G1400" i="7"/>
  <c r="E1401" i="7"/>
  <c r="F1401" i="7"/>
  <c r="G1401" i="7"/>
  <c r="E1402" i="7"/>
  <c r="F1402" i="7"/>
  <c r="G1402" i="7"/>
  <c r="E1403" i="7"/>
  <c r="F1403" i="7"/>
  <c r="G1403" i="7"/>
  <c r="E1404" i="7"/>
  <c r="F1404" i="7"/>
  <c r="G1404" i="7"/>
  <c r="E1405" i="7"/>
  <c r="F1405" i="7"/>
  <c r="G1405" i="7"/>
  <c r="E1406" i="7"/>
  <c r="F1406" i="7"/>
  <c r="G1406" i="7"/>
  <c r="E1407" i="7"/>
  <c r="F1407" i="7"/>
  <c r="G1407" i="7"/>
  <c r="E1408" i="7"/>
  <c r="F1408" i="7"/>
  <c r="G1408" i="7"/>
  <c r="E1409" i="7"/>
  <c r="F1409" i="7"/>
  <c r="G1409" i="7"/>
  <c r="E1410" i="7"/>
  <c r="F1410" i="7"/>
  <c r="G1410" i="7"/>
  <c r="E1411" i="7"/>
  <c r="F1411" i="7"/>
  <c r="G1411" i="7"/>
  <c r="E1412" i="7"/>
  <c r="F1412" i="7"/>
  <c r="G1412" i="7"/>
  <c r="E1413" i="7"/>
  <c r="F1413" i="7"/>
  <c r="G1413" i="7"/>
  <c r="E1414" i="7"/>
  <c r="F1414" i="7"/>
  <c r="G1414" i="7"/>
  <c r="E1415" i="7"/>
  <c r="F1415" i="7"/>
  <c r="G1415" i="7"/>
  <c r="E1416" i="7"/>
  <c r="F1416" i="7"/>
  <c r="G1416" i="7"/>
  <c r="E1417" i="7"/>
  <c r="F1417" i="7"/>
  <c r="G1417" i="7"/>
  <c r="E1418" i="7"/>
  <c r="F1418" i="7"/>
  <c r="G1418" i="7"/>
  <c r="E1419" i="7"/>
  <c r="F1419" i="7"/>
  <c r="G1419" i="7"/>
  <c r="E1420" i="7"/>
  <c r="F1420" i="7"/>
  <c r="G1420" i="7"/>
  <c r="E1421" i="7"/>
  <c r="F1421" i="7"/>
  <c r="G1421" i="7"/>
  <c r="E1422" i="7"/>
  <c r="F1422" i="7"/>
  <c r="G1422" i="7"/>
  <c r="E1423" i="7"/>
  <c r="F1423" i="7"/>
  <c r="G1423" i="7"/>
  <c r="E1424" i="7"/>
  <c r="F1424" i="7"/>
  <c r="G1424" i="7"/>
  <c r="E1425" i="7"/>
  <c r="F1425" i="7"/>
  <c r="G1425" i="7"/>
  <c r="E1426" i="7"/>
  <c r="F1426" i="7"/>
  <c r="G1426" i="7"/>
  <c r="E1427" i="7"/>
  <c r="F1427" i="7"/>
  <c r="G1427" i="7"/>
  <c r="E1428" i="7"/>
  <c r="F1428" i="7"/>
  <c r="G1428" i="7"/>
  <c r="E1429" i="7"/>
  <c r="F1429" i="7"/>
  <c r="G1429" i="7"/>
  <c r="E1430" i="7"/>
  <c r="F1430" i="7"/>
  <c r="G1430" i="7"/>
  <c r="E1431" i="7"/>
  <c r="F1431" i="7"/>
  <c r="G1431" i="7"/>
  <c r="E1432" i="7"/>
  <c r="F1432" i="7"/>
  <c r="G1432" i="7"/>
  <c r="E1433" i="7"/>
  <c r="F1433" i="7"/>
  <c r="G1433" i="7"/>
  <c r="E1434" i="7"/>
  <c r="F1434" i="7"/>
  <c r="G1434" i="7"/>
  <c r="E1435" i="7"/>
  <c r="F1435" i="7"/>
  <c r="G1435" i="7"/>
  <c r="E1436" i="7"/>
  <c r="F1436" i="7"/>
  <c r="G1436" i="7"/>
  <c r="E1437" i="7"/>
  <c r="F1437" i="7"/>
  <c r="G1437" i="7"/>
  <c r="E1438" i="7"/>
  <c r="F1438" i="7"/>
  <c r="G1438" i="7"/>
  <c r="E1439" i="7"/>
  <c r="F1439" i="7"/>
  <c r="G1439" i="7"/>
  <c r="E1440" i="7"/>
  <c r="F1440" i="7"/>
  <c r="G1440" i="7"/>
  <c r="E1441" i="7"/>
  <c r="F1441" i="7"/>
  <c r="G1441" i="7"/>
  <c r="E1442" i="7"/>
  <c r="F1442" i="7"/>
  <c r="G1442" i="7"/>
  <c r="E1443" i="7"/>
  <c r="F1443" i="7"/>
  <c r="G1443" i="7"/>
  <c r="E1444" i="7"/>
  <c r="F1444" i="7"/>
  <c r="G1444" i="7"/>
  <c r="E1445" i="7"/>
  <c r="F1445" i="7"/>
  <c r="G1445" i="7"/>
  <c r="E1446" i="7"/>
  <c r="F1446" i="7"/>
  <c r="G1446" i="7"/>
  <c r="E1447" i="7"/>
  <c r="F1447" i="7"/>
  <c r="G1447" i="7"/>
  <c r="E1448" i="7"/>
  <c r="F1448" i="7"/>
  <c r="G1448" i="7"/>
  <c r="E1449" i="7"/>
  <c r="F1449" i="7"/>
  <c r="G1449" i="7"/>
  <c r="E1450" i="7"/>
  <c r="F1450" i="7"/>
  <c r="G1450" i="7"/>
  <c r="E1451" i="7"/>
  <c r="F1451" i="7"/>
  <c r="G1451" i="7"/>
  <c r="E1452" i="7"/>
  <c r="F1452" i="7"/>
  <c r="G1452" i="7"/>
  <c r="E1453" i="7"/>
  <c r="F1453" i="7"/>
  <c r="G1453" i="7"/>
  <c r="E1454" i="7"/>
  <c r="F1454" i="7"/>
  <c r="G1454" i="7"/>
  <c r="E1455" i="7"/>
  <c r="F1455" i="7"/>
  <c r="G1455" i="7"/>
  <c r="E1456" i="7"/>
  <c r="F1456" i="7"/>
  <c r="G1456" i="7"/>
  <c r="E1457" i="7"/>
  <c r="F1457" i="7"/>
  <c r="G1457" i="7"/>
  <c r="E1458" i="7"/>
  <c r="F1458" i="7"/>
  <c r="G1458" i="7"/>
  <c r="E1459" i="7"/>
  <c r="F1459" i="7"/>
  <c r="G1459" i="7"/>
  <c r="E1460" i="7"/>
  <c r="F1460" i="7"/>
  <c r="G1460" i="7"/>
  <c r="E1461" i="7"/>
  <c r="F1461" i="7"/>
  <c r="G1461" i="7"/>
  <c r="E1462" i="7"/>
  <c r="F1462" i="7"/>
  <c r="G1462" i="7"/>
  <c r="E1463" i="7"/>
  <c r="F1463" i="7"/>
  <c r="G1463" i="7"/>
  <c r="E1464" i="7"/>
  <c r="F1464" i="7"/>
  <c r="G1464" i="7"/>
  <c r="E1465" i="7"/>
  <c r="F1465" i="7"/>
  <c r="G1465" i="7"/>
  <c r="E1466" i="7"/>
  <c r="F1466" i="7"/>
  <c r="G1466" i="7"/>
  <c r="E1467" i="7"/>
  <c r="F1467" i="7"/>
  <c r="G1467" i="7"/>
  <c r="E1468" i="7"/>
  <c r="F1468" i="7"/>
  <c r="G1468" i="7"/>
  <c r="E1469" i="7"/>
  <c r="F1469" i="7"/>
  <c r="G1469" i="7"/>
  <c r="E1470" i="7"/>
  <c r="F1470" i="7"/>
  <c r="G1470" i="7"/>
  <c r="E1471" i="7"/>
  <c r="F1471" i="7"/>
  <c r="G1471" i="7"/>
  <c r="E1472" i="7"/>
  <c r="F1472" i="7"/>
  <c r="G1472" i="7"/>
  <c r="E1473" i="7"/>
  <c r="F1473" i="7"/>
  <c r="G1473" i="7"/>
  <c r="E1474" i="7"/>
  <c r="F1474" i="7"/>
  <c r="G1474" i="7"/>
  <c r="E1475" i="7"/>
  <c r="F1475" i="7"/>
  <c r="G1475" i="7"/>
  <c r="E1476" i="7"/>
  <c r="F1476" i="7"/>
  <c r="G1476" i="7"/>
  <c r="E1477" i="7"/>
  <c r="F1477" i="7"/>
  <c r="G1477" i="7"/>
  <c r="E1478" i="7"/>
  <c r="F1478" i="7"/>
  <c r="G1478" i="7"/>
  <c r="E1479" i="7"/>
  <c r="F1479" i="7"/>
  <c r="G1479" i="7"/>
  <c r="E1480" i="7"/>
  <c r="F1480" i="7"/>
  <c r="G1480" i="7"/>
  <c r="E1481" i="7"/>
  <c r="F1481" i="7"/>
  <c r="G1481" i="7"/>
  <c r="E1482" i="7"/>
  <c r="F1482" i="7"/>
  <c r="G1482" i="7"/>
  <c r="E1483" i="7"/>
  <c r="F1483" i="7"/>
  <c r="G1483" i="7"/>
  <c r="E1484" i="7"/>
  <c r="F1484" i="7"/>
  <c r="G1484" i="7"/>
  <c r="E1485" i="7"/>
  <c r="F1485" i="7"/>
  <c r="G1485" i="7"/>
  <c r="E1486" i="7"/>
  <c r="F1486" i="7"/>
  <c r="G1486" i="7"/>
  <c r="E1487" i="7"/>
  <c r="F1487" i="7"/>
  <c r="G1487" i="7"/>
  <c r="E1488" i="7"/>
  <c r="F1488" i="7"/>
  <c r="G1488" i="7"/>
  <c r="E1489" i="7"/>
  <c r="F1489" i="7"/>
  <c r="G1489" i="7"/>
  <c r="E1490" i="7"/>
  <c r="F1490" i="7"/>
  <c r="G1490" i="7"/>
  <c r="E1491" i="7"/>
  <c r="F1491" i="7"/>
  <c r="G1491" i="7"/>
  <c r="E1492" i="7"/>
  <c r="F1492" i="7"/>
  <c r="G1492" i="7"/>
  <c r="E1493" i="7"/>
  <c r="F1493" i="7"/>
  <c r="G1493" i="7"/>
  <c r="E1494" i="7"/>
  <c r="F1494" i="7"/>
  <c r="G1494" i="7"/>
  <c r="E1495" i="7"/>
  <c r="F1495" i="7"/>
  <c r="G1495" i="7"/>
  <c r="E1496" i="7"/>
  <c r="F1496" i="7"/>
  <c r="G1496" i="7"/>
  <c r="E1497" i="7"/>
  <c r="F1497" i="7"/>
  <c r="G1497" i="7"/>
  <c r="E1498" i="7"/>
  <c r="F1498" i="7"/>
  <c r="G1498" i="7"/>
  <c r="E1499" i="7"/>
  <c r="F1499" i="7"/>
  <c r="G1499" i="7"/>
  <c r="E1500" i="7"/>
  <c r="F1500" i="7"/>
  <c r="G1500" i="7"/>
  <c r="E1501" i="7"/>
  <c r="F1501" i="7"/>
  <c r="G1501" i="7"/>
  <c r="E1502" i="7"/>
  <c r="F1502" i="7"/>
  <c r="G1502" i="7"/>
  <c r="E1503" i="7"/>
  <c r="F1503" i="7"/>
  <c r="G1503" i="7"/>
  <c r="E1504" i="7"/>
  <c r="F1504" i="7"/>
  <c r="G1504" i="7"/>
  <c r="E1505" i="7"/>
  <c r="F1505" i="7"/>
  <c r="G1505" i="7"/>
  <c r="E1506" i="7"/>
  <c r="F1506" i="7"/>
  <c r="G1506" i="7"/>
  <c r="E1507" i="7"/>
  <c r="F1507" i="7"/>
  <c r="G1507" i="7"/>
  <c r="E1508" i="7"/>
  <c r="F1508" i="7"/>
  <c r="G1508" i="7"/>
  <c r="E1509" i="7"/>
  <c r="F1509" i="7"/>
  <c r="G1509" i="7"/>
  <c r="E1510" i="7"/>
  <c r="F1510" i="7"/>
  <c r="G1510" i="7"/>
  <c r="E1511" i="7"/>
  <c r="F1511" i="7"/>
  <c r="G1511" i="7"/>
  <c r="E1512" i="7"/>
  <c r="F1512" i="7"/>
  <c r="G1512" i="7"/>
  <c r="E1513" i="7"/>
  <c r="F1513" i="7"/>
  <c r="G1513" i="7"/>
  <c r="E1514" i="7"/>
  <c r="F1514" i="7"/>
  <c r="G1514" i="7"/>
  <c r="E1515" i="7"/>
  <c r="F1515" i="7"/>
  <c r="G1515" i="7"/>
  <c r="E1516" i="7"/>
  <c r="F1516" i="7"/>
  <c r="G1516" i="7"/>
  <c r="E1517" i="7"/>
  <c r="F1517" i="7"/>
  <c r="G1517" i="7"/>
  <c r="E1518" i="7"/>
  <c r="F1518" i="7"/>
  <c r="G1518" i="7"/>
  <c r="E1519" i="7"/>
  <c r="F1519" i="7"/>
  <c r="G1519" i="7"/>
  <c r="E1520" i="7"/>
  <c r="F1520" i="7"/>
  <c r="G1520" i="7"/>
  <c r="E1521" i="7"/>
  <c r="F1521" i="7"/>
  <c r="G1521" i="7"/>
  <c r="E1522" i="7"/>
  <c r="F1522" i="7"/>
  <c r="G1522" i="7"/>
  <c r="E1523" i="7"/>
  <c r="F1523" i="7"/>
  <c r="G1523" i="7"/>
  <c r="E1524" i="7"/>
  <c r="F1524" i="7"/>
  <c r="G1524" i="7"/>
  <c r="E1525" i="7"/>
  <c r="F1525" i="7"/>
  <c r="G1525" i="7"/>
  <c r="E1526" i="7"/>
  <c r="F1526" i="7"/>
  <c r="G1526" i="7"/>
  <c r="E1527" i="7"/>
  <c r="F1527" i="7"/>
  <c r="G1527" i="7"/>
  <c r="E1528" i="7"/>
  <c r="F1528" i="7"/>
  <c r="G1528" i="7"/>
  <c r="E1529" i="7"/>
  <c r="F1529" i="7"/>
  <c r="G1529" i="7"/>
  <c r="E1530" i="7"/>
  <c r="F1530" i="7"/>
  <c r="G1530" i="7"/>
  <c r="E1531" i="7"/>
  <c r="F1531" i="7"/>
  <c r="G1531" i="7"/>
  <c r="E1532" i="7"/>
  <c r="F1532" i="7"/>
  <c r="G1532" i="7"/>
  <c r="E1533" i="7"/>
  <c r="F1533" i="7"/>
  <c r="G1533" i="7"/>
  <c r="E1534" i="7"/>
  <c r="F1534" i="7"/>
  <c r="G1534" i="7"/>
  <c r="E1535" i="7"/>
  <c r="F1535" i="7"/>
  <c r="G1535" i="7"/>
  <c r="E1536" i="7"/>
  <c r="F1536" i="7"/>
  <c r="G1536" i="7"/>
  <c r="E1537" i="7"/>
  <c r="F1537" i="7"/>
  <c r="G1537" i="7"/>
  <c r="E1538" i="7"/>
  <c r="F1538" i="7"/>
  <c r="G1538" i="7"/>
  <c r="E1539" i="7"/>
  <c r="F1539" i="7"/>
  <c r="G1539" i="7"/>
  <c r="E1540" i="7"/>
  <c r="F1540" i="7"/>
  <c r="G1540" i="7"/>
  <c r="E1541" i="7"/>
  <c r="F1541" i="7"/>
  <c r="G1541" i="7"/>
  <c r="E1542" i="7"/>
  <c r="F1542" i="7"/>
  <c r="G1542" i="7"/>
  <c r="E1543" i="7"/>
  <c r="F1543" i="7"/>
  <c r="G1543" i="7"/>
  <c r="E1544" i="7"/>
  <c r="F1544" i="7"/>
  <c r="G1544" i="7"/>
  <c r="E1545" i="7"/>
  <c r="F1545" i="7"/>
  <c r="G1545" i="7"/>
  <c r="E1546" i="7"/>
  <c r="F1546" i="7"/>
  <c r="G1546" i="7"/>
  <c r="E1547" i="7"/>
  <c r="F1547" i="7"/>
  <c r="G1547" i="7"/>
  <c r="E1548" i="7"/>
  <c r="F1548" i="7"/>
  <c r="G1548" i="7"/>
  <c r="E1549" i="7"/>
  <c r="F1549" i="7"/>
  <c r="G1549" i="7"/>
  <c r="E1550" i="7"/>
  <c r="F1550" i="7"/>
  <c r="G1550" i="7"/>
  <c r="E1551" i="7"/>
  <c r="F1551" i="7"/>
  <c r="G1551" i="7"/>
  <c r="E1552" i="7"/>
  <c r="F1552" i="7"/>
  <c r="G1552" i="7"/>
  <c r="E1553" i="7"/>
  <c r="F1553" i="7"/>
  <c r="G1553" i="7"/>
  <c r="E1554" i="7"/>
  <c r="F1554" i="7"/>
  <c r="G1554" i="7"/>
  <c r="E1555" i="7"/>
  <c r="F1555" i="7"/>
  <c r="G1555" i="7"/>
  <c r="E1556" i="7"/>
  <c r="F1556" i="7"/>
  <c r="G1556" i="7"/>
  <c r="E1557" i="7"/>
  <c r="F1557" i="7"/>
  <c r="G1557" i="7"/>
  <c r="E1558" i="7"/>
  <c r="F1558" i="7"/>
  <c r="G1558" i="7"/>
  <c r="E1559" i="7"/>
  <c r="F1559" i="7"/>
  <c r="G1559" i="7"/>
  <c r="E1560" i="7"/>
  <c r="F1560" i="7"/>
  <c r="G1560" i="7"/>
  <c r="E1561" i="7"/>
  <c r="F1561" i="7"/>
  <c r="G1561" i="7"/>
  <c r="E1562" i="7"/>
  <c r="F1562" i="7"/>
  <c r="G1562" i="7"/>
  <c r="E1563" i="7"/>
  <c r="F1563" i="7"/>
  <c r="G1563" i="7"/>
  <c r="E1564" i="7"/>
  <c r="F1564" i="7"/>
  <c r="G1564" i="7"/>
  <c r="E1565" i="7"/>
  <c r="F1565" i="7"/>
  <c r="G1565" i="7"/>
  <c r="E1566" i="7"/>
  <c r="F1566" i="7"/>
  <c r="G1566" i="7"/>
  <c r="E1567" i="7"/>
  <c r="F1567" i="7"/>
  <c r="G1567" i="7"/>
  <c r="E1568" i="7"/>
  <c r="F1568" i="7"/>
  <c r="G1568" i="7"/>
  <c r="E1569" i="7"/>
  <c r="F1569" i="7"/>
  <c r="G1569" i="7"/>
  <c r="E1570" i="7"/>
  <c r="F1570" i="7"/>
  <c r="G1570" i="7"/>
  <c r="E1571" i="7"/>
  <c r="F1571" i="7"/>
  <c r="G1571" i="7"/>
  <c r="E1572" i="7"/>
  <c r="F1572" i="7"/>
  <c r="G1572" i="7"/>
  <c r="E1573" i="7"/>
  <c r="F1573" i="7"/>
  <c r="G1573" i="7"/>
  <c r="E1574" i="7"/>
  <c r="F1574" i="7"/>
  <c r="G1574" i="7"/>
  <c r="E1575" i="7"/>
  <c r="F1575" i="7"/>
  <c r="G1575" i="7"/>
  <c r="E1576" i="7"/>
  <c r="F1576" i="7"/>
  <c r="G1576" i="7"/>
  <c r="E1577" i="7"/>
  <c r="F1577" i="7"/>
  <c r="G1577" i="7"/>
  <c r="E1578" i="7"/>
  <c r="F1578" i="7"/>
  <c r="G1578" i="7"/>
  <c r="E1579" i="7"/>
  <c r="F1579" i="7"/>
  <c r="G1579" i="7"/>
  <c r="E1580" i="7"/>
  <c r="F1580" i="7"/>
  <c r="G1580" i="7"/>
  <c r="E1581" i="7"/>
  <c r="F1581" i="7"/>
  <c r="G1581" i="7"/>
  <c r="E1582" i="7"/>
  <c r="F1582" i="7"/>
  <c r="G1582" i="7"/>
  <c r="E1583" i="7"/>
  <c r="F1583" i="7"/>
  <c r="G1583" i="7"/>
  <c r="E1584" i="7"/>
  <c r="F1584" i="7"/>
  <c r="G1584" i="7"/>
  <c r="E1585" i="7"/>
  <c r="F1585" i="7"/>
  <c r="G1585" i="7"/>
  <c r="E1586" i="7"/>
  <c r="F1586" i="7"/>
  <c r="G1586" i="7"/>
  <c r="E1587" i="7"/>
  <c r="F1587" i="7"/>
  <c r="G1587" i="7"/>
  <c r="E1588" i="7"/>
  <c r="F1588" i="7"/>
  <c r="G1588" i="7"/>
  <c r="E1589" i="7"/>
  <c r="F1589" i="7"/>
  <c r="G1589" i="7"/>
  <c r="E1590" i="7"/>
  <c r="F1590" i="7"/>
  <c r="G1590" i="7"/>
  <c r="E1591" i="7"/>
  <c r="F1591" i="7"/>
  <c r="G1591" i="7"/>
  <c r="E1592" i="7"/>
  <c r="F1592" i="7"/>
  <c r="G1592" i="7"/>
  <c r="E1593" i="7"/>
  <c r="F1593" i="7"/>
  <c r="G1593" i="7"/>
  <c r="E1594" i="7"/>
  <c r="F1594" i="7"/>
  <c r="G1594" i="7"/>
  <c r="E1595" i="7"/>
  <c r="F1595" i="7"/>
  <c r="G1595" i="7"/>
  <c r="E1596" i="7"/>
  <c r="F1596" i="7"/>
  <c r="G1596" i="7"/>
  <c r="E1597" i="7"/>
  <c r="F1597" i="7"/>
  <c r="G1597" i="7"/>
  <c r="E1598" i="7"/>
  <c r="F1598" i="7"/>
  <c r="G1598" i="7"/>
  <c r="E1599" i="7"/>
  <c r="F1599" i="7"/>
  <c r="G1599" i="7"/>
  <c r="E1600" i="7"/>
  <c r="F1600" i="7"/>
  <c r="G1600" i="7"/>
  <c r="E1601" i="7"/>
  <c r="F1601" i="7"/>
  <c r="G1601" i="7"/>
  <c r="E1602" i="7"/>
  <c r="F1602" i="7"/>
  <c r="G1602" i="7"/>
  <c r="E1603" i="7"/>
  <c r="F1603" i="7"/>
  <c r="G1603" i="7"/>
  <c r="E1604" i="7"/>
  <c r="F1604" i="7"/>
  <c r="G1604" i="7"/>
  <c r="E1605" i="7"/>
  <c r="F1605" i="7"/>
  <c r="G1605" i="7"/>
  <c r="E1606" i="7"/>
  <c r="F1606" i="7"/>
  <c r="G1606" i="7"/>
  <c r="E1607" i="7"/>
  <c r="F1607" i="7"/>
  <c r="G1607" i="7"/>
  <c r="E1608" i="7"/>
  <c r="F1608" i="7"/>
  <c r="G1608" i="7"/>
  <c r="E1609" i="7"/>
  <c r="F1609" i="7"/>
  <c r="G1609" i="7"/>
  <c r="E1610" i="7"/>
  <c r="F1610" i="7"/>
  <c r="G1610" i="7"/>
  <c r="E1611" i="7"/>
  <c r="F1611" i="7"/>
  <c r="G1611" i="7"/>
  <c r="E1612" i="7"/>
  <c r="F1612" i="7"/>
  <c r="G1612" i="7"/>
  <c r="E1613" i="7"/>
  <c r="F1613" i="7"/>
  <c r="G1613" i="7"/>
  <c r="E1614" i="7"/>
  <c r="F1614" i="7"/>
  <c r="G1614" i="7"/>
  <c r="E1615" i="7"/>
  <c r="F1615" i="7"/>
  <c r="G1615" i="7"/>
  <c r="E1616" i="7"/>
  <c r="F1616" i="7"/>
  <c r="G1616" i="7"/>
  <c r="E1617" i="7"/>
  <c r="F1617" i="7"/>
  <c r="G1617" i="7"/>
  <c r="E1618" i="7"/>
  <c r="F1618" i="7"/>
  <c r="G1618" i="7"/>
  <c r="E1619" i="7"/>
  <c r="F1619" i="7"/>
  <c r="G1619" i="7"/>
  <c r="E1620" i="7"/>
  <c r="F1620" i="7"/>
  <c r="G1620" i="7"/>
  <c r="E1621" i="7"/>
  <c r="F1621" i="7"/>
  <c r="G1621" i="7"/>
  <c r="E1622" i="7"/>
  <c r="F1622" i="7"/>
  <c r="G1622" i="7"/>
  <c r="E1623" i="7"/>
  <c r="F1623" i="7"/>
  <c r="G1623" i="7"/>
  <c r="E1624" i="7"/>
  <c r="F1624" i="7"/>
  <c r="G1624" i="7"/>
  <c r="E1625" i="7"/>
  <c r="F1625" i="7"/>
  <c r="G1625" i="7"/>
  <c r="E1626" i="7"/>
  <c r="F1626" i="7"/>
  <c r="G1626" i="7"/>
  <c r="E1627" i="7"/>
  <c r="F1627" i="7"/>
  <c r="G1627" i="7"/>
  <c r="E1628" i="7"/>
  <c r="F1628" i="7"/>
  <c r="G1628" i="7"/>
  <c r="E1629" i="7"/>
  <c r="F1629" i="7"/>
  <c r="G1629" i="7"/>
  <c r="E1630" i="7"/>
  <c r="F1630" i="7"/>
  <c r="G1630" i="7"/>
  <c r="E1631" i="7"/>
  <c r="F1631" i="7"/>
  <c r="G1631" i="7"/>
  <c r="E1632" i="7"/>
  <c r="F1632" i="7"/>
  <c r="G1632" i="7"/>
  <c r="E1633" i="7"/>
  <c r="F1633" i="7"/>
  <c r="G1633" i="7"/>
  <c r="E1634" i="7"/>
  <c r="F1634" i="7"/>
  <c r="G1634" i="7"/>
  <c r="E1635" i="7"/>
  <c r="F1635" i="7"/>
  <c r="G1635" i="7"/>
  <c r="E1636" i="7"/>
  <c r="F1636" i="7"/>
  <c r="G1636" i="7"/>
  <c r="E1637" i="7"/>
  <c r="F1637" i="7"/>
  <c r="G1637" i="7"/>
  <c r="E1638" i="7"/>
  <c r="F1638" i="7"/>
  <c r="G1638" i="7"/>
  <c r="E1639" i="7"/>
  <c r="F1639" i="7"/>
  <c r="G1639" i="7"/>
  <c r="E1640" i="7"/>
  <c r="F1640" i="7"/>
  <c r="G1640" i="7"/>
  <c r="E1641" i="7"/>
  <c r="F1641" i="7"/>
  <c r="G1641" i="7"/>
  <c r="E1642" i="7"/>
  <c r="F1642" i="7"/>
  <c r="G1642" i="7"/>
  <c r="E1643" i="7"/>
  <c r="F1643" i="7"/>
  <c r="G1643" i="7"/>
  <c r="E1644" i="7"/>
  <c r="F1644" i="7"/>
  <c r="G1644" i="7"/>
  <c r="E1645" i="7"/>
  <c r="F1645" i="7"/>
  <c r="G1645" i="7"/>
  <c r="E1646" i="7"/>
  <c r="F1646" i="7"/>
  <c r="G1646" i="7"/>
  <c r="E1647" i="7"/>
  <c r="F1647" i="7"/>
  <c r="G1647" i="7"/>
  <c r="E1648" i="7"/>
  <c r="F1648" i="7"/>
  <c r="G1648" i="7"/>
  <c r="E1649" i="7"/>
  <c r="F1649" i="7"/>
  <c r="G1649" i="7"/>
  <c r="E1650" i="7"/>
  <c r="F1650" i="7"/>
  <c r="G1650" i="7"/>
  <c r="E1651" i="7"/>
  <c r="F1651" i="7"/>
  <c r="G1651" i="7"/>
  <c r="E1652" i="7"/>
  <c r="F1652" i="7"/>
  <c r="G1652" i="7"/>
  <c r="E1653" i="7"/>
  <c r="F1653" i="7"/>
  <c r="G1653" i="7"/>
  <c r="E1654" i="7"/>
  <c r="F1654" i="7"/>
  <c r="G1654" i="7"/>
  <c r="E1655" i="7"/>
  <c r="F1655" i="7"/>
  <c r="G1655" i="7"/>
  <c r="E1656" i="7"/>
  <c r="F1656" i="7"/>
  <c r="G1656" i="7"/>
  <c r="E1657" i="7"/>
  <c r="F1657" i="7"/>
  <c r="G1657" i="7"/>
  <c r="E1658" i="7"/>
  <c r="F1658" i="7"/>
  <c r="G1658" i="7"/>
  <c r="E1659" i="7"/>
  <c r="F1659" i="7"/>
  <c r="G1659" i="7"/>
  <c r="E1660" i="7"/>
  <c r="F1660" i="7"/>
  <c r="G1660" i="7"/>
  <c r="E1661" i="7"/>
  <c r="F1661" i="7"/>
  <c r="G1661" i="7"/>
  <c r="E1662" i="7"/>
  <c r="F1662" i="7"/>
  <c r="G1662" i="7"/>
  <c r="E1663" i="7"/>
  <c r="F1663" i="7"/>
  <c r="G1663" i="7"/>
  <c r="E1664" i="7"/>
  <c r="F1664" i="7"/>
  <c r="G1664" i="7"/>
  <c r="E1665" i="7"/>
  <c r="F1665" i="7"/>
  <c r="G1665" i="7"/>
  <c r="E1666" i="7"/>
  <c r="F1666" i="7"/>
  <c r="G1666" i="7"/>
  <c r="E1667" i="7"/>
  <c r="F1667" i="7"/>
  <c r="G1667" i="7"/>
  <c r="E1668" i="7"/>
  <c r="F1668" i="7"/>
  <c r="G1668" i="7"/>
  <c r="E1669" i="7"/>
  <c r="F1669" i="7"/>
  <c r="G1669" i="7"/>
  <c r="E1670" i="7"/>
  <c r="F1670" i="7"/>
  <c r="G1670" i="7"/>
  <c r="E1671" i="7"/>
  <c r="F1671" i="7"/>
  <c r="G1671" i="7"/>
  <c r="E1672" i="7"/>
  <c r="F1672" i="7"/>
  <c r="G1672" i="7"/>
  <c r="E1673" i="7"/>
  <c r="F1673" i="7"/>
  <c r="G1673" i="7"/>
  <c r="E1674" i="7"/>
  <c r="F1674" i="7"/>
  <c r="G1674" i="7"/>
  <c r="E1675" i="7"/>
  <c r="F1675" i="7"/>
  <c r="G1675" i="7"/>
  <c r="E1676" i="7"/>
  <c r="F1676" i="7"/>
  <c r="G1676" i="7"/>
  <c r="E1677" i="7"/>
  <c r="F1677" i="7"/>
  <c r="G1677" i="7"/>
  <c r="E1678" i="7"/>
  <c r="F1678" i="7"/>
  <c r="G1678" i="7"/>
  <c r="E1679" i="7"/>
  <c r="F1679" i="7"/>
  <c r="G1679" i="7"/>
  <c r="E1680" i="7"/>
  <c r="F1680" i="7"/>
  <c r="G1680" i="7"/>
  <c r="E1681" i="7"/>
  <c r="F1681" i="7"/>
  <c r="G1681" i="7"/>
  <c r="E1682" i="7"/>
  <c r="F1682" i="7"/>
  <c r="G1682" i="7"/>
  <c r="E1683" i="7"/>
  <c r="F1683" i="7"/>
  <c r="G1683" i="7"/>
  <c r="E1684" i="7"/>
  <c r="F1684" i="7"/>
  <c r="G1684" i="7"/>
  <c r="E1685" i="7"/>
  <c r="F1685" i="7"/>
  <c r="G1685" i="7"/>
  <c r="E1686" i="7"/>
  <c r="F1686" i="7"/>
  <c r="G1686" i="7"/>
  <c r="E1687" i="7"/>
  <c r="F1687" i="7"/>
  <c r="G1687" i="7"/>
  <c r="E1688" i="7"/>
  <c r="F1688" i="7"/>
  <c r="G1688" i="7"/>
  <c r="E1689" i="7"/>
  <c r="F1689" i="7"/>
  <c r="G1689" i="7"/>
  <c r="E1690" i="7"/>
  <c r="F1690" i="7"/>
  <c r="G1690" i="7"/>
  <c r="E1691" i="7"/>
  <c r="F1691" i="7"/>
  <c r="G1691" i="7"/>
  <c r="E1692" i="7"/>
  <c r="F1692" i="7"/>
  <c r="G1692" i="7"/>
  <c r="E1693" i="7"/>
  <c r="F1693" i="7"/>
  <c r="G1693" i="7"/>
  <c r="E1694" i="7"/>
  <c r="F1694" i="7"/>
  <c r="G1694" i="7"/>
  <c r="E1695" i="7"/>
  <c r="F1695" i="7"/>
  <c r="G1695" i="7"/>
  <c r="E1696" i="7"/>
  <c r="F1696" i="7"/>
  <c r="G1696" i="7"/>
  <c r="E1697" i="7"/>
  <c r="F1697" i="7"/>
  <c r="G1697" i="7"/>
  <c r="E1698" i="7"/>
  <c r="F1698" i="7"/>
  <c r="G1698" i="7"/>
  <c r="E1699" i="7"/>
  <c r="F1699" i="7"/>
  <c r="G1699" i="7"/>
  <c r="E1700" i="7"/>
  <c r="F1700" i="7"/>
  <c r="G1700" i="7"/>
  <c r="E1701" i="7"/>
  <c r="F1701" i="7"/>
  <c r="G1701" i="7"/>
  <c r="E1702" i="7"/>
  <c r="F1702" i="7"/>
  <c r="G1702" i="7"/>
  <c r="E1703" i="7"/>
  <c r="F1703" i="7"/>
  <c r="G1703" i="7"/>
  <c r="E1704" i="7"/>
  <c r="F1704" i="7"/>
  <c r="G1704" i="7"/>
  <c r="E1705" i="7"/>
  <c r="F1705" i="7"/>
  <c r="G1705" i="7"/>
  <c r="E1706" i="7"/>
  <c r="F1706" i="7"/>
  <c r="G1706" i="7"/>
  <c r="E1707" i="7"/>
  <c r="F1707" i="7"/>
  <c r="G1707" i="7"/>
  <c r="E1708" i="7"/>
  <c r="F1708" i="7"/>
  <c r="G1708" i="7"/>
  <c r="E1709" i="7"/>
  <c r="F1709" i="7"/>
  <c r="G1709" i="7"/>
  <c r="E1710" i="7"/>
  <c r="F1710" i="7"/>
  <c r="G1710" i="7"/>
  <c r="E1711" i="7"/>
  <c r="F1711" i="7"/>
  <c r="G1711" i="7"/>
  <c r="E1712" i="7"/>
  <c r="F1712" i="7"/>
  <c r="G1712" i="7"/>
  <c r="E1713" i="7"/>
  <c r="F1713" i="7"/>
  <c r="G1713" i="7"/>
  <c r="E1714" i="7"/>
  <c r="F1714" i="7"/>
  <c r="G1714" i="7"/>
  <c r="E1715" i="7"/>
  <c r="F1715" i="7"/>
  <c r="G1715" i="7"/>
  <c r="E1716" i="7"/>
  <c r="F1716" i="7"/>
  <c r="G1716" i="7"/>
  <c r="E1717" i="7"/>
  <c r="F1717" i="7"/>
  <c r="G1717" i="7"/>
  <c r="E1718" i="7"/>
  <c r="F1718" i="7"/>
  <c r="G1718" i="7"/>
  <c r="E1719" i="7"/>
  <c r="F1719" i="7"/>
  <c r="G1719" i="7"/>
  <c r="E1720" i="7"/>
  <c r="F1720" i="7"/>
  <c r="G1720" i="7"/>
  <c r="E1721" i="7"/>
  <c r="F1721" i="7"/>
  <c r="G1721" i="7"/>
  <c r="E1722" i="7"/>
  <c r="F1722" i="7"/>
  <c r="G1722" i="7"/>
  <c r="E1723" i="7"/>
  <c r="F1723" i="7"/>
  <c r="G1723" i="7"/>
  <c r="E1724" i="7"/>
  <c r="F1724" i="7"/>
  <c r="G1724" i="7"/>
  <c r="E1725" i="7"/>
  <c r="F1725" i="7"/>
  <c r="G1725" i="7"/>
  <c r="E1726" i="7"/>
  <c r="F1726" i="7"/>
  <c r="G1726" i="7"/>
  <c r="E1727" i="7"/>
  <c r="F1727" i="7"/>
  <c r="G1727" i="7"/>
  <c r="E1728" i="7"/>
  <c r="F1728" i="7"/>
  <c r="G1728" i="7"/>
  <c r="E1729" i="7"/>
  <c r="F1729" i="7"/>
  <c r="G1729" i="7"/>
  <c r="E1730" i="7"/>
  <c r="F1730" i="7"/>
  <c r="G1730" i="7"/>
  <c r="E1731" i="7"/>
  <c r="F1731" i="7"/>
  <c r="G1731" i="7"/>
  <c r="E1732" i="7"/>
  <c r="F1732" i="7"/>
  <c r="G1732" i="7"/>
  <c r="E1733" i="7"/>
  <c r="F1733" i="7"/>
  <c r="G1733" i="7"/>
  <c r="E1734" i="7"/>
  <c r="F1734" i="7"/>
  <c r="G1734" i="7"/>
  <c r="E1735" i="7"/>
  <c r="F1735" i="7"/>
  <c r="G1735" i="7"/>
  <c r="E1736" i="7"/>
  <c r="F1736" i="7"/>
  <c r="G1736" i="7"/>
  <c r="E1737" i="7"/>
  <c r="F1737" i="7"/>
  <c r="G1737" i="7"/>
  <c r="E1738" i="7"/>
  <c r="F1738" i="7"/>
  <c r="G1738" i="7"/>
  <c r="E1739" i="7"/>
  <c r="F1739" i="7"/>
  <c r="G1739" i="7"/>
  <c r="E1740" i="7"/>
  <c r="F1740" i="7"/>
  <c r="G1740" i="7"/>
  <c r="E1741" i="7"/>
  <c r="F1741" i="7"/>
  <c r="G1741" i="7"/>
  <c r="E1742" i="7"/>
  <c r="F1742" i="7"/>
  <c r="G1742" i="7"/>
  <c r="E1743" i="7"/>
  <c r="F1743" i="7"/>
  <c r="G1743" i="7"/>
  <c r="E1744" i="7"/>
  <c r="F1744" i="7"/>
  <c r="G1744" i="7"/>
  <c r="E1745" i="7"/>
  <c r="F1745" i="7"/>
  <c r="G1745" i="7"/>
  <c r="E1746" i="7"/>
  <c r="F1746" i="7"/>
  <c r="G1746" i="7"/>
  <c r="E1747" i="7"/>
  <c r="F1747" i="7"/>
  <c r="G1747" i="7"/>
  <c r="E1748" i="7"/>
  <c r="F1748" i="7"/>
  <c r="G1748" i="7"/>
  <c r="E1749" i="7"/>
  <c r="F1749" i="7"/>
  <c r="G1749" i="7"/>
  <c r="E1750" i="7"/>
  <c r="F1750" i="7"/>
  <c r="G1750" i="7"/>
  <c r="E1751" i="7"/>
  <c r="F1751" i="7"/>
  <c r="G1751" i="7"/>
  <c r="E1752" i="7"/>
  <c r="F1752" i="7"/>
  <c r="G1752" i="7"/>
  <c r="E1753" i="7"/>
  <c r="F1753" i="7"/>
  <c r="G1753" i="7"/>
  <c r="E1754" i="7"/>
  <c r="F1754" i="7"/>
  <c r="G1754" i="7"/>
  <c r="E1755" i="7"/>
  <c r="F1755" i="7"/>
  <c r="G1755" i="7"/>
  <c r="E1756" i="7"/>
  <c r="F1756" i="7"/>
  <c r="G1756" i="7"/>
  <c r="E1757" i="7"/>
  <c r="F1757" i="7"/>
  <c r="G1757" i="7"/>
  <c r="E1758" i="7"/>
  <c r="F1758" i="7"/>
  <c r="G1758" i="7"/>
  <c r="E1759" i="7"/>
  <c r="F1759" i="7"/>
  <c r="G1759" i="7"/>
  <c r="E1760" i="7"/>
  <c r="F1760" i="7"/>
  <c r="G1760" i="7"/>
  <c r="E1761" i="7"/>
  <c r="F1761" i="7"/>
  <c r="G1761" i="7"/>
  <c r="E1762" i="7"/>
  <c r="F1762" i="7"/>
  <c r="G1762" i="7"/>
  <c r="E1763" i="7"/>
  <c r="F1763" i="7"/>
  <c r="G1763" i="7"/>
  <c r="E1764" i="7"/>
  <c r="F1764" i="7"/>
  <c r="G1764" i="7"/>
  <c r="E1765" i="7"/>
  <c r="F1765" i="7"/>
  <c r="G1765" i="7"/>
  <c r="E1766" i="7"/>
  <c r="F1766" i="7"/>
  <c r="G1766" i="7"/>
  <c r="E1767" i="7"/>
  <c r="F1767" i="7"/>
  <c r="G1767" i="7"/>
  <c r="E1768" i="7"/>
  <c r="F1768" i="7"/>
  <c r="G1768" i="7"/>
  <c r="E1769" i="7"/>
  <c r="F1769" i="7"/>
  <c r="G1769" i="7"/>
  <c r="E1770" i="7"/>
  <c r="F1770" i="7"/>
  <c r="G1770" i="7"/>
  <c r="E1771" i="7"/>
  <c r="F1771" i="7"/>
  <c r="G1771" i="7"/>
  <c r="E1772" i="7"/>
  <c r="F1772" i="7"/>
  <c r="G1772" i="7"/>
  <c r="E1773" i="7"/>
  <c r="F1773" i="7"/>
  <c r="G1773" i="7"/>
  <c r="E1774" i="7"/>
  <c r="F1774" i="7"/>
  <c r="G1774" i="7"/>
  <c r="E1775" i="7"/>
  <c r="F1775" i="7"/>
  <c r="G1775" i="7"/>
  <c r="E1776" i="7"/>
  <c r="F1776" i="7"/>
  <c r="G1776" i="7"/>
  <c r="E1777" i="7"/>
  <c r="F1777" i="7"/>
  <c r="G1777" i="7"/>
  <c r="E1778" i="7"/>
  <c r="F1778" i="7"/>
  <c r="G1778" i="7"/>
  <c r="E1779" i="7"/>
  <c r="F1779" i="7"/>
  <c r="G1779" i="7"/>
  <c r="E1780" i="7"/>
  <c r="F1780" i="7"/>
  <c r="G1780" i="7"/>
  <c r="E1781" i="7"/>
  <c r="F1781" i="7"/>
  <c r="G1781" i="7"/>
  <c r="E1782" i="7"/>
  <c r="F1782" i="7"/>
  <c r="G1782" i="7"/>
  <c r="E1783" i="7"/>
  <c r="F1783" i="7"/>
  <c r="G1783" i="7"/>
  <c r="E1784" i="7"/>
  <c r="F1784" i="7"/>
  <c r="G1784" i="7"/>
  <c r="E1785" i="7"/>
  <c r="F1785" i="7"/>
  <c r="G1785" i="7"/>
  <c r="E1786" i="7"/>
  <c r="F1786" i="7"/>
  <c r="G1786" i="7"/>
  <c r="E1787" i="7"/>
  <c r="F1787" i="7"/>
  <c r="G1787" i="7"/>
  <c r="E1788" i="7"/>
  <c r="F1788" i="7"/>
  <c r="G1788" i="7"/>
  <c r="E1789" i="7"/>
  <c r="F1789" i="7"/>
  <c r="G1789" i="7"/>
  <c r="E1790" i="7"/>
  <c r="F1790" i="7"/>
  <c r="G1790" i="7"/>
  <c r="E1791" i="7"/>
  <c r="F1791" i="7"/>
  <c r="G1791" i="7"/>
  <c r="E1792" i="7"/>
  <c r="F1792" i="7"/>
  <c r="G1792" i="7"/>
  <c r="E1793" i="7"/>
  <c r="F1793" i="7"/>
  <c r="G1793" i="7"/>
  <c r="E1794" i="7"/>
  <c r="F1794" i="7"/>
  <c r="G1794" i="7"/>
  <c r="E1795" i="7"/>
  <c r="F1795" i="7"/>
  <c r="G1795" i="7"/>
  <c r="E1796" i="7"/>
  <c r="F1796" i="7"/>
  <c r="G1796" i="7"/>
  <c r="E1797" i="7"/>
  <c r="F1797" i="7"/>
  <c r="G1797" i="7"/>
  <c r="E1798" i="7"/>
  <c r="F1798" i="7"/>
  <c r="G1798" i="7"/>
  <c r="E1799" i="7"/>
  <c r="F1799" i="7"/>
  <c r="G1799" i="7"/>
  <c r="E1800" i="7"/>
  <c r="F1800" i="7"/>
  <c r="G1800" i="7"/>
  <c r="E1801" i="7"/>
  <c r="F1801" i="7"/>
  <c r="G1801" i="7"/>
  <c r="E1802" i="7"/>
  <c r="F1802" i="7"/>
  <c r="G1802" i="7"/>
  <c r="E1803" i="7"/>
  <c r="F1803" i="7"/>
  <c r="G1803" i="7"/>
  <c r="E1804" i="7"/>
  <c r="F1804" i="7"/>
  <c r="G1804" i="7"/>
  <c r="E1805" i="7"/>
  <c r="F1805" i="7"/>
  <c r="G1805" i="7"/>
  <c r="E1806" i="7"/>
  <c r="F1806" i="7"/>
  <c r="G1806" i="7"/>
  <c r="E1807" i="7"/>
  <c r="F1807" i="7"/>
  <c r="G1807" i="7"/>
  <c r="E1808" i="7"/>
  <c r="F1808" i="7"/>
  <c r="G1808" i="7"/>
  <c r="E1809" i="7"/>
  <c r="F1809" i="7"/>
  <c r="G1809" i="7"/>
  <c r="E1810" i="7"/>
  <c r="F1810" i="7"/>
  <c r="G1810" i="7"/>
  <c r="E1811" i="7"/>
  <c r="F1811" i="7"/>
  <c r="G1811" i="7"/>
  <c r="E1812" i="7"/>
  <c r="F1812" i="7"/>
  <c r="G1812" i="7"/>
  <c r="E1813" i="7"/>
  <c r="F1813" i="7"/>
  <c r="G1813" i="7"/>
  <c r="E1814" i="7"/>
  <c r="F1814" i="7"/>
  <c r="G1814" i="7"/>
  <c r="E1815" i="7"/>
  <c r="F1815" i="7"/>
  <c r="G1815" i="7"/>
  <c r="E1816" i="7"/>
  <c r="F1816" i="7"/>
  <c r="G1816" i="7"/>
  <c r="E1817" i="7"/>
  <c r="F1817" i="7"/>
  <c r="G1817" i="7"/>
  <c r="E1818" i="7"/>
  <c r="F1818" i="7"/>
  <c r="G1818" i="7"/>
  <c r="E1819" i="7"/>
  <c r="F1819" i="7"/>
  <c r="G1819" i="7"/>
  <c r="E1820" i="7"/>
  <c r="F1820" i="7"/>
  <c r="G1820" i="7"/>
  <c r="E1821" i="7"/>
  <c r="F1821" i="7"/>
  <c r="G1821" i="7"/>
  <c r="E1822" i="7"/>
  <c r="F1822" i="7"/>
  <c r="G1822" i="7"/>
  <c r="E1823" i="7"/>
  <c r="F1823" i="7"/>
  <c r="G1823" i="7"/>
  <c r="E1824" i="7"/>
  <c r="F1824" i="7"/>
  <c r="G1824" i="7"/>
  <c r="E1825" i="7"/>
  <c r="F1825" i="7"/>
  <c r="G1825" i="7"/>
  <c r="E1826" i="7"/>
  <c r="F1826" i="7"/>
  <c r="G1826" i="7"/>
  <c r="E1827" i="7"/>
  <c r="F1827" i="7"/>
  <c r="G1827" i="7"/>
  <c r="E1828" i="7"/>
  <c r="F1828" i="7"/>
  <c r="G1828" i="7"/>
  <c r="E1829" i="7"/>
  <c r="F1829" i="7"/>
  <c r="G1829" i="7"/>
  <c r="E1830" i="7"/>
  <c r="F1830" i="7"/>
  <c r="G1830" i="7"/>
  <c r="E1831" i="7"/>
  <c r="F1831" i="7"/>
  <c r="G1831" i="7"/>
  <c r="E1832" i="7"/>
  <c r="F1832" i="7"/>
  <c r="G1832" i="7"/>
  <c r="E1833" i="7"/>
  <c r="F1833" i="7"/>
  <c r="G1833" i="7"/>
  <c r="E1834" i="7"/>
  <c r="F1834" i="7"/>
  <c r="G1834" i="7"/>
  <c r="E1835" i="7"/>
  <c r="F1835" i="7"/>
  <c r="G1835" i="7"/>
  <c r="E1836" i="7"/>
  <c r="F1836" i="7"/>
  <c r="G1836" i="7"/>
  <c r="E1837" i="7"/>
  <c r="F1837" i="7"/>
  <c r="G1837" i="7"/>
  <c r="E1838" i="7"/>
  <c r="F1838" i="7"/>
  <c r="G1838" i="7"/>
  <c r="E1839" i="7"/>
  <c r="F1839" i="7"/>
  <c r="G1839" i="7"/>
  <c r="E1840" i="7"/>
  <c r="F1840" i="7"/>
  <c r="G1840" i="7"/>
  <c r="E1841" i="7"/>
  <c r="F1841" i="7"/>
  <c r="G1841" i="7"/>
  <c r="E1842" i="7"/>
  <c r="F1842" i="7"/>
  <c r="G1842" i="7"/>
  <c r="E1843" i="7"/>
  <c r="F1843" i="7"/>
  <c r="G1843" i="7"/>
  <c r="E1844" i="7"/>
  <c r="F1844" i="7"/>
  <c r="G1844" i="7"/>
  <c r="E1845" i="7"/>
  <c r="F1845" i="7"/>
  <c r="G1845" i="7"/>
  <c r="E1846" i="7"/>
  <c r="F1846" i="7"/>
  <c r="G1846" i="7"/>
  <c r="E1847" i="7"/>
  <c r="F1847" i="7"/>
  <c r="G1847" i="7"/>
  <c r="E1848" i="7"/>
  <c r="F1848" i="7"/>
  <c r="G1848" i="7"/>
  <c r="E1849" i="7"/>
  <c r="F1849" i="7"/>
  <c r="G1849" i="7"/>
  <c r="E1850" i="7"/>
  <c r="F1850" i="7"/>
  <c r="G1850" i="7"/>
  <c r="E1851" i="7"/>
  <c r="F1851" i="7"/>
  <c r="G1851" i="7"/>
  <c r="E1852" i="7"/>
  <c r="F1852" i="7"/>
  <c r="G1852" i="7"/>
  <c r="E1853" i="7"/>
  <c r="F1853" i="7"/>
  <c r="G1853" i="7"/>
  <c r="E1854" i="7"/>
  <c r="F1854" i="7"/>
  <c r="G1854" i="7"/>
  <c r="E1855" i="7"/>
  <c r="F1855" i="7"/>
  <c r="G1855" i="7"/>
  <c r="E1856" i="7"/>
  <c r="F1856" i="7"/>
  <c r="G1856" i="7"/>
  <c r="E1857" i="7"/>
  <c r="F1857" i="7"/>
  <c r="G1857" i="7"/>
  <c r="E1858" i="7"/>
  <c r="F1858" i="7"/>
  <c r="G1858" i="7"/>
  <c r="E1859" i="7"/>
  <c r="F1859" i="7"/>
  <c r="G1859" i="7"/>
  <c r="E1860" i="7"/>
  <c r="F1860" i="7"/>
  <c r="G1860" i="7"/>
  <c r="E1861" i="7"/>
  <c r="F1861" i="7"/>
  <c r="G1861" i="7"/>
  <c r="E1862" i="7"/>
  <c r="F1862" i="7"/>
  <c r="G1862" i="7"/>
  <c r="E1863" i="7"/>
  <c r="F1863" i="7"/>
  <c r="G1863" i="7"/>
  <c r="E1864" i="7"/>
  <c r="F1864" i="7"/>
  <c r="G1864" i="7"/>
  <c r="E1865" i="7"/>
  <c r="F1865" i="7"/>
  <c r="G1865" i="7"/>
  <c r="E1866" i="7"/>
  <c r="F1866" i="7"/>
  <c r="G1866" i="7"/>
  <c r="E1867" i="7"/>
  <c r="F1867" i="7"/>
  <c r="G1867" i="7"/>
  <c r="E1868" i="7"/>
  <c r="F1868" i="7"/>
  <c r="G1868" i="7"/>
  <c r="E1869" i="7"/>
  <c r="F1869" i="7"/>
  <c r="G1869" i="7"/>
  <c r="E1870" i="7"/>
  <c r="F1870" i="7"/>
  <c r="G1870" i="7"/>
  <c r="E1871" i="7"/>
  <c r="F1871" i="7"/>
  <c r="G1871" i="7"/>
  <c r="E1872" i="7"/>
  <c r="F1872" i="7"/>
  <c r="G1872" i="7"/>
  <c r="E1873" i="7"/>
  <c r="F1873" i="7"/>
  <c r="G1873" i="7"/>
  <c r="E1874" i="7"/>
  <c r="F1874" i="7"/>
  <c r="G1874" i="7"/>
  <c r="E1875" i="7"/>
  <c r="F1875" i="7"/>
  <c r="G1875" i="7"/>
  <c r="E1876" i="7"/>
  <c r="F1876" i="7"/>
  <c r="G1876" i="7"/>
  <c r="E1877" i="7"/>
  <c r="F1877" i="7"/>
  <c r="G1877" i="7"/>
  <c r="E1878" i="7"/>
  <c r="F1878" i="7"/>
  <c r="G1878" i="7"/>
  <c r="E1879" i="7"/>
  <c r="F1879" i="7"/>
  <c r="G1879" i="7"/>
  <c r="E1880" i="7"/>
  <c r="F1880" i="7"/>
  <c r="G1880" i="7"/>
  <c r="E1881" i="7"/>
  <c r="F1881" i="7"/>
  <c r="G1881" i="7"/>
  <c r="E1882" i="7"/>
  <c r="F1882" i="7"/>
  <c r="G1882" i="7"/>
  <c r="E1883" i="7"/>
  <c r="F1883" i="7"/>
  <c r="G1883" i="7"/>
  <c r="E1884" i="7"/>
  <c r="F1884" i="7"/>
  <c r="G1884" i="7"/>
  <c r="E1885" i="7"/>
  <c r="F1885" i="7"/>
  <c r="G1885" i="7"/>
  <c r="E1886" i="7"/>
  <c r="F1886" i="7"/>
  <c r="G1886" i="7"/>
  <c r="E1887" i="7"/>
  <c r="F1887" i="7"/>
  <c r="G1887" i="7"/>
  <c r="E1888" i="7"/>
  <c r="F1888" i="7"/>
  <c r="G1888" i="7"/>
  <c r="E1889" i="7"/>
  <c r="F1889" i="7"/>
  <c r="G1889" i="7"/>
  <c r="E1890" i="7"/>
  <c r="F1890" i="7"/>
  <c r="G1890" i="7"/>
  <c r="E1891" i="7"/>
  <c r="F1891" i="7"/>
  <c r="G1891" i="7"/>
  <c r="E1892" i="7"/>
  <c r="F1892" i="7"/>
  <c r="G1892" i="7"/>
  <c r="E1893" i="7"/>
  <c r="F1893" i="7"/>
  <c r="G1893" i="7"/>
  <c r="E1894" i="7"/>
  <c r="F1894" i="7"/>
  <c r="G1894" i="7"/>
  <c r="E1895" i="7"/>
  <c r="F1895" i="7"/>
  <c r="G1895" i="7"/>
  <c r="E1896" i="7"/>
  <c r="F1896" i="7"/>
  <c r="G1896" i="7"/>
  <c r="E1897" i="7"/>
  <c r="F1897" i="7"/>
  <c r="G1897" i="7"/>
  <c r="E1898" i="7"/>
  <c r="F1898" i="7"/>
  <c r="G1898" i="7"/>
  <c r="E1899" i="7"/>
  <c r="F1899" i="7"/>
  <c r="G1899" i="7"/>
  <c r="E1900" i="7"/>
  <c r="F1900" i="7"/>
  <c r="G1900" i="7"/>
  <c r="E1901" i="7"/>
  <c r="F1901" i="7"/>
  <c r="G1901" i="7"/>
  <c r="E1902" i="7"/>
  <c r="F1902" i="7"/>
  <c r="G1902" i="7"/>
  <c r="E1903" i="7"/>
  <c r="F1903" i="7"/>
  <c r="G1903" i="7"/>
  <c r="E1904" i="7"/>
  <c r="F1904" i="7"/>
  <c r="G1904" i="7"/>
  <c r="E1905" i="7"/>
  <c r="F1905" i="7"/>
  <c r="G1905" i="7"/>
  <c r="E1906" i="7"/>
  <c r="F1906" i="7"/>
  <c r="G1906" i="7"/>
  <c r="E1907" i="7"/>
  <c r="F1907" i="7"/>
  <c r="G1907" i="7"/>
  <c r="E1908" i="7"/>
  <c r="F1908" i="7"/>
  <c r="G1908" i="7"/>
  <c r="E1909" i="7"/>
  <c r="F1909" i="7"/>
  <c r="G1909" i="7"/>
  <c r="E1910" i="7"/>
  <c r="F1910" i="7"/>
  <c r="G1910" i="7"/>
  <c r="E1911" i="7"/>
  <c r="F1911" i="7"/>
  <c r="G1911" i="7"/>
  <c r="E1912" i="7"/>
  <c r="F1912" i="7"/>
  <c r="G1912" i="7"/>
  <c r="E1913" i="7"/>
  <c r="F1913" i="7"/>
  <c r="G1913" i="7"/>
  <c r="E1914" i="7"/>
  <c r="F1914" i="7"/>
  <c r="G1914" i="7"/>
  <c r="E1915" i="7"/>
  <c r="F1915" i="7"/>
  <c r="G1915" i="7"/>
  <c r="E1916" i="7"/>
  <c r="F1916" i="7"/>
  <c r="G1916" i="7"/>
  <c r="E1917" i="7"/>
  <c r="F1917" i="7"/>
  <c r="G1917" i="7"/>
  <c r="E1918" i="7"/>
  <c r="F1918" i="7"/>
  <c r="G1918" i="7"/>
  <c r="E1919" i="7"/>
  <c r="F1919" i="7"/>
  <c r="G1919" i="7"/>
  <c r="E1920" i="7"/>
  <c r="F1920" i="7"/>
  <c r="G1920" i="7"/>
  <c r="E1921" i="7"/>
  <c r="F1921" i="7"/>
  <c r="G1921" i="7"/>
  <c r="E1922" i="7"/>
  <c r="F1922" i="7"/>
  <c r="G1922" i="7"/>
  <c r="E1923" i="7"/>
  <c r="F1923" i="7"/>
  <c r="G1923" i="7"/>
  <c r="E1924" i="7"/>
  <c r="F1924" i="7"/>
  <c r="G1924" i="7"/>
  <c r="E1925" i="7"/>
  <c r="F1925" i="7"/>
  <c r="G1925" i="7"/>
  <c r="E1926" i="7"/>
  <c r="F1926" i="7"/>
  <c r="G1926" i="7"/>
  <c r="E1927" i="7"/>
  <c r="F1927" i="7"/>
  <c r="G1927" i="7"/>
  <c r="E1928" i="7"/>
  <c r="F1928" i="7"/>
  <c r="G1928" i="7"/>
  <c r="E1929" i="7"/>
  <c r="F1929" i="7"/>
  <c r="G1929" i="7"/>
  <c r="E1930" i="7"/>
  <c r="F1930" i="7"/>
  <c r="G1930" i="7"/>
  <c r="E1931" i="7"/>
  <c r="F1931" i="7"/>
  <c r="G1931" i="7"/>
  <c r="E1932" i="7"/>
  <c r="F1932" i="7"/>
  <c r="G1932" i="7"/>
  <c r="E1933" i="7"/>
  <c r="F1933" i="7"/>
  <c r="G1933" i="7"/>
  <c r="E1934" i="7"/>
  <c r="F1934" i="7"/>
  <c r="G1934" i="7"/>
  <c r="E1935" i="7"/>
  <c r="F1935" i="7"/>
  <c r="G1935" i="7"/>
  <c r="E1936" i="7"/>
  <c r="F1936" i="7"/>
  <c r="G1936" i="7"/>
  <c r="E1937" i="7"/>
  <c r="F1937" i="7"/>
  <c r="G1937" i="7"/>
  <c r="E1938" i="7"/>
  <c r="F1938" i="7"/>
  <c r="G1938" i="7"/>
  <c r="E1939" i="7"/>
  <c r="F1939" i="7"/>
  <c r="G1939" i="7"/>
  <c r="E1940" i="7"/>
  <c r="F1940" i="7"/>
  <c r="G1940" i="7"/>
  <c r="E1941" i="7"/>
  <c r="F1941" i="7"/>
  <c r="G1941" i="7"/>
  <c r="E1942" i="7"/>
  <c r="F1942" i="7"/>
  <c r="G1942" i="7"/>
  <c r="E1943" i="7"/>
  <c r="F1943" i="7"/>
  <c r="G1943" i="7"/>
  <c r="E1944" i="7"/>
  <c r="F1944" i="7"/>
  <c r="G1944" i="7"/>
  <c r="E1945" i="7"/>
  <c r="F1945" i="7"/>
  <c r="G1945" i="7"/>
  <c r="E1946" i="7"/>
  <c r="F1946" i="7"/>
  <c r="G1946" i="7"/>
  <c r="E1947" i="7"/>
  <c r="F1947" i="7"/>
  <c r="G1947" i="7"/>
  <c r="E1948" i="7"/>
  <c r="F1948" i="7"/>
  <c r="G1948" i="7"/>
  <c r="E1949" i="7"/>
  <c r="F1949" i="7"/>
  <c r="G1949" i="7"/>
  <c r="E1950" i="7"/>
  <c r="F1950" i="7"/>
  <c r="G1950" i="7"/>
  <c r="E1951" i="7"/>
  <c r="F1951" i="7"/>
  <c r="G1951" i="7"/>
  <c r="E1952" i="7"/>
  <c r="F1952" i="7"/>
  <c r="G1952" i="7"/>
  <c r="E1953" i="7"/>
  <c r="F1953" i="7"/>
  <c r="G1953" i="7"/>
  <c r="E1954" i="7"/>
  <c r="F1954" i="7"/>
  <c r="G1954" i="7"/>
  <c r="E1955" i="7"/>
  <c r="F1955" i="7"/>
  <c r="G1955" i="7"/>
  <c r="E1956" i="7"/>
  <c r="F1956" i="7"/>
  <c r="G1956" i="7"/>
  <c r="E1957" i="7"/>
  <c r="F1957" i="7"/>
  <c r="G1957" i="7"/>
  <c r="E1958" i="7"/>
  <c r="F1958" i="7"/>
  <c r="G1958" i="7"/>
  <c r="E1959" i="7"/>
  <c r="F1959" i="7"/>
  <c r="G1959" i="7"/>
  <c r="E1960" i="7"/>
  <c r="F1960" i="7"/>
  <c r="G1960" i="7"/>
  <c r="E1961" i="7"/>
  <c r="F1961" i="7"/>
  <c r="G1961" i="7"/>
  <c r="E1962" i="7"/>
  <c r="F1962" i="7"/>
  <c r="G1962" i="7"/>
  <c r="E1963" i="7"/>
  <c r="F1963" i="7"/>
  <c r="G1963" i="7"/>
  <c r="E1964" i="7"/>
  <c r="F1964" i="7"/>
  <c r="G1964" i="7"/>
  <c r="E1965" i="7"/>
  <c r="F1965" i="7"/>
  <c r="G1965" i="7"/>
  <c r="E1966" i="7"/>
  <c r="F1966" i="7"/>
  <c r="G1966" i="7"/>
  <c r="E1967" i="7"/>
  <c r="F1967" i="7"/>
  <c r="G1967" i="7"/>
  <c r="E1968" i="7"/>
  <c r="F1968" i="7"/>
  <c r="G1968" i="7"/>
  <c r="E1969" i="7"/>
  <c r="F1969" i="7"/>
  <c r="G1969" i="7"/>
  <c r="E1970" i="7"/>
  <c r="F1970" i="7"/>
  <c r="G1970" i="7"/>
  <c r="E1971" i="7"/>
  <c r="F1971" i="7"/>
  <c r="G1971" i="7"/>
  <c r="E1972" i="7"/>
  <c r="F1972" i="7"/>
  <c r="G1972" i="7"/>
  <c r="E1973" i="7"/>
  <c r="F1973" i="7"/>
  <c r="G1973" i="7"/>
  <c r="E1974" i="7"/>
  <c r="F1974" i="7"/>
  <c r="G1974" i="7"/>
  <c r="E1975" i="7"/>
  <c r="F1975" i="7"/>
  <c r="G1975" i="7"/>
  <c r="E1976" i="7"/>
  <c r="F1976" i="7"/>
  <c r="G1976" i="7"/>
  <c r="E1977" i="7"/>
  <c r="F1977" i="7"/>
  <c r="G1977" i="7"/>
  <c r="E1978" i="7"/>
  <c r="F1978" i="7"/>
  <c r="G1978" i="7"/>
  <c r="E1979" i="7"/>
  <c r="F1979" i="7"/>
  <c r="G1979" i="7"/>
  <c r="E1980" i="7"/>
  <c r="F1980" i="7"/>
  <c r="G1980" i="7"/>
  <c r="E1981" i="7"/>
  <c r="F1981" i="7"/>
  <c r="G1981" i="7"/>
  <c r="E1982" i="7"/>
  <c r="F1982" i="7"/>
  <c r="G1982" i="7"/>
  <c r="E1983" i="7"/>
  <c r="F1983" i="7"/>
  <c r="G1983" i="7"/>
  <c r="E1984" i="7"/>
  <c r="F1984" i="7"/>
  <c r="G1984" i="7"/>
  <c r="E1985" i="7"/>
  <c r="F1985" i="7"/>
  <c r="G1985" i="7"/>
  <c r="E1986" i="7"/>
  <c r="F1986" i="7"/>
  <c r="G1986" i="7"/>
  <c r="E1987" i="7"/>
  <c r="F1987" i="7"/>
  <c r="G1987" i="7"/>
  <c r="E1988" i="7"/>
  <c r="F1988" i="7"/>
  <c r="G1988" i="7"/>
  <c r="E1989" i="7"/>
  <c r="F1989" i="7"/>
  <c r="G1989" i="7"/>
  <c r="E1990" i="7"/>
  <c r="F1990" i="7"/>
  <c r="G1990" i="7"/>
  <c r="E1991" i="7"/>
  <c r="F1991" i="7"/>
  <c r="G1991" i="7"/>
  <c r="E1992" i="7"/>
  <c r="F1992" i="7"/>
  <c r="G1992" i="7"/>
  <c r="E1993" i="7"/>
  <c r="F1993" i="7"/>
  <c r="G1993" i="7"/>
  <c r="E1994" i="7"/>
  <c r="F1994" i="7"/>
  <c r="G1994" i="7"/>
  <c r="E1995" i="7"/>
  <c r="F1995" i="7"/>
  <c r="G1995" i="7"/>
  <c r="E1996" i="7"/>
  <c r="F1996" i="7"/>
  <c r="G1996" i="7"/>
  <c r="E1997" i="7"/>
  <c r="F1997" i="7"/>
  <c r="G1997" i="7"/>
  <c r="E1998" i="7"/>
  <c r="F1998" i="7"/>
  <c r="G1998" i="7"/>
  <c r="E1999" i="7"/>
  <c r="F1999" i="7"/>
  <c r="G1999" i="7"/>
  <c r="E2000" i="7"/>
  <c r="F2000" i="7"/>
  <c r="G2000" i="7"/>
  <c r="E2001" i="7"/>
  <c r="F2001" i="7"/>
  <c r="G2001" i="7"/>
  <c r="E2002" i="7"/>
  <c r="F2002" i="7"/>
  <c r="G2002" i="7"/>
  <c r="E2003" i="7"/>
  <c r="F2003" i="7"/>
  <c r="G2003" i="7"/>
  <c r="E2004" i="7"/>
  <c r="F2004" i="7"/>
  <c r="G2004" i="7"/>
  <c r="E2005" i="7"/>
  <c r="F2005" i="7"/>
  <c r="G2005" i="7"/>
  <c r="E2006" i="7"/>
  <c r="F2006" i="7"/>
  <c r="G2006" i="7"/>
  <c r="E2007" i="7"/>
  <c r="F2007" i="7"/>
  <c r="G2007" i="7"/>
  <c r="E2008" i="7"/>
  <c r="F2008" i="7"/>
  <c r="G2008" i="7"/>
  <c r="E2009" i="7"/>
  <c r="F2009" i="7"/>
  <c r="G2009" i="7"/>
  <c r="E2010" i="7"/>
  <c r="F2010" i="7"/>
  <c r="G2010" i="7"/>
  <c r="E2011" i="7"/>
  <c r="F2011" i="7"/>
  <c r="G2011" i="7"/>
  <c r="E2012" i="7"/>
  <c r="F2012" i="7"/>
  <c r="G2012" i="7"/>
  <c r="E2013" i="7"/>
  <c r="F2013" i="7"/>
  <c r="G2013" i="7"/>
  <c r="E2014" i="7"/>
  <c r="F2014" i="7"/>
  <c r="G2014" i="7"/>
  <c r="E2015" i="7"/>
  <c r="F2015" i="7"/>
  <c r="G2015" i="7"/>
  <c r="E2016" i="7"/>
  <c r="F2016" i="7"/>
  <c r="G2016" i="7"/>
  <c r="E2017" i="7"/>
  <c r="F2017" i="7"/>
  <c r="G2017" i="7"/>
  <c r="E2018" i="7"/>
  <c r="F2018" i="7"/>
  <c r="G2018" i="7"/>
  <c r="E2019" i="7"/>
  <c r="F2019" i="7"/>
  <c r="G2019" i="7"/>
  <c r="E2020" i="7"/>
  <c r="F2020" i="7"/>
  <c r="G2020" i="7"/>
  <c r="E2021" i="7"/>
  <c r="F2021" i="7"/>
  <c r="G2021" i="7"/>
  <c r="E2022" i="7"/>
  <c r="F2022" i="7"/>
  <c r="G2022" i="7"/>
  <c r="E2023" i="7"/>
  <c r="F2023" i="7"/>
  <c r="G2023" i="7"/>
  <c r="E2024" i="7"/>
  <c r="F2024" i="7"/>
  <c r="G2024" i="7"/>
  <c r="E2025" i="7"/>
  <c r="F2025" i="7"/>
  <c r="G2025" i="7"/>
  <c r="E2026" i="7"/>
  <c r="F2026" i="7"/>
  <c r="G2026" i="7"/>
  <c r="E2027" i="7"/>
  <c r="F2027" i="7"/>
  <c r="G2027" i="7"/>
  <c r="E2028" i="7"/>
  <c r="F2028" i="7"/>
  <c r="G2028" i="7"/>
  <c r="E2029" i="7"/>
  <c r="F2029" i="7"/>
  <c r="G2029" i="7"/>
  <c r="E2030" i="7"/>
  <c r="F2030" i="7"/>
  <c r="G2030" i="7"/>
  <c r="E2031" i="7"/>
  <c r="F2031" i="7"/>
  <c r="G2031" i="7"/>
  <c r="E2032" i="7"/>
  <c r="F2032" i="7"/>
  <c r="G2032" i="7"/>
  <c r="E2033" i="7"/>
  <c r="F2033" i="7"/>
  <c r="G2033" i="7"/>
  <c r="E2034" i="7"/>
  <c r="F2034" i="7"/>
  <c r="G2034" i="7"/>
  <c r="E2035" i="7"/>
  <c r="F2035" i="7"/>
  <c r="G2035" i="7"/>
  <c r="E2036" i="7"/>
  <c r="F2036" i="7"/>
  <c r="G2036" i="7"/>
  <c r="E2037" i="7"/>
  <c r="F2037" i="7"/>
  <c r="G2037" i="7"/>
  <c r="E2038" i="7"/>
  <c r="F2038" i="7"/>
  <c r="G2038" i="7"/>
  <c r="E2039" i="7"/>
  <c r="F2039" i="7"/>
  <c r="G2039" i="7"/>
  <c r="E2040" i="7"/>
  <c r="F2040" i="7"/>
  <c r="G2040" i="7"/>
  <c r="E2041" i="7"/>
  <c r="F2041" i="7"/>
  <c r="G2041" i="7"/>
  <c r="E2042" i="7"/>
  <c r="F2042" i="7"/>
  <c r="G2042" i="7"/>
  <c r="E2043" i="7"/>
  <c r="F2043" i="7"/>
  <c r="G2043" i="7"/>
  <c r="E2044" i="7"/>
  <c r="F2044" i="7"/>
  <c r="G2044" i="7"/>
  <c r="E2045" i="7"/>
  <c r="F2045" i="7"/>
  <c r="G2045" i="7"/>
  <c r="E2046" i="7"/>
  <c r="F2046" i="7"/>
  <c r="G2046" i="7"/>
  <c r="E2047" i="7"/>
  <c r="F2047" i="7"/>
  <c r="G2047" i="7"/>
  <c r="E2048" i="7"/>
  <c r="F2048" i="7"/>
  <c r="G2048" i="7"/>
  <c r="E2049" i="7"/>
  <c r="F2049" i="7"/>
  <c r="G2049" i="7"/>
  <c r="E2050" i="7"/>
  <c r="F2050" i="7"/>
  <c r="G2050" i="7"/>
  <c r="E2051" i="7"/>
  <c r="F2051" i="7"/>
  <c r="G2051" i="7"/>
  <c r="E2052" i="7"/>
  <c r="F2052" i="7"/>
  <c r="G2052" i="7"/>
  <c r="E2053" i="7"/>
  <c r="F2053" i="7"/>
  <c r="G2053" i="7"/>
  <c r="E2054" i="7"/>
  <c r="F2054" i="7"/>
  <c r="G2054" i="7"/>
  <c r="E2055" i="7"/>
  <c r="F2055" i="7"/>
  <c r="G2055" i="7"/>
  <c r="E2056" i="7"/>
  <c r="F2056" i="7"/>
  <c r="G2056" i="7"/>
  <c r="E2057" i="7"/>
  <c r="F2057" i="7"/>
  <c r="G2057" i="7"/>
  <c r="E2058" i="7"/>
  <c r="F2058" i="7"/>
  <c r="G2058" i="7"/>
  <c r="E2059" i="7"/>
  <c r="F2059" i="7"/>
  <c r="G2059" i="7"/>
  <c r="E2060" i="7"/>
  <c r="F2060" i="7"/>
  <c r="G2060" i="7"/>
  <c r="E2061" i="7"/>
  <c r="F2061" i="7"/>
  <c r="G2061" i="7"/>
  <c r="E2062" i="7"/>
  <c r="F2062" i="7"/>
  <c r="G2062" i="7"/>
  <c r="E2063" i="7"/>
  <c r="F2063" i="7"/>
  <c r="G2063" i="7"/>
  <c r="E2064" i="7"/>
  <c r="F2064" i="7"/>
  <c r="G2064" i="7"/>
  <c r="E2065" i="7"/>
  <c r="F2065" i="7"/>
  <c r="G2065" i="7"/>
  <c r="E2066" i="7"/>
  <c r="F2066" i="7"/>
  <c r="G2066" i="7"/>
  <c r="E2067" i="7"/>
  <c r="F2067" i="7"/>
  <c r="G2067" i="7"/>
  <c r="E2068" i="7"/>
  <c r="F2068" i="7"/>
  <c r="G2068" i="7"/>
  <c r="E2069" i="7"/>
  <c r="F2069" i="7"/>
  <c r="G2069" i="7"/>
  <c r="E2070" i="7"/>
  <c r="F2070" i="7"/>
  <c r="G2070" i="7"/>
  <c r="E2071" i="7"/>
  <c r="F2071" i="7"/>
  <c r="G2071" i="7"/>
  <c r="E2072" i="7"/>
  <c r="F2072" i="7"/>
  <c r="G2072" i="7"/>
  <c r="E2073" i="7"/>
  <c r="F2073" i="7"/>
  <c r="G2073" i="7"/>
  <c r="E2074" i="7"/>
  <c r="F2074" i="7"/>
  <c r="G2074" i="7"/>
  <c r="E2075" i="7"/>
  <c r="F2075" i="7"/>
  <c r="G2075" i="7"/>
  <c r="E2076" i="7"/>
  <c r="F2076" i="7"/>
  <c r="G2076" i="7"/>
  <c r="E2077" i="7"/>
  <c r="F2077" i="7"/>
  <c r="G2077" i="7"/>
  <c r="E2078" i="7"/>
  <c r="F2078" i="7"/>
  <c r="G2078" i="7"/>
  <c r="E2079" i="7"/>
  <c r="F2079" i="7"/>
  <c r="G2079" i="7"/>
  <c r="E2080" i="7"/>
  <c r="F2080" i="7"/>
  <c r="G2080" i="7"/>
  <c r="E2081" i="7"/>
  <c r="F2081" i="7"/>
  <c r="G2081" i="7"/>
  <c r="E2082" i="7"/>
  <c r="F2082" i="7"/>
  <c r="G2082" i="7"/>
  <c r="E2083" i="7"/>
  <c r="F2083" i="7"/>
  <c r="G2083" i="7"/>
  <c r="E2084" i="7"/>
  <c r="F2084" i="7"/>
  <c r="G2084" i="7"/>
  <c r="E2085" i="7"/>
  <c r="F2085" i="7"/>
  <c r="G2085" i="7"/>
  <c r="E2086" i="7"/>
  <c r="F2086" i="7"/>
  <c r="G2086" i="7"/>
  <c r="E2087" i="7"/>
  <c r="F2087" i="7"/>
  <c r="G2087" i="7"/>
  <c r="E2088" i="7"/>
  <c r="F2088" i="7"/>
  <c r="G2088" i="7"/>
  <c r="E2089" i="7"/>
  <c r="F2089" i="7"/>
  <c r="G2089" i="7"/>
  <c r="E2090" i="7"/>
  <c r="F2090" i="7"/>
  <c r="G2090" i="7"/>
  <c r="E2091" i="7"/>
  <c r="F2091" i="7"/>
  <c r="G2091" i="7"/>
  <c r="E2092" i="7"/>
  <c r="F2092" i="7"/>
  <c r="G2092" i="7"/>
  <c r="E2093" i="7"/>
  <c r="F2093" i="7"/>
  <c r="G2093" i="7"/>
  <c r="E2094" i="7"/>
  <c r="F2094" i="7"/>
  <c r="G2094" i="7"/>
  <c r="E2095" i="7"/>
  <c r="F2095" i="7"/>
  <c r="G2095" i="7"/>
  <c r="E2096" i="7"/>
  <c r="F2096" i="7"/>
  <c r="G2096" i="7"/>
  <c r="E2097" i="7"/>
  <c r="F2097" i="7"/>
  <c r="G2097" i="7"/>
  <c r="E2098" i="7"/>
  <c r="F2098" i="7"/>
  <c r="G2098" i="7"/>
  <c r="E2099" i="7"/>
  <c r="F2099" i="7"/>
  <c r="G2099" i="7"/>
  <c r="E2100" i="7"/>
  <c r="F2100" i="7"/>
  <c r="G2100" i="7"/>
  <c r="E2101" i="7"/>
  <c r="F2101" i="7"/>
  <c r="G2101" i="7"/>
  <c r="E2102" i="7"/>
  <c r="F2102" i="7"/>
  <c r="G2102" i="7"/>
  <c r="E2103" i="7"/>
  <c r="F2103" i="7"/>
  <c r="G2103" i="7"/>
  <c r="E2104" i="7"/>
  <c r="F2104" i="7"/>
  <c r="G2104" i="7"/>
  <c r="E2105" i="7"/>
  <c r="F2105" i="7"/>
  <c r="G2105" i="7"/>
  <c r="E2106" i="7"/>
  <c r="F2106" i="7"/>
  <c r="G2106" i="7"/>
  <c r="E2107" i="7"/>
  <c r="F2107" i="7"/>
  <c r="G2107" i="7"/>
  <c r="E2108" i="7"/>
  <c r="F2108" i="7"/>
  <c r="G2108" i="7"/>
  <c r="E2109" i="7"/>
  <c r="F2109" i="7"/>
  <c r="G2109" i="7"/>
  <c r="E2110" i="7"/>
  <c r="F2110" i="7"/>
  <c r="G2110" i="7"/>
  <c r="E2111" i="7"/>
  <c r="F2111" i="7"/>
  <c r="G2111" i="7"/>
  <c r="E2112" i="7"/>
  <c r="F2112" i="7"/>
  <c r="G2112" i="7"/>
  <c r="E2113" i="7"/>
  <c r="F2113" i="7"/>
  <c r="G2113" i="7"/>
  <c r="E2114" i="7"/>
  <c r="F2114" i="7"/>
  <c r="G2114" i="7"/>
  <c r="E2115" i="7"/>
  <c r="F2115" i="7"/>
  <c r="G2115" i="7"/>
  <c r="E2116" i="7"/>
  <c r="F2116" i="7"/>
  <c r="G2116" i="7"/>
  <c r="E2117" i="7"/>
  <c r="F2117" i="7"/>
  <c r="G2117" i="7"/>
  <c r="E2118" i="7"/>
  <c r="F2118" i="7"/>
  <c r="G2118" i="7"/>
  <c r="E2119" i="7"/>
  <c r="F2119" i="7"/>
  <c r="G2119" i="7"/>
  <c r="E2120" i="7"/>
  <c r="F2120" i="7"/>
  <c r="G2120" i="7"/>
  <c r="E2121" i="7"/>
  <c r="F2121" i="7"/>
  <c r="G2121" i="7"/>
  <c r="E2122" i="7"/>
  <c r="F2122" i="7"/>
  <c r="G2122" i="7"/>
  <c r="E2123" i="7"/>
  <c r="F2123" i="7"/>
  <c r="G2123" i="7"/>
  <c r="E2124" i="7"/>
  <c r="F2124" i="7"/>
  <c r="G2124" i="7"/>
  <c r="E2125" i="7"/>
  <c r="F2125" i="7"/>
  <c r="G2125" i="7"/>
  <c r="E2126" i="7"/>
  <c r="F2126" i="7"/>
  <c r="G2126" i="7"/>
  <c r="E2127" i="7"/>
  <c r="F2127" i="7"/>
  <c r="G2127" i="7"/>
  <c r="E2128" i="7"/>
  <c r="F2128" i="7"/>
  <c r="G2128" i="7"/>
  <c r="E2129" i="7"/>
  <c r="F2129" i="7"/>
  <c r="G2129" i="7"/>
  <c r="E2130" i="7"/>
  <c r="F2130" i="7"/>
  <c r="G2130" i="7"/>
  <c r="E2131" i="7"/>
  <c r="F2131" i="7"/>
  <c r="G2131" i="7"/>
  <c r="E2132" i="7"/>
  <c r="F2132" i="7"/>
  <c r="G2132" i="7"/>
  <c r="E2133" i="7"/>
  <c r="F2133" i="7"/>
  <c r="G2133" i="7"/>
  <c r="E2134" i="7"/>
  <c r="F2134" i="7"/>
  <c r="G2134" i="7"/>
  <c r="E2135" i="7"/>
  <c r="F2135" i="7"/>
  <c r="G2135" i="7"/>
  <c r="E2136" i="7"/>
  <c r="F2136" i="7"/>
  <c r="G2136" i="7"/>
  <c r="E2137" i="7"/>
  <c r="F2137" i="7"/>
  <c r="G2137" i="7"/>
  <c r="E2138" i="7"/>
  <c r="F2138" i="7"/>
  <c r="G2138" i="7"/>
  <c r="E2139" i="7"/>
  <c r="F2139" i="7"/>
  <c r="G2139" i="7"/>
  <c r="E2140" i="7"/>
  <c r="F2140" i="7"/>
  <c r="G2140" i="7"/>
  <c r="E2141" i="7"/>
  <c r="F2141" i="7"/>
  <c r="G2141" i="7"/>
  <c r="E2142" i="7"/>
  <c r="F2142" i="7"/>
  <c r="G2142" i="7"/>
  <c r="E2143" i="7"/>
  <c r="F2143" i="7"/>
  <c r="G2143" i="7"/>
  <c r="E2144" i="7"/>
  <c r="F2144" i="7"/>
  <c r="G2144" i="7"/>
  <c r="E2145" i="7"/>
  <c r="F2145" i="7"/>
  <c r="G2145" i="7"/>
  <c r="E2146" i="7"/>
  <c r="F2146" i="7"/>
  <c r="G2146" i="7"/>
  <c r="E2147" i="7"/>
  <c r="F2147" i="7"/>
  <c r="G2147" i="7"/>
  <c r="E2148" i="7"/>
  <c r="F2148" i="7"/>
  <c r="G2148" i="7"/>
  <c r="E2149" i="7"/>
  <c r="F2149" i="7"/>
  <c r="G2149" i="7"/>
  <c r="E2150" i="7"/>
  <c r="F2150" i="7"/>
  <c r="G2150" i="7"/>
  <c r="E2151" i="7"/>
  <c r="F2151" i="7"/>
  <c r="G2151" i="7"/>
  <c r="E2152" i="7"/>
  <c r="F2152" i="7"/>
  <c r="G2152" i="7"/>
  <c r="E2153" i="7"/>
  <c r="F2153" i="7"/>
  <c r="G2153" i="7"/>
  <c r="E2154" i="7"/>
  <c r="F2154" i="7"/>
  <c r="G2154" i="7"/>
  <c r="E2155" i="7"/>
  <c r="F2155" i="7"/>
  <c r="G2155" i="7"/>
  <c r="E2156" i="7"/>
  <c r="F2156" i="7"/>
  <c r="G2156" i="7"/>
  <c r="E2157" i="7"/>
  <c r="F2157" i="7"/>
  <c r="G2157" i="7"/>
  <c r="E2158" i="7"/>
  <c r="F2158" i="7"/>
  <c r="G2158" i="7"/>
  <c r="E2159" i="7"/>
  <c r="F2159" i="7"/>
  <c r="G2159" i="7"/>
  <c r="E2160" i="7"/>
  <c r="F2160" i="7"/>
  <c r="G2160" i="7"/>
  <c r="E2161" i="7"/>
  <c r="F2161" i="7"/>
  <c r="G2161" i="7"/>
  <c r="E2162" i="7"/>
  <c r="F2162" i="7"/>
  <c r="G2162" i="7"/>
  <c r="E2163" i="7"/>
  <c r="F2163" i="7"/>
  <c r="G2163" i="7"/>
  <c r="E2164" i="7"/>
  <c r="F2164" i="7"/>
  <c r="G2164" i="7"/>
  <c r="E2165" i="7"/>
  <c r="F2165" i="7"/>
  <c r="G2165" i="7"/>
  <c r="E2166" i="7"/>
  <c r="F2166" i="7"/>
  <c r="G2166" i="7"/>
  <c r="E2167" i="7"/>
  <c r="F2167" i="7"/>
  <c r="G2167" i="7"/>
  <c r="E2168" i="7"/>
  <c r="F2168" i="7"/>
  <c r="G2168" i="7"/>
  <c r="E2169" i="7"/>
  <c r="F2169" i="7"/>
  <c r="G2169" i="7"/>
  <c r="E2170" i="7"/>
  <c r="F2170" i="7"/>
  <c r="G2170" i="7"/>
  <c r="E2171" i="7"/>
  <c r="F2171" i="7"/>
  <c r="G2171" i="7"/>
  <c r="E2172" i="7"/>
  <c r="F2172" i="7"/>
  <c r="G2172" i="7"/>
  <c r="E2173" i="7"/>
  <c r="F2173" i="7"/>
  <c r="G2173" i="7"/>
  <c r="E2174" i="7"/>
  <c r="F2174" i="7"/>
  <c r="G2174" i="7"/>
  <c r="E2175" i="7"/>
  <c r="F2175" i="7"/>
  <c r="G2175" i="7"/>
  <c r="E2176" i="7"/>
  <c r="F2176" i="7"/>
  <c r="G2176" i="7"/>
  <c r="E2177" i="7"/>
  <c r="F2177" i="7"/>
  <c r="G2177" i="7"/>
  <c r="E2178" i="7"/>
  <c r="F2178" i="7"/>
  <c r="G2178" i="7"/>
  <c r="E2179" i="7"/>
  <c r="F2179" i="7"/>
  <c r="G2179" i="7"/>
  <c r="E2180" i="7"/>
  <c r="F2180" i="7"/>
  <c r="G2180" i="7"/>
  <c r="E2181" i="7"/>
  <c r="F2181" i="7"/>
  <c r="G2181" i="7"/>
  <c r="E2182" i="7"/>
  <c r="F2182" i="7"/>
  <c r="G2182" i="7"/>
  <c r="E2183" i="7"/>
  <c r="F2183" i="7"/>
  <c r="G2183" i="7"/>
  <c r="E2184" i="7"/>
  <c r="F2184" i="7"/>
  <c r="G2184" i="7"/>
  <c r="E2185" i="7"/>
  <c r="F2185" i="7"/>
  <c r="G2185" i="7"/>
  <c r="E2186" i="7"/>
  <c r="F2186" i="7"/>
  <c r="G2186" i="7"/>
  <c r="E2187" i="7"/>
  <c r="F2187" i="7"/>
  <c r="G2187" i="7"/>
  <c r="E2188" i="7"/>
  <c r="F2188" i="7"/>
  <c r="G2188" i="7"/>
  <c r="E2189" i="7"/>
  <c r="F2189" i="7"/>
  <c r="G2189" i="7"/>
  <c r="E2190" i="7"/>
  <c r="F2190" i="7"/>
  <c r="G2190" i="7"/>
  <c r="E2191" i="7"/>
  <c r="F2191" i="7"/>
  <c r="G2191" i="7"/>
  <c r="E2192" i="7"/>
  <c r="F2192" i="7"/>
  <c r="G2192" i="7"/>
  <c r="E2193" i="7"/>
  <c r="F2193" i="7"/>
  <c r="G2193" i="7"/>
  <c r="E2194" i="7"/>
  <c r="F2194" i="7"/>
  <c r="G2194" i="7"/>
  <c r="E2195" i="7"/>
  <c r="F2195" i="7"/>
  <c r="G2195" i="7"/>
  <c r="E2196" i="7"/>
  <c r="F2196" i="7"/>
  <c r="G2196" i="7"/>
  <c r="E2197" i="7"/>
  <c r="F2197" i="7"/>
  <c r="G2197" i="7"/>
  <c r="E2198" i="7"/>
  <c r="F2198" i="7"/>
  <c r="G2198" i="7"/>
  <c r="E2199" i="7"/>
  <c r="F2199" i="7"/>
  <c r="G2199" i="7"/>
  <c r="E2200" i="7"/>
  <c r="F2200" i="7"/>
  <c r="G2200" i="7"/>
  <c r="E2201" i="7"/>
  <c r="F2201" i="7"/>
  <c r="G2201" i="7"/>
  <c r="E2202" i="7"/>
  <c r="F2202" i="7"/>
  <c r="G2202" i="7"/>
  <c r="E2203" i="7"/>
  <c r="F2203" i="7"/>
  <c r="G2203" i="7"/>
  <c r="E2204" i="7"/>
  <c r="F2204" i="7"/>
  <c r="G2204" i="7"/>
  <c r="E2205" i="7"/>
  <c r="F2205" i="7"/>
  <c r="G2205" i="7"/>
  <c r="E2206" i="7"/>
  <c r="F2206" i="7"/>
  <c r="G2206" i="7"/>
  <c r="E2207" i="7"/>
  <c r="F2207" i="7"/>
  <c r="G2207" i="7"/>
  <c r="E2208" i="7"/>
  <c r="F2208" i="7"/>
  <c r="G2208" i="7"/>
  <c r="E2209" i="7"/>
  <c r="F2209" i="7"/>
  <c r="G2209" i="7"/>
  <c r="E2210" i="7"/>
  <c r="F2210" i="7"/>
  <c r="G2210" i="7"/>
  <c r="E2211" i="7"/>
  <c r="F2211" i="7"/>
  <c r="G2211" i="7"/>
  <c r="E2212" i="7"/>
  <c r="F2212" i="7"/>
  <c r="G2212" i="7"/>
  <c r="E2213" i="7"/>
  <c r="F2213" i="7"/>
  <c r="G2213" i="7"/>
  <c r="E2214" i="7"/>
  <c r="F2214" i="7"/>
  <c r="G2214" i="7"/>
  <c r="E2215" i="7"/>
  <c r="F2215" i="7"/>
  <c r="G2215" i="7"/>
  <c r="E2216" i="7"/>
  <c r="F2216" i="7"/>
  <c r="G2216" i="7"/>
  <c r="E2217" i="7"/>
  <c r="F2217" i="7"/>
  <c r="G2217" i="7"/>
  <c r="E2218" i="7"/>
  <c r="F2218" i="7"/>
  <c r="G2218" i="7"/>
  <c r="E2219" i="7"/>
  <c r="F2219" i="7"/>
  <c r="G2219" i="7"/>
  <c r="E2220" i="7"/>
  <c r="F2220" i="7"/>
  <c r="G2220" i="7"/>
  <c r="E2221" i="7"/>
  <c r="F2221" i="7"/>
  <c r="G2221" i="7"/>
  <c r="E2222" i="7"/>
  <c r="F2222" i="7"/>
  <c r="G2222" i="7"/>
  <c r="E2223" i="7"/>
  <c r="F2223" i="7"/>
  <c r="G2223" i="7"/>
  <c r="E2224" i="7"/>
  <c r="F2224" i="7"/>
  <c r="G2224" i="7"/>
  <c r="E2225" i="7"/>
  <c r="F2225" i="7"/>
  <c r="G2225" i="7"/>
  <c r="E2226" i="7"/>
  <c r="F2226" i="7"/>
  <c r="G2226" i="7"/>
  <c r="E2227" i="7"/>
  <c r="F2227" i="7"/>
  <c r="G2227" i="7"/>
  <c r="E2228" i="7"/>
  <c r="F2228" i="7"/>
  <c r="G2228" i="7"/>
  <c r="E2229" i="7"/>
  <c r="F2229" i="7"/>
  <c r="G2229" i="7"/>
  <c r="E2230" i="7"/>
  <c r="F2230" i="7"/>
  <c r="G2230" i="7"/>
  <c r="E2231" i="7"/>
  <c r="F2231" i="7"/>
  <c r="G2231" i="7"/>
  <c r="E2232" i="7"/>
  <c r="F2232" i="7"/>
  <c r="G2232" i="7"/>
  <c r="E2233" i="7"/>
  <c r="F2233" i="7"/>
  <c r="G2233" i="7"/>
  <c r="E2234" i="7"/>
  <c r="F2234" i="7"/>
  <c r="G2234" i="7"/>
  <c r="E2235" i="7"/>
  <c r="F2235" i="7"/>
  <c r="G2235" i="7"/>
  <c r="E2236" i="7"/>
  <c r="F2236" i="7"/>
  <c r="G2236" i="7"/>
  <c r="E2237" i="7"/>
  <c r="F2237" i="7"/>
  <c r="G2237" i="7"/>
  <c r="E2238" i="7"/>
  <c r="F2238" i="7"/>
  <c r="G2238" i="7"/>
  <c r="E2239" i="7"/>
  <c r="F2239" i="7"/>
  <c r="G2239" i="7"/>
  <c r="E2240" i="7"/>
  <c r="F2240" i="7"/>
  <c r="G2240" i="7"/>
  <c r="E2241" i="7"/>
  <c r="F2241" i="7"/>
  <c r="G2241" i="7"/>
  <c r="E2242" i="7"/>
  <c r="F2242" i="7"/>
  <c r="G2242" i="7"/>
  <c r="E2243" i="7"/>
  <c r="F2243" i="7"/>
  <c r="G2243" i="7"/>
  <c r="E2244" i="7"/>
  <c r="F2244" i="7"/>
  <c r="G2244" i="7"/>
  <c r="E2245" i="7"/>
  <c r="F2245" i="7"/>
  <c r="G2245" i="7"/>
  <c r="E2246" i="7"/>
  <c r="F2246" i="7"/>
  <c r="G2246" i="7"/>
  <c r="E2247" i="7"/>
  <c r="F2247" i="7"/>
  <c r="G2247" i="7"/>
  <c r="E2248" i="7"/>
  <c r="F2248" i="7"/>
  <c r="G2248" i="7"/>
  <c r="E2249" i="7"/>
  <c r="F2249" i="7"/>
  <c r="G2249" i="7"/>
  <c r="E2250" i="7"/>
  <c r="F2250" i="7"/>
  <c r="G2250" i="7"/>
  <c r="E2251" i="7"/>
  <c r="F2251" i="7"/>
  <c r="G2251" i="7"/>
  <c r="E2252" i="7"/>
  <c r="F2252" i="7"/>
  <c r="G2252" i="7"/>
  <c r="E2253" i="7"/>
  <c r="F2253" i="7"/>
  <c r="G2253" i="7"/>
  <c r="E2254" i="7"/>
  <c r="F2254" i="7"/>
  <c r="G2254" i="7"/>
  <c r="E2255" i="7"/>
  <c r="F2255" i="7"/>
  <c r="G2255" i="7"/>
  <c r="E2256" i="7"/>
  <c r="F2256" i="7"/>
  <c r="G2256" i="7"/>
  <c r="E2257" i="7"/>
  <c r="F2257" i="7"/>
  <c r="G2257" i="7"/>
  <c r="E2258" i="7"/>
  <c r="F2258" i="7"/>
  <c r="G2258" i="7"/>
  <c r="E2259" i="7"/>
  <c r="F2259" i="7"/>
  <c r="G2259" i="7"/>
  <c r="E2260" i="7"/>
  <c r="F2260" i="7"/>
  <c r="G2260" i="7"/>
  <c r="E2261" i="7"/>
  <c r="F2261" i="7"/>
  <c r="G2261" i="7"/>
  <c r="E2262" i="7"/>
  <c r="F2262" i="7"/>
  <c r="G2262" i="7"/>
  <c r="E2263" i="7"/>
  <c r="F2263" i="7"/>
  <c r="G2263" i="7"/>
  <c r="E2264" i="7"/>
  <c r="F2264" i="7"/>
  <c r="G2264" i="7"/>
  <c r="E2265" i="7"/>
  <c r="F2265" i="7"/>
  <c r="G2265" i="7"/>
  <c r="E2266" i="7"/>
  <c r="F2266" i="7"/>
  <c r="G2266" i="7"/>
  <c r="E2267" i="7"/>
  <c r="F2267" i="7"/>
  <c r="G2267" i="7"/>
  <c r="E2268" i="7"/>
  <c r="F2268" i="7"/>
  <c r="G2268" i="7"/>
  <c r="E2269" i="7"/>
  <c r="F2269" i="7"/>
  <c r="G2269" i="7"/>
  <c r="E2270" i="7"/>
  <c r="F2270" i="7"/>
  <c r="G2270" i="7"/>
  <c r="E2271" i="7"/>
  <c r="F2271" i="7"/>
  <c r="G2271" i="7"/>
  <c r="E2272" i="7"/>
  <c r="F2272" i="7"/>
  <c r="G2272" i="7"/>
  <c r="E2273" i="7"/>
  <c r="F2273" i="7"/>
  <c r="G2273" i="7"/>
  <c r="E2274" i="7"/>
  <c r="F2274" i="7"/>
  <c r="G2274" i="7"/>
  <c r="E2275" i="7"/>
  <c r="F2275" i="7"/>
  <c r="G2275" i="7"/>
  <c r="E2276" i="7"/>
  <c r="F2276" i="7"/>
  <c r="G2276" i="7"/>
  <c r="E2277" i="7"/>
  <c r="F2277" i="7"/>
  <c r="G2277" i="7"/>
  <c r="E2278" i="7"/>
  <c r="F2278" i="7"/>
  <c r="G2278" i="7"/>
  <c r="E2279" i="7"/>
  <c r="F2279" i="7"/>
  <c r="G2279" i="7"/>
  <c r="E2280" i="7"/>
  <c r="F2280" i="7"/>
  <c r="G2280" i="7"/>
  <c r="E2281" i="7"/>
  <c r="F2281" i="7"/>
  <c r="G2281" i="7"/>
  <c r="E2282" i="7"/>
  <c r="F2282" i="7"/>
  <c r="G2282" i="7"/>
  <c r="E2283" i="7"/>
  <c r="F2283" i="7"/>
  <c r="G2283" i="7"/>
  <c r="E2284" i="7"/>
  <c r="F2284" i="7"/>
  <c r="G2284" i="7"/>
  <c r="E2285" i="7"/>
  <c r="F2285" i="7"/>
  <c r="G2285" i="7"/>
  <c r="E2286" i="7"/>
  <c r="F2286" i="7"/>
  <c r="G2286" i="7"/>
  <c r="E2287" i="7"/>
  <c r="F2287" i="7"/>
  <c r="G2287" i="7"/>
  <c r="E2288" i="7"/>
  <c r="F2288" i="7"/>
  <c r="G2288" i="7"/>
  <c r="E2289" i="7"/>
  <c r="F2289" i="7"/>
  <c r="G2289" i="7"/>
  <c r="E2290" i="7"/>
  <c r="F2290" i="7"/>
  <c r="G2290" i="7"/>
  <c r="E2291" i="7"/>
  <c r="F2291" i="7"/>
  <c r="G2291" i="7"/>
  <c r="E2292" i="7"/>
  <c r="F2292" i="7"/>
  <c r="G2292" i="7"/>
  <c r="E2293" i="7"/>
  <c r="F2293" i="7"/>
  <c r="G2293" i="7"/>
  <c r="E2294" i="7"/>
  <c r="F2294" i="7"/>
  <c r="G2294" i="7"/>
  <c r="E2295" i="7"/>
  <c r="F2295" i="7"/>
  <c r="G2295" i="7"/>
  <c r="E2296" i="7"/>
  <c r="F2296" i="7"/>
  <c r="G2296" i="7"/>
  <c r="E2297" i="7"/>
  <c r="F2297" i="7"/>
  <c r="G2297" i="7"/>
  <c r="E2298" i="7"/>
  <c r="F2298" i="7"/>
  <c r="G2298" i="7"/>
  <c r="E2299" i="7"/>
  <c r="F2299" i="7"/>
  <c r="G2299" i="7"/>
  <c r="E2300" i="7"/>
  <c r="F2300" i="7"/>
  <c r="G2300" i="7"/>
  <c r="E2301" i="7"/>
  <c r="F2301" i="7"/>
  <c r="G2301" i="7"/>
  <c r="E2302" i="7"/>
  <c r="F2302" i="7"/>
  <c r="G2302" i="7"/>
  <c r="E2303" i="7"/>
  <c r="F2303" i="7"/>
  <c r="G2303" i="7"/>
  <c r="E2304" i="7"/>
  <c r="F2304" i="7"/>
  <c r="G2304" i="7"/>
  <c r="E2305" i="7"/>
  <c r="F2305" i="7"/>
  <c r="G2305" i="7"/>
  <c r="E2306" i="7"/>
  <c r="F2306" i="7"/>
  <c r="G2306" i="7"/>
  <c r="E2307" i="7"/>
  <c r="F2307" i="7"/>
  <c r="G2307" i="7"/>
  <c r="E2308" i="7"/>
  <c r="F2308" i="7"/>
  <c r="G2308" i="7"/>
  <c r="E2309" i="7"/>
  <c r="F2309" i="7"/>
  <c r="G2309" i="7"/>
  <c r="E2310" i="7"/>
  <c r="F2310" i="7"/>
  <c r="G2310" i="7"/>
  <c r="E2311" i="7"/>
  <c r="F2311" i="7"/>
  <c r="G2311" i="7"/>
  <c r="E2312" i="7"/>
  <c r="F2312" i="7"/>
  <c r="G2312" i="7"/>
  <c r="E2313" i="7"/>
  <c r="F2313" i="7"/>
  <c r="G2313" i="7"/>
  <c r="E2314" i="7"/>
  <c r="F2314" i="7"/>
  <c r="G2314" i="7"/>
  <c r="E2315" i="7"/>
  <c r="F2315" i="7"/>
  <c r="G2315" i="7"/>
  <c r="E2316" i="7"/>
  <c r="F2316" i="7"/>
  <c r="G2316" i="7"/>
  <c r="E2317" i="7"/>
  <c r="F2317" i="7"/>
  <c r="G2317" i="7"/>
  <c r="E2318" i="7"/>
  <c r="F2318" i="7"/>
  <c r="G2318" i="7"/>
  <c r="E2319" i="7"/>
  <c r="F2319" i="7"/>
  <c r="G2319" i="7"/>
  <c r="E2320" i="7"/>
  <c r="F2320" i="7"/>
  <c r="G2320" i="7"/>
  <c r="E2321" i="7"/>
  <c r="F2321" i="7"/>
  <c r="G2321" i="7"/>
  <c r="E2322" i="7"/>
  <c r="F2322" i="7"/>
  <c r="G2322" i="7"/>
  <c r="E2323" i="7"/>
  <c r="F2323" i="7"/>
  <c r="G2323" i="7"/>
  <c r="E2324" i="7"/>
  <c r="F2324" i="7"/>
  <c r="G2324" i="7"/>
  <c r="E2325" i="7"/>
  <c r="F2325" i="7"/>
  <c r="G2325" i="7"/>
  <c r="E2326" i="7"/>
  <c r="F2326" i="7"/>
  <c r="G2326" i="7"/>
  <c r="E2327" i="7"/>
  <c r="F2327" i="7"/>
  <c r="G2327" i="7"/>
  <c r="E2328" i="7"/>
  <c r="F2328" i="7"/>
  <c r="G2328" i="7"/>
  <c r="E2329" i="7"/>
  <c r="F2329" i="7"/>
  <c r="G2329" i="7"/>
  <c r="E2330" i="7"/>
  <c r="F2330" i="7"/>
  <c r="G2330" i="7"/>
  <c r="E2331" i="7"/>
  <c r="F2331" i="7"/>
  <c r="G2331" i="7"/>
  <c r="E2332" i="7"/>
  <c r="F2332" i="7"/>
  <c r="G2332" i="7"/>
  <c r="E2333" i="7"/>
  <c r="F2333" i="7"/>
  <c r="G2333" i="7"/>
  <c r="E2334" i="7"/>
  <c r="F2334" i="7"/>
  <c r="G2334" i="7"/>
  <c r="E2335" i="7"/>
  <c r="F2335" i="7"/>
  <c r="G2335" i="7"/>
  <c r="E2336" i="7"/>
  <c r="F2336" i="7"/>
  <c r="G2336" i="7"/>
  <c r="E2337" i="7"/>
  <c r="F2337" i="7"/>
  <c r="G2337" i="7"/>
  <c r="E2338" i="7"/>
  <c r="F2338" i="7"/>
  <c r="G2338" i="7"/>
  <c r="E2339" i="7"/>
  <c r="F2339" i="7"/>
  <c r="G2339" i="7"/>
  <c r="E2340" i="7"/>
  <c r="F2340" i="7"/>
  <c r="G2340" i="7"/>
  <c r="E2341" i="7"/>
  <c r="F2341" i="7"/>
  <c r="G2341" i="7"/>
  <c r="E2342" i="7"/>
  <c r="F2342" i="7"/>
  <c r="G2342" i="7"/>
  <c r="E2343" i="7"/>
  <c r="F2343" i="7"/>
  <c r="G2343" i="7"/>
  <c r="E2344" i="7"/>
  <c r="F2344" i="7"/>
  <c r="G2344" i="7"/>
  <c r="E2345" i="7"/>
  <c r="F2345" i="7"/>
  <c r="G2345" i="7"/>
  <c r="E2346" i="7"/>
  <c r="F2346" i="7"/>
  <c r="G2346" i="7"/>
  <c r="E2347" i="7"/>
  <c r="F2347" i="7"/>
  <c r="G2347" i="7"/>
  <c r="E2348" i="7"/>
  <c r="F2348" i="7"/>
  <c r="G2348" i="7"/>
  <c r="E2349" i="7"/>
  <c r="F2349" i="7"/>
  <c r="G2349" i="7"/>
  <c r="E2350" i="7"/>
  <c r="F2350" i="7"/>
  <c r="G2350" i="7"/>
  <c r="E2351" i="7"/>
  <c r="F2351" i="7"/>
  <c r="G2351" i="7"/>
  <c r="E2352" i="7"/>
  <c r="F2352" i="7"/>
  <c r="G2352" i="7"/>
  <c r="E2353" i="7"/>
  <c r="F2353" i="7"/>
  <c r="G2353" i="7"/>
  <c r="E2354" i="7"/>
  <c r="F2354" i="7"/>
  <c r="G2354" i="7"/>
  <c r="E2355" i="7"/>
  <c r="F2355" i="7"/>
  <c r="G2355" i="7"/>
  <c r="E2356" i="7"/>
  <c r="F2356" i="7"/>
  <c r="G2356" i="7"/>
  <c r="E2357" i="7"/>
  <c r="F2357" i="7"/>
  <c r="G2357" i="7"/>
  <c r="E2358" i="7"/>
  <c r="F2358" i="7"/>
  <c r="G2358" i="7"/>
  <c r="E2359" i="7"/>
  <c r="F2359" i="7"/>
  <c r="G2359" i="7"/>
  <c r="E2360" i="7"/>
  <c r="F2360" i="7"/>
  <c r="G2360" i="7"/>
  <c r="E2361" i="7"/>
  <c r="F2361" i="7"/>
  <c r="G2361" i="7"/>
  <c r="E2362" i="7"/>
  <c r="F2362" i="7"/>
  <c r="G2362" i="7"/>
  <c r="E2363" i="7"/>
  <c r="F2363" i="7"/>
  <c r="G2363" i="7"/>
  <c r="E2364" i="7"/>
  <c r="F2364" i="7"/>
  <c r="G2364" i="7"/>
  <c r="E2365" i="7"/>
  <c r="F2365" i="7"/>
  <c r="G2365" i="7"/>
  <c r="E2366" i="7"/>
  <c r="F2366" i="7"/>
  <c r="G2366" i="7"/>
  <c r="E2367" i="7"/>
  <c r="F2367" i="7"/>
  <c r="G2367" i="7"/>
  <c r="E2368" i="7"/>
  <c r="F2368" i="7"/>
  <c r="G2368" i="7"/>
  <c r="E2369" i="7"/>
  <c r="F2369" i="7"/>
  <c r="G2369" i="7"/>
  <c r="E2370" i="7"/>
  <c r="F2370" i="7"/>
  <c r="G2370" i="7"/>
  <c r="E2371" i="7"/>
  <c r="F2371" i="7"/>
  <c r="G2371" i="7"/>
  <c r="E2372" i="7"/>
  <c r="F2372" i="7"/>
  <c r="G2372" i="7"/>
  <c r="E2373" i="7"/>
  <c r="F2373" i="7"/>
  <c r="G2373" i="7"/>
  <c r="E2374" i="7"/>
  <c r="F2374" i="7"/>
  <c r="G2374" i="7"/>
  <c r="E2375" i="7"/>
  <c r="F2375" i="7"/>
  <c r="G2375" i="7"/>
  <c r="E2376" i="7"/>
  <c r="F2376" i="7"/>
  <c r="G2376" i="7"/>
  <c r="E2377" i="7"/>
  <c r="F2377" i="7"/>
  <c r="G2377" i="7"/>
  <c r="E2378" i="7"/>
  <c r="F2378" i="7"/>
  <c r="G2378" i="7"/>
  <c r="E2379" i="7"/>
  <c r="F2379" i="7"/>
  <c r="G2379" i="7"/>
  <c r="E2380" i="7"/>
  <c r="F2380" i="7"/>
  <c r="G2380" i="7"/>
  <c r="E2381" i="7"/>
  <c r="F2381" i="7"/>
  <c r="G2381" i="7"/>
  <c r="E2382" i="7"/>
  <c r="F2382" i="7"/>
  <c r="G2382" i="7"/>
  <c r="E2383" i="7"/>
  <c r="F2383" i="7"/>
  <c r="G2383" i="7"/>
  <c r="E2384" i="7"/>
  <c r="F2384" i="7"/>
  <c r="G2384" i="7"/>
  <c r="E2385" i="7"/>
  <c r="F2385" i="7"/>
  <c r="G2385" i="7"/>
  <c r="E2386" i="7"/>
  <c r="F2386" i="7"/>
  <c r="G2386" i="7"/>
  <c r="E2387" i="7"/>
  <c r="F2387" i="7"/>
  <c r="G2387" i="7"/>
  <c r="E2388" i="7"/>
  <c r="F2388" i="7"/>
  <c r="G2388" i="7"/>
  <c r="E2389" i="7"/>
  <c r="F2389" i="7"/>
  <c r="G2389" i="7"/>
  <c r="E2390" i="7"/>
  <c r="F2390" i="7"/>
  <c r="G2390" i="7"/>
  <c r="E2391" i="7"/>
  <c r="F2391" i="7"/>
  <c r="G2391" i="7"/>
  <c r="E2392" i="7"/>
  <c r="F2392" i="7"/>
  <c r="G2392" i="7"/>
  <c r="E2393" i="7"/>
  <c r="F2393" i="7"/>
  <c r="G2393" i="7"/>
  <c r="E2394" i="7"/>
  <c r="F2394" i="7"/>
  <c r="G2394" i="7"/>
  <c r="E2395" i="7"/>
  <c r="F2395" i="7"/>
  <c r="G2395" i="7"/>
  <c r="E2396" i="7"/>
  <c r="F2396" i="7"/>
  <c r="G2396" i="7"/>
  <c r="E2397" i="7"/>
  <c r="F2397" i="7"/>
  <c r="G2397" i="7"/>
  <c r="E2398" i="7"/>
  <c r="F2398" i="7"/>
  <c r="G2398" i="7"/>
  <c r="E2399" i="7"/>
  <c r="F2399" i="7"/>
  <c r="G2399" i="7"/>
  <c r="E2400" i="7"/>
  <c r="F2400" i="7"/>
  <c r="G2400" i="7"/>
  <c r="E2401" i="7"/>
  <c r="F2401" i="7"/>
  <c r="G2401" i="7"/>
  <c r="E2402" i="7"/>
  <c r="F2402" i="7"/>
  <c r="G2402" i="7"/>
  <c r="E2403" i="7"/>
  <c r="F2403" i="7"/>
  <c r="G2403" i="7"/>
  <c r="E2404" i="7"/>
  <c r="F2404" i="7"/>
  <c r="G2404" i="7"/>
  <c r="E2405" i="7"/>
  <c r="F2405" i="7"/>
  <c r="G2405" i="7"/>
  <c r="E2406" i="7"/>
  <c r="F2406" i="7"/>
  <c r="G2406" i="7"/>
  <c r="E2407" i="7"/>
  <c r="F2407" i="7"/>
  <c r="G2407" i="7"/>
  <c r="F1208" i="7"/>
  <c r="G1208" i="7"/>
  <c r="E1208" i="7"/>
  <c r="C1208" i="7" a="1"/>
  <c r="C1208" i="7" s="1"/>
  <c r="E9" i="7"/>
  <c r="F9" i="7"/>
  <c r="G9" i="7"/>
  <c r="H9" i="7"/>
  <c r="E10" i="7"/>
  <c r="F10" i="7"/>
  <c r="G10" i="7"/>
  <c r="H10" i="7"/>
  <c r="E11" i="7"/>
  <c r="F11" i="7"/>
  <c r="G11" i="7"/>
  <c r="H11" i="7"/>
  <c r="E12" i="7"/>
  <c r="F12" i="7"/>
  <c r="G12" i="7"/>
  <c r="H12" i="7"/>
  <c r="E13" i="7"/>
  <c r="F13" i="7"/>
  <c r="G13" i="7"/>
  <c r="H13" i="7"/>
  <c r="E14" i="7"/>
  <c r="F14" i="7"/>
  <c r="G14" i="7"/>
  <c r="H14" i="7"/>
  <c r="E15" i="7"/>
  <c r="F15" i="7"/>
  <c r="G15" i="7"/>
  <c r="H15" i="7"/>
  <c r="E16" i="7"/>
  <c r="F16" i="7"/>
  <c r="G16" i="7"/>
  <c r="H16" i="7"/>
  <c r="E17" i="7"/>
  <c r="F17" i="7"/>
  <c r="G17" i="7"/>
  <c r="H17" i="7"/>
  <c r="E18" i="7"/>
  <c r="F18" i="7"/>
  <c r="G18" i="7"/>
  <c r="H18" i="7"/>
  <c r="E19" i="7"/>
  <c r="F19" i="7"/>
  <c r="G19" i="7"/>
  <c r="H19" i="7"/>
  <c r="E20" i="7"/>
  <c r="F20" i="7"/>
  <c r="G20" i="7"/>
  <c r="H20" i="7"/>
  <c r="E21" i="7"/>
  <c r="F21" i="7"/>
  <c r="G21" i="7"/>
  <c r="H21" i="7"/>
  <c r="E22" i="7"/>
  <c r="F22" i="7"/>
  <c r="G22" i="7"/>
  <c r="H22" i="7"/>
  <c r="E23" i="7"/>
  <c r="F23" i="7"/>
  <c r="G23" i="7"/>
  <c r="H23" i="7"/>
  <c r="E24" i="7"/>
  <c r="F24" i="7"/>
  <c r="G24" i="7"/>
  <c r="H24" i="7"/>
  <c r="E25" i="7"/>
  <c r="F25" i="7"/>
  <c r="G25" i="7"/>
  <c r="H25" i="7"/>
  <c r="E26" i="7"/>
  <c r="F26" i="7"/>
  <c r="G26" i="7"/>
  <c r="H26" i="7"/>
  <c r="E27" i="7"/>
  <c r="F27" i="7"/>
  <c r="G27" i="7"/>
  <c r="H27" i="7"/>
  <c r="E28" i="7"/>
  <c r="F28" i="7"/>
  <c r="G28" i="7"/>
  <c r="H28" i="7"/>
  <c r="E29" i="7"/>
  <c r="F29" i="7"/>
  <c r="G29" i="7"/>
  <c r="H29" i="7"/>
  <c r="E30" i="7"/>
  <c r="F30" i="7"/>
  <c r="G30" i="7"/>
  <c r="H30" i="7"/>
  <c r="E31" i="7"/>
  <c r="F31" i="7"/>
  <c r="G31" i="7"/>
  <c r="H31" i="7"/>
  <c r="E32" i="7"/>
  <c r="F32" i="7"/>
  <c r="G32" i="7"/>
  <c r="H32" i="7"/>
  <c r="E33" i="7"/>
  <c r="F33" i="7"/>
  <c r="G33" i="7"/>
  <c r="H33" i="7"/>
  <c r="E34" i="7"/>
  <c r="F34" i="7"/>
  <c r="G34" i="7"/>
  <c r="H34" i="7"/>
  <c r="E35" i="7"/>
  <c r="F35" i="7"/>
  <c r="G35" i="7"/>
  <c r="H35" i="7"/>
  <c r="E36" i="7"/>
  <c r="F36" i="7"/>
  <c r="G36" i="7"/>
  <c r="H36" i="7"/>
  <c r="E37" i="7"/>
  <c r="F37" i="7"/>
  <c r="G37" i="7"/>
  <c r="H37" i="7"/>
  <c r="E38" i="7"/>
  <c r="F38" i="7"/>
  <c r="G38" i="7"/>
  <c r="H38" i="7"/>
  <c r="E39" i="7"/>
  <c r="F39" i="7"/>
  <c r="G39" i="7"/>
  <c r="H39" i="7"/>
  <c r="E40" i="7"/>
  <c r="F40" i="7"/>
  <c r="G40" i="7"/>
  <c r="H40" i="7"/>
  <c r="E41" i="7"/>
  <c r="F41" i="7"/>
  <c r="G41" i="7"/>
  <c r="H41" i="7"/>
  <c r="E42" i="7"/>
  <c r="F42" i="7"/>
  <c r="G42" i="7"/>
  <c r="H42" i="7"/>
  <c r="E43" i="7"/>
  <c r="F43" i="7"/>
  <c r="G43" i="7"/>
  <c r="H43" i="7"/>
  <c r="E44" i="7"/>
  <c r="F44" i="7"/>
  <c r="G44" i="7"/>
  <c r="H44" i="7"/>
  <c r="E45" i="7"/>
  <c r="F45" i="7"/>
  <c r="G45" i="7"/>
  <c r="H45" i="7"/>
  <c r="E46" i="7"/>
  <c r="F46" i="7"/>
  <c r="G46" i="7"/>
  <c r="H46" i="7"/>
  <c r="E47" i="7"/>
  <c r="F47" i="7"/>
  <c r="G47" i="7"/>
  <c r="H47" i="7"/>
  <c r="E48" i="7"/>
  <c r="F48" i="7"/>
  <c r="G48" i="7"/>
  <c r="H48" i="7"/>
  <c r="E49" i="7"/>
  <c r="F49" i="7"/>
  <c r="G49" i="7"/>
  <c r="H49" i="7"/>
  <c r="E50" i="7"/>
  <c r="F50" i="7"/>
  <c r="G50" i="7"/>
  <c r="H50" i="7"/>
  <c r="E51" i="7"/>
  <c r="F51" i="7"/>
  <c r="G51" i="7"/>
  <c r="H51" i="7"/>
  <c r="E52" i="7"/>
  <c r="F52" i="7"/>
  <c r="G52" i="7"/>
  <c r="H52" i="7"/>
  <c r="E53" i="7"/>
  <c r="F53" i="7"/>
  <c r="G53" i="7"/>
  <c r="H53" i="7"/>
  <c r="E54" i="7"/>
  <c r="F54" i="7"/>
  <c r="G54" i="7"/>
  <c r="H54" i="7"/>
  <c r="E55" i="7"/>
  <c r="F55" i="7"/>
  <c r="G55" i="7"/>
  <c r="H55" i="7"/>
  <c r="E56" i="7"/>
  <c r="F56" i="7"/>
  <c r="G56" i="7"/>
  <c r="H56" i="7"/>
  <c r="E57" i="7"/>
  <c r="F57" i="7"/>
  <c r="G57" i="7"/>
  <c r="H57" i="7"/>
  <c r="E58" i="7"/>
  <c r="F58" i="7"/>
  <c r="G58" i="7"/>
  <c r="H58" i="7"/>
  <c r="E59" i="7"/>
  <c r="F59" i="7"/>
  <c r="G59" i="7"/>
  <c r="H59" i="7"/>
  <c r="E60" i="7"/>
  <c r="F60" i="7"/>
  <c r="G60" i="7"/>
  <c r="H60" i="7"/>
  <c r="E61" i="7"/>
  <c r="F61" i="7"/>
  <c r="G61" i="7"/>
  <c r="H61" i="7"/>
  <c r="E62" i="7"/>
  <c r="F62" i="7"/>
  <c r="G62" i="7"/>
  <c r="H62" i="7"/>
  <c r="E63" i="7"/>
  <c r="F63" i="7"/>
  <c r="G63" i="7"/>
  <c r="H63" i="7"/>
  <c r="E64" i="7"/>
  <c r="F64" i="7"/>
  <c r="G64" i="7"/>
  <c r="H64" i="7"/>
  <c r="E65" i="7"/>
  <c r="F65" i="7"/>
  <c r="G65" i="7"/>
  <c r="H65" i="7"/>
  <c r="E66" i="7"/>
  <c r="F66" i="7"/>
  <c r="G66" i="7"/>
  <c r="H66" i="7"/>
  <c r="E67" i="7"/>
  <c r="F67" i="7"/>
  <c r="G67" i="7"/>
  <c r="H67" i="7"/>
  <c r="E68" i="7"/>
  <c r="F68" i="7"/>
  <c r="G68" i="7"/>
  <c r="H68" i="7"/>
  <c r="E69" i="7"/>
  <c r="F69" i="7"/>
  <c r="G69" i="7"/>
  <c r="H69" i="7"/>
  <c r="E70" i="7"/>
  <c r="F70" i="7"/>
  <c r="G70" i="7"/>
  <c r="H70" i="7"/>
  <c r="E71" i="7"/>
  <c r="F71" i="7"/>
  <c r="G71" i="7"/>
  <c r="H71" i="7"/>
  <c r="E72" i="7"/>
  <c r="F72" i="7"/>
  <c r="G72" i="7"/>
  <c r="H72" i="7"/>
  <c r="E73" i="7"/>
  <c r="F73" i="7"/>
  <c r="G73" i="7"/>
  <c r="H73" i="7"/>
  <c r="E74" i="7"/>
  <c r="F74" i="7"/>
  <c r="G74" i="7"/>
  <c r="H74" i="7"/>
  <c r="E75" i="7"/>
  <c r="F75" i="7"/>
  <c r="G75" i="7"/>
  <c r="H75" i="7"/>
  <c r="E76" i="7"/>
  <c r="F76" i="7"/>
  <c r="G76" i="7"/>
  <c r="H76" i="7"/>
  <c r="E77" i="7"/>
  <c r="F77" i="7"/>
  <c r="G77" i="7"/>
  <c r="H77" i="7"/>
  <c r="E78" i="7"/>
  <c r="F78" i="7"/>
  <c r="G78" i="7"/>
  <c r="H78" i="7"/>
  <c r="E79" i="7"/>
  <c r="F79" i="7"/>
  <c r="G79" i="7"/>
  <c r="H79" i="7"/>
  <c r="E80" i="7"/>
  <c r="F80" i="7"/>
  <c r="G80" i="7"/>
  <c r="H80" i="7"/>
  <c r="E81" i="7"/>
  <c r="F81" i="7"/>
  <c r="G81" i="7"/>
  <c r="H81" i="7"/>
  <c r="E82" i="7"/>
  <c r="F82" i="7"/>
  <c r="G82" i="7"/>
  <c r="H82" i="7"/>
  <c r="E83" i="7"/>
  <c r="F83" i="7"/>
  <c r="G83" i="7"/>
  <c r="H83" i="7"/>
  <c r="E84" i="7"/>
  <c r="F84" i="7"/>
  <c r="G84" i="7"/>
  <c r="H84" i="7"/>
  <c r="E85" i="7"/>
  <c r="F85" i="7"/>
  <c r="G85" i="7"/>
  <c r="H85" i="7"/>
  <c r="E86" i="7"/>
  <c r="F86" i="7"/>
  <c r="G86" i="7"/>
  <c r="H86" i="7"/>
  <c r="E87" i="7"/>
  <c r="F87" i="7"/>
  <c r="G87" i="7"/>
  <c r="H87" i="7"/>
  <c r="E88" i="7"/>
  <c r="F88" i="7"/>
  <c r="G88" i="7"/>
  <c r="H88" i="7"/>
  <c r="E89" i="7"/>
  <c r="F89" i="7"/>
  <c r="G89" i="7"/>
  <c r="H89" i="7"/>
  <c r="E90" i="7"/>
  <c r="F90" i="7"/>
  <c r="G90" i="7"/>
  <c r="H90" i="7"/>
  <c r="E91" i="7"/>
  <c r="F91" i="7"/>
  <c r="G91" i="7"/>
  <c r="H91" i="7"/>
  <c r="E92" i="7"/>
  <c r="F92" i="7"/>
  <c r="G92" i="7"/>
  <c r="H92" i="7"/>
  <c r="E93" i="7"/>
  <c r="F93" i="7"/>
  <c r="G93" i="7"/>
  <c r="H93" i="7"/>
  <c r="E94" i="7"/>
  <c r="F94" i="7"/>
  <c r="G94" i="7"/>
  <c r="H94" i="7"/>
  <c r="E95" i="7"/>
  <c r="F95" i="7"/>
  <c r="G95" i="7"/>
  <c r="H95" i="7"/>
  <c r="E96" i="7"/>
  <c r="F96" i="7"/>
  <c r="G96" i="7"/>
  <c r="H96" i="7"/>
  <c r="E97" i="7"/>
  <c r="F97" i="7"/>
  <c r="G97" i="7"/>
  <c r="H97" i="7"/>
  <c r="E98" i="7"/>
  <c r="F98" i="7"/>
  <c r="G98" i="7"/>
  <c r="H98" i="7"/>
  <c r="E99" i="7"/>
  <c r="F99" i="7"/>
  <c r="G99" i="7"/>
  <c r="H99" i="7"/>
  <c r="E100" i="7"/>
  <c r="F100" i="7"/>
  <c r="G100" i="7"/>
  <c r="H100" i="7"/>
  <c r="E101" i="7"/>
  <c r="F101" i="7"/>
  <c r="G101" i="7"/>
  <c r="H101" i="7"/>
  <c r="E102" i="7"/>
  <c r="F102" i="7"/>
  <c r="G102" i="7"/>
  <c r="H102" i="7"/>
  <c r="E103" i="7"/>
  <c r="F103" i="7"/>
  <c r="G103" i="7"/>
  <c r="H103" i="7"/>
  <c r="E104" i="7"/>
  <c r="F104" i="7"/>
  <c r="G104" i="7"/>
  <c r="H104" i="7"/>
  <c r="E105" i="7"/>
  <c r="F105" i="7"/>
  <c r="G105" i="7"/>
  <c r="H105" i="7"/>
  <c r="E106" i="7"/>
  <c r="F106" i="7"/>
  <c r="G106" i="7"/>
  <c r="H106" i="7"/>
  <c r="E107" i="7"/>
  <c r="F107" i="7"/>
  <c r="G107" i="7"/>
  <c r="H107" i="7"/>
  <c r="E108" i="7"/>
  <c r="F108" i="7"/>
  <c r="G108" i="7"/>
  <c r="H108" i="7"/>
  <c r="E109" i="7"/>
  <c r="F109" i="7"/>
  <c r="G109" i="7"/>
  <c r="H109" i="7"/>
  <c r="E110" i="7"/>
  <c r="F110" i="7"/>
  <c r="G110" i="7"/>
  <c r="H110" i="7"/>
  <c r="E111" i="7"/>
  <c r="F111" i="7"/>
  <c r="G111" i="7"/>
  <c r="H111" i="7"/>
  <c r="E112" i="7"/>
  <c r="F112" i="7"/>
  <c r="G112" i="7"/>
  <c r="H112" i="7"/>
  <c r="E113" i="7"/>
  <c r="F113" i="7"/>
  <c r="G113" i="7"/>
  <c r="H113" i="7"/>
  <c r="E114" i="7"/>
  <c r="F114" i="7"/>
  <c r="G114" i="7"/>
  <c r="H114" i="7"/>
  <c r="E115" i="7"/>
  <c r="F115" i="7"/>
  <c r="G115" i="7"/>
  <c r="H115" i="7"/>
  <c r="E116" i="7"/>
  <c r="F116" i="7"/>
  <c r="G116" i="7"/>
  <c r="H116" i="7"/>
  <c r="E117" i="7"/>
  <c r="F117" i="7"/>
  <c r="G117" i="7"/>
  <c r="H117" i="7"/>
  <c r="E118" i="7"/>
  <c r="F118" i="7"/>
  <c r="G118" i="7"/>
  <c r="H118" i="7"/>
  <c r="E119" i="7"/>
  <c r="F119" i="7"/>
  <c r="G119" i="7"/>
  <c r="H119" i="7"/>
  <c r="E120" i="7"/>
  <c r="F120" i="7"/>
  <c r="G120" i="7"/>
  <c r="H120" i="7"/>
  <c r="E121" i="7"/>
  <c r="F121" i="7"/>
  <c r="G121" i="7"/>
  <c r="H121" i="7"/>
  <c r="E122" i="7"/>
  <c r="F122" i="7"/>
  <c r="G122" i="7"/>
  <c r="H122" i="7"/>
  <c r="E123" i="7"/>
  <c r="F123" i="7"/>
  <c r="G123" i="7"/>
  <c r="H123" i="7"/>
  <c r="E124" i="7"/>
  <c r="F124" i="7"/>
  <c r="G124" i="7"/>
  <c r="H124" i="7"/>
  <c r="E125" i="7"/>
  <c r="F125" i="7"/>
  <c r="G125" i="7"/>
  <c r="H125" i="7"/>
  <c r="E126" i="7"/>
  <c r="F126" i="7"/>
  <c r="G126" i="7"/>
  <c r="H126" i="7"/>
  <c r="E127" i="7"/>
  <c r="F127" i="7"/>
  <c r="G127" i="7"/>
  <c r="H127" i="7"/>
  <c r="E128" i="7"/>
  <c r="F128" i="7"/>
  <c r="G128" i="7"/>
  <c r="H128" i="7"/>
  <c r="E129" i="7"/>
  <c r="F129" i="7"/>
  <c r="G129" i="7"/>
  <c r="H129" i="7"/>
  <c r="E130" i="7"/>
  <c r="F130" i="7"/>
  <c r="G130" i="7"/>
  <c r="H130" i="7"/>
  <c r="E131" i="7"/>
  <c r="F131" i="7"/>
  <c r="G131" i="7"/>
  <c r="H131" i="7"/>
  <c r="E132" i="7"/>
  <c r="F132" i="7"/>
  <c r="G132" i="7"/>
  <c r="H132" i="7"/>
  <c r="E133" i="7"/>
  <c r="F133" i="7"/>
  <c r="G133" i="7"/>
  <c r="H133" i="7"/>
  <c r="E134" i="7"/>
  <c r="F134" i="7"/>
  <c r="G134" i="7"/>
  <c r="H134" i="7"/>
  <c r="E135" i="7"/>
  <c r="F135" i="7"/>
  <c r="G135" i="7"/>
  <c r="H135" i="7"/>
  <c r="E136" i="7"/>
  <c r="F136" i="7"/>
  <c r="G136" i="7"/>
  <c r="H136" i="7"/>
  <c r="E137" i="7"/>
  <c r="F137" i="7"/>
  <c r="G137" i="7"/>
  <c r="H137" i="7"/>
  <c r="E138" i="7"/>
  <c r="F138" i="7"/>
  <c r="G138" i="7"/>
  <c r="H138" i="7"/>
  <c r="E139" i="7"/>
  <c r="F139" i="7"/>
  <c r="G139" i="7"/>
  <c r="H139" i="7"/>
  <c r="E140" i="7"/>
  <c r="F140" i="7"/>
  <c r="G140" i="7"/>
  <c r="H140" i="7"/>
  <c r="E141" i="7"/>
  <c r="F141" i="7"/>
  <c r="G141" i="7"/>
  <c r="H141" i="7"/>
  <c r="E142" i="7"/>
  <c r="F142" i="7"/>
  <c r="G142" i="7"/>
  <c r="H142" i="7"/>
  <c r="E143" i="7"/>
  <c r="F143" i="7"/>
  <c r="G143" i="7"/>
  <c r="H143" i="7"/>
  <c r="E144" i="7"/>
  <c r="F144" i="7"/>
  <c r="G144" i="7"/>
  <c r="H144" i="7"/>
  <c r="E145" i="7"/>
  <c r="F145" i="7"/>
  <c r="G145" i="7"/>
  <c r="H145" i="7"/>
  <c r="E146" i="7"/>
  <c r="F146" i="7"/>
  <c r="G146" i="7"/>
  <c r="H146" i="7"/>
  <c r="E147" i="7"/>
  <c r="F147" i="7"/>
  <c r="G147" i="7"/>
  <c r="H147" i="7"/>
  <c r="E148" i="7"/>
  <c r="F148" i="7"/>
  <c r="G148" i="7"/>
  <c r="H148" i="7"/>
  <c r="E149" i="7"/>
  <c r="F149" i="7"/>
  <c r="G149" i="7"/>
  <c r="H149" i="7"/>
  <c r="E150" i="7"/>
  <c r="F150" i="7"/>
  <c r="G150" i="7"/>
  <c r="H150" i="7"/>
  <c r="E151" i="7"/>
  <c r="F151" i="7"/>
  <c r="G151" i="7"/>
  <c r="H151" i="7"/>
  <c r="E152" i="7"/>
  <c r="F152" i="7"/>
  <c r="G152" i="7"/>
  <c r="H152" i="7"/>
  <c r="E153" i="7"/>
  <c r="F153" i="7"/>
  <c r="G153" i="7"/>
  <c r="H153" i="7"/>
  <c r="E154" i="7"/>
  <c r="F154" i="7"/>
  <c r="G154" i="7"/>
  <c r="H154" i="7"/>
  <c r="E155" i="7"/>
  <c r="F155" i="7"/>
  <c r="G155" i="7"/>
  <c r="H155" i="7"/>
  <c r="E156" i="7"/>
  <c r="F156" i="7"/>
  <c r="G156" i="7"/>
  <c r="H156" i="7"/>
  <c r="E157" i="7"/>
  <c r="F157" i="7"/>
  <c r="G157" i="7"/>
  <c r="H157" i="7"/>
  <c r="E158" i="7"/>
  <c r="F158" i="7"/>
  <c r="G158" i="7"/>
  <c r="H158" i="7"/>
  <c r="E159" i="7"/>
  <c r="F159" i="7"/>
  <c r="G159" i="7"/>
  <c r="H159" i="7"/>
  <c r="E160" i="7"/>
  <c r="F160" i="7"/>
  <c r="G160" i="7"/>
  <c r="H160" i="7"/>
  <c r="E161" i="7"/>
  <c r="F161" i="7"/>
  <c r="G161" i="7"/>
  <c r="H161" i="7"/>
  <c r="E162" i="7"/>
  <c r="F162" i="7"/>
  <c r="G162" i="7"/>
  <c r="H162" i="7"/>
  <c r="E163" i="7"/>
  <c r="F163" i="7"/>
  <c r="G163" i="7"/>
  <c r="H163" i="7"/>
  <c r="E164" i="7"/>
  <c r="F164" i="7"/>
  <c r="G164" i="7"/>
  <c r="H164" i="7"/>
  <c r="E165" i="7"/>
  <c r="F165" i="7"/>
  <c r="G165" i="7"/>
  <c r="H165" i="7"/>
  <c r="E166" i="7"/>
  <c r="F166" i="7"/>
  <c r="G166" i="7"/>
  <c r="H166" i="7"/>
  <c r="E167" i="7"/>
  <c r="F167" i="7"/>
  <c r="G167" i="7"/>
  <c r="H167" i="7"/>
  <c r="E168" i="7"/>
  <c r="F168" i="7"/>
  <c r="G168" i="7"/>
  <c r="H168" i="7"/>
  <c r="E169" i="7"/>
  <c r="F169" i="7"/>
  <c r="G169" i="7"/>
  <c r="H169" i="7"/>
  <c r="E170" i="7"/>
  <c r="F170" i="7"/>
  <c r="G170" i="7"/>
  <c r="H170" i="7"/>
  <c r="E171" i="7"/>
  <c r="F171" i="7"/>
  <c r="G171" i="7"/>
  <c r="H171" i="7"/>
  <c r="E172" i="7"/>
  <c r="F172" i="7"/>
  <c r="G172" i="7"/>
  <c r="H172" i="7"/>
  <c r="E173" i="7"/>
  <c r="F173" i="7"/>
  <c r="G173" i="7"/>
  <c r="H173" i="7"/>
  <c r="E174" i="7"/>
  <c r="F174" i="7"/>
  <c r="G174" i="7"/>
  <c r="H174" i="7"/>
  <c r="E175" i="7"/>
  <c r="F175" i="7"/>
  <c r="G175" i="7"/>
  <c r="H175" i="7"/>
  <c r="E176" i="7"/>
  <c r="F176" i="7"/>
  <c r="G176" i="7"/>
  <c r="H176" i="7"/>
  <c r="E177" i="7"/>
  <c r="F177" i="7"/>
  <c r="G177" i="7"/>
  <c r="H177" i="7"/>
  <c r="E178" i="7"/>
  <c r="F178" i="7"/>
  <c r="G178" i="7"/>
  <c r="H178" i="7"/>
  <c r="E179" i="7"/>
  <c r="F179" i="7"/>
  <c r="G179" i="7"/>
  <c r="H179" i="7"/>
  <c r="E180" i="7"/>
  <c r="F180" i="7"/>
  <c r="G180" i="7"/>
  <c r="H180" i="7"/>
  <c r="E181" i="7"/>
  <c r="F181" i="7"/>
  <c r="G181" i="7"/>
  <c r="H181" i="7"/>
  <c r="E182" i="7"/>
  <c r="F182" i="7"/>
  <c r="G182" i="7"/>
  <c r="H182" i="7"/>
  <c r="E183" i="7"/>
  <c r="F183" i="7"/>
  <c r="G183" i="7"/>
  <c r="H183" i="7"/>
  <c r="E184" i="7"/>
  <c r="F184" i="7"/>
  <c r="G184" i="7"/>
  <c r="H184" i="7"/>
  <c r="E185" i="7"/>
  <c r="F185" i="7"/>
  <c r="G185" i="7"/>
  <c r="H185" i="7"/>
  <c r="E186" i="7"/>
  <c r="F186" i="7"/>
  <c r="G186" i="7"/>
  <c r="H186" i="7"/>
  <c r="E187" i="7"/>
  <c r="F187" i="7"/>
  <c r="G187" i="7"/>
  <c r="H187" i="7"/>
  <c r="E188" i="7"/>
  <c r="F188" i="7"/>
  <c r="G188" i="7"/>
  <c r="H188" i="7"/>
  <c r="E189" i="7"/>
  <c r="F189" i="7"/>
  <c r="G189" i="7"/>
  <c r="H189" i="7"/>
  <c r="E190" i="7"/>
  <c r="F190" i="7"/>
  <c r="G190" i="7"/>
  <c r="H190" i="7"/>
  <c r="E191" i="7"/>
  <c r="F191" i="7"/>
  <c r="G191" i="7"/>
  <c r="H191" i="7"/>
  <c r="E192" i="7"/>
  <c r="F192" i="7"/>
  <c r="G192" i="7"/>
  <c r="H192" i="7"/>
  <c r="E193" i="7"/>
  <c r="F193" i="7"/>
  <c r="G193" i="7"/>
  <c r="H193" i="7"/>
  <c r="E194" i="7"/>
  <c r="F194" i="7"/>
  <c r="G194" i="7"/>
  <c r="H194" i="7"/>
  <c r="E195" i="7"/>
  <c r="F195" i="7"/>
  <c r="G195" i="7"/>
  <c r="H195" i="7"/>
  <c r="E196" i="7"/>
  <c r="F196" i="7"/>
  <c r="G196" i="7"/>
  <c r="H196" i="7"/>
  <c r="E197" i="7"/>
  <c r="F197" i="7"/>
  <c r="G197" i="7"/>
  <c r="H197" i="7"/>
  <c r="E198" i="7"/>
  <c r="F198" i="7"/>
  <c r="G198" i="7"/>
  <c r="H198" i="7"/>
  <c r="E199" i="7"/>
  <c r="F199" i="7"/>
  <c r="G199" i="7"/>
  <c r="H199" i="7"/>
  <c r="E200" i="7"/>
  <c r="F200" i="7"/>
  <c r="G200" i="7"/>
  <c r="H200" i="7"/>
  <c r="E201" i="7"/>
  <c r="F201" i="7"/>
  <c r="G201" i="7"/>
  <c r="H201" i="7"/>
  <c r="E202" i="7"/>
  <c r="F202" i="7"/>
  <c r="G202" i="7"/>
  <c r="H202" i="7"/>
  <c r="E203" i="7"/>
  <c r="F203" i="7"/>
  <c r="G203" i="7"/>
  <c r="H203" i="7"/>
  <c r="E204" i="7"/>
  <c r="F204" i="7"/>
  <c r="G204" i="7"/>
  <c r="H204" i="7"/>
  <c r="E205" i="7"/>
  <c r="F205" i="7"/>
  <c r="G205" i="7"/>
  <c r="H205" i="7"/>
  <c r="E206" i="7"/>
  <c r="F206" i="7"/>
  <c r="G206" i="7"/>
  <c r="H206" i="7"/>
  <c r="E207" i="7"/>
  <c r="F207" i="7"/>
  <c r="G207" i="7"/>
  <c r="H207" i="7"/>
  <c r="E208" i="7"/>
  <c r="F208" i="7"/>
  <c r="G208" i="7"/>
  <c r="H208" i="7"/>
  <c r="E209" i="7"/>
  <c r="F209" i="7"/>
  <c r="G209" i="7"/>
  <c r="H209" i="7"/>
  <c r="E210" i="7"/>
  <c r="F210" i="7"/>
  <c r="G210" i="7"/>
  <c r="H210" i="7"/>
  <c r="E211" i="7"/>
  <c r="F211" i="7"/>
  <c r="G211" i="7"/>
  <c r="H211" i="7"/>
  <c r="E212" i="7"/>
  <c r="F212" i="7"/>
  <c r="G212" i="7"/>
  <c r="H212" i="7"/>
  <c r="E213" i="7"/>
  <c r="F213" i="7"/>
  <c r="G213" i="7"/>
  <c r="H213" i="7"/>
  <c r="E214" i="7"/>
  <c r="F214" i="7"/>
  <c r="G214" i="7"/>
  <c r="H214" i="7"/>
  <c r="E215" i="7"/>
  <c r="F215" i="7"/>
  <c r="G215" i="7"/>
  <c r="H215" i="7"/>
  <c r="E216" i="7"/>
  <c r="F216" i="7"/>
  <c r="G216" i="7"/>
  <c r="H216" i="7"/>
  <c r="E217" i="7"/>
  <c r="F217" i="7"/>
  <c r="G217" i="7"/>
  <c r="H217" i="7"/>
  <c r="E218" i="7"/>
  <c r="F218" i="7"/>
  <c r="G218" i="7"/>
  <c r="H218" i="7"/>
  <c r="E219" i="7"/>
  <c r="F219" i="7"/>
  <c r="G219" i="7"/>
  <c r="H219" i="7"/>
  <c r="E220" i="7"/>
  <c r="F220" i="7"/>
  <c r="G220" i="7"/>
  <c r="H220" i="7"/>
  <c r="E221" i="7"/>
  <c r="F221" i="7"/>
  <c r="G221" i="7"/>
  <c r="H221" i="7"/>
  <c r="E222" i="7"/>
  <c r="F222" i="7"/>
  <c r="G222" i="7"/>
  <c r="H222" i="7"/>
  <c r="E223" i="7"/>
  <c r="F223" i="7"/>
  <c r="G223" i="7"/>
  <c r="H223" i="7"/>
  <c r="E224" i="7"/>
  <c r="F224" i="7"/>
  <c r="G224" i="7"/>
  <c r="H224" i="7"/>
  <c r="E225" i="7"/>
  <c r="F225" i="7"/>
  <c r="G225" i="7"/>
  <c r="H225" i="7"/>
  <c r="E226" i="7"/>
  <c r="F226" i="7"/>
  <c r="G226" i="7"/>
  <c r="H226" i="7"/>
  <c r="E227" i="7"/>
  <c r="F227" i="7"/>
  <c r="G227" i="7"/>
  <c r="H227" i="7"/>
  <c r="E228" i="7"/>
  <c r="F228" i="7"/>
  <c r="G228" i="7"/>
  <c r="H228" i="7"/>
  <c r="E229" i="7"/>
  <c r="F229" i="7"/>
  <c r="G229" i="7"/>
  <c r="H229" i="7"/>
  <c r="E230" i="7"/>
  <c r="F230" i="7"/>
  <c r="G230" i="7"/>
  <c r="H230" i="7"/>
  <c r="E231" i="7"/>
  <c r="F231" i="7"/>
  <c r="G231" i="7"/>
  <c r="H231" i="7"/>
  <c r="E232" i="7"/>
  <c r="F232" i="7"/>
  <c r="G232" i="7"/>
  <c r="H232" i="7"/>
  <c r="E233" i="7"/>
  <c r="F233" i="7"/>
  <c r="G233" i="7"/>
  <c r="H233" i="7"/>
  <c r="E234" i="7"/>
  <c r="F234" i="7"/>
  <c r="G234" i="7"/>
  <c r="H234" i="7"/>
  <c r="E235" i="7"/>
  <c r="F235" i="7"/>
  <c r="G235" i="7"/>
  <c r="H235" i="7"/>
  <c r="E236" i="7"/>
  <c r="F236" i="7"/>
  <c r="G236" i="7"/>
  <c r="H236" i="7"/>
  <c r="E237" i="7"/>
  <c r="F237" i="7"/>
  <c r="G237" i="7"/>
  <c r="H237" i="7"/>
  <c r="E238" i="7"/>
  <c r="F238" i="7"/>
  <c r="G238" i="7"/>
  <c r="H238" i="7"/>
  <c r="E239" i="7"/>
  <c r="F239" i="7"/>
  <c r="G239" i="7"/>
  <c r="H239" i="7"/>
  <c r="E240" i="7"/>
  <c r="F240" i="7"/>
  <c r="G240" i="7"/>
  <c r="H240" i="7"/>
  <c r="E241" i="7"/>
  <c r="F241" i="7"/>
  <c r="G241" i="7"/>
  <c r="H241" i="7"/>
  <c r="E242" i="7"/>
  <c r="F242" i="7"/>
  <c r="G242" i="7"/>
  <c r="H242" i="7"/>
  <c r="E243" i="7"/>
  <c r="F243" i="7"/>
  <c r="G243" i="7"/>
  <c r="H243" i="7"/>
  <c r="E244" i="7"/>
  <c r="F244" i="7"/>
  <c r="G244" i="7"/>
  <c r="H244" i="7"/>
  <c r="E245" i="7"/>
  <c r="F245" i="7"/>
  <c r="G245" i="7"/>
  <c r="H245" i="7"/>
  <c r="E246" i="7"/>
  <c r="F246" i="7"/>
  <c r="G246" i="7"/>
  <c r="H246" i="7"/>
  <c r="E247" i="7"/>
  <c r="F247" i="7"/>
  <c r="G247" i="7"/>
  <c r="H247" i="7"/>
  <c r="E248" i="7"/>
  <c r="F248" i="7"/>
  <c r="G248" i="7"/>
  <c r="H248" i="7"/>
  <c r="E249" i="7"/>
  <c r="F249" i="7"/>
  <c r="G249" i="7"/>
  <c r="H249" i="7"/>
  <c r="E250" i="7"/>
  <c r="F250" i="7"/>
  <c r="G250" i="7"/>
  <c r="H250" i="7"/>
  <c r="E251" i="7"/>
  <c r="F251" i="7"/>
  <c r="G251" i="7"/>
  <c r="H251" i="7"/>
  <c r="E252" i="7"/>
  <c r="F252" i="7"/>
  <c r="G252" i="7"/>
  <c r="H252" i="7"/>
  <c r="E253" i="7"/>
  <c r="F253" i="7"/>
  <c r="G253" i="7"/>
  <c r="H253" i="7"/>
  <c r="E254" i="7"/>
  <c r="F254" i="7"/>
  <c r="G254" i="7"/>
  <c r="H254" i="7"/>
  <c r="E255" i="7"/>
  <c r="F255" i="7"/>
  <c r="G255" i="7"/>
  <c r="H255" i="7"/>
  <c r="E256" i="7"/>
  <c r="F256" i="7"/>
  <c r="G256" i="7"/>
  <c r="H256" i="7"/>
  <c r="E257" i="7"/>
  <c r="F257" i="7"/>
  <c r="G257" i="7"/>
  <c r="H257" i="7"/>
  <c r="E258" i="7"/>
  <c r="F258" i="7"/>
  <c r="G258" i="7"/>
  <c r="H258" i="7"/>
  <c r="E259" i="7"/>
  <c r="F259" i="7"/>
  <c r="G259" i="7"/>
  <c r="H259" i="7"/>
  <c r="E260" i="7"/>
  <c r="F260" i="7"/>
  <c r="G260" i="7"/>
  <c r="H260" i="7"/>
  <c r="E261" i="7"/>
  <c r="F261" i="7"/>
  <c r="G261" i="7"/>
  <c r="H261" i="7"/>
  <c r="E262" i="7"/>
  <c r="F262" i="7"/>
  <c r="G262" i="7"/>
  <c r="H262" i="7"/>
  <c r="E263" i="7"/>
  <c r="F263" i="7"/>
  <c r="G263" i="7"/>
  <c r="H263" i="7"/>
  <c r="E264" i="7"/>
  <c r="F264" i="7"/>
  <c r="G264" i="7"/>
  <c r="H264" i="7"/>
  <c r="E265" i="7"/>
  <c r="F265" i="7"/>
  <c r="G265" i="7"/>
  <c r="H265" i="7"/>
  <c r="E266" i="7"/>
  <c r="F266" i="7"/>
  <c r="G266" i="7"/>
  <c r="H266" i="7"/>
  <c r="E267" i="7"/>
  <c r="F267" i="7"/>
  <c r="G267" i="7"/>
  <c r="H267" i="7"/>
  <c r="E268" i="7"/>
  <c r="F268" i="7"/>
  <c r="G268" i="7"/>
  <c r="H268" i="7"/>
  <c r="E269" i="7"/>
  <c r="F269" i="7"/>
  <c r="G269" i="7"/>
  <c r="H269" i="7"/>
  <c r="E270" i="7"/>
  <c r="F270" i="7"/>
  <c r="G270" i="7"/>
  <c r="H270" i="7"/>
  <c r="E271" i="7"/>
  <c r="F271" i="7"/>
  <c r="G271" i="7"/>
  <c r="H271" i="7"/>
  <c r="E272" i="7"/>
  <c r="F272" i="7"/>
  <c r="G272" i="7"/>
  <c r="H272" i="7"/>
  <c r="E273" i="7"/>
  <c r="F273" i="7"/>
  <c r="G273" i="7"/>
  <c r="H273" i="7"/>
  <c r="E274" i="7"/>
  <c r="F274" i="7"/>
  <c r="G274" i="7"/>
  <c r="H274" i="7"/>
  <c r="E275" i="7"/>
  <c r="F275" i="7"/>
  <c r="G275" i="7"/>
  <c r="H275" i="7"/>
  <c r="E276" i="7"/>
  <c r="F276" i="7"/>
  <c r="G276" i="7"/>
  <c r="H276" i="7"/>
  <c r="E277" i="7"/>
  <c r="F277" i="7"/>
  <c r="G277" i="7"/>
  <c r="H277" i="7"/>
  <c r="E278" i="7"/>
  <c r="F278" i="7"/>
  <c r="G278" i="7"/>
  <c r="H278" i="7"/>
  <c r="E279" i="7"/>
  <c r="F279" i="7"/>
  <c r="G279" i="7"/>
  <c r="H279" i="7"/>
  <c r="E280" i="7"/>
  <c r="F280" i="7"/>
  <c r="G280" i="7"/>
  <c r="H280" i="7"/>
  <c r="E281" i="7"/>
  <c r="F281" i="7"/>
  <c r="G281" i="7"/>
  <c r="H281" i="7"/>
  <c r="E282" i="7"/>
  <c r="F282" i="7"/>
  <c r="G282" i="7"/>
  <c r="H282" i="7"/>
  <c r="E283" i="7"/>
  <c r="F283" i="7"/>
  <c r="G283" i="7"/>
  <c r="H283" i="7"/>
  <c r="E284" i="7"/>
  <c r="F284" i="7"/>
  <c r="G284" i="7"/>
  <c r="H284" i="7"/>
  <c r="E285" i="7"/>
  <c r="F285" i="7"/>
  <c r="G285" i="7"/>
  <c r="H285" i="7"/>
  <c r="E286" i="7"/>
  <c r="F286" i="7"/>
  <c r="G286" i="7"/>
  <c r="H286" i="7"/>
  <c r="E287" i="7"/>
  <c r="F287" i="7"/>
  <c r="G287" i="7"/>
  <c r="H287" i="7"/>
  <c r="E288" i="7"/>
  <c r="F288" i="7"/>
  <c r="G288" i="7"/>
  <c r="H288" i="7"/>
  <c r="E289" i="7"/>
  <c r="F289" i="7"/>
  <c r="G289" i="7"/>
  <c r="H289" i="7"/>
  <c r="E290" i="7"/>
  <c r="F290" i="7"/>
  <c r="G290" i="7"/>
  <c r="H290" i="7"/>
  <c r="E291" i="7"/>
  <c r="F291" i="7"/>
  <c r="G291" i="7"/>
  <c r="H291" i="7"/>
  <c r="E292" i="7"/>
  <c r="F292" i="7"/>
  <c r="G292" i="7"/>
  <c r="H292" i="7"/>
  <c r="E293" i="7"/>
  <c r="F293" i="7"/>
  <c r="G293" i="7"/>
  <c r="H293" i="7"/>
  <c r="E294" i="7"/>
  <c r="F294" i="7"/>
  <c r="G294" i="7"/>
  <c r="H294" i="7"/>
  <c r="E295" i="7"/>
  <c r="F295" i="7"/>
  <c r="G295" i="7"/>
  <c r="H295" i="7"/>
  <c r="E296" i="7"/>
  <c r="F296" i="7"/>
  <c r="G296" i="7"/>
  <c r="H296" i="7"/>
  <c r="E297" i="7"/>
  <c r="F297" i="7"/>
  <c r="G297" i="7"/>
  <c r="H297" i="7"/>
  <c r="E298" i="7"/>
  <c r="F298" i="7"/>
  <c r="G298" i="7"/>
  <c r="H298" i="7"/>
  <c r="E299" i="7"/>
  <c r="F299" i="7"/>
  <c r="G299" i="7"/>
  <c r="H299" i="7"/>
  <c r="E300" i="7"/>
  <c r="F300" i="7"/>
  <c r="G300" i="7"/>
  <c r="H300" i="7"/>
  <c r="E301" i="7"/>
  <c r="F301" i="7"/>
  <c r="G301" i="7"/>
  <c r="H301" i="7"/>
  <c r="E302" i="7"/>
  <c r="F302" i="7"/>
  <c r="G302" i="7"/>
  <c r="H302" i="7"/>
  <c r="E303" i="7"/>
  <c r="F303" i="7"/>
  <c r="G303" i="7"/>
  <c r="H303" i="7"/>
  <c r="E304" i="7"/>
  <c r="F304" i="7"/>
  <c r="G304" i="7"/>
  <c r="H304" i="7"/>
  <c r="E305" i="7"/>
  <c r="F305" i="7"/>
  <c r="G305" i="7"/>
  <c r="H305" i="7"/>
  <c r="E306" i="7"/>
  <c r="F306" i="7"/>
  <c r="G306" i="7"/>
  <c r="H306" i="7"/>
  <c r="E307" i="7"/>
  <c r="F307" i="7"/>
  <c r="G307" i="7"/>
  <c r="H307" i="7"/>
  <c r="E308" i="7"/>
  <c r="F308" i="7"/>
  <c r="G308" i="7"/>
  <c r="H308" i="7"/>
  <c r="E309" i="7"/>
  <c r="F309" i="7"/>
  <c r="G309" i="7"/>
  <c r="H309" i="7"/>
  <c r="E310" i="7"/>
  <c r="F310" i="7"/>
  <c r="G310" i="7"/>
  <c r="H310" i="7"/>
  <c r="E311" i="7"/>
  <c r="F311" i="7"/>
  <c r="G311" i="7"/>
  <c r="H311" i="7"/>
  <c r="E312" i="7"/>
  <c r="F312" i="7"/>
  <c r="G312" i="7"/>
  <c r="H312" i="7"/>
  <c r="E313" i="7"/>
  <c r="F313" i="7"/>
  <c r="G313" i="7"/>
  <c r="H313" i="7"/>
  <c r="E314" i="7"/>
  <c r="F314" i="7"/>
  <c r="G314" i="7"/>
  <c r="H314" i="7"/>
  <c r="E315" i="7"/>
  <c r="F315" i="7"/>
  <c r="G315" i="7"/>
  <c r="H315" i="7"/>
  <c r="E316" i="7"/>
  <c r="F316" i="7"/>
  <c r="G316" i="7"/>
  <c r="H316" i="7"/>
  <c r="E317" i="7"/>
  <c r="F317" i="7"/>
  <c r="G317" i="7"/>
  <c r="H317" i="7"/>
  <c r="E318" i="7"/>
  <c r="F318" i="7"/>
  <c r="G318" i="7"/>
  <c r="H318" i="7"/>
  <c r="E319" i="7"/>
  <c r="F319" i="7"/>
  <c r="G319" i="7"/>
  <c r="H319" i="7"/>
  <c r="E320" i="7"/>
  <c r="F320" i="7"/>
  <c r="G320" i="7"/>
  <c r="H320" i="7"/>
  <c r="E321" i="7"/>
  <c r="F321" i="7"/>
  <c r="G321" i="7"/>
  <c r="H321" i="7"/>
  <c r="E322" i="7"/>
  <c r="F322" i="7"/>
  <c r="G322" i="7"/>
  <c r="H322" i="7"/>
  <c r="E323" i="7"/>
  <c r="F323" i="7"/>
  <c r="G323" i="7"/>
  <c r="H323" i="7"/>
  <c r="E324" i="7"/>
  <c r="F324" i="7"/>
  <c r="G324" i="7"/>
  <c r="H324" i="7"/>
  <c r="E325" i="7"/>
  <c r="F325" i="7"/>
  <c r="G325" i="7"/>
  <c r="H325" i="7"/>
  <c r="E326" i="7"/>
  <c r="F326" i="7"/>
  <c r="G326" i="7"/>
  <c r="H326" i="7"/>
  <c r="E327" i="7"/>
  <c r="F327" i="7"/>
  <c r="G327" i="7"/>
  <c r="H327" i="7"/>
  <c r="E328" i="7"/>
  <c r="F328" i="7"/>
  <c r="G328" i="7"/>
  <c r="H328" i="7"/>
  <c r="E329" i="7"/>
  <c r="F329" i="7"/>
  <c r="G329" i="7"/>
  <c r="H329" i="7"/>
  <c r="E330" i="7"/>
  <c r="F330" i="7"/>
  <c r="G330" i="7"/>
  <c r="H330" i="7"/>
  <c r="E331" i="7"/>
  <c r="F331" i="7"/>
  <c r="G331" i="7"/>
  <c r="H331" i="7"/>
  <c r="E332" i="7"/>
  <c r="F332" i="7"/>
  <c r="G332" i="7"/>
  <c r="H332" i="7"/>
  <c r="E333" i="7"/>
  <c r="F333" i="7"/>
  <c r="G333" i="7"/>
  <c r="H333" i="7"/>
  <c r="E334" i="7"/>
  <c r="F334" i="7"/>
  <c r="G334" i="7"/>
  <c r="H334" i="7"/>
  <c r="E335" i="7"/>
  <c r="F335" i="7"/>
  <c r="G335" i="7"/>
  <c r="H335" i="7"/>
  <c r="E336" i="7"/>
  <c r="F336" i="7"/>
  <c r="G336" i="7"/>
  <c r="H336" i="7"/>
  <c r="E337" i="7"/>
  <c r="F337" i="7"/>
  <c r="G337" i="7"/>
  <c r="H337" i="7"/>
  <c r="E338" i="7"/>
  <c r="F338" i="7"/>
  <c r="G338" i="7"/>
  <c r="H338" i="7"/>
  <c r="E339" i="7"/>
  <c r="F339" i="7"/>
  <c r="G339" i="7"/>
  <c r="H339" i="7"/>
  <c r="E340" i="7"/>
  <c r="F340" i="7"/>
  <c r="G340" i="7"/>
  <c r="H340" i="7"/>
  <c r="E341" i="7"/>
  <c r="F341" i="7"/>
  <c r="G341" i="7"/>
  <c r="H341" i="7"/>
  <c r="E342" i="7"/>
  <c r="F342" i="7"/>
  <c r="G342" i="7"/>
  <c r="H342" i="7"/>
  <c r="E343" i="7"/>
  <c r="F343" i="7"/>
  <c r="G343" i="7"/>
  <c r="H343" i="7"/>
  <c r="E344" i="7"/>
  <c r="F344" i="7"/>
  <c r="G344" i="7"/>
  <c r="H344" i="7"/>
  <c r="E345" i="7"/>
  <c r="F345" i="7"/>
  <c r="G345" i="7"/>
  <c r="H345" i="7"/>
  <c r="E346" i="7"/>
  <c r="F346" i="7"/>
  <c r="G346" i="7"/>
  <c r="H346" i="7"/>
  <c r="E347" i="7"/>
  <c r="F347" i="7"/>
  <c r="G347" i="7"/>
  <c r="H347" i="7"/>
  <c r="E348" i="7"/>
  <c r="F348" i="7"/>
  <c r="G348" i="7"/>
  <c r="H348" i="7"/>
  <c r="E349" i="7"/>
  <c r="F349" i="7"/>
  <c r="G349" i="7"/>
  <c r="H349" i="7"/>
  <c r="E350" i="7"/>
  <c r="F350" i="7"/>
  <c r="G350" i="7"/>
  <c r="H350" i="7"/>
  <c r="E351" i="7"/>
  <c r="F351" i="7"/>
  <c r="G351" i="7"/>
  <c r="H351" i="7"/>
  <c r="E352" i="7"/>
  <c r="F352" i="7"/>
  <c r="G352" i="7"/>
  <c r="H352" i="7"/>
  <c r="E353" i="7"/>
  <c r="F353" i="7"/>
  <c r="G353" i="7"/>
  <c r="H353" i="7"/>
  <c r="E354" i="7"/>
  <c r="F354" i="7"/>
  <c r="G354" i="7"/>
  <c r="H354" i="7"/>
  <c r="E355" i="7"/>
  <c r="F355" i="7"/>
  <c r="G355" i="7"/>
  <c r="H355" i="7"/>
  <c r="E356" i="7"/>
  <c r="F356" i="7"/>
  <c r="G356" i="7"/>
  <c r="H356" i="7"/>
  <c r="E357" i="7"/>
  <c r="F357" i="7"/>
  <c r="G357" i="7"/>
  <c r="H357" i="7"/>
  <c r="E358" i="7"/>
  <c r="F358" i="7"/>
  <c r="G358" i="7"/>
  <c r="H358" i="7"/>
  <c r="E359" i="7"/>
  <c r="F359" i="7"/>
  <c r="G359" i="7"/>
  <c r="H359" i="7"/>
  <c r="E360" i="7"/>
  <c r="F360" i="7"/>
  <c r="G360" i="7"/>
  <c r="H360" i="7"/>
  <c r="E361" i="7"/>
  <c r="F361" i="7"/>
  <c r="G361" i="7"/>
  <c r="H361" i="7"/>
  <c r="E362" i="7"/>
  <c r="F362" i="7"/>
  <c r="G362" i="7"/>
  <c r="H362" i="7"/>
  <c r="E363" i="7"/>
  <c r="F363" i="7"/>
  <c r="G363" i="7"/>
  <c r="H363" i="7"/>
  <c r="E364" i="7"/>
  <c r="F364" i="7"/>
  <c r="G364" i="7"/>
  <c r="H364" i="7"/>
  <c r="E365" i="7"/>
  <c r="F365" i="7"/>
  <c r="G365" i="7"/>
  <c r="H365" i="7"/>
  <c r="E366" i="7"/>
  <c r="F366" i="7"/>
  <c r="G366" i="7"/>
  <c r="H366" i="7"/>
  <c r="E367" i="7"/>
  <c r="F367" i="7"/>
  <c r="G367" i="7"/>
  <c r="H367" i="7"/>
  <c r="E368" i="7"/>
  <c r="F368" i="7"/>
  <c r="G368" i="7"/>
  <c r="H368" i="7"/>
  <c r="E369" i="7"/>
  <c r="F369" i="7"/>
  <c r="G369" i="7"/>
  <c r="H369" i="7"/>
  <c r="E370" i="7"/>
  <c r="F370" i="7"/>
  <c r="G370" i="7"/>
  <c r="H370" i="7"/>
  <c r="E371" i="7"/>
  <c r="F371" i="7"/>
  <c r="G371" i="7"/>
  <c r="H371" i="7"/>
  <c r="E372" i="7"/>
  <c r="F372" i="7"/>
  <c r="G372" i="7"/>
  <c r="H372" i="7"/>
  <c r="E373" i="7"/>
  <c r="F373" i="7"/>
  <c r="G373" i="7"/>
  <c r="H373" i="7"/>
  <c r="E374" i="7"/>
  <c r="F374" i="7"/>
  <c r="G374" i="7"/>
  <c r="H374" i="7"/>
  <c r="E375" i="7"/>
  <c r="F375" i="7"/>
  <c r="G375" i="7"/>
  <c r="H375" i="7"/>
  <c r="E376" i="7"/>
  <c r="F376" i="7"/>
  <c r="G376" i="7"/>
  <c r="H376" i="7"/>
  <c r="E377" i="7"/>
  <c r="F377" i="7"/>
  <c r="G377" i="7"/>
  <c r="H377" i="7"/>
  <c r="E378" i="7"/>
  <c r="F378" i="7"/>
  <c r="G378" i="7"/>
  <c r="H378" i="7"/>
  <c r="E379" i="7"/>
  <c r="F379" i="7"/>
  <c r="G379" i="7"/>
  <c r="H379" i="7"/>
  <c r="E380" i="7"/>
  <c r="F380" i="7"/>
  <c r="G380" i="7"/>
  <c r="H380" i="7"/>
  <c r="E381" i="7"/>
  <c r="F381" i="7"/>
  <c r="G381" i="7"/>
  <c r="H381" i="7"/>
  <c r="E382" i="7"/>
  <c r="F382" i="7"/>
  <c r="G382" i="7"/>
  <c r="H382" i="7"/>
  <c r="E383" i="7"/>
  <c r="F383" i="7"/>
  <c r="G383" i="7"/>
  <c r="H383" i="7"/>
  <c r="E384" i="7"/>
  <c r="F384" i="7"/>
  <c r="G384" i="7"/>
  <c r="H384" i="7"/>
  <c r="E385" i="7"/>
  <c r="F385" i="7"/>
  <c r="G385" i="7"/>
  <c r="H385" i="7"/>
  <c r="E386" i="7"/>
  <c r="F386" i="7"/>
  <c r="G386" i="7"/>
  <c r="H386" i="7"/>
  <c r="E387" i="7"/>
  <c r="F387" i="7"/>
  <c r="G387" i="7"/>
  <c r="H387" i="7"/>
  <c r="E388" i="7"/>
  <c r="F388" i="7"/>
  <c r="G388" i="7"/>
  <c r="H388" i="7"/>
  <c r="E389" i="7"/>
  <c r="F389" i="7"/>
  <c r="G389" i="7"/>
  <c r="H389" i="7"/>
  <c r="E390" i="7"/>
  <c r="F390" i="7"/>
  <c r="G390" i="7"/>
  <c r="H390" i="7"/>
  <c r="E391" i="7"/>
  <c r="F391" i="7"/>
  <c r="G391" i="7"/>
  <c r="H391" i="7"/>
  <c r="E392" i="7"/>
  <c r="F392" i="7"/>
  <c r="G392" i="7"/>
  <c r="H392" i="7"/>
  <c r="E393" i="7"/>
  <c r="F393" i="7"/>
  <c r="G393" i="7"/>
  <c r="H393" i="7"/>
  <c r="E394" i="7"/>
  <c r="F394" i="7"/>
  <c r="G394" i="7"/>
  <c r="H394" i="7"/>
  <c r="E395" i="7"/>
  <c r="F395" i="7"/>
  <c r="G395" i="7"/>
  <c r="H395" i="7"/>
  <c r="E396" i="7"/>
  <c r="F396" i="7"/>
  <c r="G396" i="7"/>
  <c r="H396" i="7"/>
  <c r="E397" i="7"/>
  <c r="F397" i="7"/>
  <c r="G397" i="7"/>
  <c r="H397" i="7"/>
  <c r="E398" i="7"/>
  <c r="F398" i="7"/>
  <c r="G398" i="7"/>
  <c r="H398" i="7"/>
  <c r="E399" i="7"/>
  <c r="F399" i="7"/>
  <c r="G399" i="7"/>
  <c r="H399" i="7"/>
  <c r="E400" i="7"/>
  <c r="F400" i="7"/>
  <c r="G400" i="7"/>
  <c r="H400" i="7"/>
  <c r="E401" i="7"/>
  <c r="F401" i="7"/>
  <c r="G401" i="7"/>
  <c r="H401" i="7"/>
  <c r="E402" i="7"/>
  <c r="F402" i="7"/>
  <c r="G402" i="7"/>
  <c r="H402" i="7"/>
  <c r="E403" i="7"/>
  <c r="F403" i="7"/>
  <c r="G403" i="7"/>
  <c r="H403" i="7"/>
  <c r="E404" i="7"/>
  <c r="F404" i="7"/>
  <c r="G404" i="7"/>
  <c r="H404" i="7"/>
  <c r="E405" i="7"/>
  <c r="F405" i="7"/>
  <c r="G405" i="7"/>
  <c r="H405" i="7"/>
  <c r="E406" i="7"/>
  <c r="F406" i="7"/>
  <c r="G406" i="7"/>
  <c r="H406" i="7"/>
  <c r="E407" i="7"/>
  <c r="F407" i="7"/>
  <c r="G407" i="7"/>
  <c r="H407" i="7"/>
  <c r="E408" i="7"/>
  <c r="F408" i="7"/>
  <c r="G408" i="7"/>
  <c r="H408" i="7"/>
  <c r="E409" i="7"/>
  <c r="F409" i="7"/>
  <c r="G409" i="7"/>
  <c r="H409" i="7"/>
  <c r="E410" i="7"/>
  <c r="F410" i="7"/>
  <c r="G410" i="7"/>
  <c r="H410" i="7"/>
  <c r="E411" i="7"/>
  <c r="F411" i="7"/>
  <c r="G411" i="7"/>
  <c r="H411" i="7"/>
  <c r="E412" i="7"/>
  <c r="F412" i="7"/>
  <c r="G412" i="7"/>
  <c r="H412" i="7"/>
  <c r="E413" i="7"/>
  <c r="F413" i="7"/>
  <c r="G413" i="7"/>
  <c r="H413" i="7"/>
  <c r="E414" i="7"/>
  <c r="F414" i="7"/>
  <c r="G414" i="7"/>
  <c r="H414" i="7"/>
  <c r="E415" i="7"/>
  <c r="F415" i="7"/>
  <c r="G415" i="7"/>
  <c r="H415" i="7"/>
  <c r="E416" i="7"/>
  <c r="F416" i="7"/>
  <c r="G416" i="7"/>
  <c r="H416" i="7"/>
  <c r="E417" i="7"/>
  <c r="F417" i="7"/>
  <c r="G417" i="7"/>
  <c r="H417" i="7"/>
  <c r="E418" i="7"/>
  <c r="F418" i="7"/>
  <c r="G418" i="7"/>
  <c r="H418" i="7"/>
  <c r="E419" i="7"/>
  <c r="F419" i="7"/>
  <c r="G419" i="7"/>
  <c r="H419" i="7"/>
  <c r="E420" i="7"/>
  <c r="F420" i="7"/>
  <c r="G420" i="7"/>
  <c r="H420" i="7"/>
  <c r="E421" i="7"/>
  <c r="F421" i="7"/>
  <c r="G421" i="7"/>
  <c r="H421" i="7"/>
  <c r="E422" i="7"/>
  <c r="F422" i="7"/>
  <c r="G422" i="7"/>
  <c r="H422" i="7"/>
  <c r="E423" i="7"/>
  <c r="F423" i="7"/>
  <c r="G423" i="7"/>
  <c r="H423" i="7"/>
  <c r="E424" i="7"/>
  <c r="F424" i="7"/>
  <c r="G424" i="7"/>
  <c r="H424" i="7"/>
  <c r="E425" i="7"/>
  <c r="F425" i="7"/>
  <c r="G425" i="7"/>
  <c r="H425" i="7"/>
  <c r="E426" i="7"/>
  <c r="F426" i="7"/>
  <c r="G426" i="7"/>
  <c r="H426" i="7"/>
  <c r="E427" i="7"/>
  <c r="F427" i="7"/>
  <c r="G427" i="7"/>
  <c r="H427" i="7"/>
  <c r="E428" i="7"/>
  <c r="F428" i="7"/>
  <c r="G428" i="7"/>
  <c r="H428" i="7"/>
  <c r="E429" i="7"/>
  <c r="F429" i="7"/>
  <c r="G429" i="7"/>
  <c r="H429" i="7"/>
  <c r="E430" i="7"/>
  <c r="F430" i="7"/>
  <c r="G430" i="7"/>
  <c r="H430" i="7"/>
  <c r="E431" i="7"/>
  <c r="F431" i="7"/>
  <c r="G431" i="7"/>
  <c r="H431" i="7"/>
  <c r="E432" i="7"/>
  <c r="F432" i="7"/>
  <c r="G432" i="7"/>
  <c r="H432" i="7"/>
  <c r="E433" i="7"/>
  <c r="F433" i="7"/>
  <c r="G433" i="7"/>
  <c r="H433" i="7"/>
  <c r="E434" i="7"/>
  <c r="F434" i="7"/>
  <c r="G434" i="7"/>
  <c r="H434" i="7"/>
  <c r="E435" i="7"/>
  <c r="F435" i="7"/>
  <c r="G435" i="7"/>
  <c r="H435" i="7"/>
  <c r="E436" i="7"/>
  <c r="F436" i="7"/>
  <c r="G436" i="7"/>
  <c r="H436" i="7"/>
  <c r="E437" i="7"/>
  <c r="F437" i="7"/>
  <c r="G437" i="7"/>
  <c r="H437" i="7"/>
  <c r="E438" i="7"/>
  <c r="F438" i="7"/>
  <c r="G438" i="7"/>
  <c r="H438" i="7"/>
  <c r="E439" i="7"/>
  <c r="F439" i="7"/>
  <c r="G439" i="7"/>
  <c r="H439" i="7"/>
  <c r="E440" i="7"/>
  <c r="F440" i="7"/>
  <c r="G440" i="7"/>
  <c r="H440" i="7"/>
  <c r="E441" i="7"/>
  <c r="F441" i="7"/>
  <c r="G441" i="7"/>
  <c r="H441" i="7"/>
  <c r="E442" i="7"/>
  <c r="F442" i="7"/>
  <c r="G442" i="7"/>
  <c r="H442" i="7"/>
  <c r="E443" i="7"/>
  <c r="F443" i="7"/>
  <c r="G443" i="7"/>
  <c r="H443" i="7"/>
  <c r="E444" i="7"/>
  <c r="F444" i="7"/>
  <c r="G444" i="7"/>
  <c r="H444" i="7"/>
  <c r="E445" i="7"/>
  <c r="F445" i="7"/>
  <c r="G445" i="7"/>
  <c r="H445" i="7"/>
  <c r="E446" i="7"/>
  <c r="F446" i="7"/>
  <c r="G446" i="7"/>
  <c r="H446" i="7"/>
  <c r="E447" i="7"/>
  <c r="F447" i="7"/>
  <c r="G447" i="7"/>
  <c r="H447" i="7"/>
  <c r="E448" i="7"/>
  <c r="F448" i="7"/>
  <c r="G448" i="7"/>
  <c r="H448" i="7"/>
  <c r="E449" i="7"/>
  <c r="F449" i="7"/>
  <c r="G449" i="7"/>
  <c r="H449" i="7"/>
  <c r="E450" i="7"/>
  <c r="F450" i="7"/>
  <c r="G450" i="7"/>
  <c r="H450" i="7"/>
  <c r="E451" i="7"/>
  <c r="F451" i="7"/>
  <c r="G451" i="7"/>
  <c r="H451" i="7"/>
  <c r="E452" i="7"/>
  <c r="F452" i="7"/>
  <c r="G452" i="7"/>
  <c r="H452" i="7"/>
  <c r="E453" i="7"/>
  <c r="F453" i="7"/>
  <c r="G453" i="7"/>
  <c r="H453" i="7"/>
  <c r="E454" i="7"/>
  <c r="F454" i="7"/>
  <c r="G454" i="7"/>
  <c r="H454" i="7"/>
  <c r="E455" i="7"/>
  <c r="F455" i="7"/>
  <c r="G455" i="7"/>
  <c r="H455" i="7"/>
  <c r="E456" i="7"/>
  <c r="F456" i="7"/>
  <c r="G456" i="7"/>
  <c r="H456" i="7"/>
  <c r="E457" i="7"/>
  <c r="F457" i="7"/>
  <c r="G457" i="7"/>
  <c r="H457" i="7"/>
  <c r="E458" i="7"/>
  <c r="F458" i="7"/>
  <c r="G458" i="7"/>
  <c r="H458" i="7"/>
  <c r="E459" i="7"/>
  <c r="F459" i="7"/>
  <c r="G459" i="7"/>
  <c r="H459" i="7"/>
  <c r="E460" i="7"/>
  <c r="F460" i="7"/>
  <c r="G460" i="7"/>
  <c r="H460" i="7"/>
  <c r="E461" i="7"/>
  <c r="F461" i="7"/>
  <c r="G461" i="7"/>
  <c r="H461" i="7"/>
  <c r="E462" i="7"/>
  <c r="F462" i="7"/>
  <c r="G462" i="7"/>
  <c r="H462" i="7"/>
  <c r="E463" i="7"/>
  <c r="F463" i="7"/>
  <c r="G463" i="7"/>
  <c r="H463" i="7"/>
  <c r="E464" i="7"/>
  <c r="F464" i="7"/>
  <c r="G464" i="7"/>
  <c r="H464" i="7"/>
  <c r="E465" i="7"/>
  <c r="F465" i="7"/>
  <c r="G465" i="7"/>
  <c r="H465" i="7"/>
  <c r="E466" i="7"/>
  <c r="F466" i="7"/>
  <c r="G466" i="7"/>
  <c r="H466" i="7"/>
  <c r="E467" i="7"/>
  <c r="F467" i="7"/>
  <c r="G467" i="7"/>
  <c r="H467" i="7"/>
  <c r="E468" i="7"/>
  <c r="F468" i="7"/>
  <c r="G468" i="7"/>
  <c r="H468" i="7"/>
  <c r="E469" i="7"/>
  <c r="F469" i="7"/>
  <c r="G469" i="7"/>
  <c r="H469" i="7"/>
  <c r="E470" i="7"/>
  <c r="F470" i="7"/>
  <c r="G470" i="7"/>
  <c r="H470" i="7"/>
  <c r="E471" i="7"/>
  <c r="F471" i="7"/>
  <c r="G471" i="7"/>
  <c r="H471" i="7"/>
  <c r="E472" i="7"/>
  <c r="F472" i="7"/>
  <c r="G472" i="7"/>
  <c r="H472" i="7"/>
  <c r="E473" i="7"/>
  <c r="F473" i="7"/>
  <c r="G473" i="7"/>
  <c r="H473" i="7"/>
  <c r="E474" i="7"/>
  <c r="F474" i="7"/>
  <c r="G474" i="7"/>
  <c r="H474" i="7"/>
  <c r="E475" i="7"/>
  <c r="F475" i="7"/>
  <c r="G475" i="7"/>
  <c r="H475" i="7"/>
  <c r="E476" i="7"/>
  <c r="F476" i="7"/>
  <c r="G476" i="7"/>
  <c r="H476" i="7"/>
  <c r="E477" i="7"/>
  <c r="F477" i="7"/>
  <c r="G477" i="7"/>
  <c r="H477" i="7"/>
  <c r="E478" i="7"/>
  <c r="F478" i="7"/>
  <c r="G478" i="7"/>
  <c r="H478" i="7"/>
  <c r="E479" i="7"/>
  <c r="F479" i="7"/>
  <c r="G479" i="7"/>
  <c r="H479" i="7"/>
  <c r="E480" i="7"/>
  <c r="F480" i="7"/>
  <c r="G480" i="7"/>
  <c r="H480" i="7"/>
  <c r="E481" i="7"/>
  <c r="F481" i="7"/>
  <c r="G481" i="7"/>
  <c r="H481" i="7"/>
  <c r="E482" i="7"/>
  <c r="F482" i="7"/>
  <c r="G482" i="7"/>
  <c r="H482" i="7"/>
  <c r="E483" i="7"/>
  <c r="F483" i="7"/>
  <c r="G483" i="7"/>
  <c r="H483" i="7"/>
  <c r="E484" i="7"/>
  <c r="F484" i="7"/>
  <c r="G484" i="7"/>
  <c r="H484" i="7"/>
  <c r="E485" i="7"/>
  <c r="F485" i="7"/>
  <c r="G485" i="7"/>
  <c r="H485" i="7"/>
  <c r="E486" i="7"/>
  <c r="F486" i="7"/>
  <c r="G486" i="7"/>
  <c r="H486" i="7"/>
  <c r="E487" i="7"/>
  <c r="F487" i="7"/>
  <c r="G487" i="7"/>
  <c r="H487" i="7"/>
  <c r="E488" i="7"/>
  <c r="F488" i="7"/>
  <c r="G488" i="7"/>
  <c r="H488" i="7"/>
  <c r="E489" i="7"/>
  <c r="F489" i="7"/>
  <c r="G489" i="7"/>
  <c r="H489" i="7"/>
  <c r="E490" i="7"/>
  <c r="F490" i="7"/>
  <c r="G490" i="7"/>
  <c r="H490" i="7"/>
  <c r="E491" i="7"/>
  <c r="F491" i="7"/>
  <c r="G491" i="7"/>
  <c r="H491" i="7"/>
  <c r="E492" i="7"/>
  <c r="F492" i="7"/>
  <c r="G492" i="7"/>
  <c r="H492" i="7"/>
  <c r="E493" i="7"/>
  <c r="F493" i="7"/>
  <c r="G493" i="7"/>
  <c r="H493" i="7"/>
  <c r="E494" i="7"/>
  <c r="F494" i="7"/>
  <c r="G494" i="7"/>
  <c r="H494" i="7"/>
  <c r="E495" i="7"/>
  <c r="F495" i="7"/>
  <c r="G495" i="7"/>
  <c r="H495" i="7"/>
  <c r="E496" i="7"/>
  <c r="F496" i="7"/>
  <c r="G496" i="7"/>
  <c r="H496" i="7"/>
  <c r="E497" i="7"/>
  <c r="F497" i="7"/>
  <c r="G497" i="7"/>
  <c r="H497" i="7"/>
  <c r="E498" i="7"/>
  <c r="F498" i="7"/>
  <c r="G498" i="7"/>
  <c r="H498" i="7"/>
  <c r="E499" i="7"/>
  <c r="F499" i="7"/>
  <c r="G499" i="7"/>
  <c r="H499" i="7"/>
  <c r="E500" i="7"/>
  <c r="F500" i="7"/>
  <c r="G500" i="7"/>
  <c r="H500" i="7"/>
  <c r="E501" i="7"/>
  <c r="F501" i="7"/>
  <c r="G501" i="7"/>
  <c r="H501" i="7"/>
  <c r="E502" i="7"/>
  <c r="F502" i="7"/>
  <c r="G502" i="7"/>
  <c r="H502" i="7"/>
  <c r="E503" i="7"/>
  <c r="F503" i="7"/>
  <c r="G503" i="7"/>
  <c r="H503" i="7"/>
  <c r="E504" i="7"/>
  <c r="F504" i="7"/>
  <c r="G504" i="7"/>
  <c r="H504" i="7"/>
  <c r="E505" i="7"/>
  <c r="F505" i="7"/>
  <c r="G505" i="7"/>
  <c r="H505" i="7"/>
  <c r="E506" i="7"/>
  <c r="F506" i="7"/>
  <c r="G506" i="7"/>
  <c r="H506" i="7"/>
  <c r="E507" i="7"/>
  <c r="F507" i="7"/>
  <c r="G507" i="7"/>
  <c r="H507" i="7"/>
  <c r="E508" i="7"/>
  <c r="F508" i="7"/>
  <c r="G508" i="7"/>
  <c r="H508" i="7"/>
  <c r="E509" i="7"/>
  <c r="F509" i="7"/>
  <c r="G509" i="7"/>
  <c r="H509" i="7"/>
  <c r="E510" i="7"/>
  <c r="F510" i="7"/>
  <c r="G510" i="7"/>
  <c r="H510" i="7"/>
  <c r="E511" i="7"/>
  <c r="F511" i="7"/>
  <c r="G511" i="7"/>
  <c r="H511" i="7"/>
  <c r="E512" i="7"/>
  <c r="F512" i="7"/>
  <c r="G512" i="7"/>
  <c r="H512" i="7"/>
  <c r="E513" i="7"/>
  <c r="F513" i="7"/>
  <c r="G513" i="7"/>
  <c r="H513" i="7"/>
  <c r="E514" i="7"/>
  <c r="F514" i="7"/>
  <c r="G514" i="7"/>
  <c r="H514" i="7"/>
  <c r="E515" i="7"/>
  <c r="F515" i="7"/>
  <c r="G515" i="7"/>
  <c r="H515" i="7"/>
  <c r="E516" i="7"/>
  <c r="F516" i="7"/>
  <c r="G516" i="7"/>
  <c r="H516" i="7"/>
  <c r="E517" i="7"/>
  <c r="F517" i="7"/>
  <c r="G517" i="7"/>
  <c r="H517" i="7"/>
  <c r="E518" i="7"/>
  <c r="F518" i="7"/>
  <c r="G518" i="7"/>
  <c r="H518" i="7"/>
  <c r="E519" i="7"/>
  <c r="F519" i="7"/>
  <c r="G519" i="7"/>
  <c r="H519" i="7"/>
  <c r="E520" i="7"/>
  <c r="F520" i="7"/>
  <c r="G520" i="7"/>
  <c r="H520" i="7"/>
  <c r="E521" i="7"/>
  <c r="F521" i="7"/>
  <c r="G521" i="7"/>
  <c r="H521" i="7"/>
  <c r="E522" i="7"/>
  <c r="F522" i="7"/>
  <c r="G522" i="7"/>
  <c r="H522" i="7"/>
  <c r="E523" i="7"/>
  <c r="F523" i="7"/>
  <c r="G523" i="7"/>
  <c r="H523" i="7"/>
  <c r="E524" i="7"/>
  <c r="F524" i="7"/>
  <c r="G524" i="7"/>
  <c r="H524" i="7"/>
  <c r="E525" i="7"/>
  <c r="F525" i="7"/>
  <c r="G525" i="7"/>
  <c r="H525" i="7"/>
  <c r="E526" i="7"/>
  <c r="F526" i="7"/>
  <c r="G526" i="7"/>
  <c r="H526" i="7"/>
  <c r="E527" i="7"/>
  <c r="F527" i="7"/>
  <c r="G527" i="7"/>
  <c r="H527" i="7"/>
  <c r="E528" i="7"/>
  <c r="F528" i="7"/>
  <c r="G528" i="7"/>
  <c r="H528" i="7"/>
  <c r="E529" i="7"/>
  <c r="F529" i="7"/>
  <c r="G529" i="7"/>
  <c r="H529" i="7"/>
  <c r="E530" i="7"/>
  <c r="F530" i="7"/>
  <c r="G530" i="7"/>
  <c r="H530" i="7"/>
  <c r="E531" i="7"/>
  <c r="F531" i="7"/>
  <c r="G531" i="7"/>
  <c r="H531" i="7"/>
  <c r="E532" i="7"/>
  <c r="F532" i="7"/>
  <c r="G532" i="7"/>
  <c r="H532" i="7"/>
  <c r="E533" i="7"/>
  <c r="F533" i="7"/>
  <c r="G533" i="7"/>
  <c r="H533" i="7"/>
  <c r="E534" i="7"/>
  <c r="F534" i="7"/>
  <c r="G534" i="7"/>
  <c r="H534" i="7"/>
  <c r="E535" i="7"/>
  <c r="F535" i="7"/>
  <c r="G535" i="7"/>
  <c r="H535" i="7"/>
  <c r="E536" i="7"/>
  <c r="F536" i="7"/>
  <c r="G536" i="7"/>
  <c r="H536" i="7"/>
  <c r="E537" i="7"/>
  <c r="F537" i="7"/>
  <c r="G537" i="7"/>
  <c r="H537" i="7"/>
  <c r="E538" i="7"/>
  <c r="F538" i="7"/>
  <c r="G538" i="7"/>
  <c r="H538" i="7"/>
  <c r="E539" i="7"/>
  <c r="F539" i="7"/>
  <c r="G539" i="7"/>
  <c r="H539" i="7"/>
  <c r="E540" i="7"/>
  <c r="F540" i="7"/>
  <c r="G540" i="7"/>
  <c r="H540" i="7"/>
  <c r="E541" i="7"/>
  <c r="F541" i="7"/>
  <c r="G541" i="7"/>
  <c r="H541" i="7"/>
  <c r="E542" i="7"/>
  <c r="F542" i="7"/>
  <c r="G542" i="7"/>
  <c r="H542" i="7"/>
  <c r="E543" i="7"/>
  <c r="F543" i="7"/>
  <c r="G543" i="7"/>
  <c r="H543" i="7"/>
  <c r="E544" i="7"/>
  <c r="F544" i="7"/>
  <c r="G544" i="7"/>
  <c r="H544" i="7"/>
  <c r="E545" i="7"/>
  <c r="F545" i="7"/>
  <c r="G545" i="7"/>
  <c r="H545" i="7"/>
  <c r="E546" i="7"/>
  <c r="F546" i="7"/>
  <c r="G546" i="7"/>
  <c r="H546" i="7"/>
  <c r="E547" i="7"/>
  <c r="F547" i="7"/>
  <c r="G547" i="7"/>
  <c r="H547" i="7"/>
  <c r="E548" i="7"/>
  <c r="F548" i="7"/>
  <c r="G548" i="7"/>
  <c r="H548" i="7"/>
  <c r="E549" i="7"/>
  <c r="F549" i="7"/>
  <c r="G549" i="7"/>
  <c r="H549" i="7"/>
  <c r="E550" i="7"/>
  <c r="F550" i="7"/>
  <c r="G550" i="7"/>
  <c r="H550" i="7"/>
  <c r="E551" i="7"/>
  <c r="F551" i="7"/>
  <c r="G551" i="7"/>
  <c r="H551" i="7"/>
  <c r="E552" i="7"/>
  <c r="F552" i="7"/>
  <c r="G552" i="7"/>
  <c r="H552" i="7"/>
  <c r="E553" i="7"/>
  <c r="F553" i="7"/>
  <c r="G553" i="7"/>
  <c r="H553" i="7"/>
  <c r="E554" i="7"/>
  <c r="F554" i="7"/>
  <c r="G554" i="7"/>
  <c r="H554" i="7"/>
  <c r="E555" i="7"/>
  <c r="F555" i="7"/>
  <c r="G555" i="7"/>
  <c r="H555" i="7"/>
  <c r="E556" i="7"/>
  <c r="F556" i="7"/>
  <c r="G556" i="7"/>
  <c r="H556" i="7"/>
  <c r="E557" i="7"/>
  <c r="F557" i="7"/>
  <c r="G557" i="7"/>
  <c r="H557" i="7"/>
  <c r="E558" i="7"/>
  <c r="F558" i="7"/>
  <c r="G558" i="7"/>
  <c r="H558" i="7"/>
  <c r="E559" i="7"/>
  <c r="F559" i="7"/>
  <c r="G559" i="7"/>
  <c r="H559" i="7"/>
  <c r="E560" i="7"/>
  <c r="F560" i="7"/>
  <c r="G560" i="7"/>
  <c r="H560" i="7"/>
  <c r="E561" i="7"/>
  <c r="F561" i="7"/>
  <c r="G561" i="7"/>
  <c r="H561" i="7"/>
  <c r="E562" i="7"/>
  <c r="F562" i="7"/>
  <c r="G562" i="7"/>
  <c r="H562" i="7"/>
  <c r="E563" i="7"/>
  <c r="F563" i="7"/>
  <c r="G563" i="7"/>
  <c r="H563" i="7"/>
  <c r="E564" i="7"/>
  <c r="F564" i="7"/>
  <c r="G564" i="7"/>
  <c r="H564" i="7"/>
  <c r="E565" i="7"/>
  <c r="F565" i="7"/>
  <c r="G565" i="7"/>
  <c r="H565" i="7"/>
  <c r="E566" i="7"/>
  <c r="F566" i="7"/>
  <c r="G566" i="7"/>
  <c r="H566" i="7"/>
  <c r="E567" i="7"/>
  <c r="F567" i="7"/>
  <c r="G567" i="7"/>
  <c r="H567" i="7"/>
  <c r="E568" i="7"/>
  <c r="F568" i="7"/>
  <c r="G568" i="7"/>
  <c r="H568" i="7"/>
  <c r="E569" i="7"/>
  <c r="F569" i="7"/>
  <c r="G569" i="7"/>
  <c r="H569" i="7"/>
  <c r="E570" i="7"/>
  <c r="F570" i="7"/>
  <c r="G570" i="7"/>
  <c r="H570" i="7"/>
  <c r="E571" i="7"/>
  <c r="F571" i="7"/>
  <c r="G571" i="7"/>
  <c r="H571" i="7"/>
  <c r="E572" i="7"/>
  <c r="F572" i="7"/>
  <c r="G572" i="7"/>
  <c r="H572" i="7"/>
  <c r="E573" i="7"/>
  <c r="F573" i="7"/>
  <c r="G573" i="7"/>
  <c r="H573" i="7"/>
  <c r="E574" i="7"/>
  <c r="F574" i="7"/>
  <c r="G574" i="7"/>
  <c r="H574" i="7"/>
  <c r="E575" i="7"/>
  <c r="F575" i="7"/>
  <c r="G575" i="7"/>
  <c r="H575" i="7"/>
  <c r="E576" i="7"/>
  <c r="F576" i="7"/>
  <c r="G576" i="7"/>
  <c r="H576" i="7"/>
  <c r="E577" i="7"/>
  <c r="F577" i="7"/>
  <c r="G577" i="7"/>
  <c r="H577" i="7"/>
  <c r="E578" i="7"/>
  <c r="F578" i="7"/>
  <c r="G578" i="7"/>
  <c r="H578" i="7"/>
  <c r="E579" i="7"/>
  <c r="F579" i="7"/>
  <c r="G579" i="7"/>
  <c r="H579" i="7"/>
  <c r="E580" i="7"/>
  <c r="F580" i="7"/>
  <c r="G580" i="7"/>
  <c r="H580" i="7"/>
  <c r="E581" i="7"/>
  <c r="F581" i="7"/>
  <c r="G581" i="7"/>
  <c r="H581" i="7"/>
  <c r="E582" i="7"/>
  <c r="F582" i="7"/>
  <c r="G582" i="7"/>
  <c r="H582" i="7"/>
  <c r="E583" i="7"/>
  <c r="F583" i="7"/>
  <c r="G583" i="7"/>
  <c r="H583" i="7"/>
  <c r="E584" i="7"/>
  <c r="F584" i="7"/>
  <c r="G584" i="7"/>
  <c r="H584" i="7"/>
  <c r="E585" i="7"/>
  <c r="F585" i="7"/>
  <c r="G585" i="7"/>
  <c r="H585" i="7"/>
  <c r="E586" i="7"/>
  <c r="F586" i="7"/>
  <c r="G586" i="7"/>
  <c r="H586" i="7"/>
  <c r="E587" i="7"/>
  <c r="F587" i="7"/>
  <c r="G587" i="7"/>
  <c r="H587" i="7"/>
  <c r="E588" i="7"/>
  <c r="F588" i="7"/>
  <c r="G588" i="7"/>
  <c r="H588" i="7"/>
  <c r="E589" i="7"/>
  <c r="F589" i="7"/>
  <c r="G589" i="7"/>
  <c r="H589" i="7"/>
  <c r="E590" i="7"/>
  <c r="F590" i="7"/>
  <c r="G590" i="7"/>
  <c r="H590" i="7"/>
  <c r="E591" i="7"/>
  <c r="F591" i="7"/>
  <c r="G591" i="7"/>
  <c r="H591" i="7"/>
  <c r="E592" i="7"/>
  <c r="F592" i="7"/>
  <c r="G592" i="7"/>
  <c r="H592" i="7"/>
  <c r="E593" i="7"/>
  <c r="F593" i="7"/>
  <c r="G593" i="7"/>
  <c r="H593" i="7"/>
  <c r="E594" i="7"/>
  <c r="F594" i="7"/>
  <c r="G594" i="7"/>
  <c r="H594" i="7"/>
  <c r="E595" i="7"/>
  <c r="F595" i="7"/>
  <c r="G595" i="7"/>
  <c r="H595" i="7"/>
  <c r="E596" i="7"/>
  <c r="F596" i="7"/>
  <c r="G596" i="7"/>
  <c r="H596" i="7"/>
  <c r="E597" i="7"/>
  <c r="F597" i="7"/>
  <c r="G597" i="7"/>
  <c r="H597" i="7"/>
  <c r="E598" i="7"/>
  <c r="F598" i="7"/>
  <c r="G598" i="7"/>
  <c r="H598" i="7"/>
  <c r="E599" i="7"/>
  <c r="F599" i="7"/>
  <c r="G599" i="7"/>
  <c r="H599" i="7"/>
  <c r="E600" i="7"/>
  <c r="F600" i="7"/>
  <c r="G600" i="7"/>
  <c r="H600" i="7"/>
  <c r="E601" i="7"/>
  <c r="F601" i="7"/>
  <c r="G601" i="7"/>
  <c r="H601" i="7"/>
  <c r="E602" i="7"/>
  <c r="F602" i="7"/>
  <c r="G602" i="7"/>
  <c r="H602" i="7"/>
  <c r="E603" i="7"/>
  <c r="F603" i="7"/>
  <c r="G603" i="7"/>
  <c r="H603" i="7"/>
  <c r="E604" i="7"/>
  <c r="F604" i="7"/>
  <c r="G604" i="7"/>
  <c r="H604" i="7"/>
  <c r="E605" i="7"/>
  <c r="F605" i="7"/>
  <c r="G605" i="7"/>
  <c r="H605" i="7"/>
  <c r="E606" i="7"/>
  <c r="F606" i="7"/>
  <c r="G606" i="7"/>
  <c r="H606" i="7"/>
  <c r="E607" i="7"/>
  <c r="F607" i="7"/>
  <c r="G607" i="7"/>
  <c r="H607" i="7"/>
  <c r="E608" i="7"/>
  <c r="F608" i="7"/>
  <c r="G608" i="7"/>
  <c r="H608" i="7"/>
  <c r="E609" i="7"/>
  <c r="F609" i="7"/>
  <c r="G609" i="7"/>
  <c r="H609" i="7"/>
  <c r="E610" i="7"/>
  <c r="F610" i="7"/>
  <c r="G610" i="7"/>
  <c r="H610" i="7"/>
  <c r="E611" i="7"/>
  <c r="F611" i="7"/>
  <c r="G611" i="7"/>
  <c r="H611" i="7"/>
  <c r="E612" i="7"/>
  <c r="F612" i="7"/>
  <c r="G612" i="7"/>
  <c r="H612" i="7"/>
  <c r="E613" i="7"/>
  <c r="F613" i="7"/>
  <c r="G613" i="7"/>
  <c r="H613" i="7"/>
  <c r="E614" i="7"/>
  <c r="F614" i="7"/>
  <c r="G614" i="7"/>
  <c r="H614" i="7"/>
  <c r="E615" i="7"/>
  <c r="F615" i="7"/>
  <c r="G615" i="7"/>
  <c r="H615" i="7"/>
  <c r="E616" i="7"/>
  <c r="F616" i="7"/>
  <c r="G616" i="7"/>
  <c r="H616" i="7"/>
  <c r="E617" i="7"/>
  <c r="F617" i="7"/>
  <c r="G617" i="7"/>
  <c r="H617" i="7"/>
  <c r="E618" i="7"/>
  <c r="F618" i="7"/>
  <c r="G618" i="7"/>
  <c r="H618" i="7"/>
  <c r="E619" i="7"/>
  <c r="F619" i="7"/>
  <c r="G619" i="7"/>
  <c r="H619" i="7"/>
  <c r="E620" i="7"/>
  <c r="F620" i="7"/>
  <c r="G620" i="7"/>
  <c r="H620" i="7"/>
  <c r="E621" i="7"/>
  <c r="F621" i="7"/>
  <c r="G621" i="7"/>
  <c r="H621" i="7"/>
  <c r="E622" i="7"/>
  <c r="F622" i="7"/>
  <c r="G622" i="7"/>
  <c r="H622" i="7"/>
  <c r="E623" i="7"/>
  <c r="F623" i="7"/>
  <c r="G623" i="7"/>
  <c r="H623" i="7"/>
  <c r="E624" i="7"/>
  <c r="F624" i="7"/>
  <c r="G624" i="7"/>
  <c r="H624" i="7"/>
  <c r="E625" i="7"/>
  <c r="F625" i="7"/>
  <c r="G625" i="7"/>
  <c r="H625" i="7"/>
  <c r="E626" i="7"/>
  <c r="F626" i="7"/>
  <c r="G626" i="7"/>
  <c r="H626" i="7"/>
  <c r="E627" i="7"/>
  <c r="F627" i="7"/>
  <c r="G627" i="7"/>
  <c r="H627" i="7"/>
  <c r="E628" i="7"/>
  <c r="F628" i="7"/>
  <c r="G628" i="7"/>
  <c r="H628" i="7"/>
  <c r="E629" i="7"/>
  <c r="F629" i="7"/>
  <c r="G629" i="7"/>
  <c r="H629" i="7"/>
  <c r="E630" i="7"/>
  <c r="F630" i="7"/>
  <c r="G630" i="7"/>
  <c r="H630" i="7"/>
  <c r="E631" i="7"/>
  <c r="F631" i="7"/>
  <c r="G631" i="7"/>
  <c r="H631" i="7"/>
  <c r="E632" i="7"/>
  <c r="F632" i="7"/>
  <c r="G632" i="7"/>
  <c r="H632" i="7"/>
  <c r="E633" i="7"/>
  <c r="F633" i="7"/>
  <c r="G633" i="7"/>
  <c r="H633" i="7"/>
  <c r="E634" i="7"/>
  <c r="F634" i="7"/>
  <c r="G634" i="7"/>
  <c r="H634" i="7"/>
  <c r="E635" i="7"/>
  <c r="F635" i="7"/>
  <c r="G635" i="7"/>
  <c r="H635" i="7"/>
  <c r="E636" i="7"/>
  <c r="F636" i="7"/>
  <c r="G636" i="7"/>
  <c r="H636" i="7"/>
  <c r="E637" i="7"/>
  <c r="F637" i="7"/>
  <c r="G637" i="7"/>
  <c r="H637" i="7"/>
  <c r="E638" i="7"/>
  <c r="F638" i="7"/>
  <c r="G638" i="7"/>
  <c r="H638" i="7"/>
  <c r="E639" i="7"/>
  <c r="F639" i="7"/>
  <c r="G639" i="7"/>
  <c r="H639" i="7"/>
  <c r="E640" i="7"/>
  <c r="F640" i="7"/>
  <c r="G640" i="7"/>
  <c r="H640" i="7"/>
  <c r="E641" i="7"/>
  <c r="F641" i="7"/>
  <c r="G641" i="7"/>
  <c r="H641" i="7"/>
  <c r="E642" i="7"/>
  <c r="F642" i="7"/>
  <c r="G642" i="7"/>
  <c r="H642" i="7"/>
  <c r="E643" i="7"/>
  <c r="F643" i="7"/>
  <c r="G643" i="7"/>
  <c r="H643" i="7"/>
  <c r="E644" i="7"/>
  <c r="F644" i="7"/>
  <c r="G644" i="7"/>
  <c r="H644" i="7"/>
  <c r="E645" i="7"/>
  <c r="F645" i="7"/>
  <c r="G645" i="7"/>
  <c r="H645" i="7"/>
  <c r="E646" i="7"/>
  <c r="F646" i="7"/>
  <c r="G646" i="7"/>
  <c r="H646" i="7"/>
  <c r="E647" i="7"/>
  <c r="F647" i="7"/>
  <c r="G647" i="7"/>
  <c r="H647" i="7"/>
  <c r="E648" i="7"/>
  <c r="F648" i="7"/>
  <c r="G648" i="7"/>
  <c r="H648" i="7"/>
  <c r="E649" i="7"/>
  <c r="F649" i="7"/>
  <c r="G649" i="7"/>
  <c r="H649" i="7"/>
  <c r="E650" i="7"/>
  <c r="F650" i="7"/>
  <c r="G650" i="7"/>
  <c r="H650" i="7"/>
  <c r="E651" i="7"/>
  <c r="F651" i="7"/>
  <c r="G651" i="7"/>
  <c r="H651" i="7"/>
  <c r="E652" i="7"/>
  <c r="F652" i="7"/>
  <c r="G652" i="7"/>
  <c r="H652" i="7"/>
  <c r="E653" i="7"/>
  <c r="F653" i="7"/>
  <c r="G653" i="7"/>
  <c r="H653" i="7"/>
  <c r="E654" i="7"/>
  <c r="F654" i="7"/>
  <c r="G654" i="7"/>
  <c r="H654" i="7"/>
  <c r="E655" i="7"/>
  <c r="F655" i="7"/>
  <c r="G655" i="7"/>
  <c r="H655" i="7"/>
  <c r="E656" i="7"/>
  <c r="F656" i="7"/>
  <c r="G656" i="7"/>
  <c r="H656" i="7"/>
  <c r="E657" i="7"/>
  <c r="F657" i="7"/>
  <c r="G657" i="7"/>
  <c r="H657" i="7"/>
  <c r="E658" i="7"/>
  <c r="F658" i="7"/>
  <c r="G658" i="7"/>
  <c r="H658" i="7"/>
  <c r="E659" i="7"/>
  <c r="F659" i="7"/>
  <c r="G659" i="7"/>
  <c r="H659" i="7"/>
  <c r="E660" i="7"/>
  <c r="F660" i="7"/>
  <c r="G660" i="7"/>
  <c r="H660" i="7"/>
  <c r="E661" i="7"/>
  <c r="F661" i="7"/>
  <c r="G661" i="7"/>
  <c r="H661" i="7"/>
  <c r="E662" i="7"/>
  <c r="F662" i="7"/>
  <c r="G662" i="7"/>
  <c r="H662" i="7"/>
  <c r="E663" i="7"/>
  <c r="F663" i="7"/>
  <c r="G663" i="7"/>
  <c r="H663" i="7"/>
  <c r="E664" i="7"/>
  <c r="F664" i="7"/>
  <c r="G664" i="7"/>
  <c r="H664" i="7"/>
  <c r="E665" i="7"/>
  <c r="F665" i="7"/>
  <c r="G665" i="7"/>
  <c r="H665" i="7"/>
  <c r="E666" i="7"/>
  <c r="F666" i="7"/>
  <c r="G666" i="7"/>
  <c r="H666" i="7"/>
  <c r="E667" i="7"/>
  <c r="F667" i="7"/>
  <c r="G667" i="7"/>
  <c r="H667" i="7"/>
  <c r="E668" i="7"/>
  <c r="F668" i="7"/>
  <c r="G668" i="7"/>
  <c r="H668" i="7"/>
  <c r="E669" i="7"/>
  <c r="F669" i="7"/>
  <c r="G669" i="7"/>
  <c r="H669" i="7"/>
  <c r="E670" i="7"/>
  <c r="F670" i="7"/>
  <c r="G670" i="7"/>
  <c r="H670" i="7"/>
  <c r="E671" i="7"/>
  <c r="F671" i="7"/>
  <c r="G671" i="7"/>
  <c r="H671" i="7"/>
  <c r="E672" i="7"/>
  <c r="F672" i="7"/>
  <c r="G672" i="7"/>
  <c r="H672" i="7"/>
  <c r="E673" i="7"/>
  <c r="F673" i="7"/>
  <c r="G673" i="7"/>
  <c r="H673" i="7"/>
  <c r="E674" i="7"/>
  <c r="F674" i="7"/>
  <c r="G674" i="7"/>
  <c r="H674" i="7"/>
  <c r="E675" i="7"/>
  <c r="F675" i="7"/>
  <c r="G675" i="7"/>
  <c r="H675" i="7"/>
  <c r="E676" i="7"/>
  <c r="F676" i="7"/>
  <c r="G676" i="7"/>
  <c r="H676" i="7"/>
  <c r="E677" i="7"/>
  <c r="F677" i="7"/>
  <c r="G677" i="7"/>
  <c r="H677" i="7"/>
  <c r="E678" i="7"/>
  <c r="F678" i="7"/>
  <c r="G678" i="7"/>
  <c r="H678" i="7"/>
  <c r="E679" i="7"/>
  <c r="F679" i="7"/>
  <c r="G679" i="7"/>
  <c r="H679" i="7"/>
  <c r="E680" i="7"/>
  <c r="F680" i="7"/>
  <c r="G680" i="7"/>
  <c r="H680" i="7"/>
  <c r="E681" i="7"/>
  <c r="F681" i="7"/>
  <c r="G681" i="7"/>
  <c r="H681" i="7"/>
  <c r="E682" i="7"/>
  <c r="F682" i="7"/>
  <c r="G682" i="7"/>
  <c r="H682" i="7"/>
  <c r="E683" i="7"/>
  <c r="F683" i="7"/>
  <c r="G683" i="7"/>
  <c r="H683" i="7"/>
  <c r="E684" i="7"/>
  <c r="F684" i="7"/>
  <c r="G684" i="7"/>
  <c r="H684" i="7"/>
  <c r="E685" i="7"/>
  <c r="F685" i="7"/>
  <c r="G685" i="7"/>
  <c r="H685" i="7"/>
  <c r="E686" i="7"/>
  <c r="F686" i="7"/>
  <c r="G686" i="7"/>
  <c r="H686" i="7"/>
  <c r="E687" i="7"/>
  <c r="F687" i="7"/>
  <c r="G687" i="7"/>
  <c r="H687" i="7"/>
  <c r="E688" i="7"/>
  <c r="F688" i="7"/>
  <c r="G688" i="7"/>
  <c r="H688" i="7"/>
  <c r="E689" i="7"/>
  <c r="F689" i="7"/>
  <c r="G689" i="7"/>
  <c r="H689" i="7"/>
  <c r="E690" i="7"/>
  <c r="F690" i="7"/>
  <c r="G690" i="7"/>
  <c r="H690" i="7"/>
  <c r="E691" i="7"/>
  <c r="F691" i="7"/>
  <c r="G691" i="7"/>
  <c r="H691" i="7"/>
  <c r="E692" i="7"/>
  <c r="F692" i="7"/>
  <c r="G692" i="7"/>
  <c r="H692" i="7"/>
  <c r="E693" i="7"/>
  <c r="F693" i="7"/>
  <c r="G693" i="7"/>
  <c r="H693" i="7"/>
  <c r="E694" i="7"/>
  <c r="F694" i="7"/>
  <c r="G694" i="7"/>
  <c r="H694" i="7"/>
  <c r="E695" i="7"/>
  <c r="F695" i="7"/>
  <c r="G695" i="7"/>
  <c r="H695" i="7"/>
  <c r="E696" i="7"/>
  <c r="F696" i="7"/>
  <c r="G696" i="7"/>
  <c r="H696" i="7"/>
  <c r="E697" i="7"/>
  <c r="F697" i="7"/>
  <c r="G697" i="7"/>
  <c r="H697" i="7"/>
  <c r="E698" i="7"/>
  <c r="F698" i="7"/>
  <c r="G698" i="7"/>
  <c r="H698" i="7"/>
  <c r="E699" i="7"/>
  <c r="F699" i="7"/>
  <c r="G699" i="7"/>
  <c r="H699" i="7"/>
  <c r="E700" i="7"/>
  <c r="F700" i="7"/>
  <c r="G700" i="7"/>
  <c r="H700" i="7"/>
  <c r="E701" i="7"/>
  <c r="F701" i="7"/>
  <c r="G701" i="7"/>
  <c r="H701" i="7"/>
  <c r="E702" i="7"/>
  <c r="F702" i="7"/>
  <c r="G702" i="7"/>
  <c r="H702" i="7"/>
  <c r="E703" i="7"/>
  <c r="F703" i="7"/>
  <c r="G703" i="7"/>
  <c r="H703" i="7"/>
  <c r="E704" i="7"/>
  <c r="F704" i="7"/>
  <c r="G704" i="7"/>
  <c r="H704" i="7"/>
  <c r="E705" i="7"/>
  <c r="F705" i="7"/>
  <c r="G705" i="7"/>
  <c r="H705" i="7"/>
  <c r="E706" i="7"/>
  <c r="F706" i="7"/>
  <c r="G706" i="7"/>
  <c r="H706" i="7"/>
  <c r="E707" i="7"/>
  <c r="F707" i="7"/>
  <c r="G707" i="7"/>
  <c r="H707" i="7"/>
  <c r="E708" i="7"/>
  <c r="F708" i="7"/>
  <c r="G708" i="7"/>
  <c r="H708" i="7"/>
  <c r="E709" i="7"/>
  <c r="F709" i="7"/>
  <c r="G709" i="7"/>
  <c r="H709" i="7"/>
  <c r="E710" i="7"/>
  <c r="F710" i="7"/>
  <c r="G710" i="7"/>
  <c r="H710" i="7"/>
  <c r="E711" i="7"/>
  <c r="F711" i="7"/>
  <c r="G711" i="7"/>
  <c r="H711" i="7"/>
  <c r="E712" i="7"/>
  <c r="F712" i="7"/>
  <c r="G712" i="7"/>
  <c r="H712" i="7"/>
  <c r="E713" i="7"/>
  <c r="F713" i="7"/>
  <c r="G713" i="7"/>
  <c r="H713" i="7"/>
  <c r="E714" i="7"/>
  <c r="F714" i="7"/>
  <c r="G714" i="7"/>
  <c r="H714" i="7"/>
  <c r="E715" i="7"/>
  <c r="F715" i="7"/>
  <c r="G715" i="7"/>
  <c r="H715" i="7"/>
  <c r="E716" i="7"/>
  <c r="F716" i="7"/>
  <c r="G716" i="7"/>
  <c r="H716" i="7"/>
  <c r="E717" i="7"/>
  <c r="F717" i="7"/>
  <c r="G717" i="7"/>
  <c r="H717" i="7"/>
  <c r="E718" i="7"/>
  <c r="F718" i="7"/>
  <c r="G718" i="7"/>
  <c r="H718" i="7"/>
  <c r="E719" i="7"/>
  <c r="F719" i="7"/>
  <c r="G719" i="7"/>
  <c r="H719" i="7"/>
  <c r="E720" i="7"/>
  <c r="F720" i="7"/>
  <c r="G720" i="7"/>
  <c r="H720" i="7"/>
  <c r="E721" i="7"/>
  <c r="F721" i="7"/>
  <c r="G721" i="7"/>
  <c r="H721" i="7"/>
  <c r="E722" i="7"/>
  <c r="F722" i="7"/>
  <c r="G722" i="7"/>
  <c r="H722" i="7"/>
  <c r="E723" i="7"/>
  <c r="F723" i="7"/>
  <c r="G723" i="7"/>
  <c r="H723" i="7"/>
  <c r="E724" i="7"/>
  <c r="F724" i="7"/>
  <c r="G724" i="7"/>
  <c r="H724" i="7"/>
  <c r="E725" i="7"/>
  <c r="F725" i="7"/>
  <c r="G725" i="7"/>
  <c r="H725" i="7"/>
  <c r="E726" i="7"/>
  <c r="F726" i="7"/>
  <c r="G726" i="7"/>
  <c r="H726" i="7"/>
  <c r="E727" i="7"/>
  <c r="F727" i="7"/>
  <c r="G727" i="7"/>
  <c r="H727" i="7"/>
  <c r="E728" i="7"/>
  <c r="F728" i="7"/>
  <c r="G728" i="7"/>
  <c r="H728" i="7"/>
  <c r="E729" i="7"/>
  <c r="F729" i="7"/>
  <c r="G729" i="7"/>
  <c r="H729" i="7"/>
  <c r="E730" i="7"/>
  <c r="F730" i="7"/>
  <c r="G730" i="7"/>
  <c r="H730" i="7"/>
  <c r="E731" i="7"/>
  <c r="F731" i="7"/>
  <c r="G731" i="7"/>
  <c r="H731" i="7"/>
  <c r="E732" i="7"/>
  <c r="F732" i="7"/>
  <c r="G732" i="7"/>
  <c r="H732" i="7"/>
  <c r="E733" i="7"/>
  <c r="F733" i="7"/>
  <c r="G733" i="7"/>
  <c r="H733" i="7"/>
  <c r="E734" i="7"/>
  <c r="F734" i="7"/>
  <c r="G734" i="7"/>
  <c r="H734" i="7"/>
  <c r="E735" i="7"/>
  <c r="F735" i="7"/>
  <c r="G735" i="7"/>
  <c r="H735" i="7"/>
  <c r="E736" i="7"/>
  <c r="F736" i="7"/>
  <c r="G736" i="7"/>
  <c r="H736" i="7"/>
  <c r="E737" i="7"/>
  <c r="F737" i="7"/>
  <c r="G737" i="7"/>
  <c r="H737" i="7"/>
  <c r="E738" i="7"/>
  <c r="F738" i="7"/>
  <c r="G738" i="7"/>
  <c r="H738" i="7"/>
  <c r="E739" i="7"/>
  <c r="F739" i="7"/>
  <c r="G739" i="7"/>
  <c r="H739" i="7"/>
  <c r="E740" i="7"/>
  <c r="F740" i="7"/>
  <c r="G740" i="7"/>
  <c r="H740" i="7"/>
  <c r="E741" i="7"/>
  <c r="F741" i="7"/>
  <c r="G741" i="7"/>
  <c r="H741" i="7"/>
  <c r="E742" i="7"/>
  <c r="F742" i="7"/>
  <c r="G742" i="7"/>
  <c r="H742" i="7"/>
  <c r="E743" i="7"/>
  <c r="F743" i="7"/>
  <c r="G743" i="7"/>
  <c r="H743" i="7"/>
  <c r="E744" i="7"/>
  <c r="F744" i="7"/>
  <c r="G744" i="7"/>
  <c r="H744" i="7"/>
  <c r="E745" i="7"/>
  <c r="F745" i="7"/>
  <c r="G745" i="7"/>
  <c r="H745" i="7"/>
  <c r="E746" i="7"/>
  <c r="F746" i="7"/>
  <c r="G746" i="7"/>
  <c r="H746" i="7"/>
  <c r="E747" i="7"/>
  <c r="F747" i="7"/>
  <c r="G747" i="7"/>
  <c r="H747" i="7"/>
  <c r="E748" i="7"/>
  <c r="F748" i="7"/>
  <c r="G748" i="7"/>
  <c r="H748" i="7"/>
  <c r="E749" i="7"/>
  <c r="F749" i="7"/>
  <c r="G749" i="7"/>
  <c r="H749" i="7"/>
  <c r="E750" i="7"/>
  <c r="F750" i="7"/>
  <c r="G750" i="7"/>
  <c r="H750" i="7"/>
  <c r="E751" i="7"/>
  <c r="F751" i="7"/>
  <c r="G751" i="7"/>
  <c r="H751" i="7"/>
  <c r="E752" i="7"/>
  <c r="F752" i="7"/>
  <c r="G752" i="7"/>
  <c r="H752" i="7"/>
  <c r="E753" i="7"/>
  <c r="F753" i="7"/>
  <c r="G753" i="7"/>
  <c r="H753" i="7"/>
  <c r="E754" i="7"/>
  <c r="F754" i="7"/>
  <c r="G754" i="7"/>
  <c r="H754" i="7"/>
  <c r="E755" i="7"/>
  <c r="F755" i="7"/>
  <c r="G755" i="7"/>
  <c r="H755" i="7"/>
  <c r="E756" i="7"/>
  <c r="F756" i="7"/>
  <c r="G756" i="7"/>
  <c r="H756" i="7"/>
  <c r="E757" i="7"/>
  <c r="F757" i="7"/>
  <c r="G757" i="7"/>
  <c r="H757" i="7"/>
  <c r="E758" i="7"/>
  <c r="F758" i="7"/>
  <c r="G758" i="7"/>
  <c r="H758" i="7"/>
  <c r="E759" i="7"/>
  <c r="F759" i="7"/>
  <c r="G759" i="7"/>
  <c r="H759" i="7"/>
  <c r="E760" i="7"/>
  <c r="F760" i="7"/>
  <c r="G760" i="7"/>
  <c r="H760" i="7"/>
  <c r="E761" i="7"/>
  <c r="F761" i="7"/>
  <c r="G761" i="7"/>
  <c r="H761" i="7"/>
  <c r="E762" i="7"/>
  <c r="F762" i="7"/>
  <c r="G762" i="7"/>
  <c r="H762" i="7"/>
  <c r="E763" i="7"/>
  <c r="F763" i="7"/>
  <c r="G763" i="7"/>
  <c r="H763" i="7"/>
  <c r="E764" i="7"/>
  <c r="F764" i="7"/>
  <c r="G764" i="7"/>
  <c r="H764" i="7"/>
  <c r="E765" i="7"/>
  <c r="F765" i="7"/>
  <c r="G765" i="7"/>
  <c r="H765" i="7"/>
  <c r="E766" i="7"/>
  <c r="F766" i="7"/>
  <c r="G766" i="7"/>
  <c r="H766" i="7"/>
  <c r="E767" i="7"/>
  <c r="F767" i="7"/>
  <c r="G767" i="7"/>
  <c r="H767" i="7"/>
  <c r="E768" i="7"/>
  <c r="F768" i="7"/>
  <c r="G768" i="7"/>
  <c r="H768" i="7"/>
  <c r="E769" i="7"/>
  <c r="F769" i="7"/>
  <c r="G769" i="7"/>
  <c r="H769" i="7"/>
  <c r="E770" i="7"/>
  <c r="F770" i="7"/>
  <c r="G770" i="7"/>
  <c r="H770" i="7"/>
  <c r="E771" i="7"/>
  <c r="F771" i="7"/>
  <c r="G771" i="7"/>
  <c r="H771" i="7"/>
  <c r="E772" i="7"/>
  <c r="F772" i="7"/>
  <c r="G772" i="7"/>
  <c r="H772" i="7"/>
  <c r="E773" i="7"/>
  <c r="F773" i="7"/>
  <c r="G773" i="7"/>
  <c r="H773" i="7"/>
  <c r="E774" i="7"/>
  <c r="F774" i="7"/>
  <c r="G774" i="7"/>
  <c r="H774" i="7"/>
  <c r="E775" i="7"/>
  <c r="F775" i="7"/>
  <c r="G775" i="7"/>
  <c r="H775" i="7"/>
  <c r="E776" i="7"/>
  <c r="F776" i="7"/>
  <c r="G776" i="7"/>
  <c r="H776" i="7"/>
  <c r="E777" i="7"/>
  <c r="F777" i="7"/>
  <c r="G777" i="7"/>
  <c r="H777" i="7"/>
  <c r="E778" i="7"/>
  <c r="F778" i="7"/>
  <c r="G778" i="7"/>
  <c r="H778" i="7"/>
  <c r="E779" i="7"/>
  <c r="F779" i="7"/>
  <c r="G779" i="7"/>
  <c r="H779" i="7"/>
  <c r="E780" i="7"/>
  <c r="F780" i="7"/>
  <c r="G780" i="7"/>
  <c r="H780" i="7"/>
  <c r="E781" i="7"/>
  <c r="F781" i="7"/>
  <c r="G781" i="7"/>
  <c r="H781" i="7"/>
  <c r="E782" i="7"/>
  <c r="F782" i="7"/>
  <c r="G782" i="7"/>
  <c r="H782" i="7"/>
  <c r="E783" i="7"/>
  <c r="F783" i="7"/>
  <c r="G783" i="7"/>
  <c r="H783" i="7"/>
  <c r="E784" i="7"/>
  <c r="F784" i="7"/>
  <c r="G784" i="7"/>
  <c r="H784" i="7"/>
  <c r="E785" i="7"/>
  <c r="F785" i="7"/>
  <c r="G785" i="7"/>
  <c r="H785" i="7"/>
  <c r="E786" i="7"/>
  <c r="F786" i="7"/>
  <c r="G786" i="7"/>
  <c r="H786" i="7"/>
  <c r="E787" i="7"/>
  <c r="F787" i="7"/>
  <c r="G787" i="7"/>
  <c r="H787" i="7"/>
  <c r="E788" i="7"/>
  <c r="F788" i="7"/>
  <c r="G788" i="7"/>
  <c r="H788" i="7"/>
  <c r="E789" i="7"/>
  <c r="F789" i="7"/>
  <c r="G789" i="7"/>
  <c r="H789" i="7"/>
  <c r="E790" i="7"/>
  <c r="F790" i="7"/>
  <c r="G790" i="7"/>
  <c r="H790" i="7"/>
  <c r="E791" i="7"/>
  <c r="F791" i="7"/>
  <c r="G791" i="7"/>
  <c r="H791" i="7"/>
  <c r="E792" i="7"/>
  <c r="F792" i="7"/>
  <c r="G792" i="7"/>
  <c r="H792" i="7"/>
  <c r="E793" i="7"/>
  <c r="F793" i="7"/>
  <c r="G793" i="7"/>
  <c r="H793" i="7"/>
  <c r="E794" i="7"/>
  <c r="F794" i="7"/>
  <c r="G794" i="7"/>
  <c r="H794" i="7"/>
  <c r="E795" i="7"/>
  <c r="F795" i="7"/>
  <c r="G795" i="7"/>
  <c r="H795" i="7"/>
  <c r="E796" i="7"/>
  <c r="F796" i="7"/>
  <c r="G796" i="7"/>
  <c r="H796" i="7"/>
  <c r="E797" i="7"/>
  <c r="F797" i="7"/>
  <c r="G797" i="7"/>
  <c r="H797" i="7"/>
  <c r="E798" i="7"/>
  <c r="F798" i="7"/>
  <c r="G798" i="7"/>
  <c r="H798" i="7"/>
  <c r="E799" i="7"/>
  <c r="F799" i="7"/>
  <c r="G799" i="7"/>
  <c r="H799" i="7"/>
  <c r="E800" i="7"/>
  <c r="F800" i="7"/>
  <c r="G800" i="7"/>
  <c r="H800" i="7"/>
  <c r="E801" i="7"/>
  <c r="F801" i="7"/>
  <c r="G801" i="7"/>
  <c r="H801" i="7"/>
  <c r="E802" i="7"/>
  <c r="F802" i="7"/>
  <c r="G802" i="7"/>
  <c r="H802" i="7"/>
  <c r="E803" i="7"/>
  <c r="F803" i="7"/>
  <c r="G803" i="7"/>
  <c r="H803" i="7"/>
  <c r="E804" i="7"/>
  <c r="F804" i="7"/>
  <c r="G804" i="7"/>
  <c r="H804" i="7"/>
  <c r="E805" i="7"/>
  <c r="F805" i="7"/>
  <c r="G805" i="7"/>
  <c r="H805" i="7"/>
  <c r="E806" i="7"/>
  <c r="F806" i="7"/>
  <c r="G806" i="7"/>
  <c r="H806" i="7"/>
  <c r="E807" i="7"/>
  <c r="F807" i="7"/>
  <c r="G807" i="7"/>
  <c r="H807" i="7"/>
  <c r="E808" i="7"/>
  <c r="F808" i="7"/>
  <c r="G808" i="7"/>
  <c r="H808" i="7"/>
  <c r="E809" i="7"/>
  <c r="F809" i="7"/>
  <c r="G809" i="7"/>
  <c r="H809" i="7"/>
  <c r="E810" i="7"/>
  <c r="F810" i="7"/>
  <c r="G810" i="7"/>
  <c r="H810" i="7"/>
  <c r="E811" i="7"/>
  <c r="F811" i="7"/>
  <c r="G811" i="7"/>
  <c r="H811" i="7"/>
  <c r="E812" i="7"/>
  <c r="F812" i="7"/>
  <c r="G812" i="7"/>
  <c r="H812" i="7"/>
  <c r="E813" i="7"/>
  <c r="F813" i="7"/>
  <c r="G813" i="7"/>
  <c r="H813" i="7"/>
  <c r="E814" i="7"/>
  <c r="F814" i="7"/>
  <c r="G814" i="7"/>
  <c r="H814" i="7"/>
  <c r="E815" i="7"/>
  <c r="F815" i="7"/>
  <c r="G815" i="7"/>
  <c r="H815" i="7"/>
  <c r="E816" i="7"/>
  <c r="F816" i="7"/>
  <c r="G816" i="7"/>
  <c r="H816" i="7"/>
  <c r="E817" i="7"/>
  <c r="F817" i="7"/>
  <c r="G817" i="7"/>
  <c r="H817" i="7"/>
  <c r="E818" i="7"/>
  <c r="F818" i="7"/>
  <c r="G818" i="7"/>
  <c r="H818" i="7"/>
  <c r="E819" i="7"/>
  <c r="F819" i="7"/>
  <c r="G819" i="7"/>
  <c r="H819" i="7"/>
  <c r="E820" i="7"/>
  <c r="F820" i="7"/>
  <c r="G820" i="7"/>
  <c r="H820" i="7"/>
  <c r="E821" i="7"/>
  <c r="F821" i="7"/>
  <c r="G821" i="7"/>
  <c r="H821" i="7"/>
  <c r="E822" i="7"/>
  <c r="F822" i="7"/>
  <c r="G822" i="7"/>
  <c r="H822" i="7"/>
  <c r="E823" i="7"/>
  <c r="F823" i="7"/>
  <c r="G823" i="7"/>
  <c r="H823" i="7"/>
  <c r="E824" i="7"/>
  <c r="F824" i="7"/>
  <c r="G824" i="7"/>
  <c r="H824" i="7"/>
  <c r="E825" i="7"/>
  <c r="F825" i="7"/>
  <c r="G825" i="7"/>
  <c r="H825" i="7"/>
  <c r="E826" i="7"/>
  <c r="F826" i="7"/>
  <c r="G826" i="7"/>
  <c r="H826" i="7"/>
  <c r="E827" i="7"/>
  <c r="F827" i="7"/>
  <c r="G827" i="7"/>
  <c r="H827" i="7"/>
  <c r="E828" i="7"/>
  <c r="F828" i="7"/>
  <c r="G828" i="7"/>
  <c r="H828" i="7"/>
  <c r="E829" i="7"/>
  <c r="F829" i="7"/>
  <c r="G829" i="7"/>
  <c r="H829" i="7"/>
  <c r="E830" i="7"/>
  <c r="F830" i="7"/>
  <c r="G830" i="7"/>
  <c r="H830" i="7"/>
  <c r="E831" i="7"/>
  <c r="F831" i="7"/>
  <c r="G831" i="7"/>
  <c r="H831" i="7"/>
  <c r="E832" i="7"/>
  <c r="F832" i="7"/>
  <c r="G832" i="7"/>
  <c r="H832" i="7"/>
  <c r="E833" i="7"/>
  <c r="F833" i="7"/>
  <c r="G833" i="7"/>
  <c r="H833" i="7"/>
  <c r="E834" i="7"/>
  <c r="F834" i="7"/>
  <c r="G834" i="7"/>
  <c r="H834" i="7"/>
  <c r="E835" i="7"/>
  <c r="F835" i="7"/>
  <c r="G835" i="7"/>
  <c r="H835" i="7"/>
  <c r="E836" i="7"/>
  <c r="F836" i="7"/>
  <c r="G836" i="7"/>
  <c r="H836" i="7"/>
  <c r="E837" i="7"/>
  <c r="F837" i="7"/>
  <c r="G837" i="7"/>
  <c r="H837" i="7"/>
  <c r="E838" i="7"/>
  <c r="F838" i="7"/>
  <c r="G838" i="7"/>
  <c r="H838" i="7"/>
  <c r="E839" i="7"/>
  <c r="F839" i="7"/>
  <c r="G839" i="7"/>
  <c r="H839" i="7"/>
  <c r="E840" i="7"/>
  <c r="F840" i="7"/>
  <c r="G840" i="7"/>
  <c r="H840" i="7"/>
  <c r="E841" i="7"/>
  <c r="F841" i="7"/>
  <c r="G841" i="7"/>
  <c r="H841" i="7"/>
  <c r="E842" i="7"/>
  <c r="F842" i="7"/>
  <c r="G842" i="7"/>
  <c r="H842" i="7"/>
  <c r="E843" i="7"/>
  <c r="F843" i="7"/>
  <c r="G843" i="7"/>
  <c r="H843" i="7"/>
  <c r="E844" i="7"/>
  <c r="F844" i="7"/>
  <c r="G844" i="7"/>
  <c r="H844" i="7"/>
  <c r="E845" i="7"/>
  <c r="F845" i="7"/>
  <c r="G845" i="7"/>
  <c r="H845" i="7"/>
  <c r="E846" i="7"/>
  <c r="F846" i="7"/>
  <c r="G846" i="7"/>
  <c r="H846" i="7"/>
  <c r="E847" i="7"/>
  <c r="F847" i="7"/>
  <c r="G847" i="7"/>
  <c r="H847" i="7"/>
  <c r="E848" i="7"/>
  <c r="F848" i="7"/>
  <c r="G848" i="7"/>
  <c r="H848" i="7"/>
  <c r="E849" i="7"/>
  <c r="F849" i="7"/>
  <c r="G849" i="7"/>
  <c r="H849" i="7"/>
  <c r="E850" i="7"/>
  <c r="F850" i="7"/>
  <c r="G850" i="7"/>
  <c r="H850" i="7"/>
  <c r="E851" i="7"/>
  <c r="F851" i="7"/>
  <c r="G851" i="7"/>
  <c r="H851" i="7"/>
  <c r="E852" i="7"/>
  <c r="F852" i="7"/>
  <c r="G852" i="7"/>
  <c r="H852" i="7"/>
  <c r="E853" i="7"/>
  <c r="F853" i="7"/>
  <c r="G853" i="7"/>
  <c r="H853" i="7"/>
  <c r="E854" i="7"/>
  <c r="F854" i="7"/>
  <c r="G854" i="7"/>
  <c r="H854" i="7"/>
  <c r="E855" i="7"/>
  <c r="F855" i="7"/>
  <c r="G855" i="7"/>
  <c r="H855" i="7"/>
  <c r="E856" i="7"/>
  <c r="F856" i="7"/>
  <c r="G856" i="7"/>
  <c r="H856" i="7"/>
  <c r="E857" i="7"/>
  <c r="F857" i="7"/>
  <c r="G857" i="7"/>
  <c r="H857" i="7"/>
  <c r="E858" i="7"/>
  <c r="F858" i="7"/>
  <c r="G858" i="7"/>
  <c r="H858" i="7"/>
  <c r="E859" i="7"/>
  <c r="F859" i="7"/>
  <c r="G859" i="7"/>
  <c r="H859" i="7"/>
  <c r="E860" i="7"/>
  <c r="F860" i="7"/>
  <c r="G860" i="7"/>
  <c r="H860" i="7"/>
  <c r="E861" i="7"/>
  <c r="F861" i="7"/>
  <c r="G861" i="7"/>
  <c r="H861" i="7"/>
  <c r="E862" i="7"/>
  <c r="F862" i="7"/>
  <c r="G862" i="7"/>
  <c r="H862" i="7"/>
  <c r="E863" i="7"/>
  <c r="F863" i="7"/>
  <c r="G863" i="7"/>
  <c r="H863" i="7"/>
  <c r="E864" i="7"/>
  <c r="F864" i="7"/>
  <c r="G864" i="7"/>
  <c r="H864" i="7"/>
  <c r="E865" i="7"/>
  <c r="F865" i="7"/>
  <c r="G865" i="7"/>
  <c r="H865" i="7"/>
  <c r="E866" i="7"/>
  <c r="F866" i="7"/>
  <c r="G866" i="7"/>
  <c r="H866" i="7"/>
  <c r="E867" i="7"/>
  <c r="F867" i="7"/>
  <c r="G867" i="7"/>
  <c r="H867" i="7"/>
  <c r="E868" i="7"/>
  <c r="F868" i="7"/>
  <c r="G868" i="7"/>
  <c r="H868" i="7"/>
  <c r="E869" i="7"/>
  <c r="F869" i="7"/>
  <c r="G869" i="7"/>
  <c r="H869" i="7"/>
  <c r="E870" i="7"/>
  <c r="F870" i="7"/>
  <c r="G870" i="7"/>
  <c r="H870" i="7"/>
  <c r="E871" i="7"/>
  <c r="F871" i="7"/>
  <c r="G871" i="7"/>
  <c r="H871" i="7"/>
  <c r="E872" i="7"/>
  <c r="F872" i="7"/>
  <c r="G872" i="7"/>
  <c r="H872" i="7"/>
  <c r="E873" i="7"/>
  <c r="F873" i="7"/>
  <c r="G873" i="7"/>
  <c r="H873" i="7"/>
  <c r="E874" i="7"/>
  <c r="F874" i="7"/>
  <c r="G874" i="7"/>
  <c r="H874" i="7"/>
  <c r="E875" i="7"/>
  <c r="F875" i="7"/>
  <c r="G875" i="7"/>
  <c r="H875" i="7"/>
  <c r="E876" i="7"/>
  <c r="F876" i="7"/>
  <c r="G876" i="7"/>
  <c r="H876" i="7"/>
  <c r="E877" i="7"/>
  <c r="F877" i="7"/>
  <c r="G877" i="7"/>
  <c r="H877" i="7"/>
  <c r="E878" i="7"/>
  <c r="F878" i="7"/>
  <c r="G878" i="7"/>
  <c r="H878" i="7"/>
  <c r="E879" i="7"/>
  <c r="F879" i="7"/>
  <c r="G879" i="7"/>
  <c r="H879" i="7"/>
  <c r="E880" i="7"/>
  <c r="F880" i="7"/>
  <c r="G880" i="7"/>
  <c r="H880" i="7"/>
  <c r="E881" i="7"/>
  <c r="F881" i="7"/>
  <c r="G881" i="7"/>
  <c r="H881" i="7"/>
  <c r="E882" i="7"/>
  <c r="F882" i="7"/>
  <c r="G882" i="7"/>
  <c r="H882" i="7"/>
  <c r="E883" i="7"/>
  <c r="F883" i="7"/>
  <c r="G883" i="7"/>
  <c r="H883" i="7"/>
  <c r="E884" i="7"/>
  <c r="F884" i="7"/>
  <c r="G884" i="7"/>
  <c r="H884" i="7"/>
  <c r="E885" i="7"/>
  <c r="F885" i="7"/>
  <c r="G885" i="7"/>
  <c r="H885" i="7"/>
  <c r="E886" i="7"/>
  <c r="F886" i="7"/>
  <c r="G886" i="7"/>
  <c r="H886" i="7"/>
  <c r="E887" i="7"/>
  <c r="F887" i="7"/>
  <c r="G887" i="7"/>
  <c r="H887" i="7"/>
  <c r="E888" i="7"/>
  <c r="F888" i="7"/>
  <c r="G888" i="7"/>
  <c r="H888" i="7"/>
  <c r="E889" i="7"/>
  <c r="F889" i="7"/>
  <c r="G889" i="7"/>
  <c r="H889" i="7"/>
  <c r="E890" i="7"/>
  <c r="F890" i="7"/>
  <c r="G890" i="7"/>
  <c r="H890" i="7"/>
  <c r="E891" i="7"/>
  <c r="F891" i="7"/>
  <c r="G891" i="7"/>
  <c r="H891" i="7"/>
  <c r="E892" i="7"/>
  <c r="F892" i="7"/>
  <c r="G892" i="7"/>
  <c r="H892" i="7"/>
  <c r="E893" i="7"/>
  <c r="F893" i="7"/>
  <c r="G893" i="7"/>
  <c r="H893" i="7"/>
  <c r="E894" i="7"/>
  <c r="F894" i="7"/>
  <c r="G894" i="7"/>
  <c r="H894" i="7"/>
  <c r="E895" i="7"/>
  <c r="F895" i="7"/>
  <c r="G895" i="7"/>
  <c r="H895" i="7"/>
  <c r="E896" i="7"/>
  <c r="F896" i="7"/>
  <c r="G896" i="7"/>
  <c r="H896" i="7"/>
  <c r="E897" i="7"/>
  <c r="F897" i="7"/>
  <c r="G897" i="7"/>
  <c r="H897" i="7"/>
  <c r="E898" i="7"/>
  <c r="F898" i="7"/>
  <c r="G898" i="7"/>
  <c r="H898" i="7"/>
  <c r="E899" i="7"/>
  <c r="F899" i="7"/>
  <c r="G899" i="7"/>
  <c r="H899" i="7"/>
  <c r="E900" i="7"/>
  <c r="F900" i="7"/>
  <c r="G900" i="7"/>
  <c r="H900" i="7"/>
  <c r="E901" i="7"/>
  <c r="F901" i="7"/>
  <c r="G901" i="7"/>
  <c r="H901" i="7"/>
  <c r="E902" i="7"/>
  <c r="F902" i="7"/>
  <c r="G902" i="7"/>
  <c r="H902" i="7"/>
  <c r="E903" i="7"/>
  <c r="F903" i="7"/>
  <c r="G903" i="7"/>
  <c r="H903" i="7"/>
  <c r="E904" i="7"/>
  <c r="F904" i="7"/>
  <c r="G904" i="7"/>
  <c r="H904" i="7"/>
  <c r="E905" i="7"/>
  <c r="F905" i="7"/>
  <c r="G905" i="7"/>
  <c r="H905" i="7"/>
  <c r="E906" i="7"/>
  <c r="F906" i="7"/>
  <c r="G906" i="7"/>
  <c r="H906" i="7"/>
  <c r="E907" i="7"/>
  <c r="F907" i="7"/>
  <c r="G907" i="7"/>
  <c r="H907" i="7"/>
  <c r="E908" i="7"/>
  <c r="F908" i="7"/>
  <c r="G908" i="7"/>
  <c r="H908" i="7"/>
  <c r="E909" i="7"/>
  <c r="F909" i="7"/>
  <c r="G909" i="7"/>
  <c r="H909" i="7"/>
  <c r="E910" i="7"/>
  <c r="F910" i="7"/>
  <c r="G910" i="7"/>
  <c r="H910" i="7"/>
  <c r="E911" i="7"/>
  <c r="F911" i="7"/>
  <c r="G911" i="7"/>
  <c r="H911" i="7"/>
  <c r="E912" i="7"/>
  <c r="F912" i="7"/>
  <c r="G912" i="7"/>
  <c r="H912" i="7"/>
  <c r="E913" i="7"/>
  <c r="F913" i="7"/>
  <c r="G913" i="7"/>
  <c r="H913" i="7"/>
  <c r="E914" i="7"/>
  <c r="F914" i="7"/>
  <c r="G914" i="7"/>
  <c r="H914" i="7"/>
  <c r="E915" i="7"/>
  <c r="F915" i="7"/>
  <c r="G915" i="7"/>
  <c r="H915" i="7"/>
  <c r="E916" i="7"/>
  <c r="F916" i="7"/>
  <c r="G916" i="7"/>
  <c r="H916" i="7"/>
  <c r="E917" i="7"/>
  <c r="F917" i="7"/>
  <c r="G917" i="7"/>
  <c r="H917" i="7"/>
  <c r="E918" i="7"/>
  <c r="F918" i="7"/>
  <c r="G918" i="7"/>
  <c r="H918" i="7"/>
  <c r="E919" i="7"/>
  <c r="F919" i="7"/>
  <c r="G919" i="7"/>
  <c r="H919" i="7"/>
  <c r="E920" i="7"/>
  <c r="F920" i="7"/>
  <c r="G920" i="7"/>
  <c r="H920" i="7"/>
  <c r="E921" i="7"/>
  <c r="F921" i="7"/>
  <c r="G921" i="7"/>
  <c r="H921" i="7"/>
  <c r="E922" i="7"/>
  <c r="F922" i="7"/>
  <c r="G922" i="7"/>
  <c r="H922" i="7"/>
  <c r="E923" i="7"/>
  <c r="F923" i="7"/>
  <c r="G923" i="7"/>
  <c r="H923" i="7"/>
  <c r="E924" i="7"/>
  <c r="F924" i="7"/>
  <c r="G924" i="7"/>
  <c r="H924" i="7"/>
  <c r="E925" i="7"/>
  <c r="F925" i="7"/>
  <c r="G925" i="7"/>
  <c r="H925" i="7"/>
  <c r="E926" i="7"/>
  <c r="F926" i="7"/>
  <c r="G926" i="7"/>
  <c r="H926" i="7"/>
  <c r="E927" i="7"/>
  <c r="F927" i="7"/>
  <c r="G927" i="7"/>
  <c r="H927" i="7"/>
  <c r="E928" i="7"/>
  <c r="F928" i="7"/>
  <c r="G928" i="7"/>
  <c r="H928" i="7"/>
  <c r="E929" i="7"/>
  <c r="F929" i="7"/>
  <c r="G929" i="7"/>
  <c r="H929" i="7"/>
  <c r="E930" i="7"/>
  <c r="F930" i="7"/>
  <c r="G930" i="7"/>
  <c r="H930" i="7"/>
  <c r="E931" i="7"/>
  <c r="F931" i="7"/>
  <c r="G931" i="7"/>
  <c r="H931" i="7"/>
  <c r="E932" i="7"/>
  <c r="F932" i="7"/>
  <c r="G932" i="7"/>
  <c r="H932" i="7"/>
  <c r="E933" i="7"/>
  <c r="F933" i="7"/>
  <c r="G933" i="7"/>
  <c r="H933" i="7"/>
  <c r="E934" i="7"/>
  <c r="F934" i="7"/>
  <c r="G934" i="7"/>
  <c r="H934" i="7"/>
  <c r="E935" i="7"/>
  <c r="F935" i="7"/>
  <c r="G935" i="7"/>
  <c r="H935" i="7"/>
  <c r="E936" i="7"/>
  <c r="F936" i="7"/>
  <c r="G936" i="7"/>
  <c r="H936" i="7"/>
  <c r="E937" i="7"/>
  <c r="F937" i="7"/>
  <c r="G937" i="7"/>
  <c r="H937" i="7"/>
  <c r="E938" i="7"/>
  <c r="F938" i="7"/>
  <c r="G938" i="7"/>
  <c r="H938" i="7"/>
  <c r="E939" i="7"/>
  <c r="F939" i="7"/>
  <c r="G939" i="7"/>
  <c r="H939" i="7"/>
  <c r="E940" i="7"/>
  <c r="F940" i="7"/>
  <c r="G940" i="7"/>
  <c r="H940" i="7"/>
  <c r="E941" i="7"/>
  <c r="F941" i="7"/>
  <c r="G941" i="7"/>
  <c r="H941" i="7"/>
  <c r="E942" i="7"/>
  <c r="F942" i="7"/>
  <c r="G942" i="7"/>
  <c r="H942" i="7"/>
  <c r="E943" i="7"/>
  <c r="F943" i="7"/>
  <c r="G943" i="7"/>
  <c r="H943" i="7"/>
  <c r="E944" i="7"/>
  <c r="F944" i="7"/>
  <c r="G944" i="7"/>
  <c r="H944" i="7"/>
  <c r="E945" i="7"/>
  <c r="F945" i="7"/>
  <c r="G945" i="7"/>
  <c r="H945" i="7"/>
  <c r="E946" i="7"/>
  <c r="F946" i="7"/>
  <c r="G946" i="7"/>
  <c r="H946" i="7"/>
  <c r="E947" i="7"/>
  <c r="F947" i="7"/>
  <c r="G947" i="7"/>
  <c r="H947" i="7"/>
  <c r="E948" i="7"/>
  <c r="F948" i="7"/>
  <c r="G948" i="7"/>
  <c r="H948" i="7"/>
  <c r="E949" i="7"/>
  <c r="F949" i="7"/>
  <c r="G949" i="7"/>
  <c r="H949" i="7"/>
  <c r="E950" i="7"/>
  <c r="F950" i="7"/>
  <c r="G950" i="7"/>
  <c r="H950" i="7"/>
  <c r="E951" i="7"/>
  <c r="F951" i="7"/>
  <c r="G951" i="7"/>
  <c r="H951" i="7"/>
  <c r="E952" i="7"/>
  <c r="F952" i="7"/>
  <c r="G952" i="7"/>
  <c r="H952" i="7"/>
  <c r="E953" i="7"/>
  <c r="F953" i="7"/>
  <c r="G953" i="7"/>
  <c r="H953" i="7"/>
  <c r="E954" i="7"/>
  <c r="F954" i="7"/>
  <c r="G954" i="7"/>
  <c r="H954" i="7"/>
  <c r="E955" i="7"/>
  <c r="F955" i="7"/>
  <c r="G955" i="7"/>
  <c r="H955" i="7"/>
  <c r="E956" i="7"/>
  <c r="F956" i="7"/>
  <c r="G956" i="7"/>
  <c r="H956" i="7"/>
  <c r="E957" i="7"/>
  <c r="F957" i="7"/>
  <c r="G957" i="7"/>
  <c r="H957" i="7"/>
  <c r="E958" i="7"/>
  <c r="F958" i="7"/>
  <c r="G958" i="7"/>
  <c r="H958" i="7"/>
  <c r="E959" i="7"/>
  <c r="F959" i="7"/>
  <c r="G959" i="7"/>
  <c r="H959" i="7"/>
  <c r="E960" i="7"/>
  <c r="F960" i="7"/>
  <c r="G960" i="7"/>
  <c r="H960" i="7"/>
  <c r="E961" i="7"/>
  <c r="F961" i="7"/>
  <c r="G961" i="7"/>
  <c r="H961" i="7"/>
  <c r="E962" i="7"/>
  <c r="F962" i="7"/>
  <c r="G962" i="7"/>
  <c r="H962" i="7"/>
  <c r="E963" i="7"/>
  <c r="F963" i="7"/>
  <c r="G963" i="7"/>
  <c r="H963" i="7"/>
  <c r="E964" i="7"/>
  <c r="F964" i="7"/>
  <c r="G964" i="7"/>
  <c r="H964" i="7"/>
  <c r="E965" i="7"/>
  <c r="F965" i="7"/>
  <c r="G965" i="7"/>
  <c r="H965" i="7"/>
  <c r="E966" i="7"/>
  <c r="F966" i="7"/>
  <c r="G966" i="7"/>
  <c r="H966" i="7"/>
  <c r="E967" i="7"/>
  <c r="F967" i="7"/>
  <c r="G967" i="7"/>
  <c r="H967" i="7"/>
  <c r="E968" i="7"/>
  <c r="F968" i="7"/>
  <c r="G968" i="7"/>
  <c r="H968" i="7"/>
  <c r="E969" i="7"/>
  <c r="F969" i="7"/>
  <c r="G969" i="7"/>
  <c r="H969" i="7"/>
  <c r="E970" i="7"/>
  <c r="F970" i="7"/>
  <c r="G970" i="7"/>
  <c r="H970" i="7"/>
  <c r="E971" i="7"/>
  <c r="F971" i="7"/>
  <c r="G971" i="7"/>
  <c r="H971" i="7"/>
  <c r="E972" i="7"/>
  <c r="F972" i="7"/>
  <c r="G972" i="7"/>
  <c r="H972" i="7"/>
  <c r="E973" i="7"/>
  <c r="F973" i="7"/>
  <c r="G973" i="7"/>
  <c r="H973" i="7"/>
  <c r="E974" i="7"/>
  <c r="F974" i="7"/>
  <c r="G974" i="7"/>
  <c r="H974" i="7"/>
  <c r="E975" i="7"/>
  <c r="F975" i="7"/>
  <c r="G975" i="7"/>
  <c r="H975" i="7"/>
  <c r="E976" i="7"/>
  <c r="F976" i="7"/>
  <c r="G976" i="7"/>
  <c r="H976" i="7"/>
  <c r="E977" i="7"/>
  <c r="F977" i="7"/>
  <c r="G977" i="7"/>
  <c r="H977" i="7"/>
  <c r="E978" i="7"/>
  <c r="F978" i="7"/>
  <c r="G978" i="7"/>
  <c r="H978" i="7"/>
  <c r="E979" i="7"/>
  <c r="F979" i="7"/>
  <c r="G979" i="7"/>
  <c r="H979" i="7"/>
  <c r="E980" i="7"/>
  <c r="F980" i="7"/>
  <c r="G980" i="7"/>
  <c r="H980" i="7"/>
  <c r="E981" i="7"/>
  <c r="F981" i="7"/>
  <c r="G981" i="7"/>
  <c r="H981" i="7"/>
  <c r="E982" i="7"/>
  <c r="F982" i="7"/>
  <c r="G982" i="7"/>
  <c r="H982" i="7"/>
  <c r="E983" i="7"/>
  <c r="F983" i="7"/>
  <c r="G983" i="7"/>
  <c r="H983" i="7"/>
  <c r="E984" i="7"/>
  <c r="F984" i="7"/>
  <c r="G984" i="7"/>
  <c r="H984" i="7"/>
  <c r="E985" i="7"/>
  <c r="F985" i="7"/>
  <c r="G985" i="7"/>
  <c r="H985" i="7"/>
  <c r="E986" i="7"/>
  <c r="F986" i="7"/>
  <c r="G986" i="7"/>
  <c r="H986" i="7"/>
  <c r="E987" i="7"/>
  <c r="F987" i="7"/>
  <c r="G987" i="7"/>
  <c r="H987" i="7"/>
  <c r="E988" i="7"/>
  <c r="F988" i="7"/>
  <c r="G988" i="7"/>
  <c r="H988" i="7"/>
  <c r="E989" i="7"/>
  <c r="F989" i="7"/>
  <c r="G989" i="7"/>
  <c r="H989" i="7"/>
  <c r="E990" i="7"/>
  <c r="F990" i="7"/>
  <c r="G990" i="7"/>
  <c r="H990" i="7"/>
  <c r="E991" i="7"/>
  <c r="F991" i="7"/>
  <c r="G991" i="7"/>
  <c r="H991" i="7"/>
  <c r="E992" i="7"/>
  <c r="F992" i="7"/>
  <c r="G992" i="7"/>
  <c r="H992" i="7"/>
  <c r="E993" i="7"/>
  <c r="F993" i="7"/>
  <c r="G993" i="7"/>
  <c r="H993" i="7"/>
  <c r="E994" i="7"/>
  <c r="F994" i="7"/>
  <c r="G994" i="7"/>
  <c r="H994" i="7"/>
  <c r="E995" i="7"/>
  <c r="F995" i="7"/>
  <c r="G995" i="7"/>
  <c r="H995" i="7"/>
  <c r="E996" i="7"/>
  <c r="F996" i="7"/>
  <c r="G996" i="7"/>
  <c r="H996" i="7"/>
  <c r="E997" i="7"/>
  <c r="F997" i="7"/>
  <c r="G997" i="7"/>
  <c r="H997" i="7"/>
  <c r="E998" i="7"/>
  <c r="F998" i="7"/>
  <c r="G998" i="7"/>
  <c r="H998" i="7"/>
  <c r="E999" i="7"/>
  <c r="F999" i="7"/>
  <c r="G999" i="7"/>
  <c r="H999" i="7"/>
  <c r="E1000" i="7"/>
  <c r="F1000" i="7"/>
  <c r="G1000" i="7"/>
  <c r="H1000" i="7"/>
  <c r="E1001" i="7"/>
  <c r="F1001" i="7"/>
  <c r="G1001" i="7"/>
  <c r="H1001" i="7"/>
  <c r="E1002" i="7"/>
  <c r="F1002" i="7"/>
  <c r="G1002" i="7"/>
  <c r="H1002" i="7"/>
  <c r="E1003" i="7"/>
  <c r="F1003" i="7"/>
  <c r="G1003" i="7"/>
  <c r="H1003" i="7"/>
  <c r="E1004" i="7"/>
  <c r="F1004" i="7"/>
  <c r="G1004" i="7"/>
  <c r="H1004" i="7"/>
  <c r="E1005" i="7"/>
  <c r="F1005" i="7"/>
  <c r="G1005" i="7"/>
  <c r="H1005" i="7"/>
  <c r="E1006" i="7"/>
  <c r="F1006" i="7"/>
  <c r="G1006" i="7"/>
  <c r="H1006" i="7"/>
  <c r="E1007" i="7"/>
  <c r="F1007" i="7"/>
  <c r="G1007" i="7"/>
  <c r="H1007" i="7"/>
  <c r="E1008" i="7"/>
  <c r="F1008" i="7"/>
  <c r="G1008" i="7"/>
  <c r="H1008" i="7"/>
  <c r="E1009" i="7"/>
  <c r="F1009" i="7"/>
  <c r="G1009" i="7"/>
  <c r="H1009" i="7"/>
  <c r="E1010" i="7"/>
  <c r="F1010" i="7"/>
  <c r="G1010" i="7"/>
  <c r="H1010" i="7"/>
  <c r="E1011" i="7"/>
  <c r="F1011" i="7"/>
  <c r="G1011" i="7"/>
  <c r="H1011" i="7"/>
  <c r="E1012" i="7"/>
  <c r="F1012" i="7"/>
  <c r="G1012" i="7"/>
  <c r="H1012" i="7"/>
  <c r="E1013" i="7"/>
  <c r="F1013" i="7"/>
  <c r="G1013" i="7"/>
  <c r="H1013" i="7"/>
  <c r="E1014" i="7"/>
  <c r="F1014" i="7"/>
  <c r="G1014" i="7"/>
  <c r="H1014" i="7"/>
  <c r="E1015" i="7"/>
  <c r="F1015" i="7"/>
  <c r="G1015" i="7"/>
  <c r="H1015" i="7"/>
  <c r="E1016" i="7"/>
  <c r="F1016" i="7"/>
  <c r="G1016" i="7"/>
  <c r="H1016" i="7"/>
  <c r="E1017" i="7"/>
  <c r="F1017" i="7"/>
  <c r="G1017" i="7"/>
  <c r="H1017" i="7"/>
  <c r="E1018" i="7"/>
  <c r="F1018" i="7"/>
  <c r="G1018" i="7"/>
  <c r="H1018" i="7"/>
  <c r="E1019" i="7"/>
  <c r="F1019" i="7"/>
  <c r="G1019" i="7"/>
  <c r="H1019" i="7"/>
  <c r="E1020" i="7"/>
  <c r="F1020" i="7"/>
  <c r="G1020" i="7"/>
  <c r="H1020" i="7"/>
  <c r="E1021" i="7"/>
  <c r="F1021" i="7"/>
  <c r="G1021" i="7"/>
  <c r="H1021" i="7"/>
  <c r="E1022" i="7"/>
  <c r="F1022" i="7"/>
  <c r="G1022" i="7"/>
  <c r="H1022" i="7"/>
  <c r="E1023" i="7"/>
  <c r="F1023" i="7"/>
  <c r="G1023" i="7"/>
  <c r="H1023" i="7"/>
  <c r="E1024" i="7"/>
  <c r="F1024" i="7"/>
  <c r="G1024" i="7"/>
  <c r="H1024" i="7"/>
  <c r="E1025" i="7"/>
  <c r="F1025" i="7"/>
  <c r="G1025" i="7"/>
  <c r="H1025" i="7"/>
  <c r="E1026" i="7"/>
  <c r="F1026" i="7"/>
  <c r="G1026" i="7"/>
  <c r="H1026" i="7"/>
  <c r="E1027" i="7"/>
  <c r="F1027" i="7"/>
  <c r="G1027" i="7"/>
  <c r="H1027" i="7"/>
  <c r="E1028" i="7"/>
  <c r="F1028" i="7"/>
  <c r="G1028" i="7"/>
  <c r="H1028" i="7"/>
  <c r="E1029" i="7"/>
  <c r="F1029" i="7"/>
  <c r="G1029" i="7"/>
  <c r="H1029" i="7"/>
  <c r="E1030" i="7"/>
  <c r="F1030" i="7"/>
  <c r="G1030" i="7"/>
  <c r="H1030" i="7"/>
  <c r="E1031" i="7"/>
  <c r="F1031" i="7"/>
  <c r="G1031" i="7"/>
  <c r="H1031" i="7"/>
  <c r="E1032" i="7"/>
  <c r="F1032" i="7"/>
  <c r="G1032" i="7"/>
  <c r="H1032" i="7"/>
  <c r="E1033" i="7"/>
  <c r="F1033" i="7"/>
  <c r="G1033" i="7"/>
  <c r="H1033" i="7"/>
  <c r="E1034" i="7"/>
  <c r="F1034" i="7"/>
  <c r="G1034" i="7"/>
  <c r="H1034" i="7"/>
  <c r="E1035" i="7"/>
  <c r="F1035" i="7"/>
  <c r="G1035" i="7"/>
  <c r="H1035" i="7"/>
  <c r="E1036" i="7"/>
  <c r="F1036" i="7"/>
  <c r="G1036" i="7"/>
  <c r="H1036" i="7"/>
  <c r="E1037" i="7"/>
  <c r="F1037" i="7"/>
  <c r="G1037" i="7"/>
  <c r="H1037" i="7"/>
  <c r="E1038" i="7"/>
  <c r="F1038" i="7"/>
  <c r="G1038" i="7"/>
  <c r="H1038" i="7"/>
  <c r="E1039" i="7"/>
  <c r="F1039" i="7"/>
  <c r="G1039" i="7"/>
  <c r="H1039" i="7"/>
  <c r="E1040" i="7"/>
  <c r="F1040" i="7"/>
  <c r="G1040" i="7"/>
  <c r="H1040" i="7"/>
  <c r="E1041" i="7"/>
  <c r="F1041" i="7"/>
  <c r="G1041" i="7"/>
  <c r="H1041" i="7"/>
  <c r="E1042" i="7"/>
  <c r="F1042" i="7"/>
  <c r="G1042" i="7"/>
  <c r="H1042" i="7"/>
  <c r="E1043" i="7"/>
  <c r="F1043" i="7"/>
  <c r="G1043" i="7"/>
  <c r="H1043" i="7"/>
  <c r="E1044" i="7"/>
  <c r="F1044" i="7"/>
  <c r="G1044" i="7"/>
  <c r="H1044" i="7"/>
  <c r="E1045" i="7"/>
  <c r="F1045" i="7"/>
  <c r="G1045" i="7"/>
  <c r="H1045" i="7"/>
  <c r="E1046" i="7"/>
  <c r="F1046" i="7"/>
  <c r="G1046" i="7"/>
  <c r="H1046" i="7"/>
  <c r="E1047" i="7"/>
  <c r="F1047" i="7"/>
  <c r="G1047" i="7"/>
  <c r="H1047" i="7"/>
  <c r="E1048" i="7"/>
  <c r="F1048" i="7"/>
  <c r="G1048" i="7"/>
  <c r="H1048" i="7"/>
  <c r="E1049" i="7"/>
  <c r="F1049" i="7"/>
  <c r="G1049" i="7"/>
  <c r="H1049" i="7"/>
  <c r="E1050" i="7"/>
  <c r="F1050" i="7"/>
  <c r="G1050" i="7"/>
  <c r="H1050" i="7"/>
  <c r="E1051" i="7"/>
  <c r="F1051" i="7"/>
  <c r="G1051" i="7"/>
  <c r="H1051" i="7"/>
  <c r="E1052" i="7"/>
  <c r="F1052" i="7"/>
  <c r="G1052" i="7"/>
  <c r="H1052" i="7"/>
  <c r="E1053" i="7"/>
  <c r="F1053" i="7"/>
  <c r="G1053" i="7"/>
  <c r="H1053" i="7"/>
  <c r="E1054" i="7"/>
  <c r="F1054" i="7"/>
  <c r="G1054" i="7"/>
  <c r="H1054" i="7"/>
  <c r="E1055" i="7"/>
  <c r="F1055" i="7"/>
  <c r="G1055" i="7"/>
  <c r="H1055" i="7"/>
  <c r="E1056" i="7"/>
  <c r="F1056" i="7"/>
  <c r="G1056" i="7"/>
  <c r="H1056" i="7"/>
  <c r="E1057" i="7"/>
  <c r="F1057" i="7"/>
  <c r="G1057" i="7"/>
  <c r="H1057" i="7"/>
  <c r="E1058" i="7"/>
  <c r="F1058" i="7"/>
  <c r="G1058" i="7"/>
  <c r="H1058" i="7"/>
  <c r="E1059" i="7"/>
  <c r="F1059" i="7"/>
  <c r="G1059" i="7"/>
  <c r="H1059" i="7"/>
  <c r="E1060" i="7"/>
  <c r="F1060" i="7"/>
  <c r="G1060" i="7"/>
  <c r="H1060" i="7"/>
  <c r="E1061" i="7"/>
  <c r="F1061" i="7"/>
  <c r="G1061" i="7"/>
  <c r="H1061" i="7"/>
  <c r="E1062" i="7"/>
  <c r="F1062" i="7"/>
  <c r="G1062" i="7"/>
  <c r="H1062" i="7"/>
  <c r="E1063" i="7"/>
  <c r="F1063" i="7"/>
  <c r="G1063" i="7"/>
  <c r="H1063" i="7"/>
  <c r="E1064" i="7"/>
  <c r="F1064" i="7"/>
  <c r="G1064" i="7"/>
  <c r="H1064" i="7"/>
  <c r="E1065" i="7"/>
  <c r="F1065" i="7"/>
  <c r="G1065" i="7"/>
  <c r="H1065" i="7"/>
  <c r="E1066" i="7"/>
  <c r="F1066" i="7"/>
  <c r="G1066" i="7"/>
  <c r="H1066" i="7"/>
  <c r="E1067" i="7"/>
  <c r="F1067" i="7"/>
  <c r="G1067" i="7"/>
  <c r="H1067" i="7"/>
  <c r="E1068" i="7"/>
  <c r="F1068" i="7"/>
  <c r="G1068" i="7"/>
  <c r="H1068" i="7"/>
  <c r="E1069" i="7"/>
  <c r="F1069" i="7"/>
  <c r="G1069" i="7"/>
  <c r="H1069" i="7"/>
  <c r="E1070" i="7"/>
  <c r="F1070" i="7"/>
  <c r="G1070" i="7"/>
  <c r="H1070" i="7"/>
  <c r="E1071" i="7"/>
  <c r="F1071" i="7"/>
  <c r="G1071" i="7"/>
  <c r="H1071" i="7"/>
  <c r="E1072" i="7"/>
  <c r="F1072" i="7"/>
  <c r="G1072" i="7"/>
  <c r="H1072" i="7"/>
  <c r="E1073" i="7"/>
  <c r="F1073" i="7"/>
  <c r="G1073" i="7"/>
  <c r="H1073" i="7"/>
  <c r="E1074" i="7"/>
  <c r="F1074" i="7"/>
  <c r="G1074" i="7"/>
  <c r="H1074" i="7"/>
  <c r="E1075" i="7"/>
  <c r="F1075" i="7"/>
  <c r="G1075" i="7"/>
  <c r="H1075" i="7"/>
  <c r="E1076" i="7"/>
  <c r="F1076" i="7"/>
  <c r="G1076" i="7"/>
  <c r="H1076" i="7"/>
  <c r="E1077" i="7"/>
  <c r="F1077" i="7"/>
  <c r="G1077" i="7"/>
  <c r="H1077" i="7"/>
  <c r="E1078" i="7"/>
  <c r="F1078" i="7"/>
  <c r="G1078" i="7"/>
  <c r="H1078" i="7"/>
  <c r="E1079" i="7"/>
  <c r="F1079" i="7"/>
  <c r="G1079" i="7"/>
  <c r="H1079" i="7"/>
  <c r="E1080" i="7"/>
  <c r="F1080" i="7"/>
  <c r="G1080" i="7"/>
  <c r="H1080" i="7"/>
  <c r="E1081" i="7"/>
  <c r="F1081" i="7"/>
  <c r="G1081" i="7"/>
  <c r="H1081" i="7"/>
  <c r="E1082" i="7"/>
  <c r="F1082" i="7"/>
  <c r="G1082" i="7"/>
  <c r="H1082" i="7"/>
  <c r="E1083" i="7"/>
  <c r="F1083" i="7"/>
  <c r="G1083" i="7"/>
  <c r="H1083" i="7"/>
  <c r="E1084" i="7"/>
  <c r="F1084" i="7"/>
  <c r="G1084" i="7"/>
  <c r="H1084" i="7"/>
  <c r="E1085" i="7"/>
  <c r="F1085" i="7"/>
  <c r="G1085" i="7"/>
  <c r="H1085" i="7"/>
  <c r="E1086" i="7"/>
  <c r="F1086" i="7"/>
  <c r="G1086" i="7"/>
  <c r="H1086" i="7"/>
  <c r="E1087" i="7"/>
  <c r="F1087" i="7"/>
  <c r="G1087" i="7"/>
  <c r="H1087" i="7"/>
  <c r="E1088" i="7"/>
  <c r="F1088" i="7"/>
  <c r="G1088" i="7"/>
  <c r="H1088" i="7"/>
  <c r="E1089" i="7"/>
  <c r="F1089" i="7"/>
  <c r="G1089" i="7"/>
  <c r="H1089" i="7"/>
  <c r="E1090" i="7"/>
  <c r="F1090" i="7"/>
  <c r="G1090" i="7"/>
  <c r="H1090" i="7"/>
  <c r="E1091" i="7"/>
  <c r="F1091" i="7"/>
  <c r="G1091" i="7"/>
  <c r="H1091" i="7"/>
  <c r="E1092" i="7"/>
  <c r="F1092" i="7"/>
  <c r="G1092" i="7"/>
  <c r="H1092" i="7"/>
  <c r="E1093" i="7"/>
  <c r="F1093" i="7"/>
  <c r="G1093" i="7"/>
  <c r="H1093" i="7"/>
  <c r="E1094" i="7"/>
  <c r="F1094" i="7"/>
  <c r="G1094" i="7"/>
  <c r="H1094" i="7"/>
  <c r="E1095" i="7"/>
  <c r="F1095" i="7"/>
  <c r="G1095" i="7"/>
  <c r="H1095" i="7"/>
  <c r="E1096" i="7"/>
  <c r="F1096" i="7"/>
  <c r="G1096" i="7"/>
  <c r="H1096" i="7"/>
  <c r="E1097" i="7"/>
  <c r="F1097" i="7"/>
  <c r="G1097" i="7"/>
  <c r="H1097" i="7"/>
  <c r="E1098" i="7"/>
  <c r="F1098" i="7"/>
  <c r="G1098" i="7"/>
  <c r="H1098" i="7"/>
  <c r="E1099" i="7"/>
  <c r="F1099" i="7"/>
  <c r="G1099" i="7"/>
  <c r="H1099" i="7"/>
  <c r="E1100" i="7"/>
  <c r="F1100" i="7"/>
  <c r="G1100" i="7"/>
  <c r="H1100" i="7"/>
  <c r="E1101" i="7"/>
  <c r="F1101" i="7"/>
  <c r="G1101" i="7"/>
  <c r="H1101" i="7"/>
  <c r="E1102" i="7"/>
  <c r="F1102" i="7"/>
  <c r="G1102" i="7"/>
  <c r="H1102" i="7"/>
  <c r="E1103" i="7"/>
  <c r="F1103" i="7"/>
  <c r="G1103" i="7"/>
  <c r="H1103" i="7"/>
  <c r="E1104" i="7"/>
  <c r="F1104" i="7"/>
  <c r="G1104" i="7"/>
  <c r="H1104" i="7"/>
  <c r="E1105" i="7"/>
  <c r="F1105" i="7"/>
  <c r="G1105" i="7"/>
  <c r="H1105" i="7"/>
  <c r="E1106" i="7"/>
  <c r="F1106" i="7"/>
  <c r="G1106" i="7"/>
  <c r="H1106" i="7"/>
  <c r="E1107" i="7"/>
  <c r="F1107" i="7"/>
  <c r="G1107" i="7"/>
  <c r="H1107" i="7"/>
  <c r="E1108" i="7"/>
  <c r="F1108" i="7"/>
  <c r="G1108" i="7"/>
  <c r="H1108" i="7"/>
  <c r="E1109" i="7"/>
  <c r="F1109" i="7"/>
  <c r="G1109" i="7"/>
  <c r="H1109" i="7"/>
  <c r="E1110" i="7"/>
  <c r="F1110" i="7"/>
  <c r="G1110" i="7"/>
  <c r="H1110" i="7"/>
  <c r="E1111" i="7"/>
  <c r="F1111" i="7"/>
  <c r="G1111" i="7"/>
  <c r="H1111" i="7"/>
  <c r="E1112" i="7"/>
  <c r="F1112" i="7"/>
  <c r="G1112" i="7"/>
  <c r="H1112" i="7"/>
  <c r="E1113" i="7"/>
  <c r="F1113" i="7"/>
  <c r="G1113" i="7"/>
  <c r="H1113" i="7"/>
  <c r="E1114" i="7"/>
  <c r="F1114" i="7"/>
  <c r="G1114" i="7"/>
  <c r="H1114" i="7"/>
  <c r="E1115" i="7"/>
  <c r="F1115" i="7"/>
  <c r="G1115" i="7"/>
  <c r="H1115" i="7"/>
  <c r="E1116" i="7"/>
  <c r="F1116" i="7"/>
  <c r="G1116" i="7"/>
  <c r="H1116" i="7"/>
  <c r="E1117" i="7"/>
  <c r="F1117" i="7"/>
  <c r="G1117" i="7"/>
  <c r="H1117" i="7"/>
  <c r="E1118" i="7"/>
  <c r="F1118" i="7"/>
  <c r="G1118" i="7"/>
  <c r="H1118" i="7"/>
  <c r="E1119" i="7"/>
  <c r="F1119" i="7"/>
  <c r="G1119" i="7"/>
  <c r="H1119" i="7"/>
  <c r="E1120" i="7"/>
  <c r="F1120" i="7"/>
  <c r="G1120" i="7"/>
  <c r="H1120" i="7"/>
  <c r="E1121" i="7"/>
  <c r="F1121" i="7"/>
  <c r="G1121" i="7"/>
  <c r="H1121" i="7"/>
  <c r="E1122" i="7"/>
  <c r="F1122" i="7"/>
  <c r="G1122" i="7"/>
  <c r="H1122" i="7"/>
  <c r="E1123" i="7"/>
  <c r="F1123" i="7"/>
  <c r="G1123" i="7"/>
  <c r="H1123" i="7"/>
  <c r="E1124" i="7"/>
  <c r="F1124" i="7"/>
  <c r="G1124" i="7"/>
  <c r="H1124" i="7"/>
  <c r="E1125" i="7"/>
  <c r="F1125" i="7"/>
  <c r="G1125" i="7"/>
  <c r="H1125" i="7"/>
  <c r="E1126" i="7"/>
  <c r="F1126" i="7"/>
  <c r="G1126" i="7"/>
  <c r="H1126" i="7"/>
  <c r="E1127" i="7"/>
  <c r="F1127" i="7"/>
  <c r="G1127" i="7"/>
  <c r="H1127" i="7"/>
  <c r="E1128" i="7"/>
  <c r="F1128" i="7"/>
  <c r="G1128" i="7"/>
  <c r="H1128" i="7"/>
  <c r="E1129" i="7"/>
  <c r="F1129" i="7"/>
  <c r="G1129" i="7"/>
  <c r="H1129" i="7"/>
  <c r="E1130" i="7"/>
  <c r="F1130" i="7"/>
  <c r="G1130" i="7"/>
  <c r="H1130" i="7"/>
  <c r="E1131" i="7"/>
  <c r="F1131" i="7"/>
  <c r="G1131" i="7"/>
  <c r="H1131" i="7"/>
  <c r="E1132" i="7"/>
  <c r="F1132" i="7"/>
  <c r="G1132" i="7"/>
  <c r="H1132" i="7"/>
  <c r="E1133" i="7"/>
  <c r="F1133" i="7"/>
  <c r="G1133" i="7"/>
  <c r="H1133" i="7"/>
  <c r="E1134" i="7"/>
  <c r="F1134" i="7"/>
  <c r="G1134" i="7"/>
  <c r="H1134" i="7"/>
  <c r="E1135" i="7"/>
  <c r="F1135" i="7"/>
  <c r="G1135" i="7"/>
  <c r="H1135" i="7"/>
  <c r="E1136" i="7"/>
  <c r="F1136" i="7"/>
  <c r="G1136" i="7"/>
  <c r="H1136" i="7"/>
  <c r="E1137" i="7"/>
  <c r="F1137" i="7"/>
  <c r="G1137" i="7"/>
  <c r="H1137" i="7"/>
  <c r="E1138" i="7"/>
  <c r="F1138" i="7"/>
  <c r="G1138" i="7"/>
  <c r="H1138" i="7"/>
  <c r="E1139" i="7"/>
  <c r="F1139" i="7"/>
  <c r="G1139" i="7"/>
  <c r="H1139" i="7"/>
  <c r="E1140" i="7"/>
  <c r="F1140" i="7"/>
  <c r="G1140" i="7"/>
  <c r="H1140" i="7"/>
  <c r="E1141" i="7"/>
  <c r="F1141" i="7"/>
  <c r="G1141" i="7"/>
  <c r="H1141" i="7"/>
  <c r="E1142" i="7"/>
  <c r="F1142" i="7"/>
  <c r="G1142" i="7"/>
  <c r="H1142" i="7"/>
  <c r="E1143" i="7"/>
  <c r="F1143" i="7"/>
  <c r="G1143" i="7"/>
  <c r="H1143" i="7"/>
  <c r="E1144" i="7"/>
  <c r="F1144" i="7"/>
  <c r="G1144" i="7"/>
  <c r="H1144" i="7"/>
  <c r="E1145" i="7"/>
  <c r="F1145" i="7"/>
  <c r="G1145" i="7"/>
  <c r="H1145" i="7"/>
  <c r="E1146" i="7"/>
  <c r="F1146" i="7"/>
  <c r="G1146" i="7"/>
  <c r="H1146" i="7"/>
  <c r="E1147" i="7"/>
  <c r="F1147" i="7"/>
  <c r="G1147" i="7"/>
  <c r="H1147" i="7"/>
  <c r="E1148" i="7"/>
  <c r="F1148" i="7"/>
  <c r="G1148" i="7"/>
  <c r="H1148" i="7"/>
  <c r="E1149" i="7"/>
  <c r="F1149" i="7"/>
  <c r="G1149" i="7"/>
  <c r="H1149" i="7"/>
  <c r="E1150" i="7"/>
  <c r="F1150" i="7"/>
  <c r="G1150" i="7"/>
  <c r="H1150" i="7"/>
  <c r="E1151" i="7"/>
  <c r="F1151" i="7"/>
  <c r="G1151" i="7"/>
  <c r="H1151" i="7"/>
  <c r="E1152" i="7"/>
  <c r="F1152" i="7"/>
  <c r="G1152" i="7"/>
  <c r="H1152" i="7"/>
  <c r="E1153" i="7"/>
  <c r="F1153" i="7"/>
  <c r="G1153" i="7"/>
  <c r="H1153" i="7"/>
  <c r="E1154" i="7"/>
  <c r="F1154" i="7"/>
  <c r="G1154" i="7"/>
  <c r="H1154" i="7"/>
  <c r="E1155" i="7"/>
  <c r="F1155" i="7"/>
  <c r="G1155" i="7"/>
  <c r="H1155" i="7"/>
  <c r="E1156" i="7"/>
  <c r="F1156" i="7"/>
  <c r="G1156" i="7"/>
  <c r="H1156" i="7"/>
  <c r="E1157" i="7"/>
  <c r="F1157" i="7"/>
  <c r="G1157" i="7"/>
  <c r="H1157" i="7"/>
  <c r="E1158" i="7"/>
  <c r="F1158" i="7"/>
  <c r="G1158" i="7"/>
  <c r="H1158" i="7"/>
  <c r="E1159" i="7"/>
  <c r="F1159" i="7"/>
  <c r="G1159" i="7"/>
  <c r="H1159" i="7"/>
  <c r="E1160" i="7"/>
  <c r="F1160" i="7"/>
  <c r="G1160" i="7"/>
  <c r="H1160" i="7"/>
  <c r="E1161" i="7"/>
  <c r="F1161" i="7"/>
  <c r="G1161" i="7"/>
  <c r="H1161" i="7"/>
  <c r="E1162" i="7"/>
  <c r="F1162" i="7"/>
  <c r="G1162" i="7"/>
  <c r="H1162" i="7"/>
  <c r="E1163" i="7"/>
  <c r="F1163" i="7"/>
  <c r="G1163" i="7"/>
  <c r="H1163" i="7"/>
  <c r="E1164" i="7"/>
  <c r="F1164" i="7"/>
  <c r="G1164" i="7"/>
  <c r="H1164" i="7"/>
  <c r="E1165" i="7"/>
  <c r="F1165" i="7"/>
  <c r="G1165" i="7"/>
  <c r="H1165" i="7"/>
  <c r="E1166" i="7"/>
  <c r="F1166" i="7"/>
  <c r="G1166" i="7"/>
  <c r="H1166" i="7"/>
  <c r="E1167" i="7"/>
  <c r="F1167" i="7"/>
  <c r="G1167" i="7"/>
  <c r="H1167" i="7"/>
  <c r="E1168" i="7"/>
  <c r="F1168" i="7"/>
  <c r="G1168" i="7"/>
  <c r="H1168" i="7"/>
  <c r="E1169" i="7"/>
  <c r="F1169" i="7"/>
  <c r="G1169" i="7"/>
  <c r="H1169" i="7"/>
  <c r="E1170" i="7"/>
  <c r="F1170" i="7"/>
  <c r="G1170" i="7"/>
  <c r="H1170" i="7"/>
  <c r="E1171" i="7"/>
  <c r="F1171" i="7"/>
  <c r="G1171" i="7"/>
  <c r="H1171" i="7"/>
  <c r="E1172" i="7"/>
  <c r="F1172" i="7"/>
  <c r="G1172" i="7"/>
  <c r="H1172" i="7"/>
  <c r="E1173" i="7"/>
  <c r="F1173" i="7"/>
  <c r="G1173" i="7"/>
  <c r="H1173" i="7"/>
  <c r="E1174" i="7"/>
  <c r="F1174" i="7"/>
  <c r="G1174" i="7"/>
  <c r="H1174" i="7"/>
  <c r="E1175" i="7"/>
  <c r="F1175" i="7"/>
  <c r="G1175" i="7"/>
  <c r="H1175" i="7"/>
  <c r="E1176" i="7"/>
  <c r="F1176" i="7"/>
  <c r="G1176" i="7"/>
  <c r="H1176" i="7"/>
  <c r="E1177" i="7"/>
  <c r="F1177" i="7"/>
  <c r="G1177" i="7"/>
  <c r="H1177" i="7"/>
  <c r="E1178" i="7"/>
  <c r="F1178" i="7"/>
  <c r="G1178" i="7"/>
  <c r="H1178" i="7"/>
  <c r="E1179" i="7"/>
  <c r="F1179" i="7"/>
  <c r="G1179" i="7"/>
  <c r="H1179" i="7"/>
  <c r="E1180" i="7"/>
  <c r="F1180" i="7"/>
  <c r="G1180" i="7"/>
  <c r="H1180" i="7"/>
  <c r="E1181" i="7"/>
  <c r="F1181" i="7"/>
  <c r="G1181" i="7"/>
  <c r="H1181" i="7"/>
  <c r="E1182" i="7"/>
  <c r="F1182" i="7"/>
  <c r="G1182" i="7"/>
  <c r="H1182" i="7"/>
  <c r="E1183" i="7"/>
  <c r="F1183" i="7"/>
  <c r="G1183" i="7"/>
  <c r="H1183" i="7"/>
  <c r="E1184" i="7"/>
  <c r="F1184" i="7"/>
  <c r="G1184" i="7"/>
  <c r="H1184" i="7"/>
  <c r="E1185" i="7"/>
  <c r="F1185" i="7"/>
  <c r="G1185" i="7"/>
  <c r="H1185" i="7"/>
  <c r="E1186" i="7"/>
  <c r="F1186" i="7"/>
  <c r="G1186" i="7"/>
  <c r="H1186" i="7"/>
  <c r="E1187" i="7"/>
  <c r="F1187" i="7"/>
  <c r="G1187" i="7"/>
  <c r="H1187" i="7"/>
  <c r="E1188" i="7"/>
  <c r="F1188" i="7"/>
  <c r="G1188" i="7"/>
  <c r="H1188" i="7"/>
  <c r="E1189" i="7"/>
  <c r="F1189" i="7"/>
  <c r="G1189" i="7"/>
  <c r="H1189" i="7"/>
  <c r="E1190" i="7"/>
  <c r="F1190" i="7"/>
  <c r="G1190" i="7"/>
  <c r="H1190" i="7"/>
  <c r="E1191" i="7"/>
  <c r="F1191" i="7"/>
  <c r="G1191" i="7"/>
  <c r="H1191" i="7"/>
  <c r="E1192" i="7"/>
  <c r="F1192" i="7"/>
  <c r="G1192" i="7"/>
  <c r="H1192" i="7"/>
  <c r="E1193" i="7"/>
  <c r="F1193" i="7"/>
  <c r="G1193" i="7"/>
  <c r="H1193" i="7"/>
  <c r="E1194" i="7"/>
  <c r="F1194" i="7"/>
  <c r="G1194" i="7"/>
  <c r="H1194" i="7"/>
  <c r="E1195" i="7"/>
  <c r="F1195" i="7"/>
  <c r="G1195" i="7"/>
  <c r="H1195" i="7"/>
  <c r="E1196" i="7"/>
  <c r="F1196" i="7"/>
  <c r="G1196" i="7"/>
  <c r="H1196" i="7"/>
  <c r="E1197" i="7"/>
  <c r="F1197" i="7"/>
  <c r="G1197" i="7"/>
  <c r="H1197" i="7"/>
  <c r="E1198" i="7"/>
  <c r="F1198" i="7"/>
  <c r="G1198" i="7"/>
  <c r="H1198" i="7"/>
  <c r="E1199" i="7"/>
  <c r="F1199" i="7"/>
  <c r="G1199" i="7"/>
  <c r="H1199" i="7"/>
  <c r="E1200" i="7"/>
  <c r="F1200" i="7"/>
  <c r="G1200" i="7"/>
  <c r="H1200" i="7"/>
  <c r="E1201" i="7"/>
  <c r="F1201" i="7"/>
  <c r="G1201" i="7"/>
  <c r="H1201" i="7"/>
  <c r="E1202" i="7"/>
  <c r="F1202" i="7"/>
  <c r="G1202" i="7"/>
  <c r="H1202" i="7"/>
  <c r="E1203" i="7"/>
  <c r="F1203" i="7"/>
  <c r="G1203" i="7"/>
  <c r="H1203" i="7"/>
  <c r="E1204" i="7"/>
  <c r="F1204" i="7"/>
  <c r="G1204" i="7"/>
  <c r="H1204" i="7"/>
  <c r="E1205" i="7"/>
  <c r="F1205" i="7"/>
  <c r="G1205" i="7"/>
  <c r="H1205" i="7"/>
  <c r="E1206" i="7"/>
  <c r="F1206" i="7"/>
  <c r="G1206" i="7"/>
  <c r="H1206" i="7"/>
  <c r="E1207" i="7"/>
  <c r="F1207" i="7"/>
  <c r="G1207" i="7"/>
  <c r="H1207" i="7"/>
  <c r="F8" i="7"/>
  <c r="G8" i="7"/>
  <c r="H8" i="7"/>
  <c r="E8" i="7"/>
  <c r="C8" i="7" a="1"/>
  <c r="C8" i="7" s="1"/>
  <c r="I20" i="11" l="1"/>
  <c r="J20" i="11" s="1"/>
  <c r="K20" i="11" s="1"/>
  <c r="E21" i="11" s="1"/>
  <c r="I21" i="11" s="1"/>
  <c r="J21" i="11" s="1"/>
  <c r="K21" i="11" s="1"/>
  <c r="E22" i="11" s="1"/>
  <c r="I22" i="11" s="1"/>
  <c r="J22" i="11" s="1"/>
  <c r="K22" i="11" s="1"/>
  <c r="E23" i="11" s="1"/>
  <c r="I23" i="11" s="1"/>
  <c r="J23" i="11" s="1"/>
  <c r="K23" i="11" s="1"/>
  <c r="E24" i="11" s="1"/>
  <c r="I24" i="11" s="1"/>
  <c r="J24" i="11" s="1"/>
  <c r="K24" i="11" s="1"/>
  <c r="E25" i="11" s="1"/>
  <c r="I25" i="11" s="1"/>
  <c r="J25" i="11" s="1"/>
  <c r="K25" i="11" s="1"/>
  <c r="E26" i="11" s="1"/>
  <c r="I26" i="11" s="1"/>
  <c r="J26" i="11" s="1"/>
  <c r="K26" i="11" s="1"/>
  <c r="E27" i="11" s="1"/>
  <c r="I27" i="11" s="1"/>
  <c r="J27" i="11" s="1"/>
  <c r="K27" i="11" s="1"/>
  <c r="E28" i="11" s="1"/>
  <c r="I28" i="11" s="1"/>
  <c r="J28" i="11" s="1"/>
  <c r="K28" i="11" s="1"/>
  <c r="E29" i="11" s="1"/>
  <c r="I29" i="11" s="1"/>
  <c r="J29" i="11" s="1"/>
  <c r="K29" i="11" s="1"/>
  <c r="E30" i="11" s="1"/>
  <c r="I30" i="11" s="1"/>
  <c r="J30" i="11" s="1"/>
  <c r="K30" i="11" s="1"/>
  <c r="E31" i="11" s="1"/>
  <c r="I31" i="11" s="1"/>
  <c r="J31" i="11" s="1"/>
  <c r="K31" i="11" s="1"/>
  <c r="E32" i="11" s="1"/>
  <c r="I32" i="11" s="1"/>
  <c r="J32" i="11" s="1"/>
  <c r="K32" i="11" s="1"/>
  <c r="E33" i="11" s="1"/>
  <c r="I33" i="11" s="1"/>
  <c r="J33" i="11" s="1"/>
  <c r="K33" i="11" s="1"/>
  <c r="E34" i="11" s="1"/>
  <c r="I34" i="11" s="1"/>
  <c r="J34" i="11" s="1"/>
  <c r="K34" i="11" s="1"/>
  <c r="E35" i="11" s="1"/>
  <c r="I35" i="11" s="1"/>
  <c r="J35" i="11" s="1"/>
  <c r="K35" i="11" s="1"/>
  <c r="E36" i="11" s="1"/>
  <c r="I36" i="11" s="1"/>
  <c r="J36" i="11" s="1"/>
  <c r="K36" i="11" s="1"/>
  <c r="E37" i="11" s="1"/>
  <c r="I37" i="11" s="1"/>
  <c r="J37" i="11" s="1"/>
  <c r="K37" i="11" s="1"/>
  <c r="E38" i="11" s="1"/>
  <c r="I38" i="11" s="1"/>
  <c r="J38" i="11" s="1"/>
  <c r="K38" i="11" s="1"/>
  <c r="E39" i="11" s="1"/>
  <c r="I39" i="11" s="1"/>
  <c r="J39" i="11" s="1"/>
  <c r="K39" i="11" s="1"/>
  <c r="E40" i="11" s="1"/>
  <c r="I40" i="11" s="1"/>
  <c r="J40" i="11" s="1"/>
  <c r="K40" i="11" s="1"/>
  <c r="E41" i="11" s="1"/>
  <c r="I41" i="11" s="1"/>
  <c r="J41" i="11" s="1"/>
  <c r="K41" i="11" s="1"/>
  <c r="E42" i="11" s="1"/>
  <c r="I42" i="11" s="1"/>
  <c r="J42" i="11" s="1"/>
  <c r="K42" i="11" s="1"/>
  <c r="E43" i="11" s="1"/>
  <c r="I43" i="11" s="1"/>
  <c r="J43" i="11" s="1"/>
  <c r="K43" i="11" s="1"/>
  <c r="E44" i="11" s="1"/>
  <c r="I44" i="11" s="1"/>
  <c r="J44" i="11" s="1"/>
  <c r="K44" i="11" s="1"/>
  <c r="E45" i="11" s="1"/>
  <c r="I45" i="11" s="1"/>
  <c r="J45" i="11" s="1"/>
  <c r="K45" i="11" s="1"/>
  <c r="E46" i="11" s="1"/>
  <c r="I46" i="11" s="1"/>
  <c r="J46" i="11" s="1"/>
  <c r="K46" i="11" s="1"/>
  <c r="E47" i="11" s="1"/>
  <c r="I47" i="11" s="1"/>
  <c r="J47" i="11" s="1"/>
  <c r="K47" i="11" s="1"/>
  <c r="E48" i="11" s="1"/>
  <c r="I48" i="11" s="1"/>
  <c r="J48" i="11" s="1"/>
  <c r="K48" i="11" s="1"/>
  <c r="E49" i="11" s="1"/>
  <c r="I49" i="11" s="1"/>
  <c r="J49" i="11" s="1"/>
  <c r="K49" i="11" s="1"/>
  <c r="E50" i="11" s="1"/>
  <c r="I50" i="11" s="1"/>
  <c r="J50" i="11" s="1"/>
  <c r="K50" i="11" s="1"/>
  <c r="E51" i="11" s="1"/>
  <c r="I51" i="11" s="1"/>
  <c r="J51" i="11" s="1"/>
  <c r="K51" i="11" s="1"/>
  <c r="E52" i="11" s="1"/>
  <c r="I52" i="11" s="1"/>
  <c r="J52" i="11" s="1"/>
  <c r="K52" i="11" s="1"/>
  <c r="E53" i="11" s="1"/>
  <c r="I53" i="11" s="1"/>
  <c r="J53" i="11" s="1"/>
  <c r="K53" i="11" s="1"/>
  <c r="E54" i="11" s="1"/>
  <c r="I54" i="11" s="1"/>
  <c r="J54" i="11" s="1"/>
  <c r="K54" i="11" s="1"/>
  <c r="E55" i="11" s="1"/>
  <c r="I55" i="11" s="1"/>
  <c r="J55" i="11" s="1"/>
  <c r="K55" i="11" s="1"/>
  <c r="E56" i="11" s="1"/>
  <c r="I56" i="11" s="1"/>
  <c r="J56" i="11" s="1"/>
  <c r="K56" i="11" s="1"/>
  <c r="E57" i="11" s="1"/>
  <c r="I57" i="11" s="1"/>
  <c r="J57" i="11" s="1"/>
  <c r="K57" i="11" s="1"/>
  <c r="E58" i="11" s="1"/>
  <c r="I58" i="11" s="1"/>
  <c r="J58" i="11" s="1"/>
  <c r="K58" i="11" s="1"/>
  <c r="E59" i="11" s="1"/>
  <c r="I59" i="11" s="1"/>
  <c r="J59" i="11" s="1"/>
  <c r="K59" i="11" s="1"/>
  <c r="E60" i="11" s="1"/>
  <c r="I60" i="11" s="1"/>
  <c r="J60" i="11" s="1"/>
  <c r="K60" i="11" s="1"/>
  <c r="E61" i="11" s="1"/>
  <c r="I61" i="11" s="1"/>
  <c r="J61" i="11" s="1"/>
  <c r="K61" i="11" s="1"/>
  <c r="E62" i="11" s="1"/>
  <c r="I62" i="11" s="1"/>
  <c r="J62" i="11" s="1"/>
  <c r="K62" i="11" s="1"/>
  <c r="E63" i="11" s="1"/>
  <c r="I63" i="11" s="1"/>
  <c r="J63" i="11" s="1"/>
  <c r="K63" i="11" s="1"/>
  <c r="E64" i="11" s="1"/>
  <c r="I64" i="11" s="1"/>
  <c r="J64" i="11" s="1"/>
  <c r="K64" i="11" s="1"/>
  <c r="E65" i="11" s="1"/>
  <c r="I65" i="11" s="1"/>
  <c r="J65" i="11" s="1"/>
  <c r="K65" i="11" s="1"/>
  <c r="E66" i="11" s="1"/>
  <c r="I66" i="11" s="1"/>
  <c r="J66" i="11" s="1"/>
  <c r="K66" i="11" s="1"/>
  <c r="E67" i="11" s="1"/>
  <c r="I67" i="11" s="1"/>
  <c r="J67" i="11" s="1"/>
  <c r="K67" i="11" s="1"/>
  <c r="E68" i="11" s="1"/>
  <c r="I68" i="11" s="1"/>
  <c r="J68" i="11" s="1"/>
  <c r="K68" i="11" s="1"/>
  <c r="E69" i="11" s="1"/>
  <c r="I69" i="11" s="1"/>
  <c r="J69" i="11" s="1"/>
  <c r="K69" i="11" s="1"/>
  <c r="E70" i="11" s="1"/>
  <c r="I70" i="11" s="1"/>
  <c r="J70" i="11" s="1"/>
  <c r="K70" i="11" s="1"/>
  <c r="E71" i="11" s="1"/>
  <c r="I71" i="11" s="1"/>
  <c r="J71" i="11" s="1"/>
  <c r="K71" i="11" s="1"/>
  <c r="E72" i="11" s="1"/>
  <c r="I72" i="11" s="1"/>
  <c r="J72" i="11" s="1"/>
  <c r="K72" i="11" s="1"/>
  <c r="E73" i="11" s="1"/>
  <c r="I73" i="11" s="1"/>
  <c r="J73" i="11" s="1"/>
  <c r="K73" i="11" s="1"/>
  <c r="E74" i="11" s="1"/>
  <c r="I74" i="11" s="1"/>
  <c r="J74" i="11" s="1"/>
  <c r="K74" i="11" s="1"/>
  <c r="E75" i="11" s="1"/>
  <c r="I75" i="11" s="1"/>
  <c r="J75" i="11" s="1"/>
  <c r="K75" i="11" s="1"/>
  <c r="E76" i="11" s="1"/>
  <c r="I76" i="11" s="1"/>
  <c r="J76" i="11" s="1"/>
  <c r="K76" i="11" s="1"/>
  <c r="E77" i="11" s="1"/>
  <c r="I77" i="11" s="1"/>
  <c r="J77" i="11" s="1"/>
  <c r="K77" i="11" s="1"/>
  <c r="E78" i="11" s="1"/>
  <c r="I78" i="11" s="1"/>
  <c r="J78" i="11" s="1"/>
  <c r="K78" i="11" s="1"/>
  <c r="E79" i="11" s="1"/>
  <c r="I79" i="11" s="1"/>
  <c r="J79" i="11" s="1"/>
  <c r="K79" i="11" s="1"/>
  <c r="E80" i="11" s="1"/>
  <c r="I80" i="11" s="1"/>
  <c r="J80" i="11" s="1"/>
  <c r="K80" i="11" s="1"/>
  <c r="E81" i="11" s="1"/>
  <c r="I81" i="11" s="1"/>
  <c r="J81" i="11" s="1"/>
  <c r="K81" i="11" s="1"/>
  <c r="E82" i="11" s="1"/>
  <c r="I82" i="11" s="1"/>
  <c r="J82" i="11" s="1"/>
  <c r="K82" i="11" s="1"/>
  <c r="E83" i="11" s="1"/>
  <c r="I83" i="11" s="1"/>
  <c r="J83" i="11" s="1"/>
  <c r="K83" i="11" s="1"/>
  <c r="E84" i="11" s="1"/>
  <c r="I84" i="11" s="1"/>
  <c r="J84" i="11" s="1"/>
  <c r="K84" i="11" s="1"/>
  <c r="E85" i="11" s="1"/>
  <c r="I85" i="11" s="1"/>
  <c r="J85" i="11" s="1"/>
  <c r="K85" i="11" s="1"/>
  <c r="E86" i="11" s="1"/>
  <c r="I86" i="11" s="1"/>
  <c r="J86" i="11" s="1"/>
  <c r="K86" i="11" s="1"/>
  <c r="E87" i="11" s="1"/>
  <c r="I87" i="11" s="1"/>
  <c r="J87" i="11" s="1"/>
  <c r="K87" i="11" s="1"/>
  <c r="E88" i="11" s="1"/>
  <c r="I88" i="11" s="1"/>
  <c r="J88" i="11" s="1"/>
  <c r="K88" i="11" s="1"/>
  <c r="E89" i="11" s="1"/>
  <c r="I89" i="11" s="1"/>
  <c r="J89" i="11" s="1"/>
  <c r="K89" i="11" s="1"/>
  <c r="E90" i="11" s="1"/>
  <c r="I90" i="11" s="1"/>
  <c r="J90" i="11" s="1"/>
  <c r="K90" i="11" s="1"/>
  <c r="E91" i="11" s="1"/>
  <c r="I91" i="11" s="1"/>
  <c r="J91" i="11" s="1"/>
  <c r="K91" i="11" s="1"/>
  <c r="E92" i="11" s="1"/>
  <c r="I92" i="11" s="1"/>
  <c r="J92" i="11" s="1"/>
  <c r="K92" i="11" s="1"/>
  <c r="E93" i="11" s="1"/>
  <c r="I93" i="11" s="1"/>
  <c r="J93" i="11" s="1"/>
  <c r="K93" i="11" s="1"/>
  <c r="E94" i="11" s="1"/>
  <c r="I94" i="11" s="1"/>
  <c r="J94" i="11" s="1"/>
  <c r="K94" i="11" s="1"/>
  <c r="E95" i="11" s="1"/>
  <c r="I95" i="11" s="1"/>
  <c r="J95" i="11" s="1"/>
  <c r="K95" i="11" s="1"/>
  <c r="E96" i="11" s="1"/>
  <c r="I96" i="11" s="1"/>
  <c r="J96" i="11" s="1"/>
  <c r="K96" i="11" s="1"/>
  <c r="E97" i="11" s="1"/>
  <c r="I97" i="11" s="1"/>
  <c r="J97" i="11" s="1"/>
  <c r="K97" i="11" s="1"/>
  <c r="E98" i="11" s="1"/>
  <c r="I98" i="11" s="1"/>
  <c r="J98" i="11" s="1"/>
  <c r="K98" i="11" s="1"/>
  <c r="E99" i="11" s="1"/>
  <c r="I99" i="11" s="1"/>
  <c r="J99" i="11" s="1"/>
  <c r="K99" i="11" s="1"/>
  <c r="E100" i="11" s="1"/>
  <c r="I100" i="11" s="1"/>
  <c r="J100" i="11" s="1"/>
  <c r="K100" i="11" s="1"/>
  <c r="E101" i="11" s="1"/>
  <c r="I101" i="11" s="1"/>
  <c r="J101" i="11" s="1"/>
  <c r="K101" i="11" s="1"/>
  <c r="E102" i="11" s="1"/>
  <c r="I102" i="11" s="1"/>
  <c r="J102" i="11" s="1"/>
  <c r="K102" i="11" s="1"/>
  <c r="E103" i="11" s="1"/>
  <c r="I103" i="11" s="1"/>
  <c r="J103" i="11" s="1"/>
  <c r="K103" i="11" s="1"/>
  <c r="E104" i="11" s="1"/>
  <c r="I104" i="11" s="1"/>
  <c r="J104" i="11" s="1"/>
  <c r="K104" i="11" s="1"/>
  <c r="E105" i="11" s="1"/>
  <c r="I105" i="11" s="1"/>
  <c r="J105" i="11" s="1"/>
  <c r="K105" i="11" s="1"/>
  <c r="E106" i="11" s="1"/>
  <c r="I106" i="11" s="1"/>
  <c r="J106" i="11" s="1"/>
  <c r="K106" i="11" s="1"/>
  <c r="E107" i="11" s="1"/>
  <c r="I107" i="11" s="1"/>
  <c r="J107" i="11" s="1"/>
  <c r="K107" i="11" s="1"/>
  <c r="E108" i="11" s="1"/>
  <c r="I108" i="11" s="1"/>
  <c r="J108" i="11" s="1"/>
  <c r="K108" i="11" s="1"/>
  <c r="E109" i="11" s="1"/>
  <c r="I109" i="11" s="1"/>
  <c r="J109" i="11" s="1"/>
  <c r="K109" i="11" s="1"/>
  <c r="E110" i="11" s="1"/>
  <c r="I110" i="11" s="1"/>
  <c r="J110" i="11" s="1"/>
  <c r="K110" i="11" s="1"/>
  <c r="E111" i="11" s="1"/>
  <c r="I111" i="11" s="1"/>
  <c r="J111" i="11" s="1"/>
  <c r="K111" i="11" s="1"/>
  <c r="E112" i="11" s="1"/>
  <c r="I112" i="11" s="1"/>
  <c r="J112" i="11" s="1"/>
  <c r="K112" i="11" s="1"/>
  <c r="E113" i="11" s="1"/>
  <c r="I113" i="11" s="1"/>
  <c r="J113" i="11" s="1"/>
  <c r="K113" i="11" s="1"/>
  <c r="E114" i="11" s="1"/>
  <c r="I114" i="11" s="1"/>
  <c r="J114" i="11" s="1"/>
  <c r="K114" i="11" s="1"/>
  <c r="E115" i="11" s="1"/>
  <c r="I115" i="11" s="1"/>
  <c r="J115" i="11" s="1"/>
  <c r="K115" i="11" s="1"/>
  <c r="E116" i="11" s="1"/>
  <c r="I116" i="11" s="1"/>
  <c r="J116" i="11" s="1"/>
  <c r="K116" i="11" s="1"/>
  <c r="E117" i="11" s="1"/>
  <c r="I117" i="11" s="1"/>
  <c r="J117" i="11" s="1"/>
  <c r="K117" i="11" s="1"/>
  <c r="E118" i="11" s="1"/>
  <c r="I118" i="11" s="1"/>
  <c r="J118" i="11" s="1"/>
  <c r="K118" i="11" s="1"/>
  <c r="E119" i="11" s="1"/>
  <c r="I119" i="11" s="1"/>
  <c r="J119" i="11" s="1"/>
  <c r="K119" i="11" s="1"/>
  <c r="E120" i="11" s="1"/>
  <c r="I120" i="11" s="1"/>
  <c r="J120" i="11" s="1"/>
  <c r="K120" i="11" s="1"/>
  <c r="E121" i="11" s="1"/>
  <c r="I121" i="11" s="1"/>
  <c r="J121" i="11" s="1"/>
  <c r="K121" i="11" s="1"/>
  <c r="E122" i="11" s="1"/>
  <c r="I122" i="11" s="1"/>
  <c r="J122" i="11" s="1"/>
  <c r="K122" i="11" s="1"/>
  <c r="E123" i="11" s="1"/>
  <c r="I123" i="11" s="1"/>
  <c r="J123" i="11" s="1"/>
  <c r="K123" i="11" s="1"/>
  <c r="E124" i="11" s="1"/>
  <c r="I124" i="11" s="1"/>
  <c r="J124" i="11" s="1"/>
  <c r="K124" i="11" s="1"/>
  <c r="E125" i="11" s="1"/>
  <c r="I125" i="11" s="1"/>
  <c r="J125" i="11" s="1"/>
  <c r="K125" i="11" s="1"/>
  <c r="E126" i="11" s="1"/>
  <c r="I126" i="11" s="1"/>
  <c r="J126" i="11" s="1"/>
  <c r="K126" i="11" s="1"/>
  <c r="E127" i="11" s="1"/>
  <c r="I127" i="11" s="1"/>
  <c r="J127" i="11" s="1"/>
  <c r="K127" i="11" s="1"/>
  <c r="E128" i="11" s="1"/>
  <c r="I128" i="11" s="1"/>
  <c r="J128" i="11" s="1"/>
  <c r="K128" i="11" s="1"/>
  <c r="E129" i="11" s="1"/>
  <c r="I129" i="11" s="1"/>
  <c r="J129" i="11" s="1"/>
  <c r="K129" i="11" s="1"/>
  <c r="E130" i="11" s="1"/>
  <c r="I130" i="11" s="1"/>
  <c r="J130" i="11" s="1"/>
  <c r="K130" i="11" s="1"/>
  <c r="E131" i="11" s="1"/>
  <c r="I131" i="11" s="1"/>
  <c r="J131" i="11" s="1"/>
  <c r="K131" i="11" s="1"/>
  <c r="E132" i="11" s="1"/>
  <c r="I132" i="11" s="1"/>
  <c r="J132" i="11" s="1"/>
  <c r="K132" i="11" s="1"/>
  <c r="E133" i="11" s="1"/>
  <c r="I133" i="11" s="1"/>
  <c r="J133" i="11" s="1"/>
  <c r="K133" i="11" s="1"/>
  <c r="E134" i="11" s="1"/>
  <c r="I134" i="11" s="1"/>
  <c r="J134" i="11" s="1"/>
  <c r="K134" i="11" s="1"/>
  <c r="E135" i="11" s="1"/>
  <c r="I135" i="11" s="1"/>
  <c r="J135" i="11" s="1"/>
  <c r="K135" i="11" s="1"/>
  <c r="E136" i="11" s="1"/>
  <c r="I136" i="11" s="1"/>
  <c r="J136" i="11" s="1"/>
  <c r="K136" i="11" l="1"/>
  <c r="E137" i="11" s="1"/>
  <c r="I137" i="11" l="1"/>
  <c r="J137" i="11" s="1"/>
  <c r="K137" i="11" l="1"/>
  <c r="E138" i="11" s="1"/>
  <c r="I138" i="11" l="1"/>
  <c r="J138" i="11" s="1"/>
  <c r="K138" i="11" l="1"/>
  <c r="E139" i="11" s="1"/>
  <c r="I139" i="11" l="1"/>
  <c r="J139" i="11" s="1"/>
  <c r="K139" i="11" l="1"/>
  <c r="E140" i="11" s="1"/>
  <c r="I140" i="11" s="1"/>
  <c r="J140" i="11" s="1"/>
  <c r="K140" i="11" s="1"/>
  <c r="E141" i="11" s="1"/>
  <c r="I141" i="11" s="1"/>
  <c r="J141" i="11" s="1"/>
  <c r="K141" i="11" s="1"/>
  <c r="E142" i="11" s="1"/>
  <c r="I142" i="11" l="1"/>
  <c r="J142" i="11" s="1"/>
  <c r="K142" i="11" l="1"/>
  <c r="E143" i="11" s="1"/>
  <c r="I143" i="11" l="1"/>
  <c r="J143" i="11" s="1"/>
  <c r="K143" i="11" l="1"/>
  <c r="E144" i="11" s="1"/>
  <c r="I144" i="11" l="1"/>
  <c r="J144" i="11" s="1"/>
  <c r="K144" i="11" l="1"/>
  <c r="E145" i="11" s="1"/>
  <c r="I145" i="11" l="1"/>
  <c r="J145" i="11" s="1"/>
  <c r="K145" i="11" s="1"/>
  <c r="E146" i="11" s="1"/>
  <c r="I146" i="11" l="1"/>
  <c r="J146" i="11" s="1"/>
  <c r="K146" i="11" l="1"/>
  <c r="E147" i="11" s="1"/>
  <c r="I147" i="11" s="1"/>
  <c r="J147" i="11" s="1"/>
  <c r="K147" i="11" s="1"/>
  <c r="E148" i="11" s="1"/>
  <c r="I148" i="11" s="1"/>
  <c r="J148" i="11" s="1"/>
  <c r="K148" i="11" s="1"/>
  <c r="E149" i="11" s="1"/>
  <c r="I149" i="11" s="1"/>
  <c r="J149" i="11" s="1"/>
  <c r="K149" i="11" s="1"/>
  <c r="E150" i="11" s="1"/>
  <c r="I150" i="11" l="1"/>
  <c r="J150" i="11" s="1"/>
  <c r="K150" i="11" l="1"/>
  <c r="E151" i="11" s="1"/>
  <c r="I151" i="11" s="1"/>
  <c r="J151" i="11" s="1"/>
  <c r="K151" i="11" s="1"/>
  <c r="E152" i="11" s="1"/>
  <c r="I152" i="11" s="1"/>
  <c r="J152" i="11" s="1"/>
  <c r="K152" i="11" s="1"/>
  <c r="E153" i="11" s="1"/>
  <c r="I153" i="11" l="1"/>
  <c r="J153" i="11" s="1"/>
  <c r="K153" i="11" l="1"/>
  <c r="E154" i="11" s="1"/>
  <c r="I154" i="11" l="1"/>
  <c r="J154" i="11" s="1"/>
  <c r="K154" i="11" l="1"/>
  <c r="E155" i="11" s="1"/>
  <c r="I155" i="11"/>
  <c r="J155" i="11" s="1"/>
  <c r="K155" i="11" l="1"/>
  <c r="E156" i="11" s="1"/>
  <c r="I156" i="11" l="1"/>
  <c r="J156" i="11" s="1"/>
  <c r="K156" i="11" l="1"/>
  <c r="E157" i="11" s="1"/>
  <c r="I157" i="11" l="1"/>
  <c r="J157" i="11" s="1"/>
  <c r="K157" i="11" l="1"/>
  <c r="E158" i="11" s="1"/>
  <c r="I158" i="11" l="1"/>
  <c r="J158" i="11" s="1"/>
  <c r="K158" i="11" l="1"/>
  <c r="E159" i="11" s="1"/>
  <c r="I159" i="11" s="1"/>
  <c r="J159" i="11" s="1"/>
  <c r="K159" i="11" s="1"/>
  <c r="E160" i="11" s="1"/>
  <c r="I160" i="11" l="1"/>
  <c r="J160" i="11" s="1"/>
  <c r="K160" i="11" l="1"/>
  <c r="E161" i="11" s="1"/>
  <c r="I161" i="11" s="1"/>
  <c r="J161" i="11" s="1"/>
  <c r="K161" i="11" l="1"/>
  <c r="E162" i="11" s="1"/>
  <c r="I162" i="11" l="1"/>
  <c r="J162" i="11" s="1"/>
  <c r="K162" i="11" l="1"/>
  <c r="E163" i="11" s="1"/>
  <c r="I163" i="11" l="1"/>
  <c r="J163" i="11" s="1"/>
  <c r="K163" i="11" l="1"/>
  <c r="E164" i="11" s="1"/>
  <c r="I164" i="11" l="1"/>
  <c r="J164" i="11" s="1"/>
  <c r="K164" i="11" l="1"/>
  <c r="E165" i="11" s="1"/>
  <c r="I165" i="11" l="1"/>
  <c r="J165" i="11" s="1"/>
  <c r="K165" i="11" l="1"/>
  <c r="E166" i="11" s="1"/>
  <c r="I166" i="11" s="1"/>
  <c r="J166" i="11" s="1"/>
  <c r="K166" i="11" l="1"/>
  <c r="E167" i="11" s="1"/>
  <c r="I167" i="11" l="1"/>
  <c r="J167" i="11" s="1"/>
  <c r="K167" i="11" l="1"/>
  <c r="E168" i="11" s="1"/>
  <c r="I168" i="11" l="1"/>
  <c r="J168" i="11" s="1"/>
  <c r="K168" i="11" l="1"/>
  <c r="E169" i="11" s="1"/>
  <c r="I169" i="11" l="1"/>
  <c r="J169" i="11" s="1"/>
  <c r="K169" i="11" l="1"/>
  <c r="E170" i="11" s="1"/>
  <c r="I170" i="11" l="1"/>
  <c r="J170" i="11" s="1"/>
  <c r="K170" i="11" l="1"/>
  <c r="E171" i="11" s="1"/>
  <c r="I171" i="11" l="1"/>
  <c r="J171" i="11" s="1"/>
  <c r="K171" i="11" l="1"/>
  <c r="E172" i="11" s="1"/>
  <c r="I172" i="11" l="1"/>
  <c r="J172" i="11" s="1"/>
  <c r="K172" i="11" l="1"/>
  <c r="E173" i="11" s="1"/>
  <c r="I173" i="11"/>
  <c r="J173" i="11" s="1"/>
  <c r="K173" i="11" l="1"/>
  <c r="E174" i="11" s="1"/>
  <c r="I174" i="11" l="1"/>
  <c r="J174" i="11" s="1"/>
  <c r="K174" i="11" l="1"/>
  <c r="E175" i="11" s="1"/>
  <c r="I175" i="11"/>
  <c r="J175" i="11" s="1"/>
  <c r="K175" i="11" l="1"/>
  <c r="E176" i="11" s="1"/>
  <c r="I176" i="11"/>
  <c r="J176" i="11" s="1"/>
  <c r="K176" i="11" l="1"/>
  <c r="E177" i="11" s="1"/>
  <c r="I177" i="11" l="1"/>
  <c r="J177" i="11" s="1"/>
  <c r="K177" i="11" l="1"/>
  <c r="E178" i="11" s="1"/>
  <c r="I178" i="11" s="1"/>
  <c r="J178" i="11" s="1"/>
  <c r="K178" i="11" s="1"/>
  <c r="E179" i="11" s="1"/>
  <c r="I179" i="11" s="1"/>
  <c r="J179" i="11" s="1"/>
  <c r="K179" i="11" s="1"/>
  <c r="E180" i="11" s="1"/>
  <c r="I180" i="11" s="1"/>
  <c r="J180" i="11" s="1"/>
  <c r="K180" i="11" s="1"/>
  <c r="E181" i="11" s="1"/>
  <c r="I181" i="11" l="1"/>
  <c r="J181" i="11" s="1"/>
  <c r="K181" i="11" l="1"/>
  <c r="E182" i="11" s="1"/>
  <c r="I182" i="11" l="1"/>
  <c r="J182" i="11" s="1"/>
  <c r="K182" i="11" s="1"/>
  <c r="E183" i="11" s="1"/>
  <c r="I183" i="11" l="1"/>
  <c r="J183" i="11" s="1"/>
  <c r="K183" i="11" l="1"/>
  <c r="E184" i="11" s="1"/>
  <c r="I184" i="11" s="1"/>
  <c r="J184" i="11" s="1"/>
  <c r="K184" i="11" s="1"/>
  <c r="E185" i="11" s="1"/>
  <c r="I185" i="11" l="1"/>
  <c r="J185" i="11" s="1"/>
  <c r="K185" i="11" l="1"/>
  <c r="E186" i="11" s="1"/>
  <c r="I186" i="11" l="1"/>
  <c r="J186" i="11" s="1"/>
  <c r="K186" i="11" l="1"/>
  <c r="E187" i="11" s="1"/>
  <c r="I187" i="11" l="1"/>
  <c r="J187" i="11" s="1"/>
  <c r="K187" i="11" l="1"/>
  <c r="E188" i="11" s="1"/>
  <c r="I188" i="11" l="1"/>
  <c r="J188" i="11" s="1"/>
  <c r="K188" i="11" l="1"/>
  <c r="E189" i="11" s="1"/>
  <c r="I189" i="11" l="1"/>
  <c r="J189" i="11" s="1"/>
  <c r="K189" i="11" l="1"/>
  <c r="E190" i="11" s="1"/>
  <c r="I190" i="11" s="1"/>
  <c r="J190" i="11" s="1"/>
  <c r="K190" i="11" s="1"/>
  <c r="E191" i="11" s="1"/>
  <c r="I191" i="11" s="1"/>
  <c r="J191" i="11" s="1"/>
  <c r="K191" i="11" s="1"/>
  <c r="E192" i="11" s="1"/>
  <c r="I192" i="11" l="1"/>
  <c r="J192" i="11" s="1"/>
  <c r="K192" i="11" l="1"/>
  <c r="E193" i="11" s="1"/>
  <c r="I193" i="11" l="1"/>
  <c r="J193" i="11" s="1"/>
  <c r="K193" i="11" l="1"/>
  <c r="E194" i="11" s="1"/>
  <c r="I194" i="11" s="1"/>
  <c r="J194" i="11" s="1"/>
  <c r="K194" i="11" s="1"/>
  <c r="E195" i="11" s="1"/>
  <c r="I195" i="11" s="1"/>
  <c r="J195" i="11" s="1"/>
  <c r="K195" i="11" s="1"/>
  <c r="E196" i="11" s="1"/>
  <c r="I196" i="11" s="1"/>
  <c r="J196" i="11" s="1"/>
  <c r="K196" i="11" s="1"/>
  <c r="E197" i="11" s="1"/>
  <c r="I197" i="11" l="1"/>
  <c r="J197" i="11" s="1"/>
  <c r="K197" i="11" l="1"/>
  <c r="E198" i="11" s="1"/>
  <c r="I198" i="11" s="1"/>
  <c r="J198" i="11" s="1"/>
  <c r="K198" i="11" s="1"/>
  <c r="E199" i="11" s="1"/>
  <c r="I199" i="11" s="1"/>
  <c r="J199" i="11" s="1"/>
  <c r="K199" i="11" l="1"/>
  <c r="E200" i="11" s="1"/>
  <c r="I200" i="11" l="1"/>
  <c r="J200" i="11" s="1"/>
  <c r="K200" i="11" l="1"/>
  <c r="E201" i="11" s="1"/>
  <c r="I201" i="11" s="1"/>
  <c r="J201" i="11" s="1"/>
  <c r="K201" i="11" l="1"/>
  <c r="E202" i="11" s="1"/>
  <c r="I202" i="11" s="1"/>
  <c r="J202" i="11" s="1"/>
  <c r="K202" i="11" s="1"/>
  <c r="E203" i="11" s="1"/>
  <c r="I203" i="11" l="1"/>
  <c r="J203" i="11" s="1"/>
  <c r="K203" i="11" l="1"/>
  <c r="E204" i="11" s="1"/>
  <c r="I204" i="11" l="1"/>
  <c r="J204" i="11" s="1"/>
  <c r="K204" i="11" l="1"/>
  <c r="E205" i="11" s="1"/>
  <c r="I205" i="11" l="1"/>
  <c r="J205" i="11" s="1"/>
  <c r="K205" i="11" l="1"/>
  <c r="E206" i="11" s="1"/>
  <c r="I206" i="11" s="1"/>
  <c r="J206" i="11" l="1"/>
  <c r="K206" i="11" s="1"/>
  <c r="E207" i="11" s="1"/>
  <c r="I207" i="11" s="1"/>
  <c r="J207" i="11" s="1"/>
  <c r="K207" i="11" s="1"/>
  <c r="E208" i="11" s="1"/>
  <c r="I208" i="11" s="1"/>
  <c r="J208" i="11" s="1"/>
  <c r="K208" i="11" l="1"/>
  <c r="E209" i="11" s="1"/>
  <c r="I209" i="11" l="1"/>
  <c r="J209" i="11" s="1"/>
  <c r="K209" i="11" l="1"/>
  <c r="E210" i="11" s="1"/>
  <c r="I210" i="11" l="1"/>
  <c r="J210" i="11" s="1"/>
  <c r="K210" i="11" l="1"/>
  <c r="E211" i="11" s="1"/>
  <c r="I211" i="11" s="1"/>
  <c r="J211" i="11" s="1"/>
  <c r="K211" i="11" l="1"/>
  <c r="E212" i="11" s="1"/>
  <c r="I212" i="11" s="1"/>
  <c r="J212" i="11" s="1"/>
  <c r="K212" i="11" s="1"/>
  <c r="E213" i="11" s="1"/>
  <c r="I213" i="11" s="1"/>
  <c r="J213" i="11" s="1"/>
  <c r="K213" i="11" s="1"/>
  <c r="E214" i="11" s="1"/>
  <c r="I214" i="11" l="1"/>
  <c r="J214" i="11" s="1"/>
  <c r="K214" i="11" l="1"/>
  <c r="E215" i="11" s="1"/>
  <c r="I215" i="11" l="1"/>
  <c r="J215" i="11" s="1"/>
  <c r="K215" i="11" l="1"/>
  <c r="E216" i="11" s="1"/>
  <c r="I216" i="11" l="1"/>
  <c r="J216" i="11" s="1"/>
  <c r="K216" i="11" l="1"/>
  <c r="E217" i="11" s="1"/>
  <c r="I217" i="11" s="1"/>
  <c r="J217" i="11" s="1"/>
  <c r="K217" i="11" s="1"/>
  <c r="E218" i="11" s="1"/>
  <c r="I218" i="11" l="1"/>
  <c r="J218" i="11" s="1"/>
  <c r="K218" i="11" l="1"/>
  <c r="E219" i="11" s="1"/>
  <c r="I219" i="11" l="1"/>
  <c r="J219" i="11" s="1"/>
  <c r="K219" i="11" l="1"/>
  <c r="E220" i="11" s="1"/>
  <c r="I220" i="11" l="1"/>
  <c r="J220" i="11" s="1"/>
  <c r="K220" i="11" l="1"/>
  <c r="E221" i="11" s="1"/>
  <c r="I221" i="11" l="1"/>
  <c r="J221" i="11" s="1"/>
  <c r="K221" i="11" l="1"/>
  <c r="E222" i="11" s="1"/>
  <c r="I222" i="11" l="1"/>
  <c r="J222" i="11" s="1"/>
  <c r="K222" i="11" l="1"/>
  <c r="E223" i="11" s="1"/>
  <c r="I223" i="11" l="1"/>
  <c r="J223" i="11" s="1"/>
  <c r="K223" i="11" l="1"/>
  <c r="E224" i="11" s="1"/>
  <c r="I224" i="11" l="1"/>
  <c r="J224" i="11" s="1"/>
  <c r="K224" i="11" l="1"/>
  <c r="E225" i="11" s="1"/>
  <c r="I225" i="11" l="1"/>
  <c r="J225" i="11" s="1"/>
  <c r="K225" i="11" l="1"/>
  <c r="E226" i="11" s="1"/>
  <c r="I226" i="11" l="1"/>
  <c r="J226" i="11" s="1"/>
  <c r="K226" i="11" l="1"/>
  <c r="E227" i="11" s="1"/>
  <c r="I227" i="11" l="1"/>
  <c r="J227" i="11" s="1"/>
  <c r="K227" i="11" l="1"/>
  <c r="E228" i="11" s="1"/>
  <c r="I228" i="11" l="1"/>
  <c r="J228" i="11" s="1"/>
  <c r="K228" i="11" l="1"/>
  <c r="E229" i="11" s="1"/>
  <c r="I229" i="11" l="1"/>
  <c r="J229" i="11" s="1"/>
  <c r="K229" i="11" l="1"/>
  <c r="E230" i="11" s="1"/>
  <c r="I230" i="11" l="1"/>
  <c r="J230" i="11" s="1"/>
  <c r="K230" i="11" l="1"/>
  <c r="E231" i="11" s="1"/>
  <c r="I231" i="11" l="1"/>
  <c r="J231" i="11" s="1"/>
  <c r="K231" i="11" l="1"/>
  <c r="E232" i="11" s="1"/>
  <c r="I232" i="11" l="1"/>
  <c r="J232" i="11" s="1"/>
  <c r="K232" i="11" l="1"/>
  <c r="E233" i="11" s="1"/>
  <c r="I233" i="11"/>
  <c r="J233" i="11" s="1"/>
  <c r="K233" i="11" s="1"/>
  <c r="E234" i="11" s="1"/>
  <c r="I234" i="11" l="1"/>
  <c r="J234" i="11" s="1"/>
  <c r="K234" i="11" s="1"/>
  <c r="E235" i="11" s="1"/>
  <c r="I235" i="11" l="1"/>
  <c r="J235" i="11" s="1"/>
  <c r="K235" i="11" l="1"/>
  <c r="E236" i="11" s="1"/>
  <c r="I236" i="11" l="1"/>
  <c r="J236" i="11" s="1"/>
  <c r="K236" i="11" l="1"/>
  <c r="E237" i="11" s="1"/>
  <c r="I237" i="11" l="1"/>
  <c r="J237" i="11" s="1"/>
  <c r="K237" i="11" l="1"/>
  <c r="E238" i="11" s="1"/>
  <c r="I238" i="11" l="1"/>
  <c r="J238" i="11" s="1"/>
  <c r="K238" i="11" l="1"/>
  <c r="E239" i="11" s="1"/>
  <c r="I239" i="11" l="1"/>
  <c r="J239" i="11" s="1"/>
  <c r="K239" i="11" l="1"/>
  <c r="E240" i="11" s="1"/>
  <c r="I240" i="11" s="1"/>
  <c r="J240" i="11" s="1"/>
  <c r="K240" i="11" l="1"/>
  <c r="E241" i="11" s="1"/>
  <c r="I241" i="11" l="1"/>
  <c r="J241" i="11" s="1"/>
  <c r="K241" i="11" l="1"/>
  <c r="E242" i="11" s="1"/>
  <c r="I242" i="11" l="1"/>
  <c r="J242" i="11" s="1"/>
  <c r="K242" i="11" l="1"/>
  <c r="E243" i="11" s="1"/>
  <c r="I243" i="11" l="1"/>
  <c r="J243" i="11" s="1"/>
  <c r="K243" i="11" l="1"/>
  <c r="E244" i="11" s="1"/>
  <c r="I244" i="11" s="1"/>
  <c r="J244" i="11" s="1"/>
  <c r="K244" i="11" s="1"/>
  <c r="E245" i="11" s="1"/>
  <c r="I245" i="11" l="1"/>
  <c r="J245" i="11" s="1"/>
  <c r="K245" i="11" l="1"/>
  <c r="E246" i="11" s="1"/>
  <c r="I246" i="11" l="1"/>
  <c r="J246" i="11" s="1"/>
  <c r="K246" i="11" l="1"/>
  <c r="E247" i="11" s="1"/>
  <c r="I247" i="11" l="1"/>
  <c r="J247" i="11" s="1"/>
  <c r="K247" i="11" l="1"/>
  <c r="E248" i="11" s="1"/>
  <c r="I248" i="11" l="1"/>
  <c r="J248" i="11" s="1"/>
  <c r="K248" i="11" l="1"/>
  <c r="E249" i="11" s="1"/>
  <c r="I249" i="11" l="1"/>
  <c r="J249" i="11" s="1"/>
  <c r="K249" i="11" l="1"/>
  <c r="E250" i="11" s="1"/>
  <c r="I250" i="11" l="1"/>
  <c r="J250" i="11" s="1"/>
  <c r="K250" i="11" l="1"/>
  <c r="E251" i="11" s="1"/>
  <c r="I251" i="11" s="1"/>
  <c r="J251" i="11" s="1"/>
  <c r="K251" i="11" s="1"/>
  <c r="E252" i="11" s="1"/>
  <c r="I252" i="11" l="1"/>
  <c r="J252" i="11" s="1"/>
  <c r="K252" i="11" l="1"/>
  <c r="E253" i="11" s="1"/>
  <c r="I253" i="11" s="1"/>
  <c r="J253" i="11" s="1"/>
  <c r="K253" i="11" s="1"/>
  <c r="E254" i="11" s="1"/>
  <c r="I254" i="11" l="1"/>
  <c r="J254" i="11" s="1"/>
  <c r="K254" i="11" l="1"/>
  <c r="E255" i="11" s="1"/>
  <c r="I255" i="11" l="1"/>
  <c r="J255" i="11" s="1"/>
  <c r="K255" i="11" l="1"/>
  <c r="E256" i="11" s="1"/>
  <c r="I256" i="11" l="1"/>
  <c r="J256" i="11" s="1"/>
  <c r="K256" i="11" l="1"/>
  <c r="E257" i="11" s="1"/>
  <c r="I257" i="11" l="1"/>
  <c r="J257" i="11" s="1"/>
  <c r="K257" i="11" l="1"/>
  <c r="E258" i="11" s="1"/>
  <c r="I258" i="11" l="1"/>
  <c r="J258" i="11" s="1"/>
  <c r="K258" i="11" l="1"/>
  <c r="E259" i="11" s="1"/>
  <c r="I259" i="11" l="1"/>
  <c r="J259" i="11" s="1"/>
  <c r="K259" i="11" l="1"/>
  <c r="E260" i="11" s="1"/>
  <c r="I260" i="11" l="1"/>
  <c r="J260" i="11" s="1"/>
  <c r="K260" i="11" l="1"/>
  <c r="E261" i="11" s="1"/>
  <c r="I261" i="11" l="1"/>
  <c r="J261" i="11" s="1"/>
  <c r="K261" i="11" l="1"/>
  <c r="E262" i="11" s="1"/>
  <c r="I262" i="11" l="1"/>
  <c r="J262" i="11" s="1"/>
  <c r="K262" i="11" l="1"/>
  <c r="E263" i="11" s="1"/>
  <c r="I263" i="11" l="1"/>
  <c r="J263" i="11" s="1"/>
  <c r="K263" i="11" l="1"/>
  <c r="E264" i="11" s="1"/>
  <c r="I264" i="11"/>
  <c r="J264" i="11" s="1"/>
  <c r="K264" i="11" l="1"/>
  <c r="E265" i="11" s="1"/>
  <c r="I265" i="11"/>
  <c r="J265" i="11" s="1"/>
  <c r="K265" i="11" l="1"/>
  <c r="E266" i="11" s="1"/>
  <c r="I266" i="11"/>
  <c r="J266" i="11" s="1"/>
  <c r="K266" i="11" l="1"/>
  <c r="E267" i="11" s="1"/>
  <c r="I267" i="11" s="1"/>
  <c r="J267" i="11" s="1"/>
  <c r="K267" i="11" s="1"/>
  <c r="E268" i="11" s="1"/>
  <c r="I268" i="11" l="1"/>
  <c r="J268" i="11" s="1"/>
  <c r="K268" i="11" l="1"/>
  <c r="E269" i="11" s="1"/>
  <c r="I269" i="11" l="1"/>
  <c r="J269" i="11" s="1"/>
  <c r="K269" i="11" l="1"/>
  <c r="E270" i="11" s="1"/>
  <c r="I270" i="11" l="1"/>
  <c r="J270" i="11" s="1"/>
  <c r="K270" i="11" l="1"/>
  <c r="E271" i="11" s="1"/>
  <c r="I271" i="11" s="1"/>
  <c r="J271" i="11" s="1"/>
  <c r="K271" i="11" l="1"/>
  <c r="E272" i="11" s="1"/>
  <c r="I272" i="11" l="1"/>
  <c r="J272" i="11" s="1"/>
  <c r="K272" i="11" l="1"/>
  <c r="E273" i="11" s="1"/>
  <c r="I273" i="11" s="1"/>
  <c r="J273" i="11" s="1"/>
  <c r="K273" i="11" s="1"/>
  <c r="E274" i="11" s="1"/>
  <c r="I274" i="11" s="1"/>
  <c r="J274" i="11" s="1"/>
  <c r="K274" i="11" s="1"/>
  <c r="E275" i="11" s="1"/>
  <c r="I275" i="11" s="1"/>
  <c r="J275" i="11" s="1"/>
  <c r="K275" i="11" s="1"/>
  <c r="E276" i="11" s="1"/>
  <c r="I276" i="11" s="1"/>
  <c r="J276" i="11" s="1"/>
  <c r="K276" i="11" l="1"/>
  <c r="E277" i="11" s="1"/>
  <c r="I277" i="11" s="1"/>
  <c r="J277" i="11" s="1"/>
  <c r="K277" i="11" s="1"/>
  <c r="E278" i="11" s="1"/>
  <c r="I278" i="11" s="1"/>
  <c r="J278" i="11" s="1"/>
  <c r="K278" i="11" s="1"/>
  <c r="E279" i="11" s="1"/>
  <c r="I279" i="11" l="1"/>
  <c r="J279" i="11" s="1"/>
  <c r="K279" i="11" l="1"/>
  <c r="E280" i="11" s="1"/>
  <c r="I280" i="11" s="1"/>
  <c r="J280" i="11" s="1"/>
  <c r="K280" i="11" s="1"/>
  <c r="E281" i="11" s="1"/>
  <c r="I281" i="11" s="1"/>
  <c r="J281" i="11" s="1"/>
  <c r="K281" i="11" s="1"/>
  <c r="E282" i="11" s="1"/>
  <c r="I282" i="11" s="1"/>
  <c r="J282" i="11" s="1"/>
  <c r="K282" i="11" s="1"/>
  <c r="E283" i="11" s="1"/>
  <c r="I283" i="11" l="1"/>
  <c r="J283" i="11" s="1"/>
  <c r="K283" i="11" l="1"/>
  <c r="E284" i="11" s="1"/>
  <c r="I284" i="11" l="1"/>
  <c r="J284" i="11" s="1"/>
  <c r="K284" i="11" s="1"/>
  <c r="E285" i="11" s="1"/>
  <c r="I285" i="11" s="1"/>
  <c r="J285" i="11" s="1"/>
  <c r="K285" i="11" s="1"/>
  <c r="E286" i="11" s="1"/>
  <c r="I286" i="11" l="1"/>
  <c r="J286" i="11" s="1"/>
  <c r="K286" i="11" l="1"/>
  <c r="E287" i="11" s="1"/>
  <c r="I287" i="11" l="1"/>
  <c r="J287" i="11" s="1"/>
  <c r="K287" i="11" l="1"/>
  <c r="E288" i="11" s="1"/>
  <c r="I288" i="11" l="1"/>
  <c r="J288" i="11" s="1"/>
  <c r="K288" i="11" l="1"/>
  <c r="E289" i="11" s="1"/>
  <c r="I289" i="11" s="1"/>
  <c r="J289" i="11" s="1"/>
  <c r="K289" i="11" s="1"/>
  <c r="E290" i="11" s="1"/>
  <c r="I290" i="11" s="1"/>
  <c r="J290" i="11" s="1"/>
  <c r="K290" i="11" l="1"/>
  <c r="E291" i="11" s="1"/>
  <c r="I291" i="11" s="1"/>
  <c r="J291" i="11" s="1"/>
  <c r="K291" i="11" l="1"/>
  <c r="E292" i="11" s="1"/>
  <c r="I292" i="11" s="1"/>
  <c r="J292" i="11" s="1"/>
  <c r="K292" i="11" s="1"/>
  <c r="E293" i="11" s="1"/>
  <c r="I293" i="11" l="1"/>
  <c r="J293" i="11" s="1"/>
  <c r="K293" i="11" l="1"/>
  <c r="E294" i="11" s="1"/>
  <c r="I294" i="11" l="1"/>
  <c r="J294" i="11" s="1"/>
  <c r="K294" i="11" l="1"/>
  <c r="E295" i="11" s="1"/>
  <c r="I295" i="11" s="1"/>
  <c r="J295" i="11" s="1"/>
  <c r="K295" i="11" s="1"/>
  <c r="E296" i="11" s="1"/>
  <c r="I296" i="11" l="1"/>
  <c r="J296" i="11" s="1"/>
  <c r="K296" i="11" l="1"/>
  <c r="E297" i="11" s="1"/>
  <c r="I297" i="11" l="1"/>
  <c r="J297" i="11" s="1"/>
  <c r="K297" i="11" l="1"/>
  <c r="E298" i="11" s="1"/>
  <c r="I298" i="11" l="1"/>
  <c r="J298" i="11" s="1"/>
  <c r="K298" i="11" l="1"/>
  <c r="E299" i="11" s="1"/>
  <c r="I299" i="11" l="1"/>
  <c r="J299" i="11" s="1"/>
  <c r="K299" i="11" l="1"/>
  <c r="E300" i="11" s="1"/>
  <c r="I300" i="11"/>
  <c r="J300" i="11" s="1"/>
  <c r="K300" i="11" l="1"/>
  <c r="E301" i="11" s="1"/>
  <c r="I301" i="11" l="1"/>
  <c r="J301" i="11" s="1"/>
  <c r="K301" i="11" l="1"/>
  <c r="E302" i="11" s="1"/>
  <c r="I302" i="11" l="1"/>
  <c r="J302" i="11" s="1"/>
  <c r="K302" i="11" l="1"/>
  <c r="E303" i="11" s="1"/>
  <c r="I303" i="11" l="1"/>
  <c r="J303" i="11" s="1"/>
  <c r="K303" i="11" l="1"/>
  <c r="E304" i="11" s="1"/>
  <c r="I304" i="11"/>
  <c r="J304" i="11" s="1"/>
  <c r="K304" i="11" s="1"/>
  <c r="E305" i="11" s="1"/>
  <c r="I305" i="11" s="1"/>
  <c r="J305" i="11" s="1"/>
  <c r="K305" i="11" s="1"/>
  <c r="E306" i="11" s="1"/>
  <c r="I306" i="11" s="1"/>
  <c r="J306" i="11" s="1"/>
  <c r="K306" i="11" s="1"/>
  <c r="E307" i="11" s="1"/>
  <c r="I307" i="11" l="1"/>
  <c r="J307" i="11" s="1"/>
  <c r="K307" i="11" s="1"/>
  <c r="E308" i="11" s="1"/>
  <c r="I308" i="11" l="1"/>
  <c r="J308" i="11" s="1"/>
  <c r="K308" i="11" l="1"/>
  <c r="E309" i="11" s="1"/>
  <c r="I309" i="11" s="1"/>
  <c r="J309" i="11" s="1"/>
  <c r="K309" i="11" s="1"/>
  <c r="E310" i="11" s="1"/>
  <c r="I310" i="11" s="1"/>
  <c r="J310" i="11" s="1"/>
  <c r="K310" i="11" s="1"/>
  <c r="E311" i="11" s="1"/>
  <c r="I311" i="11" l="1"/>
  <c r="J311" i="11" s="1"/>
  <c r="K311" i="11" s="1"/>
  <c r="E312" i="11" s="1"/>
  <c r="I312" i="11" l="1"/>
  <c r="J312" i="11" s="1"/>
  <c r="K312" i="11" l="1"/>
  <c r="E313" i="11" s="1"/>
  <c r="I313" i="11" l="1"/>
  <c r="J313" i="11" s="1"/>
  <c r="K313" i="11" l="1"/>
  <c r="E314" i="11" s="1"/>
  <c r="I314" i="11" l="1"/>
  <c r="J314" i="11" s="1"/>
  <c r="K314" i="11" s="1"/>
  <c r="E315" i="11" s="1"/>
  <c r="I315" i="11" l="1"/>
  <c r="J315" i="11" s="1"/>
  <c r="K315" i="11" l="1"/>
  <c r="E316" i="11" s="1"/>
  <c r="I316" i="11" l="1"/>
  <c r="J316" i="11" s="1"/>
  <c r="K316" i="11" l="1"/>
  <c r="E317" i="11" s="1"/>
  <c r="I317" i="11" l="1"/>
  <c r="J317" i="11" s="1"/>
  <c r="K317" i="11" l="1"/>
  <c r="E318" i="11" s="1"/>
  <c r="I318" i="11" s="1"/>
  <c r="J318" i="11" s="1"/>
  <c r="K318" i="11" l="1"/>
  <c r="E319" i="11" s="1"/>
  <c r="I319" i="11" l="1"/>
  <c r="J319" i="11" s="1"/>
  <c r="K319" i="11" l="1"/>
  <c r="E320" i="11" s="1"/>
  <c r="I320" i="11"/>
  <c r="J320" i="11" s="1"/>
  <c r="K320" i="11" l="1"/>
  <c r="E321" i="11" s="1"/>
  <c r="I321" i="11" l="1"/>
  <c r="J321" i="11" s="1"/>
  <c r="K321" i="11" l="1"/>
  <c r="E322" i="11" s="1"/>
  <c r="I322" i="11" s="1"/>
  <c r="J322" i="11" s="1"/>
  <c r="K322" i="11" s="1"/>
  <c r="E323" i="11" s="1"/>
  <c r="I323" i="11" l="1"/>
  <c r="J323" i="11" s="1"/>
  <c r="K323" i="11" l="1"/>
  <c r="E324" i="11" s="1"/>
  <c r="I324" i="11" l="1"/>
  <c r="J324" i="11" s="1"/>
  <c r="K324" i="11" l="1"/>
  <c r="E325" i="11" s="1"/>
  <c r="I325" i="11" l="1"/>
  <c r="J325" i="11" s="1"/>
  <c r="K325" i="11" l="1"/>
  <c r="E326" i="11" s="1"/>
  <c r="I326" i="11" l="1"/>
  <c r="J326" i="11" s="1"/>
  <c r="K326" i="11" l="1"/>
  <c r="E327" i="11" s="1"/>
  <c r="I327" i="11" l="1"/>
  <c r="J327" i="11" s="1"/>
  <c r="K327" i="11" l="1"/>
  <c r="E328" i="11" s="1"/>
  <c r="I328" i="11" l="1"/>
  <c r="J328" i="11" s="1"/>
  <c r="K328" i="11" l="1"/>
  <c r="E329" i="11" s="1"/>
  <c r="I329" i="11" l="1"/>
  <c r="J329" i="11" s="1"/>
  <c r="K329" i="11" l="1"/>
  <c r="E330" i="11" s="1"/>
  <c r="I330" i="11" l="1"/>
  <c r="J330" i="11" s="1"/>
  <c r="K330" i="11" l="1"/>
  <c r="E331" i="11" s="1"/>
  <c r="I331" i="11" s="1"/>
  <c r="J331" i="11" s="1"/>
  <c r="K331" i="11" s="1"/>
  <c r="E332" i="11" s="1"/>
  <c r="I332" i="11" l="1"/>
  <c r="J332" i="11" s="1"/>
  <c r="K332" i="11" s="1"/>
  <c r="E333" i="11" s="1"/>
  <c r="I333" i="11" l="1"/>
  <c r="J333" i="11" s="1"/>
  <c r="K333" i="11" l="1"/>
  <c r="E334" i="11" s="1"/>
  <c r="I334" i="11" l="1"/>
  <c r="J334" i="11" s="1"/>
  <c r="K334" i="11" l="1"/>
  <c r="E335" i="11" s="1"/>
  <c r="I335" i="11" l="1"/>
  <c r="J335" i="11" s="1"/>
  <c r="K335" i="11" l="1"/>
  <c r="E336" i="11" s="1"/>
  <c r="I336" i="11" s="1"/>
  <c r="J336" i="11" s="1"/>
  <c r="K336" i="11" s="1"/>
  <c r="E337" i="11" s="1"/>
  <c r="I337" i="11" l="1"/>
  <c r="J337" i="11" s="1"/>
  <c r="K337" i="11" l="1"/>
  <c r="E338" i="11" s="1"/>
  <c r="I338" i="11" l="1"/>
  <c r="J338" i="11" s="1"/>
  <c r="K338" i="11" l="1"/>
  <c r="E339" i="11" s="1"/>
  <c r="I339" i="11" l="1"/>
  <c r="J339" i="11" s="1"/>
  <c r="K339" i="11" l="1"/>
  <c r="E340" i="11" s="1"/>
  <c r="I340" i="11" l="1"/>
  <c r="J340" i="11" s="1"/>
  <c r="K340" i="11" l="1"/>
  <c r="E341" i="11" s="1"/>
  <c r="I341" i="11" s="1"/>
  <c r="J341" i="11" s="1"/>
  <c r="K341" i="11" s="1"/>
  <c r="E342" i="11" s="1"/>
  <c r="I342" i="11" l="1"/>
  <c r="J342" i="11" s="1"/>
  <c r="K342" i="11" l="1"/>
  <c r="E343" i="11" s="1"/>
  <c r="I343" i="11" l="1"/>
  <c r="J343" i="11" s="1"/>
  <c r="K343" i="11" l="1"/>
  <c r="E344" i="11" s="1"/>
  <c r="I344" i="11" l="1"/>
  <c r="J344" i="11" s="1"/>
  <c r="K344" i="11" l="1"/>
  <c r="E345" i="11" s="1"/>
  <c r="I345" i="11" l="1"/>
  <c r="J345" i="11" s="1"/>
  <c r="K345" i="11" s="1"/>
  <c r="E346" i="11" s="1"/>
  <c r="I346" i="11" s="1"/>
  <c r="J346" i="11" s="1"/>
  <c r="K346" i="11" s="1"/>
  <c r="E347" i="11" s="1"/>
  <c r="I347" i="11" l="1"/>
  <c r="J347" i="11" s="1"/>
  <c r="K347" i="11" l="1"/>
  <c r="E348" i="11" s="1"/>
  <c r="I348" i="11" l="1"/>
  <c r="J348" i="11" s="1"/>
  <c r="K348" i="11" l="1"/>
  <c r="E349" i="11" s="1"/>
  <c r="I349" i="11" l="1"/>
  <c r="J349" i="11" s="1"/>
  <c r="K349" i="11" l="1"/>
  <c r="E350" i="11" s="1"/>
  <c r="I350" i="11" l="1"/>
  <c r="J350" i="11" s="1"/>
  <c r="K350" i="11" l="1"/>
  <c r="E351" i="11" s="1"/>
  <c r="I351" i="11" l="1"/>
  <c r="J351" i="11" s="1"/>
  <c r="K351" i="11" l="1"/>
  <c r="E352" i="11" s="1"/>
  <c r="I352" i="11" l="1"/>
  <c r="J352" i="11" s="1"/>
  <c r="K352" i="11" l="1"/>
  <c r="E353" i="11" s="1"/>
  <c r="I353" i="11" l="1"/>
  <c r="J353" i="11" s="1"/>
  <c r="K353" i="11" l="1"/>
  <c r="E354" i="11" s="1"/>
  <c r="I354" i="11" s="1"/>
  <c r="J354" i="11" s="1"/>
  <c r="K354" i="11" s="1"/>
  <c r="E355" i="11" s="1"/>
  <c r="I355" i="11" l="1"/>
  <c r="J355" i="11" s="1"/>
  <c r="K355" i="11" l="1"/>
  <c r="E356" i="11" s="1"/>
  <c r="I356" i="11" l="1"/>
  <c r="J356" i="11" s="1"/>
  <c r="K356" i="11" l="1"/>
  <c r="E357" i="11" s="1"/>
  <c r="I357" i="11" l="1"/>
  <c r="J357" i="11" s="1"/>
  <c r="K357" i="11" l="1"/>
  <c r="E358" i="11" s="1"/>
  <c r="I358" i="11" s="1"/>
  <c r="J358" i="11" s="1"/>
  <c r="K358" i="11" s="1"/>
  <c r="E359" i="11" s="1"/>
  <c r="I359" i="11" s="1"/>
  <c r="J359" i="11" s="1"/>
  <c r="K359" i="11" s="1"/>
  <c r="E360" i="11" s="1"/>
  <c r="I360" i="11" l="1"/>
  <c r="J360" i="11" s="1"/>
  <c r="K360" i="11" s="1"/>
  <c r="E361" i="11" s="1"/>
  <c r="I361" i="11" s="1"/>
  <c r="J361" i="11" s="1"/>
  <c r="K361" i="11" s="1"/>
  <c r="E362" i="11" s="1"/>
  <c r="I362" i="11" l="1"/>
  <c r="J362" i="11" s="1"/>
  <c r="K362" i="11" l="1"/>
  <c r="E363" i="11" s="1"/>
  <c r="I363" i="11" s="1"/>
  <c r="J363" i="11" s="1"/>
  <c r="K363" i="11" l="1"/>
  <c r="E364" i="11" s="1"/>
  <c r="I364" i="11" s="1"/>
  <c r="J364" i="11" s="1"/>
  <c r="K364" i="11" s="1"/>
  <c r="E365" i="11" s="1"/>
  <c r="I365" i="11" s="1"/>
  <c r="J365" i="11" s="1"/>
  <c r="K365" i="11" s="1"/>
  <c r="E366" i="11" s="1"/>
  <c r="I366" i="11" s="1"/>
  <c r="J366" i="11" s="1"/>
  <c r="K366" i="11" s="1"/>
  <c r="E367" i="11" s="1"/>
  <c r="I367" i="11" l="1"/>
  <c r="J367" i="11" s="1"/>
  <c r="K367" i="11" s="1"/>
  <c r="E368" i="11" s="1"/>
  <c r="I368" i="11" s="1"/>
  <c r="J368" i="11" s="1"/>
  <c r="K368" i="11" s="1"/>
  <c r="E369" i="11" s="1"/>
  <c r="I369" i="11" s="1"/>
  <c r="J369" i="11" s="1"/>
  <c r="K369" i="11" s="1"/>
  <c r="E370" i="11" s="1"/>
  <c r="I370" i="11" l="1"/>
  <c r="J370" i="11" s="1"/>
  <c r="K370" i="11" s="1"/>
  <c r="E371" i="11" s="1"/>
  <c r="I371" i="11" l="1"/>
  <c r="J371" i="11" s="1"/>
  <c r="K371" i="11" s="1"/>
  <c r="E372" i="11" s="1"/>
  <c r="I372" i="11" l="1"/>
  <c r="J372" i="11" s="1"/>
  <c r="K372" i="11" l="1"/>
  <c r="E373" i="11" s="1"/>
  <c r="I373" i="11" l="1"/>
  <c r="J373" i="11" s="1"/>
  <c r="K373" i="11" l="1"/>
  <c r="E374" i="11" s="1"/>
  <c r="I374" i="11" l="1"/>
  <c r="J374" i="11" s="1"/>
  <c r="K374" i="11" l="1"/>
  <c r="E375" i="11" s="1"/>
  <c r="I375" i="11" l="1"/>
  <c r="J375" i="11" s="1"/>
  <c r="K375" i="11" l="1"/>
  <c r="E376" i="11" s="1"/>
  <c r="I376" i="11" l="1"/>
  <c r="J376" i="11" s="1"/>
  <c r="K376" i="11" l="1"/>
  <c r="E377" i="11" s="1"/>
  <c r="I377" i="11" s="1"/>
  <c r="J377" i="11" s="1"/>
  <c r="K377" i="11" s="1"/>
  <c r="E378" i="11" s="1"/>
  <c r="I378" i="11" s="1"/>
  <c r="J378" i="11" s="1"/>
  <c r="K378" i="11" s="1"/>
  <c r="E379" i="11" s="1"/>
  <c r="I379" i="11" s="1"/>
  <c r="J379" i="11" s="1"/>
  <c r="K379" i="11" s="1"/>
  <c r="E380" i="11" s="1"/>
  <c r="I380" i="11" l="1"/>
  <c r="J380" i="11" s="1"/>
  <c r="K380" i="11" l="1"/>
  <c r="E381" i="11" s="1"/>
  <c r="I381" i="11" l="1"/>
  <c r="J381" i="11" s="1"/>
  <c r="K381" i="11" l="1"/>
  <c r="E382" i="11" s="1"/>
  <c r="I382" i="11" l="1"/>
  <c r="J382" i="11" s="1"/>
  <c r="K382" i="11" l="1"/>
  <c r="E383" i="11" s="1"/>
  <c r="I383" i="11" l="1"/>
  <c r="J383" i="11" s="1"/>
  <c r="K383" i="11" l="1"/>
  <c r="E384" i="11" s="1"/>
  <c r="I384" i="11" s="1"/>
  <c r="J384" i="11" s="1"/>
  <c r="K384" i="11" s="1"/>
  <c r="E385" i="11" s="1"/>
  <c r="I385" i="11" l="1"/>
  <c r="J385" i="11" s="1"/>
  <c r="K385" i="11" l="1"/>
  <c r="E386" i="11" s="1"/>
  <c r="I386" i="11"/>
  <c r="J386" i="11" s="1"/>
  <c r="K386" i="11" l="1"/>
  <c r="E387" i="11" s="1"/>
  <c r="I387" i="11" l="1"/>
  <c r="J387" i="11" s="1"/>
  <c r="K387" i="11" l="1"/>
  <c r="E388" i="11" s="1"/>
  <c r="I388" i="11" l="1"/>
  <c r="J388" i="11" s="1"/>
  <c r="K388" i="11" l="1"/>
  <c r="E389" i="11" s="1"/>
  <c r="I389" i="11" l="1"/>
  <c r="J389" i="11" s="1"/>
  <c r="K389" i="11" l="1"/>
  <c r="E390" i="11" s="1"/>
  <c r="I390" i="11" l="1"/>
  <c r="J390" i="11" s="1"/>
  <c r="K390" i="11" l="1"/>
  <c r="E391" i="11" s="1"/>
  <c r="I391" i="11" l="1"/>
  <c r="J391" i="11" s="1"/>
  <c r="K391" i="11" l="1"/>
  <c r="E392" i="11" s="1"/>
  <c r="I392" i="11" l="1"/>
  <c r="J392" i="11" s="1"/>
  <c r="K392" i="11" l="1"/>
  <c r="E393" i="11" s="1"/>
  <c r="I393" i="11" l="1"/>
  <c r="J393" i="11" s="1"/>
  <c r="K393" i="11" l="1"/>
  <c r="E394" i="11" s="1"/>
  <c r="I394" i="11" l="1"/>
  <c r="J394" i="11" s="1"/>
  <c r="K394" i="11" l="1"/>
  <c r="E395" i="11" s="1"/>
  <c r="I395" i="11" s="1"/>
  <c r="J395" i="11" s="1"/>
  <c r="K395" i="11" s="1"/>
  <c r="E396" i="11" s="1"/>
  <c r="I396" i="11" l="1"/>
  <c r="J396" i="11" s="1"/>
  <c r="K396" i="11" s="1"/>
  <c r="E397" i="11" s="1"/>
  <c r="I397" i="11" l="1"/>
  <c r="J397" i="11" s="1"/>
  <c r="K397" i="11" l="1"/>
  <c r="E398" i="11" s="1"/>
  <c r="I398" i="11" l="1"/>
  <c r="J398" i="11" s="1"/>
  <c r="K398" i="11" l="1"/>
  <c r="E399" i="11" s="1"/>
  <c r="I399" i="11" l="1"/>
  <c r="J399" i="11" s="1"/>
  <c r="K399" i="11" l="1"/>
  <c r="E400" i="11" s="1"/>
  <c r="I400" i="11" l="1"/>
  <c r="J400" i="11" s="1"/>
  <c r="K400" i="11" l="1"/>
  <c r="E401" i="11" s="1"/>
  <c r="I401" i="11" l="1"/>
  <c r="J401" i="11" s="1"/>
  <c r="K401" i="11" l="1"/>
  <c r="E402" i="11" s="1"/>
  <c r="I402" i="11" s="1"/>
  <c r="J402" i="11" s="1"/>
  <c r="K402" i="11" s="1"/>
  <c r="E403" i="11" s="1"/>
  <c r="I403" i="11" l="1"/>
  <c r="J403" i="11" s="1"/>
  <c r="K403" i="11" l="1"/>
  <c r="E404" i="11" s="1"/>
  <c r="I404" i="11" s="1"/>
  <c r="J404" i="11" s="1"/>
  <c r="K404" i="11" s="1"/>
  <c r="E405" i="11" s="1"/>
  <c r="I405" i="11" l="1"/>
  <c r="J405" i="11" s="1"/>
  <c r="K405" i="11" l="1"/>
  <c r="E406" i="11" s="1"/>
  <c r="I406" i="11" l="1"/>
  <c r="J406" i="11" s="1"/>
  <c r="K406" i="11" l="1"/>
  <c r="E407" i="11" s="1"/>
  <c r="I407" i="11" s="1"/>
  <c r="J407" i="11" s="1"/>
  <c r="K407" i="11" s="1"/>
  <c r="E408" i="11" s="1"/>
  <c r="I408" i="11" l="1"/>
  <c r="J408" i="11" s="1"/>
  <c r="K408" i="11" l="1"/>
  <c r="E409" i="11" s="1"/>
  <c r="I409" i="11" l="1"/>
  <c r="J409" i="11" s="1"/>
  <c r="K409" i="11" l="1"/>
  <c r="E410" i="11" s="1"/>
  <c r="I410" i="11" l="1"/>
  <c r="J410" i="11" s="1"/>
  <c r="K410" i="11" l="1"/>
  <c r="E411" i="11" s="1"/>
  <c r="I411" i="11" l="1"/>
  <c r="J411" i="11" s="1"/>
  <c r="K411" i="11" l="1"/>
  <c r="E412" i="11" s="1"/>
  <c r="I412" i="11" s="1"/>
  <c r="J412" i="11" s="1"/>
  <c r="K412" i="11" s="1"/>
  <c r="E413" i="11" s="1"/>
  <c r="I413" i="11" s="1"/>
  <c r="J413" i="11" s="1"/>
  <c r="K413" i="11" s="1"/>
  <c r="E414" i="11" s="1"/>
  <c r="I414" i="11" l="1"/>
  <c r="J414" i="11" s="1"/>
  <c r="K414" i="11" l="1"/>
  <c r="E415" i="11" s="1"/>
  <c r="I415" i="11" l="1"/>
  <c r="J415" i="11" s="1"/>
  <c r="K415" i="11" l="1"/>
  <c r="E416" i="11" s="1"/>
  <c r="I416" i="11" s="1"/>
  <c r="J416" i="11" s="1"/>
  <c r="K416" i="11" s="1"/>
  <c r="E417" i="11" s="1"/>
  <c r="I417" i="11" s="1"/>
  <c r="J417" i="11" s="1"/>
  <c r="K417" i="11" l="1"/>
  <c r="E418" i="11" s="1"/>
  <c r="I418" i="11" l="1"/>
  <c r="J418" i="11" s="1"/>
  <c r="K418" i="11" l="1"/>
  <c r="E419" i="11" s="1"/>
  <c r="I419" i="11" s="1"/>
  <c r="J419" i="11" s="1"/>
  <c r="K419" i="11" s="1"/>
  <c r="E420" i="11" s="1"/>
  <c r="I420" i="11" l="1"/>
  <c r="J420" i="11" s="1"/>
  <c r="K420" i="11" l="1"/>
  <c r="E421" i="11" s="1"/>
  <c r="I421" i="11" l="1"/>
  <c r="J421" i="11" s="1"/>
  <c r="K421" i="11" l="1"/>
  <c r="E422" i="11" s="1"/>
  <c r="I422" i="11" l="1"/>
  <c r="J422" i="11" s="1"/>
  <c r="K422" i="11" l="1"/>
  <c r="E423" i="11" s="1"/>
  <c r="I423" i="11" l="1"/>
  <c r="J423" i="11" s="1"/>
  <c r="K423" i="11" s="1"/>
  <c r="E424" i="11" s="1"/>
  <c r="I424" i="11" l="1"/>
  <c r="J424" i="11" s="1"/>
  <c r="K424" i="11" l="1"/>
  <c r="E425" i="11" s="1"/>
  <c r="I425" i="11" l="1"/>
  <c r="J425" i="11" s="1"/>
  <c r="K425" i="11" l="1"/>
  <c r="E426" i="11" s="1"/>
  <c r="I426" i="11" l="1"/>
  <c r="J426" i="11" s="1"/>
  <c r="K426" i="11" l="1"/>
  <c r="E427" i="11" s="1"/>
  <c r="I427" i="11" l="1"/>
  <c r="J427" i="11" s="1"/>
  <c r="K427" i="11" l="1"/>
  <c r="E428" i="11" s="1"/>
  <c r="I428" i="11" l="1"/>
  <c r="J428" i="11" s="1"/>
  <c r="K428" i="11" l="1"/>
  <c r="E429" i="11" s="1"/>
  <c r="I429" i="11" s="1"/>
  <c r="J429" i="11" s="1"/>
  <c r="K429" i="11" s="1"/>
  <c r="E430" i="11" s="1"/>
  <c r="I430" i="11" l="1"/>
  <c r="J430" i="11" s="1"/>
  <c r="K430" i="11" l="1"/>
  <c r="E431" i="11" s="1"/>
  <c r="I431" i="11" l="1"/>
  <c r="J431" i="11" s="1"/>
  <c r="K431" i="11" l="1"/>
  <c r="E432" i="11" s="1"/>
  <c r="I432" i="11" l="1"/>
  <c r="J432" i="11" s="1"/>
  <c r="K432" i="11" l="1"/>
  <c r="E433" i="11" s="1"/>
  <c r="I433" i="11" s="1"/>
  <c r="J433" i="11" s="1"/>
  <c r="K433" i="11" l="1"/>
  <c r="E434" i="11" s="1"/>
  <c r="I434" i="11" l="1"/>
  <c r="J434" i="11" s="1"/>
  <c r="K434" i="11" l="1"/>
  <c r="E435" i="11" s="1"/>
  <c r="I435" i="11"/>
  <c r="J435" i="11" s="1"/>
  <c r="K435" i="11" l="1"/>
  <c r="E436" i="11" s="1"/>
  <c r="I436" i="11" l="1"/>
  <c r="J436" i="11" s="1"/>
  <c r="K436" i="11" l="1"/>
  <c r="E437" i="11" s="1"/>
  <c r="I437" i="11" l="1"/>
  <c r="J437" i="11" s="1"/>
  <c r="K437" i="11" l="1"/>
  <c r="E438" i="11" s="1"/>
  <c r="I438" i="11" l="1"/>
  <c r="J438" i="11" s="1"/>
  <c r="K438" i="11" l="1"/>
  <c r="E439" i="11" s="1"/>
  <c r="I439" i="11" l="1"/>
  <c r="J439" i="11" s="1"/>
  <c r="K439" i="11" l="1"/>
  <c r="E440" i="11" s="1"/>
  <c r="I440" i="11"/>
  <c r="J440" i="11" s="1"/>
  <c r="K440" i="11" l="1"/>
  <c r="E441" i="11" s="1"/>
  <c r="I441" i="11"/>
  <c r="J441" i="11" s="1"/>
  <c r="K441" i="11" l="1"/>
  <c r="E442" i="11" s="1"/>
  <c r="I442" i="11" l="1"/>
  <c r="J442" i="11" s="1"/>
  <c r="K442" i="11" l="1"/>
  <c r="E443" i="11" s="1"/>
  <c r="I443" i="11" l="1"/>
  <c r="J443" i="11" s="1"/>
  <c r="K443" i="11" l="1"/>
  <c r="E444" i="11" s="1"/>
  <c r="I444" i="11" s="1"/>
  <c r="J444" i="11" s="1"/>
  <c r="K444" i="11" s="1"/>
  <c r="E445" i="11" s="1"/>
  <c r="I445" i="11" s="1"/>
  <c r="J445" i="11" s="1"/>
  <c r="K445" i="11" s="1"/>
  <c r="E446" i="11" s="1"/>
  <c r="I446" i="11" l="1"/>
  <c r="J446" i="11" s="1"/>
  <c r="K446" i="11" l="1"/>
  <c r="E447" i="11" s="1"/>
  <c r="I447" i="11" l="1"/>
  <c r="J447" i="11" s="1"/>
  <c r="K447" i="11" l="1"/>
  <c r="E448" i="11" s="1"/>
  <c r="I448" i="11" l="1"/>
  <c r="J448" i="11" s="1"/>
  <c r="K448" i="11" l="1"/>
  <c r="E449" i="11" s="1"/>
  <c r="I449" i="11" s="1"/>
  <c r="J449" i="11" s="1"/>
  <c r="K449" i="11" s="1"/>
  <c r="E450" i="11" s="1"/>
  <c r="I450" i="11" l="1"/>
  <c r="J450" i="11" s="1"/>
  <c r="K450" i="11" l="1"/>
  <c r="E451" i="11" s="1"/>
  <c r="I451" i="11" s="1"/>
  <c r="J451" i="11" s="1"/>
  <c r="K451" i="11" s="1"/>
  <c r="E452" i="11" s="1"/>
  <c r="I452" i="11" l="1"/>
  <c r="J452" i="11" s="1"/>
  <c r="K452" i="11" l="1"/>
  <c r="E453" i="11" s="1"/>
  <c r="I453" i="11" l="1"/>
  <c r="J453" i="11" s="1"/>
  <c r="K453" i="11" l="1"/>
  <c r="E454" i="11" s="1"/>
  <c r="I454" i="11"/>
  <c r="J454" i="11" s="1"/>
  <c r="K454" i="11" l="1"/>
  <c r="E455" i="11" s="1"/>
  <c r="I455" i="11" l="1"/>
  <c r="J455" i="11" s="1"/>
  <c r="K455" i="11" l="1"/>
  <c r="E456" i="11" s="1"/>
  <c r="I456" i="11" l="1"/>
  <c r="J456" i="11" s="1"/>
  <c r="K456" i="11" l="1"/>
  <c r="E457" i="11" s="1"/>
  <c r="I457" i="11" l="1"/>
  <c r="J457" i="11" s="1"/>
  <c r="K457" i="11" s="1"/>
  <c r="E458" i="11" s="1"/>
  <c r="I458" i="11" s="1"/>
  <c r="J458" i="11" s="1"/>
  <c r="K458" i="11" s="1"/>
  <c r="E459" i="11" s="1"/>
  <c r="I459" i="11" l="1"/>
  <c r="J459" i="11" s="1"/>
  <c r="K459" i="11" l="1"/>
  <c r="E460" i="11" s="1"/>
  <c r="I460" i="11" l="1"/>
  <c r="J460" i="11" s="1"/>
  <c r="K460" i="11" l="1"/>
  <c r="E461" i="11" s="1"/>
  <c r="I461" i="11" l="1"/>
  <c r="J461" i="11" s="1"/>
  <c r="K461" i="11" l="1"/>
  <c r="E462" i="11" s="1"/>
  <c r="I462" i="11" l="1"/>
  <c r="J462" i="11" s="1"/>
  <c r="K462" i="11" l="1"/>
  <c r="E463" i="11" s="1"/>
  <c r="I463" i="11" s="1"/>
  <c r="J463" i="11" s="1"/>
  <c r="K463" i="11" s="1"/>
  <c r="E464" i="11" s="1"/>
  <c r="I464" i="11" l="1"/>
  <c r="J464" i="11" s="1"/>
  <c r="K464" i="11" l="1"/>
  <c r="E465" i="11" s="1"/>
  <c r="I465" i="11" l="1"/>
  <c r="J465" i="11" s="1"/>
  <c r="K465" i="11" l="1"/>
  <c r="E466" i="11" s="1"/>
  <c r="I466" i="11" l="1"/>
  <c r="J466" i="11" s="1"/>
  <c r="K466" i="11" l="1"/>
  <c r="E467" i="11" s="1"/>
  <c r="I467" i="11" l="1"/>
  <c r="J467" i="11" s="1"/>
  <c r="K467" i="11" l="1"/>
  <c r="E468" i="11" s="1"/>
  <c r="I468" i="11" l="1"/>
  <c r="J468" i="11" s="1"/>
  <c r="K468" i="11" l="1"/>
  <c r="E469" i="11" s="1"/>
  <c r="I469" i="11" l="1"/>
  <c r="J469" i="11" s="1"/>
  <c r="K469" i="11" l="1"/>
  <c r="E470" i="11" s="1"/>
  <c r="I470" i="11" l="1"/>
  <c r="J470" i="11" s="1"/>
  <c r="K470" i="11" l="1"/>
  <c r="E471" i="11" s="1"/>
  <c r="I471" i="11" l="1"/>
  <c r="J471" i="11" s="1"/>
  <c r="K471" i="11" s="1"/>
  <c r="E472" i="11" s="1"/>
  <c r="I472" i="11" l="1"/>
  <c r="J472" i="11" s="1"/>
  <c r="K472" i="11" s="1"/>
  <c r="E473" i="11" s="1"/>
  <c r="I473" i="11" l="1"/>
  <c r="J473" i="11" s="1"/>
  <c r="K473" i="11" l="1"/>
  <c r="E474" i="11" s="1"/>
  <c r="I474" i="11" l="1"/>
  <c r="J474" i="11" s="1"/>
  <c r="K474" i="11" l="1"/>
  <c r="E475" i="11" s="1"/>
  <c r="I475" i="11" l="1"/>
  <c r="J475" i="11" s="1"/>
  <c r="K475" i="11" l="1"/>
  <c r="E476" i="11" s="1"/>
  <c r="I476" i="11" l="1"/>
  <c r="J476" i="11" s="1"/>
  <c r="K476" i="11" l="1"/>
  <c r="E477" i="11" s="1"/>
  <c r="I477" i="11" s="1"/>
  <c r="J477" i="11" s="1"/>
  <c r="K477" i="11" s="1"/>
  <c r="E478" i="11" s="1"/>
  <c r="I478" i="11" l="1"/>
  <c r="J478" i="11" s="1"/>
  <c r="K478" i="11" l="1"/>
  <c r="E479" i="11" s="1"/>
  <c r="I479" i="11" l="1"/>
  <c r="J479" i="11" s="1"/>
  <c r="K479" i="11" l="1"/>
  <c r="E480" i="11" s="1"/>
  <c r="I480" i="11"/>
  <c r="J480" i="11" s="1"/>
  <c r="K480" i="11" l="1"/>
  <c r="E481" i="11" s="1"/>
  <c r="I481" i="11"/>
  <c r="J481" i="11" s="1"/>
  <c r="K481" i="11" l="1"/>
  <c r="E482" i="11" s="1"/>
  <c r="I482" i="11" l="1"/>
  <c r="J482" i="11" s="1"/>
  <c r="K482" i="11" l="1"/>
  <c r="E483" i="11" s="1"/>
  <c r="I483" i="11" l="1"/>
  <c r="J483" i="11" s="1"/>
  <c r="K483" i="11" l="1"/>
  <c r="E484" i="11" s="1"/>
  <c r="I484" i="11" l="1"/>
  <c r="J484" i="11" s="1"/>
  <c r="K484" i="11" l="1"/>
  <c r="E485" i="11" s="1"/>
  <c r="I485" i="11"/>
  <c r="J485" i="11" s="1"/>
  <c r="K485" i="11" l="1"/>
  <c r="E486" i="11" s="1"/>
  <c r="I486" i="11" s="1"/>
  <c r="J486" i="11" s="1"/>
  <c r="K486" i="11" s="1"/>
  <c r="E487" i="11" s="1"/>
  <c r="I487" i="11" l="1"/>
  <c r="J487" i="11" s="1"/>
  <c r="K487" i="11" l="1"/>
  <c r="E488" i="11" s="1"/>
  <c r="I488" i="11" l="1"/>
  <c r="J488" i="11" s="1"/>
  <c r="K488" i="11" l="1"/>
  <c r="E489" i="11" s="1"/>
  <c r="I489" i="11" l="1"/>
  <c r="J489" i="11" s="1"/>
  <c r="K489" i="11" l="1"/>
  <c r="E490" i="11" s="1"/>
  <c r="I490" i="11" l="1"/>
  <c r="J490" i="11" s="1"/>
  <c r="K490" i="11" l="1"/>
  <c r="E491" i="11" s="1"/>
  <c r="I491" i="11" l="1"/>
  <c r="J491" i="11" s="1"/>
  <c r="K491" i="11" l="1"/>
  <c r="E492" i="11" s="1"/>
  <c r="I492" i="11" s="1"/>
  <c r="J492" i="11" s="1"/>
  <c r="K492" i="11" l="1"/>
  <c r="E493" i="11" s="1"/>
  <c r="I493" i="11" l="1"/>
  <c r="J493" i="11" s="1"/>
  <c r="K493" i="11" l="1"/>
  <c r="E494" i="11" s="1"/>
  <c r="I494" i="11" l="1"/>
  <c r="J494" i="11" s="1"/>
  <c r="K494" i="11" l="1"/>
  <c r="E495" i="11" s="1"/>
  <c r="I495" i="11" l="1"/>
  <c r="J495" i="11" s="1"/>
  <c r="K495" i="11" l="1"/>
  <c r="E496" i="11" s="1"/>
  <c r="I496" i="11" l="1"/>
  <c r="J496" i="11" s="1"/>
  <c r="K496" i="11" l="1"/>
  <c r="E497" i="11" s="1"/>
  <c r="I497" i="11" l="1"/>
  <c r="J497" i="11" s="1"/>
  <c r="K497" i="11" l="1"/>
  <c r="E498" i="11" s="1"/>
  <c r="I498" i="11" l="1"/>
  <c r="J498" i="11" s="1"/>
  <c r="K498" i="11" l="1"/>
  <c r="E499" i="11" s="1"/>
  <c r="I499" i="11" l="1"/>
  <c r="J499" i="11" s="1"/>
  <c r="K499" i="11" l="1"/>
  <c r="E500" i="11" s="1"/>
  <c r="I500" i="11" l="1"/>
  <c r="J500" i="11" s="1"/>
  <c r="K500" i="11" l="1"/>
  <c r="E501" i="11" s="1"/>
  <c r="I501" i="11" l="1"/>
  <c r="J501" i="11" s="1"/>
  <c r="K501" i="11" l="1"/>
  <c r="E502" i="11" s="1"/>
  <c r="I502" i="11" l="1"/>
  <c r="J502" i="11" s="1"/>
  <c r="K502" i="11" l="1"/>
  <c r="E503" i="11" s="1"/>
  <c r="I503" i="11" s="1"/>
  <c r="J503" i="11" s="1"/>
  <c r="K503" i="11" s="1"/>
  <c r="E504" i="11" s="1"/>
  <c r="I504" i="11" l="1"/>
  <c r="J504" i="11" s="1"/>
  <c r="K504" i="11" l="1"/>
  <c r="E505" i="11" s="1"/>
  <c r="I505" i="11" l="1"/>
  <c r="J505" i="11" s="1"/>
  <c r="K505" i="11" l="1"/>
  <c r="E506" i="11" s="1"/>
  <c r="I506" i="11" l="1"/>
  <c r="J506" i="11" s="1"/>
  <c r="K506" i="11" l="1"/>
  <c r="E507" i="11" s="1"/>
  <c r="I507" i="11" l="1"/>
  <c r="J507" i="11" s="1"/>
  <c r="K507" i="11" l="1"/>
  <c r="E508" i="11" s="1"/>
  <c r="I508" i="11" l="1"/>
  <c r="J508" i="11" s="1"/>
  <c r="K508" i="11" l="1"/>
  <c r="E509" i="11" s="1"/>
  <c r="I509" i="11" l="1"/>
  <c r="J509" i="11" s="1"/>
  <c r="K509" i="11" s="1"/>
  <c r="E510" i="11" s="1"/>
  <c r="I510" i="11" l="1"/>
  <c r="J510" i="11" s="1"/>
  <c r="K510" i="11" l="1"/>
  <c r="E511" i="11" s="1"/>
  <c r="I511" i="11" l="1"/>
  <c r="J511" i="11" s="1"/>
  <c r="K511" i="11" l="1"/>
  <c r="E512" i="11" s="1"/>
  <c r="I512" i="11" l="1"/>
  <c r="J512" i="11" s="1"/>
  <c r="K512" i="11" l="1"/>
  <c r="E513" i="11" s="1"/>
  <c r="I513" i="11" l="1"/>
  <c r="J513" i="11" s="1"/>
  <c r="K513" i="11" l="1"/>
  <c r="E514" i="11" s="1"/>
  <c r="I514" i="11" l="1"/>
  <c r="J514" i="11" s="1"/>
  <c r="K514" i="11" l="1"/>
  <c r="E515" i="11" s="1"/>
  <c r="I515" i="11" l="1"/>
  <c r="J515" i="11" s="1"/>
  <c r="K515" i="11" l="1"/>
  <c r="E516" i="11" s="1"/>
  <c r="I516" i="11" l="1"/>
  <c r="J516" i="11" s="1"/>
  <c r="K516" i="11" l="1"/>
  <c r="E517" i="11" s="1"/>
  <c r="I517" i="11" l="1"/>
  <c r="J517" i="11" s="1"/>
  <c r="K517" i="11" l="1"/>
  <c r="E518" i="11" s="1"/>
  <c r="I518" i="11" l="1"/>
  <c r="J518" i="11" s="1"/>
  <c r="K518" i="11" s="1"/>
  <c r="E519" i="11" s="1"/>
  <c r="I519" i="11" l="1"/>
  <c r="J519" i="11" s="1"/>
  <c r="K519" i="11" s="1"/>
  <c r="E520" i="11" s="1"/>
  <c r="I520" i="11" l="1"/>
  <c r="J520" i="11" s="1"/>
  <c r="K520" i="11" l="1"/>
  <c r="E521" i="11" s="1"/>
  <c r="I521" i="11" l="1"/>
  <c r="J521" i="11" s="1"/>
  <c r="K521" i="11" l="1"/>
  <c r="E522" i="11" s="1"/>
  <c r="I522" i="11" s="1"/>
  <c r="J522" i="11" s="1"/>
  <c r="K522" i="11" s="1"/>
  <c r="E523" i="11" s="1"/>
  <c r="I523" i="11" l="1"/>
  <c r="J523" i="11" s="1"/>
  <c r="K523" i="11" s="1"/>
  <c r="E524" i="11" s="1"/>
  <c r="I524" i="11" l="1"/>
  <c r="J524" i="11" s="1"/>
  <c r="K524" i="11" l="1"/>
  <c r="E525" i="11" s="1"/>
  <c r="I525" i="11" s="1"/>
  <c r="J525" i="11" s="1"/>
  <c r="K525" i="11" s="1"/>
  <c r="E526" i="11" s="1"/>
  <c r="I526" i="11" s="1"/>
  <c r="J526" i="11" s="1"/>
  <c r="K526" i="11" l="1"/>
  <c r="E527" i="11" s="1"/>
  <c r="I527" i="11" l="1"/>
  <c r="J527" i="11" s="1"/>
  <c r="K527" i="11" l="1"/>
  <c r="E528" i="11" s="1"/>
  <c r="I528" i="11" l="1"/>
  <c r="J528" i="11" s="1"/>
  <c r="K528" i="11" l="1"/>
  <c r="E529" i="11" s="1"/>
  <c r="I529" i="11" l="1"/>
  <c r="J529" i="11" s="1"/>
  <c r="K529" i="11" l="1"/>
  <c r="E530" i="11" s="1"/>
  <c r="I530" i="11" l="1"/>
  <c r="J530" i="11" s="1"/>
  <c r="K530" i="11" l="1"/>
  <c r="E531" i="11" s="1"/>
  <c r="I531" i="11" s="1"/>
  <c r="J531" i="11" s="1"/>
  <c r="K531" i="11" s="1"/>
  <c r="E532" i="11" s="1"/>
  <c r="I532" i="11" l="1"/>
  <c r="J532" i="11" s="1"/>
  <c r="K532" i="11" l="1"/>
  <c r="E533" i="11" s="1"/>
  <c r="I533" i="11" s="1"/>
  <c r="J533" i="11" s="1"/>
  <c r="K533" i="11" l="1"/>
  <c r="E534" i="11" s="1"/>
  <c r="I534" i="11" s="1"/>
  <c r="J534" i="11" s="1"/>
  <c r="K534" i="11" l="1"/>
  <c r="E535" i="11" s="1"/>
  <c r="I535" i="11" l="1"/>
  <c r="J535" i="11" s="1"/>
  <c r="K535" i="11" s="1"/>
  <c r="E536" i="11" s="1"/>
  <c r="I536" i="11" l="1"/>
  <c r="J536" i="11" s="1"/>
  <c r="K536" i="11" l="1"/>
  <c r="E537" i="11" s="1"/>
  <c r="I537" i="11" l="1"/>
  <c r="J537" i="11" s="1"/>
  <c r="K537" i="11" l="1"/>
  <c r="E538" i="11" s="1"/>
  <c r="I538" i="11" s="1"/>
  <c r="J538" i="11" s="1"/>
  <c r="K538" i="11" s="1"/>
  <c r="E539" i="11" s="1"/>
  <c r="I539" i="11" l="1"/>
  <c r="J539" i="11" s="1"/>
  <c r="K539" i="11" s="1"/>
  <c r="E540" i="11" s="1"/>
  <c r="I540" i="11" l="1"/>
  <c r="J540" i="11" s="1"/>
  <c r="K540" i="11" l="1"/>
  <c r="E541" i="11" s="1"/>
  <c r="I541" i="11" s="1"/>
  <c r="J541" i="11" s="1"/>
  <c r="K541" i="11" s="1"/>
  <c r="E542" i="11" s="1"/>
  <c r="I542" i="11" l="1"/>
  <c r="J542" i="11" s="1"/>
  <c r="K542" i="11" s="1"/>
  <c r="E543" i="11" s="1"/>
  <c r="I543" i="11" l="1"/>
  <c r="J543" i="11" s="1"/>
  <c r="K543" i="11" l="1"/>
  <c r="E544" i="11" s="1"/>
  <c r="I544" i="11" l="1"/>
  <c r="J544" i="11" s="1"/>
  <c r="K544" i="11" s="1"/>
  <c r="E545" i="11" s="1"/>
  <c r="I545" i="11" l="1"/>
  <c r="J545" i="11" s="1"/>
  <c r="K545" i="11" l="1"/>
  <c r="E546" i="11" s="1"/>
  <c r="I546" i="11" l="1"/>
  <c r="J546" i="11" s="1"/>
  <c r="K546" i="11" l="1"/>
  <c r="E547" i="11" s="1"/>
  <c r="I547" i="11" l="1"/>
  <c r="J547" i="11" s="1"/>
  <c r="K547" i="11" l="1"/>
  <c r="E548" i="11" s="1"/>
  <c r="I548" i="11" l="1"/>
  <c r="J548" i="11" s="1"/>
  <c r="K548" i="11" l="1"/>
  <c r="E549" i="11" s="1"/>
  <c r="I549" i="11" s="1"/>
  <c r="J549" i="11" s="1"/>
  <c r="K549" i="11" s="1"/>
  <c r="E550" i="11" s="1"/>
  <c r="I550" i="11" l="1"/>
  <c r="J550" i="11" s="1"/>
  <c r="K550" i="11" l="1"/>
  <c r="E551" i="11" s="1"/>
  <c r="I551" i="11" l="1"/>
  <c r="J551" i="11" s="1"/>
  <c r="K551" i="11" l="1"/>
  <c r="E552" i="11" s="1"/>
  <c r="I552" i="11" l="1"/>
  <c r="J552" i="11" s="1"/>
  <c r="K552" i="11" l="1"/>
  <c r="E553" i="11" s="1"/>
  <c r="I553" i="11" l="1"/>
  <c r="J553" i="11" s="1"/>
  <c r="K553" i="11" l="1"/>
  <c r="E554" i="11" s="1"/>
  <c r="I554" i="11" s="1"/>
  <c r="J554" i="11" s="1"/>
  <c r="K554" i="11" s="1"/>
  <c r="E555" i="11" s="1"/>
  <c r="I555" i="11" s="1"/>
  <c r="J555" i="11" s="1"/>
  <c r="K555" i="11" l="1"/>
  <c r="E556" i="11" s="1"/>
  <c r="I556" i="11" l="1"/>
  <c r="J556" i="11" s="1"/>
  <c r="K556" i="11" s="1"/>
  <c r="E557" i="11" s="1"/>
  <c r="I557" i="11" l="1"/>
  <c r="J557" i="11" s="1"/>
  <c r="K557" i="11" l="1"/>
  <c r="E558" i="11" s="1"/>
  <c r="I558" i="11" s="1"/>
  <c r="J558" i="11" s="1"/>
  <c r="K558" i="11" s="1"/>
  <c r="E559" i="11" s="1"/>
  <c r="I559" i="11" l="1"/>
  <c r="J559" i="11" s="1"/>
  <c r="K559" i="11" l="1"/>
  <c r="E560" i="11" s="1"/>
  <c r="I560" i="11" l="1"/>
  <c r="J560" i="11" s="1"/>
  <c r="K560" i="11" l="1"/>
  <c r="E561" i="11" s="1"/>
  <c r="I561" i="11" l="1"/>
  <c r="J561" i="11" s="1"/>
  <c r="K561" i="11" l="1"/>
  <c r="E562" i="11" s="1"/>
  <c r="I562" i="11" l="1"/>
  <c r="J562" i="11" s="1"/>
  <c r="K562" i="11" l="1"/>
  <c r="E563" i="11" s="1"/>
  <c r="I563" i="11" l="1"/>
  <c r="J563" i="11" s="1"/>
  <c r="K563" i="11" l="1"/>
  <c r="E564" i="11" s="1"/>
  <c r="I564" i="11" l="1"/>
  <c r="J564" i="11" s="1"/>
  <c r="K564" i="11" l="1"/>
  <c r="E565" i="11" s="1"/>
  <c r="I565" i="11" s="1"/>
  <c r="J565" i="11" s="1"/>
  <c r="K565" i="11" s="1"/>
  <c r="E566" i="11" s="1"/>
  <c r="I566" i="11" l="1"/>
  <c r="J566" i="11" s="1"/>
  <c r="K566" i="11" l="1"/>
  <c r="E567" i="11" s="1"/>
  <c r="I567" i="11" l="1"/>
  <c r="J567" i="11" s="1"/>
  <c r="K567" i="11" l="1"/>
  <c r="E568" i="11" s="1"/>
  <c r="I568" i="11" s="1"/>
  <c r="J568" i="11" s="1"/>
  <c r="K568" i="11" s="1"/>
  <c r="E569" i="11" s="1"/>
  <c r="I569" i="11" l="1"/>
  <c r="J569" i="11" s="1"/>
  <c r="K569" i="11" l="1"/>
  <c r="E570" i="11" s="1"/>
  <c r="I570" i="11" l="1"/>
  <c r="J570" i="11" s="1"/>
  <c r="K570" i="11" l="1"/>
  <c r="E571" i="11" s="1"/>
  <c r="I571" i="11" l="1"/>
  <c r="J571" i="11" s="1"/>
  <c r="K571" i="11" l="1"/>
  <c r="E572" i="11" s="1"/>
  <c r="I572" i="11" l="1"/>
  <c r="J572" i="11" s="1"/>
  <c r="K572" i="11" l="1"/>
  <c r="E573" i="11" s="1"/>
  <c r="I573" i="11" s="1"/>
  <c r="J573" i="11" s="1"/>
  <c r="K573" i="11" s="1"/>
  <c r="E574" i="11" s="1"/>
  <c r="I574" i="11" l="1"/>
  <c r="J574" i="11" s="1"/>
  <c r="K574" i="11" l="1"/>
  <c r="E575" i="11" s="1"/>
  <c r="I575" i="11" l="1"/>
  <c r="J575" i="11" s="1"/>
  <c r="K575" i="11" l="1"/>
  <c r="E576" i="11" s="1"/>
  <c r="I576" i="11" s="1"/>
  <c r="J576" i="11" s="1"/>
  <c r="K576" i="11" l="1"/>
  <c r="E577" i="11" s="1"/>
  <c r="I577" i="11" l="1"/>
  <c r="J577" i="11" s="1"/>
  <c r="K577" i="11" l="1"/>
  <c r="E578" i="11" s="1"/>
  <c r="I578" i="11" l="1"/>
  <c r="J578" i="11" s="1"/>
  <c r="K578" i="11" l="1"/>
  <c r="E579" i="11" s="1"/>
  <c r="I579" i="11" l="1"/>
  <c r="J579" i="11" s="1"/>
  <c r="K579" i="11" l="1"/>
  <c r="E580" i="11" s="1"/>
  <c r="I580" i="11" l="1"/>
  <c r="J580" i="11" s="1"/>
  <c r="K580" i="11" l="1"/>
  <c r="E581" i="11" s="1"/>
  <c r="I581" i="11" l="1"/>
  <c r="J581" i="11" s="1"/>
  <c r="K581" i="11" l="1"/>
  <c r="E582" i="11" s="1"/>
  <c r="I582" i="11" l="1"/>
  <c r="J582" i="11" s="1"/>
  <c r="K582" i="11" l="1"/>
  <c r="E583" i="11" s="1"/>
  <c r="I583" i="11" s="1"/>
  <c r="J583" i="11" s="1"/>
  <c r="K583" i="11" s="1"/>
  <c r="E584" i="11" s="1"/>
  <c r="I584" i="11" s="1"/>
  <c r="J584" i="11" s="1"/>
  <c r="K584" i="11" s="1"/>
  <c r="E585" i="11" s="1"/>
  <c r="I585" i="11" l="1"/>
  <c r="J585" i="11" s="1"/>
  <c r="K585" i="11" l="1"/>
  <c r="E586" i="11" s="1"/>
  <c r="I586" i="11" l="1"/>
  <c r="J586" i="11" s="1"/>
  <c r="K586" i="11" s="1"/>
  <c r="E587" i="11" s="1"/>
  <c r="I587" i="11" l="1"/>
  <c r="J587" i="11" s="1"/>
  <c r="K587" i="11" l="1"/>
  <c r="E588" i="11" s="1"/>
  <c r="I588" i="11" l="1"/>
  <c r="J588" i="11" s="1"/>
  <c r="K588" i="11" l="1"/>
  <c r="E589" i="11" s="1"/>
  <c r="I589" i="11" l="1"/>
  <c r="J589" i="11" s="1"/>
  <c r="K589" i="11" l="1"/>
  <c r="E590" i="11" s="1"/>
  <c r="I590" i="11" l="1"/>
  <c r="J590" i="11" s="1"/>
  <c r="K590" i="11" l="1"/>
  <c r="E591" i="11" s="1"/>
  <c r="I591" i="11" l="1"/>
  <c r="J591" i="11" s="1"/>
  <c r="K591" i="11" l="1"/>
  <c r="E592" i="11" s="1"/>
  <c r="I592" i="11" l="1"/>
  <c r="J592" i="11" s="1"/>
  <c r="K592" i="11" l="1"/>
  <c r="E593" i="11" s="1"/>
  <c r="I593" i="11" l="1"/>
  <c r="J593" i="11" s="1"/>
  <c r="K593" i="11" l="1"/>
  <c r="E594" i="11" s="1"/>
  <c r="I594" i="11" l="1"/>
  <c r="J594" i="11" s="1"/>
  <c r="K594" i="11" l="1"/>
  <c r="E595" i="11" s="1"/>
  <c r="I595" i="11" l="1"/>
  <c r="J595" i="11" s="1"/>
  <c r="K595" i="11" l="1"/>
  <c r="E596" i="11" s="1"/>
  <c r="I596" i="11" l="1"/>
  <c r="J596" i="11" s="1"/>
  <c r="K596" i="11" l="1"/>
  <c r="E597" i="11" s="1"/>
  <c r="I597" i="11" s="1"/>
  <c r="J597" i="11" s="1"/>
  <c r="K597" i="11" s="1"/>
  <c r="E598" i="11" s="1"/>
  <c r="I598" i="11" l="1"/>
  <c r="J598" i="11" s="1"/>
  <c r="K598" i="11" l="1"/>
  <c r="E599" i="11" s="1"/>
  <c r="I599" i="11" l="1"/>
  <c r="J599" i="11" s="1"/>
  <c r="K599" i="11" l="1"/>
  <c r="E600" i="11" s="1"/>
  <c r="I600" i="11" l="1"/>
  <c r="J600" i="11" s="1"/>
  <c r="K600" i="11" l="1"/>
  <c r="E601" i="11" s="1"/>
  <c r="I601" i="11" l="1"/>
  <c r="J601" i="11" s="1"/>
  <c r="K601" i="11" l="1"/>
  <c r="E602" i="11" s="1"/>
  <c r="I602" i="11" l="1"/>
  <c r="J602" i="11" s="1"/>
  <c r="K602" i="11" l="1"/>
  <c r="E603" i="11" s="1"/>
  <c r="I603" i="11" l="1"/>
  <c r="J603" i="11" s="1"/>
  <c r="K603" i="11" l="1"/>
  <c r="E604" i="11" s="1"/>
  <c r="I604" i="11" l="1"/>
  <c r="J604" i="11" s="1"/>
  <c r="K604" i="11" l="1"/>
  <c r="E605" i="11" s="1"/>
  <c r="I605" i="11" l="1"/>
  <c r="J605" i="11" s="1"/>
  <c r="K605" i="11" l="1"/>
  <c r="E606" i="11" s="1"/>
  <c r="I606" i="11" l="1"/>
  <c r="J606" i="11" s="1"/>
  <c r="K606" i="11" l="1"/>
  <c r="E607" i="11" s="1"/>
  <c r="I607" i="11" l="1"/>
  <c r="J607" i="11" s="1"/>
  <c r="K607" i="11" l="1"/>
  <c r="E608" i="11" s="1"/>
  <c r="I608" i="11"/>
  <c r="J608" i="11" s="1"/>
  <c r="K608" i="11" s="1"/>
  <c r="E609" i="11" s="1"/>
  <c r="I609" i="11" l="1"/>
  <c r="J609" i="11" s="1"/>
  <c r="K609" i="11" l="1"/>
  <c r="E610" i="11" s="1"/>
  <c r="I610" i="11" l="1"/>
  <c r="J610" i="11" s="1"/>
  <c r="K610" i="11" l="1"/>
  <c r="E611" i="11" s="1"/>
  <c r="I611" i="11" l="1"/>
  <c r="J611" i="11" s="1"/>
  <c r="K611" i="11" l="1"/>
  <c r="E612" i="11" s="1"/>
  <c r="I612" i="11" l="1"/>
  <c r="J612" i="11" s="1"/>
  <c r="K612" i="11" s="1"/>
  <c r="E613" i="11" s="1"/>
  <c r="I613" i="11" l="1"/>
  <c r="J613" i="11" s="1"/>
  <c r="K613" i="11" l="1"/>
  <c r="E614" i="11" s="1"/>
  <c r="I614" i="11" l="1"/>
  <c r="J614" i="11" s="1"/>
  <c r="K614" i="11" l="1"/>
  <c r="E615" i="11" s="1"/>
  <c r="I615" i="11"/>
  <c r="J615" i="11" s="1"/>
  <c r="K615" i="11" l="1"/>
  <c r="E616" i="11" s="1"/>
  <c r="I616" i="11" s="1"/>
  <c r="J616" i="11" s="1"/>
  <c r="K616" i="11" s="1"/>
  <c r="E617" i="11" s="1"/>
  <c r="I617" i="11" l="1"/>
  <c r="J617" i="11" s="1"/>
  <c r="K617" i="11" s="1"/>
  <c r="E618" i="11" s="1"/>
  <c r="I618" i="11" l="1"/>
  <c r="J618" i="11" s="1"/>
  <c r="K618" i="11" l="1"/>
  <c r="E619" i="11" s="1"/>
  <c r="I619" i="11" l="1"/>
  <c r="J619" i="11" s="1"/>
  <c r="K619" i="11" l="1"/>
  <c r="E620" i="11" s="1"/>
  <c r="I620" i="11" l="1"/>
  <c r="J620" i="11" s="1"/>
  <c r="K620" i="11" l="1"/>
  <c r="E621" i="11" s="1"/>
  <c r="I621" i="11" l="1"/>
  <c r="J621" i="11" s="1"/>
  <c r="K621" i="11" l="1"/>
  <c r="E622" i="11" s="1"/>
  <c r="I622" i="11" l="1"/>
  <c r="J622" i="11" s="1"/>
  <c r="K622" i="11" l="1"/>
  <c r="E623" i="11" s="1"/>
  <c r="I623" i="11" l="1"/>
  <c r="J623" i="11" s="1"/>
  <c r="K623" i="11" l="1"/>
  <c r="E624" i="11" s="1"/>
  <c r="I624" i="11" l="1"/>
  <c r="J624" i="11" s="1"/>
  <c r="K624" i="11" s="1"/>
  <c r="E625" i="11" s="1"/>
  <c r="I625" i="11" l="1"/>
  <c r="J625" i="11" s="1"/>
  <c r="K625" i="11" l="1"/>
  <c r="E626" i="11" s="1"/>
  <c r="I626" i="11" l="1"/>
  <c r="J626" i="11" s="1"/>
  <c r="K626" i="11" l="1"/>
  <c r="E627" i="11" s="1"/>
  <c r="I627" i="11" l="1"/>
  <c r="J627" i="11" s="1"/>
  <c r="K627" i="11" l="1"/>
  <c r="E628" i="11" s="1"/>
  <c r="I628" i="11" l="1"/>
  <c r="J628" i="11" s="1"/>
  <c r="K628" i="11" l="1"/>
  <c r="E629" i="11" s="1"/>
  <c r="I629" i="11" l="1"/>
  <c r="J629" i="11" s="1"/>
  <c r="K629" i="11" s="1"/>
  <c r="E630" i="11" s="1"/>
  <c r="I630" i="11" l="1"/>
  <c r="J630" i="11" s="1"/>
  <c r="K630" i="11" s="1"/>
  <c r="E631" i="11" s="1"/>
  <c r="I631" i="11" l="1"/>
  <c r="J631" i="11" s="1"/>
  <c r="K631" i="11" l="1"/>
  <c r="E632" i="11" s="1"/>
  <c r="I632" i="11" l="1"/>
  <c r="J632" i="11" s="1"/>
  <c r="K632" i="11" l="1"/>
  <c r="E633" i="11" s="1"/>
  <c r="I633" i="11" l="1"/>
  <c r="J633" i="11" s="1"/>
  <c r="K633" i="11" l="1"/>
  <c r="E634" i="11" s="1"/>
  <c r="I634" i="11" l="1"/>
  <c r="J634" i="11" s="1"/>
  <c r="K634" i="11" l="1"/>
  <c r="E635" i="11" s="1"/>
  <c r="I635" i="11"/>
  <c r="J635" i="11" s="1"/>
  <c r="K635" i="11" l="1"/>
  <c r="E636" i="11" s="1"/>
  <c r="I636" i="11" l="1"/>
  <c r="J636" i="11" s="1"/>
  <c r="K636" i="11" l="1"/>
  <c r="E637" i="11" s="1"/>
  <c r="I637" i="11"/>
  <c r="J637" i="11" s="1"/>
  <c r="K637" i="11" l="1"/>
  <c r="E638" i="11" s="1"/>
  <c r="I638" i="11" l="1"/>
  <c r="J638" i="11" s="1"/>
  <c r="K638" i="11" l="1"/>
  <c r="E639" i="11" s="1"/>
  <c r="I639" i="11" s="1"/>
  <c r="J639" i="11" s="1"/>
  <c r="K639" i="11" s="1"/>
  <c r="E640" i="11" s="1"/>
  <c r="I640" i="11" l="1"/>
  <c r="J640" i="11" s="1"/>
  <c r="K640" i="11" l="1"/>
  <c r="E641" i="11" s="1"/>
  <c r="I641" i="11" l="1"/>
  <c r="J641" i="11" s="1"/>
  <c r="K641" i="11" s="1"/>
  <c r="E642" i="11" s="1"/>
  <c r="I642" i="11" s="1"/>
  <c r="J642" i="11" s="1"/>
  <c r="K642" i="11" s="1"/>
  <c r="E643" i="11" s="1"/>
  <c r="I643" i="11" l="1"/>
  <c r="J643" i="11" s="1"/>
  <c r="K643" i="11" l="1"/>
  <c r="E644" i="11" s="1"/>
  <c r="I644" i="11" l="1"/>
  <c r="J644" i="11" s="1"/>
  <c r="K644" i="11" l="1"/>
  <c r="E645" i="11" s="1"/>
  <c r="I645" i="11" l="1"/>
  <c r="J645" i="11" s="1"/>
  <c r="K645" i="11" l="1"/>
  <c r="E646" i="11" s="1"/>
  <c r="I646" i="11" l="1"/>
  <c r="J646" i="11" s="1"/>
  <c r="K646" i="11" l="1"/>
  <c r="E647" i="11" s="1"/>
  <c r="I647" i="11" l="1"/>
  <c r="J647" i="11" s="1"/>
  <c r="K647" i="11" l="1"/>
  <c r="E648" i="11" s="1"/>
  <c r="I648" i="11" l="1"/>
  <c r="J648" i="11" s="1"/>
  <c r="K648" i="11" l="1"/>
  <c r="E649" i="11" s="1"/>
  <c r="I649" i="11" l="1"/>
  <c r="J649" i="11" s="1"/>
  <c r="K649" i="11" l="1"/>
  <c r="E650" i="11" s="1"/>
  <c r="I650" i="11" l="1"/>
  <c r="J650" i="11" s="1"/>
  <c r="K650" i="11" l="1"/>
  <c r="E651" i="11" s="1"/>
  <c r="I651" i="11" l="1"/>
  <c r="J651" i="11" s="1"/>
  <c r="K651" i="11" l="1"/>
  <c r="E652" i="11" s="1"/>
  <c r="I652" i="11" l="1"/>
  <c r="J652" i="11" s="1"/>
  <c r="K652" i="11" l="1"/>
  <c r="E653" i="11" s="1"/>
  <c r="I653" i="11" l="1"/>
  <c r="J653" i="11" s="1"/>
  <c r="K653" i="11" l="1"/>
  <c r="E654" i="11" s="1"/>
  <c r="I654" i="11" l="1"/>
  <c r="J654" i="11" s="1"/>
  <c r="K654" i="11" s="1"/>
  <c r="E655" i="11" s="1"/>
  <c r="I655" i="11" s="1"/>
  <c r="J655" i="11" s="1"/>
  <c r="K655" i="11" s="1"/>
  <c r="E656" i="11" s="1"/>
  <c r="I656" i="11" l="1"/>
  <c r="J656" i="11" s="1"/>
  <c r="K656" i="11" l="1"/>
  <c r="E657" i="11" s="1"/>
  <c r="I657" i="11" l="1"/>
  <c r="J657" i="11" s="1"/>
  <c r="K657" i="11" l="1"/>
  <c r="E658" i="11" s="1"/>
  <c r="I658" i="11" l="1"/>
  <c r="J658" i="11" s="1"/>
  <c r="K658" i="11" l="1"/>
  <c r="E659" i="11" s="1"/>
  <c r="I659" i="11" l="1"/>
  <c r="J659" i="11" s="1"/>
  <c r="K659" i="11" l="1"/>
  <c r="E660" i="11" s="1"/>
  <c r="I660" i="11" l="1"/>
  <c r="J660" i="11" s="1"/>
  <c r="K660" i="11" l="1"/>
  <c r="E661" i="11" s="1"/>
  <c r="I661" i="11" l="1"/>
  <c r="J661" i="11" s="1"/>
  <c r="K661" i="11" l="1"/>
  <c r="E662" i="11" s="1"/>
  <c r="I662" i="11" l="1"/>
  <c r="J662" i="11" s="1"/>
  <c r="K662" i="11" l="1"/>
  <c r="E663" i="11" s="1"/>
  <c r="I663" i="11" s="1"/>
  <c r="J663" i="11" s="1"/>
  <c r="K663" i="11" s="1"/>
  <c r="E664" i="11" s="1"/>
  <c r="I664" i="11" l="1"/>
  <c r="J664" i="11" s="1"/>
  <c r="K664" i="11" s="1"/>
  <c r="E665" i="11" s="1"/>
  <c r="I665" i="11" l="1"/>
  <c r="J665" i="11" s="1"/>
  <c r="K665" i="11" l="1"/>
  <c r="E666" i="11" s="1"/>
  <c r="I666" i="11" l="1"/>
  <c r="J666" i="11" s="1"/>
  <c r="K666" i="11" l="1"/>
  <c r="E667" i="11" s="1"/>
  <c r="I667" i="11" l="1"/>
  <c r="J667" i="11" s="1"/>
  <c r="K667" i="11" l="1"/>
  <c r="E668" i="11" s="1"/>
  <c r="I668" i="11" l="1"/>
  <c r="J668" i="11" s="1"/>
  <c r="K668" i="11" l="1"/>
  <c r="E669" i="11" s="1"/>
  <c r="I669" i="11" s="1"/>
  <c r="J669" i="11" s="1"/>
  <c r="K669" i="11" s="1"/>
  <c r="E670" i="11" s="1"/>
  <c r="I670" i="11" l="1"/>
  <c r="J670" i="11" s="1"/>
  <c r="K670" i="11" l="1"/>
  <c r="E671" i="11" s="1"/>
  <c r="I671" i="11" l="1"/>
  <c r="J671" i="11" s="1"/>
  <c r="K671" i="11" l="1"/>
  <c r="E672" i="11" s="1"/>
  <c r="I672" i="11" l="1"/>
  <c r="J672" i="11" s="1"/>
  <c r="K672" i="11" l="1"/>
  <c r="E673" i="11" s="1"/>
  <c r="I673" i="11" l="1"/>
  <c r="J673" i="11" s="1"/>
  <c r="K673" i="11" l="1"/>
  <c r="E674" i="11" s="1"/>
  <c r="I674" i="11" l="1"/>
  <c r="J674" i="11" s="1"/>
  <c r="K674" i="11" l="1"/>
  <c r="E675" i="11" s="1"/>
  <c r="I675" i="11" l="1"/>
  <c r="J675" i="11" s="1"/>
  <c r="K675" i="11" l="1"/>
  <c r="E676" i="11" s="1"/>
  <c r="I676" i="11" l="1"/>
  <c r="J676" i="11" s="1"/>
  <c r="K676" i="11" l="1"/>
  <c r="E677" i="11" s="1"/>
  <c r="I677" i="11" l="1"/>
  <c r="J677" i="11" s="1"/>
  <c r="K677" i="11" l="1"/>
  <c r="E678" i="11" s="1"/>
  <c r="I678" i="11" l="1"/>
  <c r="J678" i="11" s="1"/>
  <c r="K678" i="11" s="1"/>
  <c r="E679" i="11" s="1"/>
  <c r="I679" i="11" l="1"/>
  <c r="J679" i="11" s="1"/>
  <c r="K679" i="11" l="1"/>
  <c r="E680" i="11" s="1"/>
  <c r="I680" i="11" l="1"/>
  <c r="J680" i="11" s="1"/>
  <c r="K680" i="11" l="1"/>
  <c r="E681" i="11" s="1"/>
  <c r="I681" i="11"/>
  <c r="J681" i="11" s="1"/>
  <c r="K681" i="11" l="1"/>
  <c r="E682" i="11" s="1"/>
  <c r="I682" i="11" l="1"/>
  <c r="J682" i="11" s="1"/>
  <c r="K682" i="11" l="1"/>
  <c r="E683" i="11" s="1"/>
  <c r="I683" i="11" l="1"/>
  <c r="J683" i="11" s="1"/>
  <c r="K683" i="11" l="1"/>
  <c r="E684" i="11" s="1"/>
  <c r="I684" i="11" s="1"/>
  <c r="J684" i="11" s="1"/>
  <c r="K684" i="11" s="1"/>
  <c r="E685" i="11" s="1"/>
  <c r="I685" i="11" l="1"/>
  <c r="J685" i="11" s="1"/>
  <c r="K685" i="11" l="1"/>
  <c r="E686" i="11" s="1"/>
  <c r="I686" i="11" l="1"/>
  <c r="J686" i="11" s="1"/>
  <c r="K686" i="11" l="1"/>
  <c r="E687" i="11" s="1"/>
  <c r="I687" i="11" s="1"/>
  <c r="J687" i="11" s="1"/>
  <c r="K687" i="11" s="1"/>
  <c r="E688" i="11" s="1"/>
  <c r="I688" i="11" l="1"/>
  <c r="J688" i="11" s="1"/>
  <c r="K688" i="11" l="1"/>
  <c r="E689" i="11" s="1"/>
  <c r="I689" i="11" l="1"/>
  <c r="J689" i="11" s="1"/>
  <c r="K689" i="11" l="1"/>
  <c r="E690" i="11" s="1"/>
  <c r="I690" i="11" l="1"/>
  <c r="J690" i="11" s="1"/>
  <c r="K690" i="11" l="1"/>
  <c r="E691" i="11" s="1"/>
  <c r="I691" i="11" l="1"/>
  <c r="J691" i="11" s="1"/>
  <c r="K691" i="11" l="1"/>
  <c r="E692" i="11" s="1"/>
  <c r="I692" i="11" l="1"/>
  <c r="J692" i="11" s="1"/>
  <c r="K692" i="11" l="1"/>
  <c r="E693" i="11" s="1"/>
  <c r="I693" i="11" l="1"/>
  <c r="J693" i="11" s="1"/>
  <c r="K693" i="11" l="1"/>
  <c r="E694" i="11" s="1"/>
  <c r="I694" i="11" s="1"/>
  <c r="J694" i="11" s="1"/>
  <c r="K694" i="11" s="1"/>
  <c r="E695" i="11" s="1"/>
  <c r="I695" i="11" l="1"/>
  <c r="J695" i="11" s="1"/>
  <c r="K695" i="11" l="1"/>
  <c r="E696" i="11" s="1"/>
  <c r="I696" i="11" l="1"/>
  <c r="J696" i="11" s="1"/>
  <c r="K696" i="11" s="1"/>
  <c r="E697" i="11" s="1"/>
  <c r="I697" i="11" l="1"/>
  <c r="J697" i="11" s="1"/>
  <c r="K697" i="11" l="1"/>
  <c r="E698" i="11" s="1"/>
  <c r="I698" i="11"/>
  <c r="J698" i="11" s="1"/>
  <c r="K698" i="11" l="1"/>
  <c r="E699" i="11" s="1"/>
  <c r="I699" i="11" l="1"/>
  <c r="J699" i="11" s="1"/>
  <c r="K699" i="11" s="1"/>
  <c r="E700" i="11" s="1"/>
  <c r="I700" i="11" s="1"/>
  <c r="J700" i="11" s="1"/>
  <c r="K700" i="11" s="1"/>
  <c r="E701" i="11" s="1"/>
  <c r="I701" i="11" l="1"/>
  <c r="J701" i="11" s="1"/>
  <c r="K701" i="11" l="1"/>
  <c r="E702" i="11" s="1"/>
  <c r="I702" i="11" l="1"/>
  <c r="J702" i="11" s="1"/>
  <c r="K702" i="11" l="1"/>
  <c r="E703" i="11" s="1"/>
  <c r="I703" i="11" s="1"/>
  <c r="J703" i="11" s="1"/>
  <c r="K703" i="11" s="1"/>
  <c r="E704" i="11" s="1"/>
  <c r="I704" i="11" l="1"/>
  <c r="J704" i="11" s="1"/>
  <c r="K704" i="11" l="1"/>
  <c r="E705" i="11" s="1"/>
  <c r="I705" i="11" l="1"/>
  <c r="J705" i="11" s="1"/>
  <c r="K705" i="11" l="1"/>
  <c r="E706" i="11" s="1"/>
  <c r="I706" i="11" l="1"/>
  <c r="J706" i="11" s="1"/>
  <c r="K706" i="11" l="1"/>
  <c r="E707" i="11" s="1"/>
  <c r="I707" i="11" l="1"/>
  <c r="J707" i="11" s="1"/>
  <c r="K707" i="11" l="1"/>
  <c r="E708" i="11" s="1"/>
  <c r="I708" i="11" s="1"/>
  <c r="J708" i="11" s="1"/>
  <c r="K708" i="11" s="1"/>
  <c r="E709" i="11" s="1"/>
  <c r="I709" i="11" l="1"/>
  <c r="J709" i="11" s="1"/>
  <c r="K709" i="11" l="1"/>
  <c r="E710" i="11" s="1"/>
  <c r="I710" i="11" l="1"/>
  <c r="J710" i="11" s="1"/>
  <c r="K710" i="11" l="1"/>
  <c r="E711" i="11" s="1"/>
  <c r="I711" i="11" l="1"/>
  <c r="J711" i="11" s="1"/>
  <c r="K711" i="11" l="1"/>
  <c r="E712" i="11" s="1"/>
  <c r="I712" i="11" l="1"/>
  <c r="J712" i="11" s="1"/>
  <c r="K712" i="11" l="1"/>
  <c r="E713" i="11" s="1"/>
  <c r="I713" i="11" l="1"/>
  <c r="J713" i="11" s="1"/>
  <c r="K713" i="11" l="1"/>
  <c r="E714" i="11" s="1"/>
  <c r="I714" i="11" l="1"/>
  <c r="J714" i="11" s="1"/>
  <c r="K714" i="11" l="1"/>
  <c r="E715" i="11" s="1"/>
  <c r="I715" i="11" l="1"/>
  <c r="J715" i="11" s="1"/>
  <c r="K715" i="11" s="1"/>
  <c r="E716" i="11" s="1"/>
  <c r="I716" i="11" l="1"/>
  <c r="J716" i="11" s="1"/>
  <c r="K716" i="11" l="1"/>
  <c r="E717" i="11" s="1"/>
  <c r="I717" i="11" s="1"/>
  <c r="J717" i="11" s="1"/>
  <c r="K717" i="11" s="1"/>
  <c r="E718" i="11" s="1"/>
  <c r="I718" i="11" l="1"/>
  <c r="J718" i="11" s="1"/>
  <c r="K718" i="11" l="1"/>
  <c r="E719" i="11" s="1"/>
  <c r="I719" i="11" l="1"/>
  <c r="J719" i="11" s="1"/>
  <c r="K719" i="11" s="1"/>
  <c r="E720" i="11" s="1"/>
  <c r="I720" i="11" l="1"/>
  <c r="J720" i="11" s="1"/>
  <c r="K720" i="11" l="1"/>
  <c r="E721" i="11" s="1"/>
  <c r="I721" i="11" s="1"/>
  <c r="J721" i="11" s="1"/>
  <c r="K721" i="11" l="1"/>
  <c r="E722" i="11" s="1"/>
  <c r="I722" i="11" l="1"/>
  <c r="J722" i="11" s="1"/>
  <c r="K722" i="11" l="1"/>
  <c r="E723" i="11" s="1"/>
  <c r="I723" i="11" l="1"/>
  <c r="J723" i="11" s="1"/>
  <c r="K723" i="11" l="1"/>
  <c r="E724" i="11" s="1"/>
  <c r="I724" i="11" l="1"/>
  <c r="J724" i="11" s="1"/>
  <c r="K724" i="11" l="1"/>
  <c r="E725" i="11" s="1"/>
  <c r="I725" i="11" l="1"/>
  <c r="J725" i="11" s="1"/>
  <c r="K725" i="11" l="1"/>
  <c r="E726" i="11" s="1"/>
  <c r="I726" i="11"/>
  <c r="J726" i="11" s="1"/>
  <c r="K726" i="11" l="1"/>
  <c r="E727" i="11" s="1"/>
  <c r="I727" i="11" s="1"/>
  <c r="J727" i="11" s="1"/>
  <c r="K727" i="11" s="1"/>
  <c r="E728" i="11" s="1"/>
  <c r="I728" i="11" l="1"/>
  <c r="J728" i="11" s="1"/>
  <c r="K728" i="11" s="1"/>
  <c r="E729" i="11" s="1"/>
  <c r="I729" i="11" l="1"/>
  <c r="J729" i="11" s="1"/>
  <c r="K729" i="11" l="1"/>
  <c r="E730" i="11" s="1"/>
  <c r="I730" i="11" l="1"/>
  <c r="J730" i="11" s="1"/>
  <c r="K730" i="11" l="1"/>
  <c r="E731" i="11" s="1"/>
  <c r="I731" i="11" l="1"/>
  <c r="J731" i="11" s="1"/>
  <c r="K731" i="11" l="1"/>
  <c r="E732" i="11" s="1"/>
  <c r="I732" i="11" l="1"/>
  <c r="J732" i="11" s="1"/>
  <c r="K732" i="11" l="1"/>
  <c r="E733" i="11" s="1"/>
  <c r="I733" i="11" l="1"/>
  <c r="J733" i="11" s="1"/>
  <c r="K733" i="11" l="1"/>
  <c r="E734" i="11" s="1"/>
  <c r="I734" i="11" l="1"/>
  <c r="J734" i="11" s="1"/>
  <c r="K734" i="11" l="1"/>
  <c r="E735" i="11" s="1"/>
  <c r="I735" i="11" l="1"/>
  <c r="J735" i="11" s="1"/>
  <c r="K735" i="11" l="1"/>
  <c r="E736" i="11" s="1"/>
  <c r="I736" i="11" l="1"/>
  <c r="J736" i="11" s="1"/>
  <c r="K736" i="11" l="1"/>
  <c r="E737" i="11" s="1"/>
  <c r="I737" i="11" l="1"/>
  <c r="J737" i="11" s="1"/>
  <c r="K737" i="11" l="1"/>
  <c r="E738" i="11" s="1"/>
  <c r="I738" i="11" l="1"/>
  <c r="J738" i="11" s="1"/>
  <c r="K738" i="11" l="1"/>
  <c r="E739" i="11" s="1"/>
  <c r="I739" i="11" l="1"/>
  <c r="J739" i="11" s="1"/>
  <c r="K739" i="11" s="1"/>
  <c r="E740" i="11" s="1"/>
  <c r="I740" i="11" l="1"/>
  <c r="J740" i="11" s="1"/>
  <c r="K740" i="11" s="1"/>
  <c r="E741" i="11" s="1"/>
  <c r="I741" i="11" l="1"/>
  <c r="J741" i="11" s="1"/>
  <c r="K741" i="11" l="1"/>
  <c r="E742" i="11" s="1"/>
  <c r="I742" i="11" l="1"/>
  <c r="J742" i="11" s="1"/>
  <c r="K742" i="11" l="1"/>
  <c r="E743" i="11" s="1"/>
  <c r="I743" i="11" l="1"/>
  <c r="J743" i="11" s="1"/>
  <c r="K743" i="11" l="1"/>
  <c r="E744" i="11" s="1"/>
  <c r="I744" i="11" l="1"/>
  <c r="J744" i="11" s="1"/>
  <c r="K744" i="11" l="1"/>
  <c r="E745" i="11" s="1"/>
  <c r="I745" i="11" l="1"/>
  <c r="J745" i="11" s="1"/>
  <c r="K745" i="11" l="1"/>
  <c r="E746" i="11" s="1"/>
  <c r="I746" i="11" l="1"/>
  <c r="J746" i="11" s="1"/>
  <c r="K746" i="11" l="1"/>
  <c r="E747" i="11" s="1"/>
  <c r="I747" i="11"/>
  <c r="J747" i="11" s="1"/>
  <c r="K747" i="11" l="1"/>
  <c r="E748" i="11" s="1"/>
  <c r="I748" i="11"/>
  <c r="J748" i="11" s="1"/>
  <c r="K748" i="11" l="1"/>
  <c r="E749" i="11" s="1"/>
  <c r="I749" i="11" s="1"/>
  <c r="J749" i="11" s="1"/>
  <c r="K749" i="11" s="1"/>
  <c r="E750" i="11" s="1"/>
  <c r="I750" i="11" l="1"/>
  <c r="J750" i="11" s="1"/>
  <c r="K750" i="11" s="1"/>
  <c r="E751" i="11" s="1"/>
  <c r="I751" i="11" l="1"/>
  <c r="J751" i="11" s="1"/>
  <c r="K751" i="11" l="1"/>
  <c r="E752" i="11" s="1"/>
  <c r="I752" i="11" l="1"/>
  <c r="J752" i="11" s="1"/>
  <c r="K752" i="11" l="1"/>
  <c r="E753" i="11" s="1"/>
  <c r="I753" i="11" l="1"/>
  <c r="J753" i="11" s="1"/>
  <c r="K753" i="11" l="1"/>
  <c r="E754" i="11" s="1"/>
  <c r="I754" i="11" l="1"/>
  <c r="J754" i="11" s="1"/>
  <c r="K754" i="11" s="1"/>
  <c r="E755" i="11" s="1"/>
  <c r="I755" i="11" l="1"/>
  <c r="J755" i="11" s="1"/>
  <c r="K755" i="11" l="1"/>
  <c r="E756" i="11" s="1"/>
  <c r="I756" i="11" l="1"/>
  <c r="J756" i="11" s="1"/>
  <c r="K756" i="11" l="1"/>
  <c r="E757" i="11" s="1"/>
  <c r="I757" i="11" s="1"/>
  <c r="J757" i="11" s="1"/>
  <c r="K757" i="11" s="1"/>
  <c r="E758" i="11" s="1"/>
  <c r="I758" i="11" l="1"/>
  <c r="J758" i="11" s="1"/>
  <c r="K758" i="11" l="1"/>
  <c r="E759" i="11" s="1"/>
  <c r="I759" i="11" l="1"/>
  <c r="J759" i="11" s="1"/>
  <c r="K759" i="11" l="1"/>
  <c r="E760" i="11" s="1"/>
  <c r="I760" i="11" l="1"/>
  <c r="J760" i="11" s="1"/>
  <c r="K760" i="11" l="1"/>
  <c r="E761" i="11" s="1"/>
  <c r="I761" i="11"/>
  <c r="J761" i="11" s="1"/>
  <c r="K761" i="11" l="1"/>
  <c r="E762" i="11" s="1"/>
  <c r="I762" i="11" l="1"/>
  <c r="J762" i="11" s="1"/>
  <c r="K762" i="11" l="1"/>
  <c r="E763" i="11" s="1"/>
  <c r="I763" i="11" l="1"/>
  <c r="J763" i="11" s="1"/>
  <c r="K763" i="11" l="1"/>
  <c r="E764" i="11" s="1"/>
  <c r="I764" i="11" s="1"/>
  <c r="J764" i="11" s="1"/>
  <c r="K764" i="11" s="1"/>
  <c r="E765" i="11" s="1"/>
  <c r="I765" i="11" s="1"/>
  <c r="J765" i="11" s="1"/>
  <c r="K765" i="11" l="1"/>
  <c r="E766" i="11" s="1"/>
  <c r="I766" i="11" l="1"/>
  <c r="J766" i="11" s="1"/>
  <c r="K766" i="11" l="1"/>
  <c r="E767" i="11" s="1"/>
  <c r="I767" i="11" l="1"/>
  <c r="J767" i="11" s="1"/>
  <c r="K767" i="11" l="1"/>
  <c r="E768" i="11" s="1"/>
  <c r="I768" i="11" l="1"/>
  <c r="J768" i="11" s="1"/>
  <c r="K768" i="11" l="1"/>
  <c r="E769" i="11" s="1"/>
  <c r="I769" i="11" l="1"/>
  <c r="J769" i="11" s="1"/>
  <c r="K769" i="11" l="1"/>
  <c r="E770" i="11" s="1"/>
  <c r="I770" i="11" s="1"/>
  <c r="J770" i="11" s="1"/>
  <c r="K770" i="11" s="1"/>
  <c r="E771" i="11" s="1"/>
  <c r="I771" i="11" l="1"/>
  <c r="J771" i="11" s="1"/>
  <c r="K771" i="11" l="1"/>
  <c r="E772" i="11" s="1"/>
  <c r="I772" i="11" l="1"/>
  <c r="J772" i="11" s="1"/>
  <c r="K772" i="11" l="1"/>
  <c r="E773" i="11" s="1"/>
  <c r="I773" i="11" s="1"/>
  <c r="J773" i="11" s="1"/>
  <c r="K773" i="11" s="1"/>
  <c r="E774" i="11" s="1"/>
  <c r="I774" i="11" l="1"/>
  <c r="J774" i="11" s="1"/>
  <c r="K774" i="11" l="1"/>
  <c r="E775" i="11" s="1"/>
  <c r="I775" i="11" l="1"/>
  <c r="J775" i="11" s="1"/>
  <c r="K775" i="11" l="1"/>
  <c r="E776" i="11" s="1"/>
  <c r="I776" i="11" s="1"/>
  <c r="J776" i="11" s="1"/>
  <c r="K776" i="11" l="1"/>
  <c r="E777" i="11" s="1"/>
  <c r="I777" i="11" l="1"/>
  <c r="J777" i="11" s="1"/>
  <c r="K777" i="11" l="1"/>
  <c r="E778" i="11" s="1"/>
  <c r="I778" i="11" l="1"/>
  <c r="J778" i="11" s="1"/>
  <c r="K778" i="11" l="1"/>
  <c r="E779" i="11" s="1"/>
  <c r="I779" i="11" l="1"/>
  <c r="J779" i="11" s="1"/>
  <c r="K779" i="11" l="1"/>
  <c r="E780" i="11" s="1"/>
  <c r="I780" i="11" s="1"/>
  <c r="J780" i="11" s="1"/>
  <c r="K780" i="11" s="1"/>
  <c r="E781" i="11" s="1"/>
  <c r="I781" i="11" l="1"/>
  <c r="J781" i="11" s="1"/>
  <c r="K781" i="11" l="1"/>
  <c r="E782" i="11" s="1"/>
  <c r="I782" i="11" l="1"/>
  <c r="J782" i="11" s="1"/>
  <c r="K782" i="11" l="1"/>
  <c r="E783" i="11" s="1"/>
  <c r="I783" i="11"/>
  <c r="J783" i="11" s="1"/>
  <c r="K783" i="11" l="1"/>
  <c r="E784" i="11" s="1"/>
  <c r="I784" i="11" l="1"/>
  <c r="J784" i="11" s="1"/>
  <c r="K784" i="11" l="1"/>
  <c r="E785" i="11" s="1"/>
  <c r="I785" i="11" l="1"/>
  <c r="J785" i="11" s="1"/>
  <c r="K785" i="11" l="1"/>
  <c r="E786" i="11" s="1"/>
  <c r="I786" i="11" l="1"/>
  <c r="J786" i="11" s="1"/>
  <c r="K786" i="11" l="1"/>
  <c r="E787" i="11" s="1"/>
  <c r="I787" i="11" l="1"/>
  <c r="J787" i="11" s="1"/>
  <c r="K787" i="11" l="1"/>
  <c r="E788" i="11" s="1"/>
  <c r="I788" i="11" s="1"/>
  <c r="J788" i="11" s="1"/>
  <c r="K788" i="11" s="1"/>
  <c r="E789" i="11" s="1"/>
  <c r="I789" i="11" l="1"/>
  <c r="J789" i="11" s="1"/>
  <c r="K789" i="11" l="1"/>
  <c r="E790" i="11" s="1"/>
  <c r="I790" i="11" l="1"/>
  <c r="J790" i="11" s="1"/>
  <c r="K790" i="11" l="1"/>
  <c r="E791" i="11" s="1"/>
  <c r="I791" i="11" l="1"/>
  <c r="J791" i="11" s="1"/>
  <c r="K791" i="11" l="1"/>
  <c r="E792" i="11" s="1"/>
  <c r="I792" i="11" l="1"/>
  <c r="J792" i="11" s="1"/>
  <c r="K792" i="11" l="1"/>
  <c r="E793" i="11" s="1"/>
  <c r="I793" i="11" l="1"/>
  <c r="J793" i="11" s="1"/>
  <c r="K793" i="11" l="1"/>
  <c r="E794" i="11" s="1"/>
  <c r="I794" i="11" l="1"/>
  <c r="J794" i="11" s="1"/>
  <c r="K794" i="11" l="1"/>
  <c r="E795" i="11" s="1"/>
  <c r="I795" i="11"/>
  <c r="J795" i="11" s="1"/>
  <c r="K795" i="11" l="1"/>
  <c r="E796" i="11" s="1"/>
  <c r="I796" i="11" l="1"/>
  <c r="J796" i="11" s="1"/>
  <c r="K796" i="11" s="1"/>
  <c r="E797" i="11" s="1"/>
  <c r="I797" i="11" l="1"/>
  <c r="J797" i="11" s="1"/>
  <c r="K797" i="11" l="1"/>
  <c r="E798" i="11" s="1"/>
  <c r="I798" i="11" l="1"/>
  <c r="J798" i="11" s="1"/>
  <c r="K798" i="11" l="1"/>
  <c r="E799" i="11" s="1"/>
  <c r="I799" i="11" l="1"/>
  <c r="J799" i="11" s="1"/>
  <c r="K799" i="11" l="1"/>
  <c r="E800" i="11" s="1"/>
  <c r="I800" i="11" l="1"/>
  <c r="J800" i="11" s="1"/>
  <c r="K800" i="11" l="1"/>
  <c r="E801" i="11" s="1"/>
  <c r="I801" i="11" l="1"/>
  <c r="J801" i="11" s="1"/>
  <c r="K801" i="11" l="1"/>
  <c r="E802" i="11" s="1"/>
  <c r="I802" i="11" l="1"/>
  <c r="J802" i="11" s="1"/>
  <c r="K802" i="11" l="1"/>
  <c r="E803" i="11" s="1"/>
  <c r="I803" i="11" l="1"/>
  <c r="J803" i="11" s="1"/>
  <c r="K803" i="11" l="1"/>
  <c r="E804" i="11" s="1"/>
  <c r="I804" i="11" l="1"/>
  <c r="J804" i="11" s="1"/>
  <c r="K804" i="11" s="1"/>
  <c r="E805" i="11" s="1"/>
  <c r="I805" i="11" l="1"/>
  <c r="J805" i="11" s="1"/>
  <c r="K805" i="11" l="1"/>
  <c r="E806" i="11" s="1"/>
  <c r="I806" i="11" l="1"/>
  <c r="J806" i="11" s="1"/>
  <c r="K806" i="11" l="1"/>
  <c r="E807" i="11" s="1"/>
  <c r="I807" i="11" l="1"/>
  <c r="J807" i="11" s="1"/>
  <c r="K807" i="11" l="1"/>
  <c r="E808" i="11" s="1"/>
  <c r="I808" i="11" l="1"/>
  <c r="J808" i="11" s="1"/>
  <c r="K808" i="11" l="1"/>
  <c r="E809" i="11" s="1"/>
  <c r="I809" i="11"/>
  <c r="J809" i="11" s="1"/>
  <c r="K809" i="11" s="1"/>
  <c r="E810" i="11" s="1"/>
  <c r="I810" i="11" l="1"/>
  <c r="J810" i="11" s="1"/>
  <c r="K810" i="11" l="1"/>
  <c r="E811" i="11" s="1"/>
  <c r="I811" i="11" l="1"/>
  <c r="J811" i="11" s="1"/>
  <c r="K811" i="11" l="1"/>
  <c r="E812" i="11" s="1"/>
  <c r="I812" i="11" l="1"/>
  <c r="J812" i="11" s="1"/>
  <c r="K812" i="11" l="1"/>
  <c r="E813" i="11" s="1"/>
  <c r="I813" i="11" l="1"/>
  <c r="J813" i="11" s="1"/>
  <c r="K813" i="11" l="1"/>
  <c r="E814" i="11" s="1"/>
  <c r="I814" i="11" l="1"/>
  <c r="J814" i="11" s="1"/>
  <c r="K814" i="11" l="1"/>
  <c r="E815" i="11" s="1"/>
  <c r="I815" i="11" l="1"/>
  <c r="J815" i="11" s="1"/>
  <c r="K815" i="11" l="1"/>
  <c r="E816" i="11" s="1"/>
  <c r="I816" i="11" l="1"/>
  <c r="J816" i="11" s="1"/>
  <c r="K816" i="11" l="1"/>
  <c r="E817" i="11" s="1"/>
  <c r="I817" i="11" l="1"/>
  <c r="J817" i="11" s="1"/>
  <c r="K817" i="11" l="1"/>
  <c r="E818" i="11" s="1"/>
  <c r="I818" i="11" l="1"/>
  <c r="J818" i="11" s="1"/>
  <c r="K818" i="11" l="1"/>
  <c r="E819" i="11" s="1"/>
  <c r="I819" i="11" l="1"/>
  <c r="J819" i="11" s="1"/>
  <c r="K819" i="11" l="1"/>
  <c r="E820" i="11" s="1"/>
  <c r="I820" i="11" l="1"/>
  <c r="J820" i="11" s="1"/>
  <c r="K820" i="11" l="1"/>
  <c r="E821" i="11" s="1"/>
  <c r="I821" i="11" l="1"/>
  <c r="J821" i="11" s="1"/>
  <c r="K821" i="11" l="1"/>
  <c r="E822" i="11" s="1"/>
  <c r="I822" i="11" s="1"/>
  <c r="J822" i="11" s="1"/>
  <c r="K822" i="11" s="1"/>
  <c r="E823" i="11" s="1"/>
  <c r="I823" i="11" l="1"/>
  <c r="J823" i="11" s="1"/>
  <c r="K823" i="11" l="1"/>
  <c r="E824" i="11" s="1"/>
  <c r="I824" i="11" l="1"/>
  <c r="J824" i="11" s="1"/>
  <c r="K824" i="11" l="1"/>
  <c r="E825" i="11" s="1"/>
  <c r="I825" i="11" l="1"/>
  <c r="J825" i="11" s="1"/>
  <c r="K825" i="11" s="1"/>
  <c r="E826" i="11" s="1"/>
  <c r="I826" i="11" l="1"/>
  <c r="J826" i="11" s="1"/>
  <c r="K826" i="11" s="1"/>
  <c r="E827" i="11" s="1"/>
  <c r="I827" i="11" l="1"/>
  <c r="J827" i="11" s="1"/>
  <c r="K827" i="11" l="1"/>
  <c r="E828" i="11" s="1"/>
  <c r="I828" i="11" l="1"/>
  <c r="J828" i="11" s="1"/>
  <c r="K828" i="11" l="1"/>
  <c r="E829" i="11" s="1"/>
  <c r="I829" i="11" l="1"/>
  <c r="J829" i="11" s="1"/>
  <c r="K829" i="11" l="1"/>
  <c r="E830" i="11" s="1"/>
  <c r="I830" i="11"/>
  <c r="J830" i="11" s="1"/>
  <c r="K830" i="11" l="1"/>
  <c r="E831" i="11" s="1"/>
  <c r="I831" i="11" l="1"/>
  <c r="J831" i="11" s="1"/>
  <c r="K831" i="11" s="1"/>
  <c r="E832" i="11" s="1"/>
  <c r="I832" i="11" l="1"/>
  <c r="J832" i="11" s="1"/>
  <c r="K832" i="11" l="1"/>
  <c r="E833" i="11" s="1"/>
  <c r="I833" i="11" l="1"/>
  <c r="J833" i="11" s="1"/>
  <c r="K833" i="11" s="1"/>
  <c r="E834" i="11" s="1"/>
  <c r="I834" i="11" l="1"/>
  <c r="J834" i="11" s="1"/>
  <c r="K834" i="11" l="1"/>
  <c r="E835" i="11" s="1"/>
  <c r="I835" i="11" l="1"/>
  <c r="J835" i="11" s="1"/>
  <c r="K835" i="11" l="1"/>
  <c r="E836" i="11" s="1"/>
  <c r="I836" i="11" l="1"/>
  <c r="J836" i="11" s="1"/>
  <c r="K836" i="11" l="1"/>
  <c r="E837" i="11" s="1"/>
  <c r="I837" i="11" l="1"/>
  <c r="J837" i="11" s="1"/>
  <c r="K837" i="11" s="1"/>
  <c r="E838" i="11" s="1"/>
  <c r="I838" i="11" s="1"/>
  <c r="J838" i="11" s="1"/>
  <c r="K838" i="11" s="1"/>
  <c r="E839" i="11" s="1"/>
  <c r="I839" i="11" l="1"/>
  <c r="J839" i="11" s="1"/>
  <c r="K839" i="11" s="1"/>
  <c r="E840" i="11" s="1"/>
  <c r="I840" i="11" l="1"/>
  <c r="J840" i="11" s="1"/>
  <c r="K840" i="11" l="1"/>
  <c r="E841" i="11" s="1"/>
  <c r="I841" i="11"/>
  <c r="J841" i="11" s="1"/>
  <c r="K841" i="11" l="1"/>
  <c r="E842" i="11" s="1"/>
  <c r="I842" i="11"/>
  <c r="J842" i="11" s="1"/>
  <c r="K842" i="11" s="1"/>
  <c r="E843" i="11" s="1"/>
  <c r="I843" i="11" s="1"/>
  <c r="J843" i="11" s="1"/>
  <c r="K843" i="11" s="1"/>
  <c r="E844" i="11" s="1"/>
  <c r="I844" i="11" l="1"/>
  <c r="J844" i="11" s="1"/>
  <c r="K844" i="11" l="1"/>
  <c r="E845" i="11" s="1"/>
  <c r="I845" i="11" l="1"/>
  <c r="J845" i="11" s="1"/>
  <c r="K845" i="11" l="1"/>
  <c r="E846" i="11" s="1"/>
  <c r="I846" i="11" l="1"/>
  <c r="J846" i="11" s="1"/>
  <c r="K846" i="11" l="1"/>
  <c r="E847" i="11" s="1"/>
  <c r="I847" i="11" l="1"/>
  <c r="J847" i="11" s="1"/>
  <c r="K847" i="11" l="1"/>
  <c r="E848" i="11" s="1"/>
  <c r="I848" i="11" l="1"/>
  <c r="J848" i="11" s="1"/>
  <c r="K848" i="11" l="1"/>
  <c r="E849" i="11" s="1"/>
  <c r="I849" i="11" l="1"/>
  <c r="J849" i="11" s="1"/>
  <c r="K849" i="11" l="1"/>
  <c r="E850" i="11" s="1"/>
  <c r="I850" i="11" l="1"/>
  <c r="J850" i="11" s="1"/>
  <c r="K850" i="11" l="1"/>
  <c r="E851" i="11" s="1"/>
  <c r="I851" i="11" l="1"/>
  <c r="J851" i="11" s="1"/>
  <c r="K851" i="11" l="1"/>
  <c r="E852" i="11" s="1"/>
  <c r="I852" i="11" l="1"/>
  <c r="J852" i="11" s="1"/>
  <c r="K852" i="11" l="1"/>
  <c r="E853" i="11" s="1"/>
  <c r="I853" i="11" l="1"/>
  <c r="J853" i="11" s="1"/>
  <c r="K853" i="11" l="1"/>
  <c r="E854" i="11" s="1"/>
  <c r="I854" i="11" s="1"/>
  <c r="J854" i="11" s="1"/>
  <c r="K854" i="11" l="1"/>
  <c r="E855" i="11" s="1"/>
  <c r="I855" i="11" l="1"/>
  <c r="J855" i="11" s="1"/>
  <c r="K855" i="11" l="1"/>
  <c r="E856" i="11" s="1"/>
  <c r="I856" i="11" l="1"/>
  <c r="J856" i="11" s="1"/>
  <c r="K856" i="11" s="1"/>
  <c r="E857" i="11" s="1"/>
  <c r="I857" i="11" s="1"/>
  <c r="J857" i="11" s="1"/>
  <c r="K857" i="11" s="1"/>
  <c r="E858" i="11" s="1"/>
  <c r="I858" i="11" l="1"/>
  <c r="J858" i="11" s="1"/>
  <c r="K858" i="11" l="1"/>
  <c r="E859" i="11" s="1"/>
  <c r="I859" i="11" l="1"/>
  <c r="J859" i="11" s="1"/>
  <c r="K859" i="11" l="1"/>
  <c r="E860" i="11" s="1"/>
  <c r="I860" i="11" s="1"/>
  <c r="J860" i="11" s="1"/>
  <c r="K860" i="11" s="1"/>
  <c r="E861" i="11" s="1"/>
  <c r="I861" i="11" l="1"/>
  <c r="J861" i="11" s="1"/>
  <c r="K861" i="11" l="1"/>
  <c r="E862" i="11" s="1"/>
  <c r="I862" i="11" s="1"/>
  <c r="J862" i="11" s="1"/>
  <c r="K862" i="11" s="1"/>
  <c r="E863" i="11" s="1"/>
  <c r="I863" i="11" s="1"/>
  <c r="J863" i="11" s="1"/>
  <c r="K863" i="11" s="1"/>
  <c r="E864" i="11" s="1"/>
  <c r="I864" i="11" l="1"/>
  <c r="J864" i="11" s="1"/>
  <c r="K864" i="11" l="1"/>
  <c r="E865" i="11" s="1"/>
  <c r="I865" i="11" l="1"/>
  <c r="J865" i="11" s="1"/>
  <c r="K865" i="11" l="1"/>
  <c r="E866" i="11" s="1"/>
  <c r="I866" i="11" l="1"/>
  <c r="J866" i="11" s="1"/>
  <c r="K866" i="11" l="1"/>
  <c r="E867" i="11" s="1"/>
  <c r="I867" i="11" s="1"/>
  <c r="J867" i="11" s="1"/>
  <c r="K867" i="11" s="1"/>
  <c r="E868" i="11" s="1"/>
  <c r="I868" i="11" s="1"/>
  <c r="J868" i="11" s="1"/>
  <c r="K868" i="11" s="1"/>
  <c r="E869" i="11" s="1"/>
  <c r="I869" i="11" l="1"/>
  <c r="J869" i="11" s="1"/>
  <c r="K869" i="11" l="1"/>
  <c r="E870" i="11" s="1"/>
  <c r="I870" i="11" l="1"/>
  <c r="J870" i="11" s="1"/>
  <c r="K870" i="11" l="1"/>
  <c r="E871" i="11" s="1"/>
  <c r="I871" i="11" l="1"/>
  <c r="J871" i="11" s="1"/>
  <c r="K871" i="11" l="1"/>
  <c r="E872" i="11" s="1"/>
  <c r="I872" i="11" l="1"/>
  <c r="J872" i="11" s="1"/>
  <c r="K872" i="11" l="1"/>
  <c r="E873" i="11" s="1"/>
  <c r="I873" i="11" l="1"/>
  <c r="J873" i="11" s="1"/>
  <c r="K873" i="11" l="1"/>
  <c r="E874" i="11" s="1"/>
  <c r="I874" i="11" s="1"/>
  <c r="J874" i="11" s="1"/>
  <c r="K874" i="11" s="1"/>
  <c r="E875" i="11" s="1"/>
  <c r="I875" i="11" l="1"/>
  <c r="J875" i="11" s="1"/>
  <c r="K875" i="11" l="1"/>
  <c r="E876" i="11" s="1"/>
  <c r="I876" i="11" l="1"/>
  <c r="J876" i="11" s="1"/>
  <c r="K876" i="11" l="1"/>
  <c r="E877" i="11" s="1"/>
  <c r="I877" i="11" l="1"/>
  <c r="J877" i="11" s="1"/>
  <c r="K877" i="11" s="1"/>
  <c r="E878" i="11" s="1"/>
  <c r="I878" i="11" l="1"/>
  <c r="J878" i="11" s="1"/>
  <c r="K878" i="11" l="1"/>
  <c r="E879" i="11" s="1"/>
  <c r="I879" i="11" s="1"/>
  <c r="J879" i="11" s="1"/>
  <c r="K879" i="11" s="1"/>
  <c r="E880" i="11" s="1"/>
  <c r="I880" i="11" l="1"/>
  <c r="J880" i="11" s="1"/>
  <c r="K880" i="11" l="1"/>
  <c r="E881" i="11" s="1"/>
  <c r="I881" i="11" l="1"/>
  <c r="J881" i="11" s="1"/>
  <c r="K881" i="11" l="1"/>
  <c r="E882" i="11" s="1"/>
  <c r="I882" i="11" l="1"/>
  <c r="J882" i="11" s="1"/>
  <c r="K882" i="11" l="1"/>
  <c r="E883" i="11" s="1"/>
  <c r="I883" i="11" l="1"/>
  <c r="J883" i="11" s="1"/>
  <c r="K883" i="11" l="1"/>
  <c r="E884" i="11" s="1"/>
  <c r="I884" i="11" s="1"/>
  <c r="J884" i="11" s="1"/>
  <c r="K884" i="11" s="1"/>
  <c r="E885" i="11" s="1"/>
  <c r="I885" i="11" l="1"/>
  <c r="J885" i="11" s="1"/>
  <c r="K885" i="11" l="1"/>
  <c r="E886" i="11" s="1"/>
  <c r="I886" i="11" s="1"/>
  <c r="J886" i="11" s="1"/>
  <c r="K886" i="11" s="1"/>
  <c r="E887" i="11" s="1"/>
  <c r="I887" i="11" l="1"/>
  <c r="J887" i="11" s="1"/>
  <c r="K887" i="11" l="1"/>
  <c r="E888" i="11" s="1"/>
  <c r="I888" i="11" l="1"/>
  <c r="J888" i="11" s="1"/>
  <c r="K888" i="11" l="1"/>
  <c r="E889" i="11" s="1"/>
  <c r="I889" i="11" l="1"/>
  <c r="J889" i="11" s="1"/>
  <c r="K889" i="11" l="1"/>
  <c r="E890" i="11" s="1"/>
  <c r="I890" i="11" s="1"/>
  <c r="J890" i="11" s="1"/>
  <c r="K890" i="11" s="1"/>
  <c r="E891" i="11" s="1"/>
  <c r="I891" i="11" l="1"/>
  <c r="J891" i="11" s="1"/>
  <c r="K891" i="11" l="1"/>
  <c r="E892" i="11" s="1"/>
  <c r="I892" i="11" l="1"/>
  <c r="J892" i="11" s="1"/>
  <c r="K892" i="11" l="1"/>
  <c r="E893" i="11" s="1"/>
  <c r="I893" i="11" l="1"/>
  <c r="J893" i="11" s="1"/>
  <c r="K893" i="11" l="1"/>
  <c r="E894" i="11" s="1"/>
  <c r="I894" i="11" l="1"/>
  <c r="J894" i="11" s="1"/>
  <c r="K894" i="11" l="1"/>
  <c r="E895" i="11" s="1"/>
  <c r="I895" i="11" l="1"/>
  <c r="J895" i="11" s="1"/>
  <c r="K895" i="11" l="1"/>
  <c r="E896" i="11" s="1"/>
  <c r="I896" i="11" l="1"/>
  <c r="J896" i="11" s="1"/>
  <c r="K896" i="11" l="1"/>
  <c r="E897" i="11" s="1"/>
  <c r="I897" i="11" s="1"/>
  <c r="J897" i="11" s="1"/>
  <c r="K897" i="11" s="1"/>
  <c r="E898" i="11" s="1"/>
  <c r="I898" i="11" l="1"/>
  <c r="J898" i="11" s="1"/>
  <c r="K898" i="11" s="1"/>
  <c r="E899" i="11" s="1"/>
  <c r="I899" i="11" l="1"/>
  <c r="J899" i="11" s="1"/>
  <c r="K899" i="11" l="1"/>
  <c r="E900" i="11" s="1"/>
  <c r="I900" i="11" l="1"/>
  <c r="J900" i="11" s="1"/>
  <c r="K900" i="11" l="1"/>
  <c r="E901" i="11" s="1"/>
  <c r="I901" i="11" l="1"/>
  <c r="J901" i="11" s="1"/>
  <c r="K901" i="11" l="1"/>
  <c r="E902" i="11" s="1"/>
  <c r="I902" i="11" l="1"/>
  <c r="J902" i="11" s="1"/>
  <c r="K902" i="11" l="1"/>
  <c r="E903" i="11" s="1"/>
  <c r="I903" i="11" l="1"/>
  <c r="J903" i="11" s="1"/>
  <c r="K903" i="11" l="1"/>
  <c r="E904" i="11" s="1"/>
  <c r="I904" i="11" l="1"/>
  <c r="J904" i="11" s="1"/>
  <c r="K904" i="11" l="1"/>
  <c r="E905" i="11" s="1"/>
  <c r="I905" i="11" l="1"/>
  <c r="J905" i="11" s="1"/>
  <c r="K905" i="11" l="1"/>
  <c r="E906" i="11" s="1"/>
  <c r="I906" i="11" l="1"/>
  <c r="J906" i="11" s="1"/>
  <c r="K906" i="11" l="1"/>
  <c r="E907" i="11" s="1"/>
  <c r="I907" i="11" l="1"/>
  <c r="J907" i="11" s="1"/>
  <c r="K907" i="11" l="1"/>
  <c r="E908" i="11" s="1"/>
  <c r="I908" i="11" l="1"/>
  <c r="J908" i="11" s="1"/>
  <c r="K908" i="11" l="1"/>
  <c r="E909" i="11" s="1"/>
  <c r="I909" i="11" l="1"/>
  <c r="J909" i="11" s="1"/>
  <c r="K909" i="11" l="1"/>
  <c r="E910" i="11" s="1"/>
  <c r="I910" i="11" s="1"/>
  <c r="J910" i="11" s="1"/>
  <c r="K910" i="11" s="1"/>
  <c r="E911" i="11" s="1"/>
  <c r="I911" i="11" l="1"/>
  <c r="J911" i="11" s="1"/>
  <c r="K911" i="11" l="1"/>
  <c r="E912" i="11" s="1"/>
  <c r="I912" i="11" l="1"/>
  <c r="J912" i="11" s="1"/>
  <c r="K912" i="11" s="1"/>
  <c r="E913" i="11" s="1"/>
  <c r="I913" i="11" s="1"/>
  <c r="J913" i="11" s="1"/>
  <c r="K913" i="11" s="1"/>
  <c r="E914" i="11" s="1"/>
  <c r="I914" i="11" l="1"/>
  <c r="J914" i="11" s="1"/>
  <c r="K914" i="11" s="1"/>
  <c r="E915" i="11" s="1"/>
  <c r="I915" i="11" l="1"/>
  <c r="J915" i="11" s="1"/>
  <c r="K915" i="11" l="1"/>
  <c r="E916" i="11" s="1"/>
  <c r="I916" i="11" l="1"/>
  <c r="J916" i="11" s="1"/>
  <c r="K916" i="11" l="1"/>
  <c r="E917" i="11" s="1"/>
  <c r="I917" i="11" s="1"/>
  <c r="J917" i="11" s="1"/>
  <c r="K917" i="11" l="1"/>
  <c r="E918" i="11" s="1"/>
  <c r="I918" i="11" s="1"/>
  <c r="J918" i="11" s="1"/>
  <c r="K918" i="11" s="1"/>
  <c r="E919" i="11" s="1"/>
  <c r="I919" i="11" l="1"/>
  <c r="J919" i="11" s="1"/>
  <c r="K919" i="11" l="1"/>
  <c r="E920" i="11" s="1"/>
  <c r="I920" i="11"/>
  <c r="J920" i="11" s="1"/>
  <c r="K920" i="11" l="1"/>
  <c r="E921" i="11" s="1"/>
  <c r="I921" i="11" s="1"/>
  <c r="J921" i="11" s="1"/>
  <c r="K921" i="11" s="1"/>
  <c r="E922" i="11" s="1"/>
  <c r="I922" i="11" l="1"/>
  <c r="J922" i="11" s="1"/>
  <c r="K922" i="11" l="1"/>
  <c r="E923" i="11" s="1"/>
  <c r="I923" i="11" l="1"/>
  <c r="J923" i="11" s="1"/>
  <c r="K923" i="11" l="1"/>
  <c r="E924" i="11" s="1"/>
  <c r="I924" i="11" l="1"/>
  <c r="J924" i="11" s="1"/>
  <c r="K924" i="11" l="1"/>
  <c r="E925" i="11" s="1"/>
  <c r="I925" i="11" l="1"/>
  <c r="J925" i="11" s="1"/>
  <c r="K925" i="11" l="1"/>
  <c r="E926" i="11" s="1"/>
  <c r="I926" i="11" l="1"/>
  <c r="J926" i="11" s="1"/>
  <c r="K926" i="11" l="1"/>
  <c r="E927" i="11" s="1"/>
  <c r="I927" i="11" s="1"/>
  <c r="J927" i="11" s="1"/>
  <c r="K927" i="11" s="1"/>
  <c r="E928" i="11" s="1"/>
  <c r="I928" i="11" l="1"/>
  <c r="J928" i="11" s="1"/>
  <c r="K928" i="11" l="1"/>
  <c r="E929" i="11" s="1"/>
  <c r="I929" i="11" s="1"/>
  <c r="J929" i="11" s="1"/>
  <c r="K929" i="11" s="1"/>
  <c r="E930" i="11" s="1"/>
  <c r="I930" i="11" l="1"/>
  <c r="J930" i="11" s="1"/>
  <c r="K930" i="11" l="1"/>
  <c r="E931" i="11" s="1"/>
  <c r="I931" i="11" l="1"/>
  <c r="J931" i="11" s="1"/>
  <c r="K931" i="11" l="1"/>
  <c r="E932" i="11" s="1"/>
  <c r="I932" i="11" l="1"/>
  <c r="J932" i="11" s="1"/>
  <c r="K932" i="11" l="1"/>
  <c r="E933" i="11" s="1"/>
  <c r="I933" i="11" l="1"/>
  <c r="J933" i="11" s="1"/>
  <c r="K933" i="11" s="1"/>
  <c r="E934" i="11" s="1"/>
  <c r="I934" i="11" s="1"/>
  <c r="J934" i="11" s="1"/>
  <c r="K934" i="11" s="1"/>
  <c r="E935" i="11" s="1"/>
  <c r="I935" i="11" s="1"/>
  <c r="J935" i="11" s="1"/>
  <c r="K935" i="11" s="1"/>
  <c r="E936" i="11" s="1"/>
  <c r="I936" i="11" l="1"/>
  <c r="J936" i="11" s="1"/>
  <c r="K936" i="11" l="1"/>
  <c r="E937" i="11" s="1"/>
  <c r="I937" i="11" l="1"/>
  <c r="J937" i="11" s="1"/>
  <c r="K937" i="11" l="1"/>
  <c r="E938" i="11" s="1"/>
  <c r="I938" i="11" s="1"/>
  <c r="J938" i="11" s="1"/>
  <c r="K938" i="11" l="1"/>
  <c r="E939" i="11" s="1"/>
  <c r="I939" i="11" s="1"/>
  <c r="J939" i="11" s="1"/>
  <c r="K939" i="11" s="1"/>
  <c r="E940" i="11" s="1"/>
  <c r="I940" i="11" s="1"/>
  <c r="J940" i="11" s="1"/>
  <c r="K940" i="11" s="1"/>
  <c r="E941" i="11" s="1"/>
  <c r="I941" i="11" l="1"/>
  <c r="J941" i="11" s="1"/>
  <c r="K941" i="11" s="1"/>
  <c r="E942" i="11" s="1"/>
  <c r="I942" i="11" s="1"/>
  <c r="J942" i="11" s="1"/>
  <c r="K942" i="11" s="1"/>
  <c r="E943" i="11" s="1"/>
  <c r="I943" i="11" s="1"/>
  <c r="J943" i="11" s="1"/>
  <c r="K943" i="11" s="1"/>
  <c r="E944" i="11" s="1"/>
  <c r="I944" i="11" l="1"/>
  <c r="J944" i="11" s="1"/>
  <c r="K944" i="11" l="1"/>
  <c r="E945" i="11" s="1"/>
  <c r="I945" i="11" s="1"/>
  <c r="J945" i="11" s="1"/>
  <c r="K945" i="11" s="1"/>
  <c r="E946" i="11" s="1"/>
  <c r="I946" i="11" l="1"/>
  <c r="J946" i="11" s="1"/>
  <c r="K946" i="11" l="1"/>
  <c r="E947" i="11" s="1"/>
  <c r="I947" i="11" l="1"/>
  <c r="J947" i="11" s="1"/>
  <c r="K947" i="11" s="1"/>
  <c r="E948" i="11" s="1"/>
  <c r="I948" i="11" l="1"/>
  <c r="J948" i="11" s="1"/>
  <c r="K948" i="11" l="1"/>
  <c r="E949" i="11" s="1"/>
  <c r="I949" i="11" l="1"/>
  <c r="J949" i="11" s="1"/>
  <c r="K949" i="11" l="1"/>
  <c r="E950" i="11" s="1"/>
  <c r="I950" i="11" l="1"/>
  <c r="J950" i="11" s="1"/>
  <c r="K950" i="11" l="1"/>
  <c r="E951" i="11" s="1"/>
  <c r="I951" i="11" l="1"/>
  <c r="J951" i="11" s="1"/>
  <c r="K951" i="11" l="1"/>
  <c r="E952" i="11" s="1"/>
  <c r="I952" i="11" l="1"/>
  <c r="J952" i="11" s="1"/>
  <c r="K952" i="11" s="1"/>
  <c r="E953" i="11" s="1"/>
  <c r="I953" i="11" s="1"/>
  <c r="J953" i="11" s="1"/>
  <c r="K953" i="11" s="1"/>
  <c r="E954" i="11" s="1"/>
  <c r="I954" i="11" l="1"/>
  <c r="J954" i="11" s="1"/>
  <c r="K954" i="11" l="1"/>
  <c r="E955" i="11" s="1"/>
  <c r="I955" i="11" l="1"/>
  <c r="J955" i="11" s="1"/>
  <c r="K955" i="11" l="1"/>
  <c r="E956" i="11" s="1"/>
  <c r="I956" i="11" l="1"/>
  <c r="J956" i="11" s="1"/>
  <c r="K956" i="11" l="1"/>
  <c r="E957" i="11" s="1"/>
  <c r="I957" i="11" l="1"/>
  <c r="J957" i="11" s="1"/>
  <c r="K957" i="11" l="1"/>
  <c r="E958" i="11" s="1"/>
  <c r="I958" i="11" l="1"/>
  <c r="J958" i="11" s="1"/>
  <c r="K958" i="11" l="1"/>
  <c r="E959" i="11" s="1"/>
  <c r="I959" i="11" l="1"/>
  <c r="J959" i="11" s="1"/>
  <c r="K959" i="11" l="1"/>
  <c r="E960" i="11" s="1"/>
  <c r="I960" i="11" s="1"/>
  <c r="J960" i="11" s="1"/>
  <c r="K960" i="11" l="1"/>
  <c r="E961" i="11" s="1"/>
  <c r="I961" i="11" s="1"/>
  <c r="J961" i="11" s="1"/>
  <c r="K961" i="11" s="1"/>
  <c r="E962" i="11" s="1"/>
  <c r="I962" i="11" s="1"/>
  <c r="J962" i="11" s="1"/>
  <c r="K962" i="11" l="1"/>
  <c r="E963" i="11" s="1"/>
  <c r="I963" i="11" l="1"/>
  <c r="J963" i="11" s="1"/>
  <c r="K963" i="11" l="1"/>
  <c r="E964" i="11" s="1"/>
  <c r="I964" i="11" l="1"/>
  <c r="J964" i="11" s="1"/>
  <c r="K964" i="11" l="1"/>
  <c r="E965" i="11" s="1"/>
  <c r="I965" i="11" l="1"/>
  <c r="J965" i="11" s="1"/>
  <c r="K965" i="11" l="1"/>
  <c r="E966" i="11" s="1"/>
  <c r="I966" i="11" l="1"/>
  <c r="J966" i="11" s="1"/>
  <c r="K966" i="11" l="1"/>
  <c r="E967" i="11" s="1"/>
  <c r="I967" i="11" l="1"/>
  <c r="J967" i="11" s="1"/>
  <c r="K967" i="11" l="1"/>
  <c r="E968" i="11" s="1"/>
  <c r="I968" i="11" l="1"/>
  <c r="J968" i="11" s="1"/>
  <c r="K968" i="11" l="1"/>
  <c r="E969" i="11" s="1"/>
  <c r="I969" i="11" l="1"/>
  <c r="J969" i="11" s="1"/>
  <c r="K969" i="11" l="1"/>
  <c r="E970" i="11" s="1"/>
  <c r="I970" i="11" l="1"/>
  <c r="J970" i="11" s="1"/>
  <c r="K970" i="11" l="1"/>
  <c r="E971" i="11" s="1"/>
  <c r="I971" i="11" l="1"/>
  <c r="J971" i="11" s="1"/>
  <c r="K971" i="11" l="1"/>
  <c r="E972" i="11" s="1"/>
  <c r="I972" i="11" l="1"/>
  <c r="J972" i="11" s="1"/>
  <c r="K972" i="11" l="1"/>
  <c r="E973" i="11" s="1"/>
  <c r="I973" i="11" l="1"/>
  <c r="J973" i="11" s="1"/>
  <c r="K973" i="11" l="1"/>
  <c r="E974" i="11" s="1"/>
  <c r="I974" i="11" s="1"/>
  <c r="J974" i="11" s="1"/>
  <c r="K974" i="11" s="1"/>
  <c r="E975" i="11" s="1"/>
  <c r="I975" i="11" l="1"/>
  <c r="J975" i="11" s="1"/>
  <c r="K975" i="11" l="1"/>
  <c r="E976" i="11" s="1"/>
  <c r="I976" i="11" s="1"/>
  <c r="J976" i="11" s="1"/>
  <c r="K976" i="11" s="1"/>
  <c r="E977" i="11" s="1"/>
  <c r="I977" i="11" l="1"/>
  <c r="J977" i="11" s="1"/>
  <c r="K977" i="11" s="1"/>
  <c r="E978" i="11" s="1"/>
  <c r="I978" i="11" l="1"/>
  <c r="J978" i="11" s="1"/>
  <c r="K978" i="11" l="1"/>
  <c r="E979" i="11" s="1"/>
  <c r="I979" i="11" l="1"/>
  <c r="J979" i="11" s="1"/>
  <c r="K979" i="11" l="1"/>
  <c r="E980" i="11" s="1"/>
  <c r="I980" i="11" l="1"/>
  <c r="J980" i="11" s="1"/>
  <c r="K980" i="11" l="1"/>
  <c r="E981" i="11" s="1"/>
  <c r="I981" i="11" s="1"/>
  <c r="J981" i="11" s="1"/>
  <c r="K981" i="11" l="1"/>
  <c r="E982" i="11" s="1"/>
  <c r="I982" i="11"/>
  <c r="J982" i="11" s="1"/>
  <c r="K982" i="11" l="1"/>
  <c r="E983" i="11" s="1"/>
  <c r="I983" i="11" s="1"/>
  <c r="J983" i="11" s="1"/>
  <c r="K983" i="11" s="1"/>
  <c r="E984" i="11" s="1"/>
  <c r="I984" i="11" s="1"/>
  <c r="J984" i="11" s="1"/>
  <c r="K984" i="11" l="1"/>
  <c r="E985" i="11" s="1"/>
  <c r="I985" i="11" l="1"/>
  <c r="J985" i="11" s="1"/>
  <c r="K985" i="11" l="1"/>
  <c r="E986" i="11" s="1"/>
  <c r="I986" i="11" l="1"/>
  <c r="J986" i="11" s="1"/>
  <c r="K986" i="11" l="1"/>
  <c r="E987" i="11" s="1"/>
  <c r="I987" i="11" s="1"/>
  <c r="J987" i="11" s="1"/>
  <c r="K987" i="11" s="1"/>
  <c r="E988" i="11" s="1"/>
  <c r="I988" i="11" l="1"/>
  <c r="J988" i="11" s="1"/>
  <c r="K988" i="11" l="1"/>
  <c r="E989" i="11" s="1"/>
  <c r="I989" i="11" l="1"/>
  <c r="J989" i="11" s="1"/>
  <c r="K989" i="11" l="1"/>
  <c r="E990" i="11" s="1"/>
  <c r="I990" i="11" l="1"/>
  <c r="J990" i="11" s="1"/>
  <c r="K990" i="11" s="1"/>
  <c r="E991" i="11" s="1"/>
  <c r="I991" i="11" l="1"/>
  <c r="J991" i="11" s="1"/>
  <c r="K991" i="11" l="1"/>
  <c r="E992" i="11" s="1"/>
  <c r="I992" i="11" l="1"/>
  <c r="J992" i="11" s="1"/>
  <c r="K992" i="11" l="1"/>
  <c r="E993" i="11" s="1"/>
  <c r="I993" i="11" l="1"/>
  <c r="J993" i="11" s="1"/>
  <c r="K993" i="11" l="1"/>
  <c r="E994" i="11" s="1"/>
  <c r="I994" i="11" s="1"/>
  <c r="J994" i="11" s="1"/>
  <c r="K994" i="11" s="1"/>
  <c r="E995" i="11" s="1"/>
  <c r="I995" i="11" l="1"/>
  <c r="J995" i="11" s="1"/>
  <c r="K995" i="11" l="1"/>
  <c r="E996" i="11" s="1"/>
  <c r="I996" i="11" l="1"/>
  <c r="J996" i="11" s="1"/>
  <c r="K996" i="11" s="1"/>
  <c r="E997" i="11" s="1"/>
  <c r="I997" i="11" l="1"/>
  <c r="J997" i="11" s="1"/>
  <c r="K997" i="11" l="1"/>
  <c r="E998" i="11" s="1"/>
  <c r="I998" i="11" s="1"/>
  <c r="J998" i="11" s="1"/>
  <c r="K998" i="11" l="1"/>
  <c r="E999" i="11" s="1"/>
  <c r="I999" i="11" l="1"/>
  <c r="J999" i="11" s="1"/>
  <c r="K999" i="11" s="1"/>
  <c r="E1000" i="11" s="1"/>
  <c r="I1000" i="11" l="1"/>
  <c r="J1000" i="11" s="1"/>
  <c r="K1000" i="11" l="1"/>
  <c r="E1001" i="11" s="1"/>
  <c r="I1001" i="11" l="1"/>
  <c r="J1001" i="11" s="1"/>
  <c r="K1001" i="11" l="1"/>
  <c r="E1002" i="11" s="1"/>
  <c r="I1002" i="11" l="1"/>
  <c r="J1002" i="11" s="1"/>
  <c r="K1002" i="11" l="1"/>
  <c r="E1003" i="11" s="1"/>
  <c r="I1003" i="11" l="1"/>
  <c r="J1003" i="11" s="1"/>
  <c r="K1003" i="11" l="1"/>
  <c r="E1004" i="11" s="1"/>
  <c r="I1004" i="11" l="1"/>
  <c r="J1004" i="11" s="1"/>
  <c r="K1004" i="11" l="1"/>
  <c r="E1005" i="11" s="1"/>
  <c r="I1005" i="11" l="1"/>
  <c r="J1005" i="11" s="1"/>
  <c r="K1005" i="11" l="1"/>
  <c r="E1006" i="11" s="1"/>
  <c r="I1006" i="11" s="1"/>
  <c r="J1006" i="11" s="1"/>
  <c r="K1006" i="11" s="1"/>
  <c r="E1007" i="11" s="1"/>
  <c r="I1007" i="11" s="1"/>
  <c r="J1007" i="11" s="1"/>
  <c r="K1007" i="11" s="1"/>
  <c r="E1008" i="11" s="1"/>
  <c r="I1008" i="11" l="1"/>
  <c r="J1008" i="11" s="1"/>
  <c r="K1008" i="11" l="1"/>
  <c r="E1009" i="11" s="1"/>
  <c r="I1009" i="11" l="1"/>
  <c r="J1009" i="11" s="1"/>
  <c r="K1009" i="11" l="1"/>
  <c r="E1010" i="11" s="1"/>
  <c r="I1010" i="11" l="1"/>
  <c r="J1010" i="11" s="1"/>
  <c r="K1010" i="11" l="1"/>
  <c r="E1011" i="11" s="1"/>
  <c r="I1011" i="11" l="1"/>
  <c r="J1011" i="11" s="1"/>
  <c r="K1011" i="11" l="1"/>
  <c r="E1012" i="11" s="1"/>
  <c r="I1012" i="11" l="1"/>
  <c r="J1012" i="11" s="1"/>
  <c r="K1012" i="11" l="1"/>
  <c r="E1013" i="11" s="1"/>
  <c r="I1013" i="11" l="1"/>
  <c r="J1013" i="11" s="1"/>
  <c r="K1013" i="11" l="1"/>
  <c r="E1014" i="11" s="1"/>
  <c r="I1014" i="11" s="1"/>
  <c r="J1014" i="11" s="1"/>
  <c r="K1014" i="11" s="1"/>
  <c r="E1015" i="11" s="1"/>
  <c r="I1015" i="11" l="1"/>
  <c r="J1015" i="11" s="1"/>
  <c r="K1015" i="11" l="1"/>
  <c r="E1016" i="11" s="1"/>
  <c r="I1016" i="11" l="1"/>
  <c r="J1016" i="11" s="1"/>
  <c r="K1016" i="11" l="1"/>
  <c r="E1017" i="11" s="1"/>
  <c r="I1017" i="11" l="1"/>
  <c r="J1017" i="11" s="1"/>
  <c r="K1017" i="11" l="1"/>
  <c r="E1018" i="11" s="1"/>
  <c r="I1018" i="11" l="1"/>
  <c r="J1018" i="11" s="1"/>
  <c r="K1018" i="11" l="1"/>
  <c r="E1019" i="11" s="1"/>
  <c r="I1019" i="11" l="1"/>
  <c r="J1019" i="11" s="1"/>
  <c r="K1019" i="11" l="1"/>
  <c r="E1020" i="11" s="1"/>
  <c r="I1020" i="11" l="1"/>
  <c r="J1020" i="11" s="1"/>
  <c r="K1020" i="11" l="1"/>
  <c r="E1021" i="11" s="1"/>
  <c r="I1021" i="11"/>
  <c r="J1021" i="11" s="1"/>
  <c r="K1021" i="11" s="1"/>
  <c r="E1022" i="11" s="1"/>
  <c r="I1022" i="11" l="1"/>
  <c r="J1022" i="11" s="1"/>
  <c r="K1022" i="11" l="1"/>
  <c r="E1023" i="11" s="1"/>
  <c r="I1023" i="11" l="1"/>
  <c r="J1023" i="11" s="1"/>
  <c r="K1023" i="11" l="1"/>
  <c r="E1024" i="11" s="1"/>
  <c r="I1024" i="11" l="1"/>
  <c r="J1024" i="11" s="1"/>
  <c r="K1024" i="11" l="1"/>
  <c r="E1025" i="11" s="1"/>
  <c r="I1025" i="11" l="1"/>
  <c r="J1025" i="11" s="1"/>
  <c r="K1025" i="11" l="1"/>
  <c r="E1026" i="11" s="1"/>
  <c r="I1026" i="11" s="1"/>
  <c r="J1026" i="11" s="1"/>
  <c r="K1026" i="11" s="1"/>
  <c r="E1027" i="11" s="1"/>
  <c r="I1027" i="11" s="1"/>
  <c r="J1027" i="11" s="1"/>
  <c r="K1027" i="11" s="1"/>
  <c r="E1028" i="11" s="1"/>
  <c r="I1028" i="11" l="1"/>
  <c r="J1028" i="11" s="1"/>
  <c r="K1028" i="11" l="1"/>
  <c r="E1029" i="11" s="1"/>
  <c r="I1029" i="11" l="1"/>
  <c r="J1029" i="11" s="1"/>
  <c r="K1029" i="11" l="1"/>
  <c r="E1030" i="11" s="1"/>
  <c r="I1030" i="11" l="1"/>
  <c r="J1030" i="11" s="1"/>
  <c r="K1030" i="11" l="1"/>
  <c r="E1031" i="11" s="1"/>
  <c r="I1031" i="11" l="1"/>
  <c r="J1031" i="11" s="1"/>
  <c r="K1031" i="11" l="1"/>
  <c r="E1032" i="11" s="1"/>
  <c r="I1032" i="11" l="1"/>
  <c r="J1032" i="11" s="1"/>
  <c r="K1032" i="11" s="1"/>
  <c r="E1033" i="11" s="1"/>
  <c r="I1033" i="11" l="1"/>
  <c r="J1033" i="11" s="1"/>
  <c r="K1033" i="11" l="1"/>
  <c r="E1034" i="11" s="1"/>
  <c r="I1034" i="11" l="1"/>
  <c r="J1034" i="11" s="1"/>
  <c r="K1034" i="11" l="1"/>
  <c r="E1035" i="11" s="1"/>
  <c r="I1035" i="11" l="1"/>
  <c r="J1035" i="11" s="1"/>
  <c r="K1035" i="11" l="1"/>
  <c r="E1036" i="11" s="1"/>
  <c r="I1036" i="11" l="1"/>
  <c r="J1036" i="11" s="1"/>
  <c r="K1036" i="11" l="1"/>
  <c r="E1037" i="11" s="1"/>
  <c r="I1037" i="11" l="1"/>
  <c r="J1037" i="11" s="1"/>
  <c r="K1037" i="11" l="1"/>
  <c r="E1038" i="11" s="1"/>
  <c r="I1038" i="11" l="1"/>
  <c r="J1038" i="11" s="1"/>
  <c r="K1038" i="11" l="1"/>
  <c r="E1039" i="11" s="1"/>
  <c r="I1039" i="11" l="1"/>
  <c r="J1039" i="11" s="1"/>
  <c r="K1039" i="11" l="1"/>
  <c r="E1040" i="11" s="1"/>
  <c r="I1040" i="11" l="1"/>
  <c r="J1040" i="11" s="1"/>
  <c r="K1040" i="11" s="1"/>
  <c r="E1041" i="11" s="1"/>
  <c r="I1041" i="11" l="1"/>
  <c r="J1041" i="11" s="1"/>
  <c r="K1041" i="11" l="1"/>
  <c r="E1042" i="11" s="1"/>
  <c r="I1042" i="11" l="1"/>
  <c r="J1042" i="11" s="1"/>
  <c r="K1042" i="11" l="1"/>
  <c r="E1043" i="11" s="1"/>
  <c r="I1043" i="11"/>
  <c r="J1043" i="11" s="1"/>
  <c r="K1043" i="11" l="1"/>
  <c r="E1044" i="11" s="1"/>
  <c r="I1044" i="11" l="1"/>
  <c r="J1044" i="11" s="1"/>
  <c r="K1044" i="11" l="1"/>
  <c r="E1045" i="11" s="1"/>
  <c r="I1045" i="11" l="1"/>
  <c r="J1045" i="11" s="1"/>
  <c r="K1045" i="11" l="1"/>
  <c r="E1046" i="11" s="1"/>
  <c r="I1046" i="11" s="1"/>
  <c r="J1046" i="11" s="1"/>
  <c r="K1046" i="11" l="1"/>
  <c r="E1047" i="11" s="1"/>
  <c r="I1047" i="11"/>
  <c r="J1047" i="11" s="1"/>
  <c r="K1047" i="11" l="1"/>
  <c r="E1048" i="11" s="1"/>
  <c r="I1048" i="11" l="1"/>
  <c r="J1048" i="11" s="1"/>
  <c r="K1048" i="11" l="1"/>
  <c r="E1049" i="11" s="1"/>
  <c r="I1049" i="11" s="1"/>
  <c r="J1049" i="11" s="1"/>
  <c r="K1049" i="11" s="1"/>
  <c r="E1050" i="11" s="1"/>
  <c r="I1050" i="11" l="1"/>
  <c r="J1050" i="11" s="1"/>
  <c r="K1050" i="11" s="1"/>
  <c r="E1051" i="11" s="1"/>
  <c r="I1051" i="11" l="1"/>
  <c r="J1051" i="11" s="1"/>
  <c r="K1051" i="11" l="1"/>
  <c r="E1052" i="11" s="1"/>
  <c r="I1052" i="11"/>
  <c r="J1052" i="11" s="1"/>
  <c r="K1052" i="11" l="1"/>
  <c r="E1053" i="11" s="1"/>
  <c r="I1053" i="11" l="1"/>
  <c r="J1053" i="11" s="1"/>
  <c r="K1053" i="11" s="1"/>
  <c r="E1054" i="11" s="1"/>
  <c r="I1054" i="11" s="1"/>
  <c r="J1054" i="11" s="1"/>
  <c r="K1054" i="11" s="1"/>
  <c r="E1055" i="11" s="1"/>
  <c r="I1055" i="11" l="1"/>
  <c r="J1055" i="11" s="1"/>
  <c r="K1055" i="11" l="1"/>
  <c r="E1056" i="11" s="1"/>
  <c r="I1056" i="11" l="1"/>
  <c r="J1056" i="11" s="1"/>
  <c r="K1056" i="11" l="1"/>
  <c r="E1057" i="11" s="1"/>
  <c r="I1057" i="11" l="1"/>
  <c r="J1057" i="11" s="1"/>
  <c r="K1057" i="11" l="1"/>
  <c r="E1058" i="11" s="1"/>
  <c r="I1058" i="11" s="1"/>
  <c r="J1058" i="11" s="1"/>
  <c r="K1058" i="11" s="1"/>
  <c r="E1059" i="11" s="1"/>
  <c r="I1059" i="11" l="1"/>
  <c r="J1059" i="11" s="1"/>
  <c r="K1059" i="11" l="1"/>
  <c r="E1060" i="11" s="1"/>
  <c r="I1060" i="11" l="1"/>
  <c r="J1060" i="11" s="1"/>
  <c r="K1060" i="11" l="1"/>
  <c r="E1061" i="11" s="1"/>
  <c r="I1061" i="11" l="1"/>
  <c r="J1061" i="11" s="1"/>
  <c r="K1061" i="11" l="1"/>
  <c r="E1062" i="11" s="1"/>
  <c r="I1062" i="11" l="1"/>
  <c r="J1062" i="11" s="1"/>
  <c r="K1062" i="11" l="1"/>
  <c r="E1063" i="11" s="1"/>
  <c r="I1063" i="11" l="1"/>
  <c r="J1063" i="11" s="1"/>
  <c r="K1063" i="11" l="1"/>
  <c r="E1064" i="11" s="1"/>
  <c r="I1064" i="11" l="1"/>
  <c r="J1064" i="11" s="1"/>
  <c r="K1064" i="11" l="1"/>
  <c r="E1065" i="11" s="1"/>
  <c r="I1065" i="11" l="1"/>
  <c r="J1065" i="11" s="1"/>
  <c r="K1065" i="11" l="1"/>
  <c r="E1066" i="11" s="1"/>
  <c r="I1066" i="11" l="1"/>
  <c r="J1066" i="11" s="1"/>
  <c r="K1066" i="11" l="1"/>
  <c r="E1067" i="11" s="1"/>
  <c r="I1067" i="11" l="1"/>
  <c r="J1067" i="11" s="1"/>
  <c r="K1067" i="11" l="1"/>
  <c r="E1068" i="11" s="1"/>
  <c r="I1068" i="11" l="1"/>
  <c r="J1068" i="11" s="1"/>
  <c r="K1068" i="11" l="1"/>
  <c r="E1069" i="11" s="1"/>
  <c r="I1069" i="11" l="1"/>
  <c r="J1069" i="11" s="1"/>
  <c r="K1069" i="11" l="1"/>
  <c r="E1070" i="11" s="1"/>
  <c r="I1070" i="11" l="1"/>
  <c r="J1070" i="11" s="1"/>
  <c r="K1070" i="11" l="1"/>
  <c r="E1071" i="11" s="1"/>
  <c r="I1071" i="11" l="1"/>
  <c r="J1071" i="11" s="1"/>
  <c r="K1071" i="11" s="1"/>
  <c r="E1072" i="11" s="1"/>
  <c r="I1072" i="11" l="1"/>
  <c r="J1072" i="11" s="1"/>
  <c r="K1072" i="11" l="1"/>
  <c r="E1073" i="11" s="1"/>
  <c r="I1073" i="11" l="1"/>
  <c r="J1073" i="11" s="1"/>
  <c r="K1073" i="11" l="1"/>
  <c r="E1074" i="11" s="1"/>
  <c r="I1074" i="11" l="1"/>
  <c r="J1074" i="11" s="1"/>
  <c r="K1074" i="11" l="1"/>
  <c r="E1075" i="11" s="1"/>
  <c r="I1075" i="11" l="1"/>
  <c r="J1075" i="11" s="1"/>
  <c r="K1075" i="11" l="1"/>
  <c r="E1076" i="11" s="1"/>
  <c r="I1076" i="11" l="1"/>
  <c r="J1076" i="11" s="1"/>
  <c r="K1076" i="11" l="1"/>
  <c r="E1077" i="11" s="1"/>
  <c r="I1077" i="11" s="1"/>
  <c r="J1077" i="11" s="1"/>
  <c r="K1077" i="11" s="1"/>
  <c r="E1078" i="11" s="1"/>
  <c r="I1078" i="11" l="1"/>
  <c r="J1078" i="11" s="1"/>
  <c r="K1078" i="11" l="1"/>
  <c r="E1079" i="11" s="1"/>
  <c r="I1079" i="11" l="1"/>
  <c r="J1079" i="11" s="1"/>
  <c r="K1079" i="11" l="1"/>
  <c r="E1080" i="11" s="1"/>
  <c r="I1080" i="11" l="1"/>
  <c r="J1080" i="11" s="1"/>
  <c r="K1080" i="11" l="1"/>
  <c r="E1081" i="11" s="1"/>
  <c r="I1081" i="11" l="1"/>
  <c r="J1081" i="11" s="1"/>
  <c r="K1081" i="11" s="1"/>
  <c r="E1082" i="11" s="1"/>
  <c r="I1082" i="11" l="1"/>
  <c r="J1082" i="11" s="1"/>
  <c r="K1082" i="11" l="1"/>
  <c r="E1083" i="11" s="1"/>
  <c r="I1083" i="11" l="1"/>
  <c r="J1083" i="11" s="1"/>
  <c r="K1083" i="11" l="1"/>
  <c r="E1084" i="11" s="1"/>
  <c r="I1084" i="11" l="1"/>
  <c r="J1084" i="11" s="1"/>
  <c r="K1084" i="11" l="1"/>
  <c r="E1085" i="11" s="1"/>
  <c r="I1085" i="11" l="1"/>
  <c r="J1085" i="11" s="1"/>
  <c r="K1085" i="11" l="1"/>
  <c r="E1086" i="11" s="1"/>
  <c r="I1086" i="11" s="1"/>
  <c r="J1086" i="11" s="1"/>
  <c r="K1086" i="11" s="1"/>
  <c r="E1087" i="11" s="1"/>
  <c r="I1087" i="11" s="1"/>
  <c r="J1087" i="11" s="1"/>
  <c r="K1087" i="11" l="1"/>
  <c r="E1088" i="11" s="1"/>
  <c r="I1088" i="11" l="1"/>
  <c r="J1088" i="11" s="1"/>
  <c r="K1088" i="11" l="1"/>
  <c r="E1089" i="11" s="1"/>
  <c r="I1089" i="11" l="1"/>
  <c r="J1089" i="11" s="1"/>
  <c r="K1089" i="11" l="1"/>
  <c r="E1090" i="11" s="1"/>
  <c r="I1090" i="11" l="1"/>
  <c r="J1090" i="11" s="1"/>
  <c r="K1090" i="11" l="1"/>
  <c r="E1091" i="11" s="1"/>
  <c r="I1091" i="11" s="1"/>
  <c r="J1091" i="11" s="1"/>
  <c r="K1091" i="11" s="1"/>
  <c r="E1092" i="11" s="1"/>
  <c r="I1092" i="11" s="1"/>
  <c r="J1092" i="11" s="1"/>
  <c r="K1092" i="11" l="1"/>
  <c r="E1093" i="11" s="1"/>
  <c r="I1093" i="11" l="1"/>
  <c r="J1093" i="11" s="1"/>
  <c r="K1093" i="11" l="1"/>
  <c r="E1094" i="11" s="1"/>
  <c r="I1094" i="11" l="1"/>
  <c r="J1094" i="11" s="1"/>
  <c r="K1094" i="11" l="1"/>
  <c r="E1095" i="11" s="1"/>
  <c r="I1095" i="11"/>
  <c r="J1095" i="11" s="1"/>
  <c r="K1095" i="11" l="1"/>
  <c r="E1096" i="11" s="1"/>
  <c r="I1096" i="11" l="1"/>
  <c r="J1096" i="11" s="1"/>
  <c r="K1096" i="11" l="1"/>
  <c r="E1097" i="11" s="1"/>
  <c r="I1097" i="11" l="1"/>
  <c r="J1097" i="11" s="1"/>
  <c r="K1097" i="11" l="1"/>
  <c r="E1098" i="11" s="1"/>
  <c r="I1098" i="11" l="1"/>
  <c r="J1098" i="11" s="1"/>
  <c r="K1098" i="11" l="1"/>
  <c r="E1099" i="11" s="1"/>
  <c r="I1099" i="11" s="1"/>
  <c r="J1099" i="11" s="1"/>
  <c r="K1099" i="11" l="1"/>
  <c r="E1100" i="11" s="1"/>
  <c r="I1100" i="11"/>
  <c r="J1100" i="11" s="1"/>
  <c r="K1100" i="11" l="1"/>
  <c r="E1101" i="11" s="1"/>
  <c r="I1101" i="11" l="1"/>
  <c r="J1101" i="11" s="1"/>
  <c r="K1101" i="11" l="1"/>
  <c r="E1102" i="11" s="1"/>
  <c r="I1102" i="11" s="1"/>
  <c r="J1102" i="11" s="1"/>
  <c r="K1102" i="11" s="1"/>
  <c r="E1103" i="11" s="1"/>
  <c r="I1103" i="11" l="1"/>
  <c r="J1103" i="11" s="1"/>
  <c r="K1103" i="11" s="1"/>
  <c r="E1104" i="11" s="1"/>
  <c r="I1104" i="11" l="1"/>
  <c r="J1104" i="11" s="1"/>
  <c r="K1104" i="11" l="1"/>
  <c r="E1105" i="11" s="1"/>
  <c r="I1105" i="11" l="1"/>
  <c r="J1105" i="11" s="1"/>
  <c r="K1105" i="11" l="1"/>
  <c r="E1106" i="11" s="1"/>
  <c r="I1106" i="11" s="1"/>
  <c r="J1106" i="11" s="1"/>
  <c r="K1106" i="11" l="1"/>
  <c r="E1107" i="11" s="1"/>
  <c r="I1107" i="11" l="1"/>
  <c r="J1107" i="11" s="1"/>
  <c r="K1107" i="11" s="1"/>
  <c r="E1108" i="11" s="1"/>
  <c r="I1108" i="11" l="1"/>
  <c r="J1108" i="11" s="1"/>
  <c r="K1108" i="11" l="1"/>
  <c r="E1109" i="11" s="1"/>
  <c r="I1109" i="11" s="1"/>
  <c r="J1109" i="11" s="1"/>
  <c r="K1109" i="11" s="1"/>
  <c r="E1110" i="11" s="1"/>
  <c r="I1110" i="11" l="1"/>
  <c r="J1110" i="11" s="1"/>
  <c r="K1110" i="11" l="1"/>
  <c r="E1111" i="11" s="1"/>
  <c r="I1111" i="11" l="1"/>
  <c r="J1111" i="11" s="1"/>
  <c r="K1111" i="11" l="1"/>
  <c r="E1112" i="11" s="1"/>
  <c r="I1112" i="11" l="1"/>
  <c r="J1112" i="11" s="1"/>
  <c r="K1112" i="11" l="1"/>
  <c r="E1113" i="11" s="1"/>
  <c r="I1113" i="11" l="1"/>
  <c r="J1113" i="11" s="1"/>
  <c r="K1113" i="11" l="1"/>
  <c r="E1114" i="11" s="1"/>
  <c r="I1114" i="11" s="1"/>
  <c r="J1114" i="11" s="1"/>
  <c r="K1114" i="11" s="1"/>
  <c r="E1115" i="11" s="1"/>
  <c r="I1115" i="11" l="1"/>
  <c r="J1115" i="11" s="1"/>
  <c r="K1115" i="11" l="1"/>
  <c r="E1116" i="11" s="1"/>
  <c r="I1116" i="11" l="1"/>
  <c r="J1116" i="11" s="1"/>
  <c r="K1116" i="11" l="1"/>
  <c r="E1117" i="11" s="1"/>
  <c r="I1117" i="11" s="1"/>
  <c r="J1117" i="11" s="1"/>
  <c r="K1117" i="11" s="1"/>
  <c r="E1118" i="11" s="1"/>
  <c r="I1118" i="11" s="1"/>
  <c r="J1118" i="11" s="1"/>
  <c r="K1118" i="11" l="1"/>
  <c r="E1119" i="11" s="1"/>
  <c r="I1119" i="11" s="1"/>
  <c r="J1119" i="11" s="1"/>
  <c r="K1119" i="11" l="1"/>
  <c r="E1120" i="11" s="1"/>
  <c r="I1120" i="11" l="1"/>
  <c r="J1120" i="11" s="1"/>
  <c r="K1120" i="11" l="1"/>
  <c r="E1121" i="11" s="1"/>
  <c r="I1121" i="11" l="1"/>
  <c r="J1121" i="11" s="1"/>
  <c r="K1121" i="11" l="1"/>
  <c r="E1122" i="11" s="1"/>
  <c r="I1122" i="11" s="1"/>
  <c r="J1122" i="11" l="1"/>
  <c r="K1122" i="11"/>
  <c r="E1123" i="11" s="1"/>
  <c r="I1123" i="11" s="1"/>
  <c r="J1123" i="11" s="1"/>
  <c r="K1123" i="11" l="1"/>
  <c r="E1124" i="11" s="1"/>
  <c r="I1124" i="11"/>
  <c r="J1124" i="11" s="1"/>
  <c r="K1124" i="11" l="1"/>
  <c r="E1125" i="11" s="1"/>
  <c r="I1125" i="11" s="1"/>
  <c r="J1125" i="11" s="1"/>
  <c r="K1125" i="11" s="1"/>
  <c r="E1126" i="11" s="1"/>
  <c r="I1126" i="11" l="1"/>
  <c r="J1126" i="11" s="1"/>
  <c r="K1126" i="11" l="1"/>
  <c r="E1127" i="11" s="1"/>
  <c r="I1127" i="11" l="1"/>
  <c r="J1127" i="11" s="1"/>
  <c r="K1127" i="11" l="1"/>
  <c r="E1128" i="11" s="1"/>
  <c r="I1128" i="11" s="1"/>
  <c r="J1128" i="11" s="1"/>
  <c r="K1128" i="11" s="1"/>
  <c r="E1129" i="11" s="1"/>
  <c r="I1129" i="11" l="1"/>
  <c r="J1129" i="11" s="1"/>
  <c r="K1129" i="11" l="1"/>
  <c r="E1130" i="11" s="1"/>
  <c r="I1130" i="11" s="1"/>
  <c r="J1130" i="11" s="1"/>
  <c r="K1130" i="11" s="1"/>
  <c r="E1131" i="11" s="1"/>
  <c r="I1131" i="11" l="1"/>
  <c r="J1131" i="11" s="1"/>
  <c r="K1131" i="11" l="1"/>
  <c r="E1132" i="11" s="1"/>
  <c r="I1132" i="11"/>
  <c r="J1132" i="11" s="1"/>
  <c r="K1132" i="11" l="1"/>
  <c r="E1133" i="11" s="1"/>
  <c r="I1133" i="11" l="1"/>
  <c r="J1133" i="11" s="1"/>
  <c r="K1133" i="11" l="1"/>
  <c r="E1134" i="11" s="1"/>
  <c r="I1134" i="11" l="1"/>
  <c r="J1134" i="11" s="1"/>
  <c r="K1134" i="11" s="1"/>
  <c r="E1135" i="11" s="1"/>
  <c r="I1135" i="11" l="1"/>
  <c r="J1135" i="11" s="1"/>
  <c r="K1135" i="11" l="1"/>
  <c r="E1136" i="11" s="1"/>
  <c r="I1136" i="11" l="1"/>
  <c r="J1136" i="11" s="1"/>
  <c r="K1136" i="11" l="1"/>
  <c r="E1137" i="11" s="1"/>
  <c r="I1137" i="11" l="1"/>
  <c r="J1137" i="11" s="1"/>
  <c r="K1137" i="11" l="1"/>
  <c r="E1138" i="11" s="1"/>
  <c r="I1138" i="11" l="1"/>
  <c r="J1138" i="11" s="1"/>
  <c r="K1138" i="11" l="1"/>
  <c r="E1139" i="11" s="1"/>
  <c r="I1139" i="11" s="1"/>
  <c r="J1139" i="11" s="1"/>
  <c r="K1139" i="11" s="1"/>
  <c r="E1140" i="11" s="1"/>
  <c r="I1140" i="11" s="1"/>
  <c r="J1140" i="11" s="1"/>
  <c r="K1140" i="11" s="1"/>
  <c r="E1141" i="11" s="1"/>
  <c r="I1141" i="11" s="1"/>
  <c r="J1141" i="11" s="1"/>
  <c r="K1141" i="11" s="1"/>
  <c r="E1142" i="11" s="1"/>
  <c r="I1142" i="11" s="1"/>
  <c r="J1142" i="11" s="1"/>
  <c r="K1142" i="11" s="1"/>
  <c r="E1143" i="11" s="1"/>
  <c r="I1143" i="11" l="1"/>
  <c r="J1143" i="11" s="1"/>
  <c r="K1143" i="11" l="1"/>
  <c r="E1144" i="11" s="1"/>
  <c r="I1144" i="11" l="1"/>
  <c r="J1144" i="11" s="1"/>
  <c r="K1144" i="11" l="1"/>
  <c r="E1145" i="11" s="1"/>
  <c r="I1145" i="11" l="1"/>
  <c r="J1145" i="11" s="1"/>
  <c r="K1145" i="11" l="1"/>
  <c r="E1146" i="11" s="1"/>
  <c r="I1146" i="11" l="1"/>
  <c r="J1146" i="11" s="1"/>
  <c r="K1146" i="11" l="1"/>
  <c r="E1147" i="11" s="1"/>
  <c r="I1147" i="11" l="1"/>
  <c r="J1147" i="11" s="1"/>
  <c r="K1147" i="11" l="1"/>
  <c r="E1148" i="11" s="1"/>
  <c r="I1148" i="11" l="1"/>
  <c r="J1148" i="11" s="1"/>
  <c r="K1148" i="11" l="1"/>
  <c r="E1149" i="11" s="1"/>
  <c r="I1149" i="11" l="1"/>
  <c r="J1149" i="11" s="1"/>
  <c r="K1149" i="11" l="1"/>
  <c r="E1150" i="11" s="1"/>
  <c r="I1150" i="11" l="1"/>
  <c r="J1150" i="11" s="1"/>
  <c r="K1150" i="11" l="1"/>
  <c r="E1151" i="11" s="1"/>
  <c r="I1151" i="11"/>
  <c r="J1151" i="11" s="1"/>
  <c r="K1151" i="11" l="1"/>
  <c r="E1152" i="11" s="1"/>
  <c r="I1152" i="11" l="1"/>
  <c r="J1152" i="11" s="1"/>
  <c r="K1152" i="11" l="1"/>
  <c r="E1153" i="11" s="1"/>
  <c r="I1153" i="11" s="1"/>
  <c r="J1153" i="11" s="1"/>
  <c r="K1153" i="11" s="1"/>
  <c r="E1154" i="11" s="1"/>
  <c r="I1154" i="11" s="1"/>
  <c r="J1154" i="11" s="1"/>
  <c r="K1154" i="11" s="1"/>
  <c r="E1155" i="11" s="1"/>
  <c r="I1155" i="11" l="1"/>
  <c r="J1155" i="11" s="1"/>
  <c r="K1155" i="11" l="1"/>
  <c r="E1156" i="11" s="1"/>
  <c r="I1156" i="11" l="1"/>
  <c r="J1156" i="11" s="1"/>
  <c r="K1156" i="11" l="1"/>
  <c r="E1157" i="11" s="1"/>
  <c r="I1157" i="11" l="1"/>
  <c r="J1157" i="11" s="1"/>
  <c r="K1157" i="11" l="1"/>
  <c r="E1158" i="11" s="1"/>
  <c r="I1158" i="11" l="1"/>
  <c r="J1158" i="11" s="1"/>
  <c r="K1158" i="11" l="1"/>
  <c r="E1159" i="11" s="1"/>
  <c r="I1159" i="11" l="1"/>
  <c r="J1159" i="11" s="1"/>
  <c r="K1159" i="11" l="1"/>
  <c r="E1160" i="11" s="1"/>
  <c r="I1160" i="11" l="1"/>
  <c r="J1160" i="11" s="1"/>
  <c r="K1160" i="11" l="1"/>
  <c r="E1161" i="11" s="1"/>
  <c r="I1161" i="11" l="1"/>
  <c r="J1161" i="11" s="1"/>
  <c r="K1161" i="11" l="1"/>
  <c r="E1162" i="11" s="1"/>
  <c r="I1162" i="11" l="1"/>
  <c r="J1162" i="11" s="1"/>
  <c r="K1162" i="11" l="1"/>
  <c r="E1163" i="11" s="1"/>
  <c r="I1163" i="11" s="1"/>
  <c r="J1163" i="11" s="1"/>
  <c r="K1163" i="11" s="1"/>
  <c r="E1164" i="11" s="1"/>
  <c r="I1164" i="11" l="1"/>
  <c r="J1164" i="11" s="1"/>
  <c r="K1164" i="11" l="1"/>
  <c r="E1165" i="11" s="1"/>
  <c r="I1165" i="11" l="1"/>
  <c r="J1165" i="11" s="1"/>
  <c r="K1165" i="11" l="1"/>
  <c r="E1166" i="11" s="1"/>
  <c r="I1166" i="11" s="1"/>
  <c r="J1166" i="11" s="1"/>
  <c r="K1166" i="11" s="1"/>
  <c r="E1167" i="11" s="1"/>
  <c r="I1167" i="11" l="1"/>
  <c r="J1167" i="11" s="1"/>
  <c r="K1167" i="11" l="1"/>
  <c r="E1168" i="11" s="1"/>
  <c r="I1168" i="11"/>
  <c r="J1168" i="11" s="1"/>
  <c r="K1168" i="11" l="1"/>
  <c r="E1169" i="11" s="1"/>
  <c r="I1169" i="11" l="1"/>
  <c r="J1169" i="11" s="1"/>
  <c r="K1169" i="11" l="1"/>
  <c r="E1170" i="11" s="1"/>
  <c r="I1170" i="11" s="1"/>
  <c r="J1170" i="11" s="1"/>
  <c r="K1170" i="11" l="1"/>
  <c r="E1171" i="11" s="1"/>
  <c r="I1171" i="11" l="1"/>
  <c r="J1171" i="11" s="1"/>
  <c r="K1171" i="11" l="1"/>
  <c r="E1172" i="11" s="1"/>
  <c r="I1172" i="11" l="1"/>
  <c r="J1172" i="11" s="1"/>
  <c r="K1172" i="11" l="1"/>
  <c r="E1173" i="11" s="1"/>
  <c r="I1173" i="11" l="1"/>
  <c r="J1173" i="11" s="1"/>
  <c r="K1173" i="11" l="1"/>
  <c r="E1174" i="11" s="1"/>
  <c r="I1174" i="11" l="1"/>
  <c r="J1174" i="11" s="1"/>
  <c r="K1174" i="11" l="1"/>
  <c r="E1175" i="11" s="1"/>
  <c r="I1175" i="11" l="1"/>
  <c r="J1175" i="11" s="1"/>
  <c r="K1175" i="11" l="1"/>
  <c r="E1176" i="11" s="1"/>
  <c r="I1176" i="11" l="1"/>
  <c r="J1176" i="11" s="1"/>
  <c r="K1176" i="11" l="1"/>
  <c r="E1177" i="11" s="1"/>
  <c r="I1177" i="11" l="1"/>
  <c r="J1177" i="11" s="1"/>
  <c r="K1177" i="11" l="1"/>
  <c r="E1178" i="11" s="1"/>
  <c r="I1178" i="11" l="1"/>
  <c r="J1178" i="11" s="1"/>
  <c r="K1178" i="11" l="1"/>
  <c r="E1179" i="11" s="1"/>
  <c r="I1179" i="11" s="1"/>
  <c r="J1179" i="11" s="1"/>
  <c r="K1179" i="11" s="1"/>
  <c r="E1180" i="11" s="1"/>
  <c r="I1180" i="11" l="1"/>
  <c r="J1180" i="11" s="1"/>
  <c r="K1180" i="11" l="1"/>
  <c r="E1181" i="11" s="1"/>
  <c r="I1181" i="11" s="1"/>
  <c r="J1181" i="11" s="1"/>
  <c r="K1181" i="11" s="1"/>
  <c r="E1182" i="11" s="1"/>
  <c r="I1182" i="11" s="1"/>
  <c r="J1182" i="11" s="1"/>
  <c r="K1182" i="11" s="1"/>
  <c r="E1183" i="11" s="1"/>
  <c r="I1183" i="11" l="1"/>
  <c r="J1183" i="11" s="1"/>
  <c r="K1183" i="11" l="1"/>
  <c r="E1184" i="11" s="1"/>
  <c r="I1184" i="11" s="1"/>
  <c r="J1184" i="11" s="1"/>
  <c r="K1184" i="11" s="1"/>
  <c r="E1185" i="11" s="1"/>
  <c r="I1185" i="11" s="1"/>
  <c r="J1185" i="11" s="1"/>
  <c r="K1185" i="11" s="1"/>
  <c r="E1186" i="11" s="1"/>
  <c r="I1186" i="11" l="1"/>
  <c r="J1186" i="11" s="1"/>
  <c r="K1186" i="11" l="1"/>
  <c r="E1187" i="11" s="1"/>
  <c r="I1187" i="11" l="1"/>
  <c r="J1187" i="11" s="1"/>
  <c r="K1187" i="11" l="1"/>
  <c r="E1188" i="11" s="1"/>
  <c r="I1188" i="11"/>
  <c r="J1188" i="11" s="1"/>
  <c r="K1188" i="11" s="1"/>
  <c r="E1189" i="11" s="1"/>
  <c r="I1189" i="11" l="1"/>
  <c r="J1189" i="11" s="1"/>
  <c r="K1189" i="11" l="1"/>
  <c r="E1190" i="11" s="1"/>
  <c r="I1190" i="11" l="1"/>
  <c r="J1190" i="11" s="1"/>
  <c r="K1190" i="11" l="1"/>
  <c r="E1191" i="11" s="1"/>
  <c r="I1191" i="11" l="1"/>
  <c r="J1191" i="11" s="1"/>
  <c r="K1191" i="11" l="1"/>
  <c r="E1192" i="11" s="1"/>
  <c r="I1192" i="11" s="1"/>
  <c r="J1192" i="11" s="1"/>
  <c r="K1192" i="11" s="1"/>
  <c r="E1193" i="11" s="1"/>
  <c r="I1193" i="11" l="1"/>
  <c r="J1193" i="11" s="1"/>
  <c r="K1193" i="11" l="1"/>
  <c r="E1194" i="11" s="1"/>
  <c r="I1194" i="11" s="1"/>
  <c r="J1194" i="11" s="1"/>
  <c r="K1194" i="11" s="1"/>
  <c r="E1195" i="11" s="1"/>
  <c r="I1195" i="11" l="1"/>
  <c r="J1195" i="11" s="1"/>
  <c r="K1195" i="11" l="1"/>
  <c r="E1196" i="11" s="1"/>
  <c r="I1196" i="11" l="1"/>
  <c r="J1196" i="11" s="1"/>
  <c r="K1196" i="11" l="1"/>
  <c r="E1197" i="11" s="1"/>
  <c r="I1197" i="11" s="1"/>
  <c r="J1197" i="11" s="1"/>
  <c r="K1197" i="11" s="1"/>
  <c r="E1198" i="11" s="1"/>
  <c r="I1198" i="11" l="1"/>
  <c r="J1198" i="11" s="1"/>
  <c r="K1198" i="11" l="1"/>
  <c r="E1199" i="11" s="1"/>
  <c r="I1199" i="11" l="1"/>
  <c r="J1199" i="11" s="1"/>
  <c r="K1199" i="11" l="1"/>
  <c r="E1200" i="11" s="1"/>
  <c r="I1200" i="11" l="1"/>
  <c r="J1200" i="11" s="1"/>
  <c r="K1200" i="11" l="1"/>
  <c r="E1201" i="11" s="1"/>
  <c r="I1201" i="11" l="1"/>
  <c r="J1201" i="11" s="1"/>
  <c r="K1201" i="11" s="1"/>
  <c r="E1202" i="11" s="1"/>
  <c r="I1202" i="11" l="1"/>
  <c r="J1202" i="11" s="1"/>
  <c r="K1202" i="11" l="1"/>
  <c r="E1203" i="11" s="1"/>
  <c r="I1203" i="11" l="1"/>
  <c r="J1203" i="11" s="1"/>
  <c r="K1203" i="11" l="1"/>
  <c r="E1204" i="11" s="1"/>
  <c r="I1204" i="11" l="1"/>
  <c r="J1204" i="11" s="1"/>
  <c r="K1204" i="11" l="1"/>
  <c r="E1205" i="11" s="1"/>
  <c r="I1205" i="11" s="1"/>
  <c r="J1205" i="11" s="1"/>
  <c r="K1205" i="11" s="1"/>
  <c r="E1206" i="11" s="1"/>
  <c r="I1206" i="11" l="1"/>
  <c r="J1206" i="11" s="1"/>
  <c r="K1206" i="11" l="1"/>
  <c r="E1207" i="11" s="1"/>
  <c r="I1207" i="11" l="1"/>
  <c r="J1207" i="11" s="1"/>
  <c r="K1207" i="11" l="1"/>
  <c r="E1208" i="11" s="1"/>
  <c r="I1208" i="11"/>
  <c r="J1208" i="11" s="1"/>
  <c r="K1208" i="11" l="1"/>
  <c r="E1209" i="11" s="1"/>
  <c r="I1209" i="11" l="1"/>
  <c r="J1209" i="11" s="1"/>
  <c r="K1209" i="11" l="1"/>
  <c r="E1210" i="11" s="1"/>
  <c r="I1210" i="11" l="1"/>
  <c r="J1210" i="11" s="1"/>
  <c r="K1210" i="11" l="1"/>
  <c r="E1211" i="11" s="1"/>
  <c r="I1211" i="11" s="1"/>
  <c r="J1211" i="11" s="1"/>
  <c r="K1211" i="11" s="1"/>
  <c r="E1212" i="11" s="1"/>
  <c r="I1212" i="11" l="1"/>
  <c r="J1212" i="11" s="1"/>
  <c r="K1212" i="11" l="1"/>
  <c r="E1213" i="11" s="1"/>
  <c r="I1213" i="11" l="1"/>
  <c r="J1213" i="11" s="1"/>
  <c r="K1213" i="11" l="1"/>
  <c r="E1214" i="11" s="1"/>
  <c r="I1214" i="11" l="1"/>
  <c r="J1214" i="11" s="1"/>
  <c r="K1214" i="11" l="1"/>
  <c r="E1215" i="11" s="1"/>
  <c r="I1215" i="11" l="1"/>
  <c r="J1215" i="11" s="1"/>
  <c r="K1215" i="11" l="1"/>
  <c r="E1216" i="11" s="1"/>
  <c r="I1216" i="11" s="1"/>
  <c r="J1216" i="11" s="1"/>
  <c r="K1216" i="11" s="1"/>
  <c r="E1217" i="11" s="1"/>
  <c r="I1217" i="11" s="1"/>
  <c r="J1217" i="11" s="1"/>
  <c r="K1217" i="11" s="1"/>
  <c r="E1218" i="11" s="1"/>
  <c r="I1218" i="11" s="1"/>
  <c r="J1218" i="11" s="1"/>
  <c r="K1218" i="11" s="1"/>
  <c r="E1219" i="11" s="1"/>
  <c r="I1219" i="11" l="1"/>
  <c r="J1219" i="11" s="1"/>
  <c r="K1219" i="11" l="1"/>
  <c r="E1220" i="11" s="1"/>
  <c r="I1220" i="11" l="1"/>
  <c r="J1220" i="11" s="1"/>
  <c r="K1220" i="11" l="1"/>
  <c r="E1221" i="11" s="1"/>
  <c r="I1221" i="11" l="1"/>
  <c r="J1221" i="11" s="1"/>
  <c r="K1221" i="11" l="1"/>
  <c r="E1222" i="11" s="1"/>
  <c r="I1222" i="11" l="1"/>
  <c r="J1222" i="11" s="1"/>
  <c r="K1222" i="11" l="1"/>
  <c r="E1223" i="11" s="1"/>
  <c r="I1223" i="11" l="1"/>
  <c r="J1223" i="11" s="1"/>
  <c r="K1223" i="11" s="1"/>
  <c r="E1224" i="11" s="1"/>
  <c r="I1224" i="11" l="1"/>
  <c r="J1224" i="11" s="1"/>
  <c r="K1224" i="11" s="1"/>
  <c r="E1225" i="11" s="1"/>
  <c r="I1225" i="11" l="1"/>
  <c r="J1225" i="11" s="1"/>
  <c r="K1225" i="11" s="1"/>
  <c r="E1226" i="11" s="1"/>
  <c r="I1226" i="11" l="1"/>
  <c r="J1226" i="11" s="1"/>
  <c r="K1226" i="11" l="1"/>
  <c r="E1227" i="11" s="1"/>
  <c r="I1227" i="11" s="1"/>
  <c r="J1227" i="11" s="1"/>
  <c r="K1227" i="11" s="1"/>
  <c r="E1228" i="11" s="1"/>
  <c r="I1228" i="11" s="1"/>
  <c r="J1228" i="11" s="1"/>
  <c r="K1228" i="11" l="1"/>
  <c r="E1229" i="11" s="1"/>
  <c r="I1229" i="11" s="1"/>
  <c r="J1229" i="11" s="1"/>
  <c r="K1229" i="11" l="1"/>
  <c r="E1230" i="11" s="1"/>
  <c r="I1230" i="11" l="1"/>
  <c r="J1230" i="11" s="1"/>
  <c r="K1230" i="11" l="1"/>
  <c r="E1231" i="11" s="1"/>
  <c r="I1231" i="11" l="1"/>
  <c r="J1231" i="11" s="1"/>
  <c r="K1231" i="11" l="1"/>
  <c r="E1232" i="11" s="1"/>
  <c r="I1232" i="11" s="1"/>
  <c r="J1232" i="11" s="1"/>
  <c r="K1232" i="11" l="1"/>
  <c r="E1233" i="11" s="1"/>
  <c r="I1233" i="11" l="1"/>
  <c r="J1233" i="11" s="1"/>
  <c r="K1233" i="11" l="1"/>
  <c r="E1234" i="11" s="1"/>
  <c r="I1234" i="11" l="1"/>
  <c r="J1234" i="11" s="1"/>
  <c r="K1234" i="11" l="1"/>
  <c r="E1235" i="11" s="1"/>
  <c r="I1235" i="11" l="1"/>
  <c r="J1235" i="11" s="1"/>
  <c r="K1235" i="11" l="1"/>
  <c r="E1236" i="11" s="1"/>
  <c r="I1236" i="11" l="1"/>
  <c r="J1236" i="11" s="1"/>
  <c r="K1236" i="11" l="1"/>
  <c r="E1237" i="11" s="1"/>
  <c r="I1237" i="11" l="1"/>
  <c r="J1237" i="11" s="1"/>
  <c r="K1237" i="11" l="1"/>
  <c r="E1238" i="11" s="1"/>
  <c r="I1238" i="11" l="1"/>
  <c r="J1238" i="11" s="1"/>
  <c r="K1238" i="11" l="1"/>
  <c r="E1239" i="11" s="1"/>
  <c r="I1239" i="11" l="1"/>
  <c r="J1239" i="11" s="1"/>
  <c r="K1239" i="11" l="1"/>
  <c r="E1240" i="11" s="1"/>
  <c r="I1240" i="11" l="1"/>
  <c r="J1240" i="11" s="1"/>
  <c r="K1240" i="11" l="1"/>
  <c r="E1241" i="11" s="1"/>
  <c r="I1241" i="11" l="1"/>
  <c r="J1241" i="11" s="1"/>
  <c r="K1241" i="11" l="1"/>
  <c r="E1242" i="11" s="1"/>
  <c r="I1242" i="11" l="1"/>
  <c r="J1242" i="11" s="1"/>
  <c r="K1242" i="11" l="1"/>
  <c r="E1243" i="11" s="1"/>
  <c r="I1243" i="11" l="1"/>
  <c r="J1243" i="11" s="1"/>
  <c r="K1243" i="11" l="1"/>
  <c r="E1244" i="11" s="1"/>
  <c r="I1244" i="11" l="1"/>
  <c r="J1244" i="11" s="1"/>
  <c r="K1244" i="11" l="1"/>
  <c r="E1245" i="11" s="1"/>
  <c r="I1245" i="11" s="1"/>
  <c r="J1245" i="11" s="1"/>
  <c r="K1245" i="11" s="1"/>
  <c r="E1246" i="11" s="1"/>
  <c r="I1246" i="11" l="1"/>
  <c r="J1246" i="11" s="1"/>
  <c r="K1246" i="11" l="1"/>
  <c r="E1247" i="11" s="1"/>
  <c r="I1247" i="11" l="1"/>
  <c r="J1247" i="11" s="1"/>
  <c r="K1247" i="11" l="1"/>
  <c r="E1248" i="11" s="1"/>
  <c r="I1248" i="11" s="1"/>
  <c r="J1248" i="11" s="1"/>
  <c r="K1248" i="11" s="1"/>
  <c r="E1249" i="11" s="1"/>
  <c r="I1249" i="11" l="1"/>
  <c r="J1249" i="11" s="1"/>
  <c r="K1249" i="11" l="1"/>
  <c r="E1250" i="11" s="1"/>
  <c r="I1250" i="11" l="1"/>
  <c r="J1250" i="11" s="1"/>
  <c r="K1250" i="11" l="1"/>
  <c r="E1251" i="11" s="1"/>
  <c r="I1251" i="11" s="1"/>
  <c r="J1251" i="11" s="1"/>
  <c r="K1251" i="11" s="1"/>
  <c r="E1252" i="11" s="1"/>
  <c r="I1252" i="11" l="1"/>
  <c r="J1252" i="11" s="1"/>
  <c r="K1252" i="11" l="1"/>
  <c r="E1253" i="11" s="1"/>
  <c r="I1253" i="11" l="1"/>
  <c r="J1253" i="11" s="1"/>
  <c r="K1253" i="11" l="1"/>
  <c r="E1254" i="11" s="1"/>
  <c r="I1254" i="11" l="1"/>
  <c r="J1254" i="11" s="1"/>
  <c r="K1254" i="11" l="1"/>
  <c r="E1255" i="11" s="1"/>
  <c r="I1255" i="11" l="1"/>
  <c r="J1255" i="11" s="1"/>
  <c r="K1255" i="11" l="1"/>
  <c r="E1256" i="11" s="1"/>
  <c r="I1256" i="11" s="1"/>
  <c r="J1256" i="11" s="1"/>
  <c r="K1256" i="11" s="1"/>
  <c r="E1257" i="11" s="1"/>
  <c r="I1257" i="11" l="1"/>
  <c r="J1257" i="11" s="1"/>
  <c r="K1257" i="11" s="1"/>
  <c r="E1258" i="11" s="1"/>
  <c r="I1258" i="11" s="1"/>
  <c r="J1258" i="11" s="1"/>
  <c r="K1258" i="11" s="1"/>
  <c r="E1259" i="11" s="1"/>
  <c r="I1259" i="11" l="1"/>
  <c r="J1259" i="11" s="1"/>
  <c r="K1259" i="11" l="1"/>
  <c r="E1260" i="11" s="1"/>
  <c r="I1260" i="11" l="1"/>
  <c r="J1260" i="11" s="1"/>
  <c r="K1260" i="11" l="1"/>
  <c r="E1261" i="11" s="1"/>
  <c r="I1261" i="11" l="1"/>
  <c r="J1261" i="11" s="1"/>
  <c r="K1261" i="11" s="1"/>
  <c r="E1262" i="11" s="1"/>
  <c r="I1262" i="11" l="1"/>
  <c r="J1262" i="11" s="1"/>
  <c r="K1262" i="11" l="1"/>
  <c r="E1263" i="11" s="1"/>
  <c r="I1263" i="11" l="1"/>
  <c r="J1263" i="11" s="1"/>
  <c r="K1263" i="11" s="1"/>
  <c r="E1264" i="11" s="1"/>
  <c r="I1264" i="11" l="1"/>
  <c r="J1264" i="11" s="1"/>
  <c r="K1264" i="11" l="1"/>
  <c r="E1265" i="11" s="1"/>
  <c r="I1265" i="11" l="1"/>
  <c r="J1265" i="11" s="1"/>
  <c r="K1265" i="11" l="1"/>
  <c r="E1266" i="11" s="1"/>
  <c r="I1266" i="11" l="1"/>
  <c r="J1266" i="11" s="1"/>
  <c r="K1266" i="11" l="1"/>
  <c r="E1267" i="11" s="1"/>
  <c r="I1267" i="11" s="1"/>
  <c r="J1267" i="11" s="1"/>
  <c r="K1267" i="11" s="1"/>
  <c r="E1268" i="11" s="1"/>
  <c r="I1268" i="11" l="1"/>
  <c r="J1268" i="11" s="1"/>
  <c r="K1268" i="11" l="1"/>
  <c r="E1269" i="11" s="1"/>
  <c r="I1269" i="11" l="1"/>
  <c r="J1269" i="11" s="1"/>
  <c r="K1269" i="11" l="1"/>
  <c r="E1270" i="11" s="1"/>
  <c r="I1270" i="11" l="1"/>
  <c r="J1270" i="11" s="1"/>
  <c r="K1270" i="11" l="1"/>
  <c r="E1271" i="11" s="1"/>
  <c r="I1271" i="11" l="1"/>
  <c r="J1271" i="11" s="1"/>
  <c r="K1271" i="11" l="1"/>
  <c r="E1272" i="11" s="1"/>
  <c r="I1272" i="11" l="1"/>
  <c r="J1272" i="11" s="1"/>
  <c r="K1272" i="11" l="1"/>
  <c r="E1273" i="11" s="1"/>
  <c r="I1273" i="11" l="1"/>
  <c r="J1273" i="11" s="1"/>
  <c r="K1273" i="11" l="1"/>
  <c r="E1274" i="11" s="1"/>
  <c r="I1274" i="11" l="1"/>
  <c r="J1274" i="11" s="1"/>
  <c r="K1274" i="11" l="1"/>
  <c r="E1275" i="11" s="1"/>
  <c r="I1275" i="11" l="1"/>
  <c r="J1275" i="11" s="1"/>
  <c r="K1275" i="11" l="1"/>
  <c r="E1276" i="11" s="1"/>
  <c r="I1276" i="11" l="1"/>
  <c r="J1276" i="11" s="1"/>
  <c r="K1276" i="11" l="1"/>
  <c r="E1277" i="11" s="1"/>
  <c r="I1277" i="11" l="1"/>
  <c r="J1277" i="11" s="1"/>
  <c r="K1277" i="11" l="1"/>
  <c r="E1278" i="11" s="1"/>
  <c r="I1278" i="11" s="1"/>
  <c r="J1278" i="11" s="1"/>
  <c r="K1278" i="11" s="1"/>
  <c r="E1279" i="11" s="1"/>
  <c r="I1279" i="11" l="1"/>
  <c r="J1279" i="11" s="1"/>
  <c r="K1279" i="11" l="1"/>
  <c r="E1280" i="11" s="1"/>
  <c r="I1280" i="11" s="1"/>
  <c r="J1280" i="11" s="1"/>
  <c r="K1280" i="11" s="1"/>
  <c r="E1281" i="11" s="1"/>
  <c r="I1281" i="11" l="1"/>
  <c r="J1281" i="11" s="1"/>
  <c r="K1281" i="11" l="1"/>
  <c r="E1282" i="11" s="1"/>
  <c r="I1282" i="11" l="1"/>
  <c r="J1282" i="11" s="1"/>
  <c r="K1282" i="11" l="1"/>
  <c r="E1283" i="11" s="1"/>
  <c r="I1283" i="11" s="1"/>
  <c r="J1283" i="11" s="1"/>
  <c r="K1283" i="11" s="1"/>
  <c r="E1284" i="11" s="1"/>
  <c r="I1284" i="11" l="1"/>
  <c r="J1284" i="11" s="1"/>
  <c r="K1284" i="11" s="1"/>
  <c r="E1285" i="11" s="1"/>
  <c r="I1285" i="11" l="1"/>
  <c r="J1285" i="11" s="1"/>
  <c r="K1285" i="11" l="1"/>
  <c r="E1286" i="11" s="1"/>
  <c r="I1286" i="11" l="1"/>
  <c r="J1286" i="11" s="1"/>
  <c r="K1286" i="11" l="1"/>
  <c r="E1287" i="11" s="1"/>
  <c r="I1287" i="11" l="1"/>
  <c r="J1287" i="11" s="1"/>
  <c r="K1287" i="11" l="1"/>
  <c r="E1288" i="11" s="1"/>
  <c r="I1288" i="11" l="1"/>
  <c r="J1288" i="11" s="1"/>
  <c r="K1288" i="11" l="1"/>
  <c r="E1289" i="11" s="1"/>
  <c r="I1289" i="11" l="1"/>
  <c r="J1289" i="11" s="1"/>
  <c r="K1289" i="11" s="1"/>
  <c r="E1290" i="11" s="1"/>
  <c r="I1290" i="11" l="1"/>
  <c r="J1290" i="11" s="1"/>
  <c r="K1290" i="11" l="1"/>
  <c r="E1291" i="11" s="1"/>
  <c r="I1291" i="11"/>
  <c r="J1291" i="11" s="1"/>
  <c r="K1291" i="11" l="1"/>
  <c r="E1292" i="11" s="1"/>
  <c r="I1292" i="11" l="1"/>
  <c r="J1292" i="11" s="1"/>
  <c r="K1292" i="11" l="1"/>
  <c r="E1293" i="11" s="1"/>
  <c r="I1293" i="11" l="1"/>
  <c r="J1293" i="11" s="1"/>
  <c r="K1293" i="11" l="1"/>
  <c r="E1294" i="11" s="1"/>
  <c r="I1294" i="11" l="1"/>
  <c r="J1294" i="11" s="1"/>
  <c r="K1294" i="11" l="1"/>
  <c r="E1295" i="11" s="1"/>
  <c r="I1295" i="11" l="1"/>
  <c r="J1295" i="11" s="1"/>
  <c r="K1295" i="11" l="1"/>
  <c r="E1296" i="11" s="1"/>
  <c r="I1296" i="11" s="1"/>
  <c r="J1296" i="11" s="1"/>
  <c r="K1296" i="11" s="1"/>
  <c r="E1297" i="11" s="1"/>
  <c r="I1297" i="11" l="1"/>
  <c r="J1297" i="11" s="1"/>
  <c r="K1297" i="11" l="1"/>
  <c r="E1298" i="11" s="1"/>
  <c r="I1298" i="11" l="1"/>
  <c r="J1298" i="11" s="1"/>
  <c r="K1298" i="11" s="1"/>
  <c r="E1299" i="11" s="1"/>
  <c r="I1299" i="11" l="1"/>
  <c r="J1299" i="11" s="1"/>
  <c r="K1299" i="11" l="1"/>
  <c r="E1300" i="11" s="1"/>
  <c r="I1300" i="11" l="1"/>
  <c r="J1300" i="11" s="1"/>
  <c r="K1300" i="11" l="1"/>
  <c r="E1301" i="11" s="1"/>
  <c r="I1301" i="11" l="1"/>
  <c r="J1301" i="11" s="1"/>
  <c r="K1301" i="11" l="1"/>
  <c r="E1302" i="11" s="1"/>
  <c r="I1302" i="11" l="1"/>
  <c r="J1302" i="11" s="1"/>
  <c r="K1302" i="11" l="1"/>
  <c r="E1303" i="11" s="1"/>
  <c r="I1303" i="11" l="1"/>
  <c r="J1303" i="11" s="1"/>
  <c r="K1303" i="11" l="1"/>
  <c r="E1304" i="11" s="1"/>
  <c r="I1304" i="11" l="1"/>
  <c r="J1304" i="11" s="1"/>
  <c r="K1304" i="11" l="1"/>
  <c r="E1305" i="11" s="1"/>
  <c r="I1305" i="11" l="1"/>
  <c r="J1305" i="11" s="1"/>
  <c r="K1305" i="11" l="1"/>
  <c r="E1306" i="11" s="1"/>
  <c r="I1306" i="11" s="1"/>
  <c r="J1306" i="11" s="1"/>
  <c r="K1306" i="11" s="1"/>
  <c r="E1307" i="11" s="1"/>
  <c r="I1307" i="11" s="1"/>
  <c r="J1307" i="11" s="1"/>
  <c r="K1307" i="11" s="1"/>
  <c r="E1308" i="11" s="1"/>
  <c r="I1308" i="11" l="1"/>
  <c r="J1308" i="11" s="1"/>
  <c r="K1308" i="11" l="1"/>
  <c r="E1309" i="11" s="1"/>
  <c r="I1309" i="11" l="1"/>
  <c r="J1309" i="11" s="1"/>
  <c r="K1309" i="11" l="1"/>
  <c r="E1310" i="11" s="1"/>
  <c r="I1310" i="11" s="1"/>
  <c r="J1310" i="11" s="1"/>
  <c r="K1310" i="11" s="1"/>
  <c r="E1311" i="11" s="1"/>
  <c r="I1311" i="11" l="1"/>
  <c r="J1311" i="11" s="1"/>
  <c r="K1311" i="11" l="1"/>
  <c r="E1312" i="11" s="1"/>
  <c r="I1312" i="11" l="1"/>
  <c r="J1312" i="11" s="1"/>
  <c r="K1312" i="11" l="1"/>
  <c r="E1313" i="11" s="1"/>
  <c r="I1313" i="11" s="1"/>
  <c r="J1313" i="11" s="1"/>
  <c r="K1313" i="11" l="1"/>
  <c r="E1314" i="11" s="1"/>
  <c r="I1314" i="11" l="1"/>
  <c r="J1314" i="11" s="1"/>
  <c r="K1314" i="11" l="1"/>
  <c r="E1315" i="11" s="1"/>
  <c r="I1315" i="11" l="1"/>
  <c r="J1315" i="11" s="1"/>
  <c r="K1315" i="11" l="1"/>
  <c r="E1316" i="11" s="1"/>
  <c r="I1316" i="11" l="1"/>
  <c r="J1316" i="11" s="1"/>
  <c r="K1316" i="11" l="1"/>
  <c r="E1317" i="11" s="1"/>
  <c r="I1317" i="11" s="1"/>
  <c r="J1317" i="11" s="1"/>
  <c r="K1317" i="11" s="1"/>
  <c r="E1318" i="11" s="1"/>
  <c r="I1318" i="11" l="1"/>
  <c r="J1318" i="11" s="1"/>
  <c r="K1318" i="11" l="1"/>
  <c r="E1319" i="11" s="1"/>
  <c r="I1319" i="11" l="1"/>
  <c r="J1319" i="11" s="1"/>
  <c r="K1319" i="11" s="1"/>
  <c r="E1320" i="11" s="1"/>
  <c r="I1320" i="11" l="1"/>
  <c r="J1320" i="11" s="1"/>
  <c r="K1320" i="11" l="1"/>
  <c r="E1321" i="11" s="1"/>
  <c r="I1321" i="11" l="1"/>
  <c r="J1321" i="11" s="1"/>
  <c r="K1321" i="11" l="1"/>
  <c r="E1322" i="11" s="1"/>
  <c r="I1322" i="11" l="1"/>
  <c r="J1322" i="11" s="1"/>
  <c r="K1322" i="11" l="1"/>
  <c r="E1323" i="11" s="1"/>
  <c r="I1323" i="11" l="1"/>
  <c r="J1323" i="11" s="1"/>
  <c r="K1323" i="11" l="1"/>
  <c r="E1324" i="11" s="1"/>
  <c r="I1324" i="11" l="1"/>
  <c r="J1324" i="11" s="1"/>
  <c r="K1324" i="11" l="1"/>
  <c r="E1325" i="11" s="1"/>
  <c r="I1325" i="11" l="1"/>
  <c r="J1325" i="11" s="1"/>
  <c r="K1325" i="11" l="1"/>
  <c r="E1326" i="11" s="1"/>
  <c r="I1326" i="11"/>
  <c r="J1326" i="11" s="1"/>
  <c r="K1326" i="11" l="1"/>
  <c r="E1327" i="11" s="1"/>
  <c r="I1327" i="11" l="1"/>
  <c r="J1327" i="11" s="1"/>
  <c r="K1327" i="11" l="1"/>
  <c r="E1328" i="11" s="1"/>
  <c r="I1328" i="11" l="1"/>
  <c r="J1328" i="11" s="1"/>
  <c r="K1328" i="11" l="1"/>
  <c r="E1329" i="11" s="1"/>
  <c r="I1329" i="11" l="1"/>
  <c r="J1329" i="11" s="1"/>
  <c r="K1329" i="11" l="1"/>
  <c r="E1330" i="11" s="1"/>
  <c r="I1330" i="11" l="1"/>
  <c r="J1330" i="11" s="1"/>
  <c r="K1330" i="11" l="1"/>
  <c r="E1331" i="11" s="1"/>
  <c r="I1331" i="11"/>
  <c r="J1331" i="11" s="1"/>
  <c r="K1331" i="11" l="1"/>
  <c r="E1332" i="11" s="1"/>
  <c r="I1332" i="11" l="1"/>
  <c r="J1332" i="11" s="1"/>
  <c r="K1332" i="11" l="1"/>
  <c r="E1333" i="11" s="1"/>
  <c r="I1333" i="11"/>
  <c r="J1333" i="11" s="1"/>
  <c r="K1333" i="11" s="1"/>
  <c r="E1334" i="11" s="1"/>
  <c r="I1334" i="11" s="1"/>
  <c r="J1334" i="11" s="1"/>
  <c r="K1334" i="11" s="1"/>
  <c r="E1335" i="11" s="1"/>
  <c r="I1335" i="11" l="1"/>
  <c r="J1335" i="11" s="1"/>
  <c r="K1335" i="11" l="1"/>
  <c r="E1336" i="11" s="1"/>
  <c r="I1336" i="11" l="1"/>
  <c r="J1336" i="11" s="1"/>
  <c r="K1336" i="11" l="1"/>
  <c r="E1337" i="11" s="1"/>
  <c r="I1337" i="11" l="1"/>
  <c r="J1337" i="11" s="1"/>
  <c r="K1337" i="11" l="1"/>
  <c r="E1338" i="11" s="1"/>
  <c r="I1338" i="11" l="1"/>
  <c r="J1338" i="11" s="1"/>
  <c r="K1338" i="11" l="1"/>
  <c r="E1339" i="11" s="1"/>
  <c r="I1339" i="11" l="1"/>
  <c r="J1339" i="11" s="1"/>
  <c r="K1339" i="11" l="1"/>
  <c r="E1340" i="11" s="1"/>
  <c r="I1340" i="11" l="1"/>
  <c r="J1340" i="11" s="1"/>
  <c r="K1340" i="11" l="1"/>
  <c r="E1341" i="11" s="1"/>
  <c r="I1341" i="11" l="1"/>
  <c r="J1341" i="11" s="1"/>
  <c r="K1341" i="11" l="1"/>
  <c r="E1342" i="11" s="1"/>
  <c r="I1342" i="11" l="1"/>
  <c r="J1342" i="11" s="1"/>
  <c r="K1342" i="11" l="1"/>
  <c r="E1343" i="11" s="1"/>
  <c r="I1343" i="11" l="1"/>
  <c r="J1343" i="11" s="1"/>
  <c r="K1343" i="11" s="1"/>
  <c r="E1344" i="11" s="1"/>
  <c r="I1344" i="11" l="1"/>
  <c r="J1344" i="11" s="1"/>
  <c r="K1344" i="11" l="1"/>
  <c r="E1345" i="11" s="1"/>
  <c r="I1345" i="11" l="1"/>
  <c r="J1345" i="11" s="1"/>
  <c r="K1345" i="11" l="1"/>
  <c r="E1346" i="11" s="1"/>
  <c r="I1346" i="11" l="1"/>
  <c r="J1346" i="11" s="1"/>
  <c r="K1346" i="11" l="1"/>
  <c r="E1347" i="11" s="1"/>
  <c r="I1347" i="11" l="1"/>
  <c r="J1347" i="11" s="1"/>
  <c r="K1347" i="11" l="1"/>
  <c r="E1348" i="11" s="1"/>
  <c r="I1348" i="11" l="1"/>
  <c r="J1348" i="11" s="1"/>
  <c r="K1348" i="11" s="1"/>
  <c r="E1349" i="11" s="1"/>
  <c r="I1349" i="11" l="1"/>
  <c r="J1349" i="11" s="1"/>
  <c r="K1349" i="11" l="1"/>
  <c r="E1350" i="11" s="1"/>
  <c r="I1350" i="11"/>
  <c r="J1350" i="11" s="1"/>
  <c r="K1350" i="11" l="1"/>
  <c r="E1351" i="11" s="1"/>
  <c r="I1351" i="11" s="1"/>
  <c r="J1351" i="11" s="1"/>
  <c r="K1351" i="11" s="1"/>
  <c r="E1352" i="11" s="1"/>
  <c r="I1352" i="11" l="1"/>
  <c r="J1352" i="11" s="1"/>
  <c r="K1352" i="11" l="1"/>
  <c r="E1353" i="11" s="1"/>
  <c r="I1353" i="11" l="1"/>
  <c r="J1353" i="11" s="1"/>
  <c r="K1353" i="11" l="1"/>
  <c r="E1354" i="11" s="1"/>
  <c r="I1354" i="11" l="1"/>
  <c r="J1354" i="11" s="1"/>
  <c r="K1354" i="11" l="1"/>
  <c r="E1355" i="11" s="1"/>
  <c r="I1355" i="11" l="1"/>
  <c r="J1355" i="11" s="1"/>
  <c r="K1355" i="11" l="1"/>
  <c r="E1356" i="11" s="1"/>
  <c r="I1356" i="11" l="1"/>
  <c r="J1356" i="11" s="1"/>
  <c r="K1356" i="11" l="1"/>
  <c r="E1357" i="11" s="1"/>
  <c r="I1357" i="11" l="1"/>
  <c r="J1357" i="11" s="1"/>
  <c r="K1357" i="11" l="1"/>
  <c r="E1358" i="11" s="1"/>
  <c r="I1358" i="11" l="1"/>
  <c r="J1358" i="11" s="1"/>
  <c r="K1358" i="11" l="1"/>
  <c r="E1359" i="11" s="1"/>
  <c r="I1359" i="11" l="1"/>
  <c r="J1359" i="11" s="1"/>
  <c r="K1359" i="11" l="1"/>
  <c r="E1360" i="11" s="1"/>
  <c r="I1360" i="11" l="1"/>
  <c r="J1360" i="11" s="1"/>
  <c r="K1360" i="11" l="1"/>
  <c r="E1361" i="11" s="1"/>
  <c r="I1361" i="11" l="1"/>
  <c r="J1361" i="11" s="1"/>
  <c r="K1361" i="11" l="1"/>
  <c r="E1362" i="11" s="1"/>
  <c r="I1362" i="11"/>
  <c r="J1362" i="11" s="1"/>
  <c r="K1362" i="11" l="1"/>
  <c r="E1363" i="11" s="1"/>
  <c r="I1363" i="11" l="1"/>
  <c r="J1363" i="11" s="1"/>
  <c r="K1363" i="11" s="1"/>
  <c r="E1364" i="11" s="1"/>
  <c r="I1364" i="11" l="1"/>
  <c r="J1364" i="11" s="1"/>
  <c r="K1364" i="11" l="1"/>
  <c r="E1365" i="11" s="1"/>
  <c r="I1365" i="11" l="1"/>
  <c r="J1365" i="11" s="1"/>
  <c r="K1365" i="11" l="1"/>
  <c r="E1366" i="11" s="1"/>
  <c r="I1366" i="11" l="1"/>
  <c r="J1366" i="11" s="1"/>
  <c r="K1366" i="11" l="1"/>
  <c r="E1367" i="11" s="1"/>
  <c r="I1367" i="11" l="1"/>
  <c r="J1367" i="11" s="1"/>
  <c r="K1367" i="11" l="1"/>
  <c r="E1368" i="11" s="1"/>
  <c r="I1368" i="11" l="1"/>
  <c r="J1368" i="11" s="1"/>
  <c r="K1368" i="11" l="1"/>
  <c r="E1369" i="11" s="1"/>
  <c r="I1369" i="11" l="1"/>
  <c r="J1369" i="11" s="1"/>
  <c r="K1369" i="11" s="1"/>
  <c r="E1370" i="11" s="1"/>
  <c r="I1370" i="11" s="1"/>
  <c r="J1370" i="11" s="1"/>
  <c r="K1370" i="11" s="1"/>
  <c r="E1371" i="11" s="1"/>
  <c r="I1371" i="11" l="1"/>
  <c r="J1371" i="11" s="1"/>
  <c r="K1371" i="11" l="1"/>
  <c r="E1372" i="11" s="1"/>
  <c r="I1372" i="11" s="1"/>
  <c r="J1372" i="11" s="1"/>
  <c r="K1372" i="11" s="1"/>
  <c r="E1373" i="11" s="1"/>
  <c r="I1373" i="11" l="1"/>
  <c r="J1373" i="11" s="1"/>
  <c r="K1373" i="11" l="1"/>
  <c r="E1374" i="11" s="1"/>
  <c r="I1374" i="11" l="1"/>
  <c r="J1374" i="11" s="1"/>
  <c r="K1374" i="11" l="1"/>
  <c r="E1375" i="11" s="1"/>
  <c r="I1375" i="11" l="1"/>
  <c r="J1375" i="11" s="1"/>
  <c r="K1375" i="11" l="1"/>
  <c r="E1376" i="11" s="1"/>
  <c r="I1376" i="11" l="1"/>
  <c r="J1376" i="11" s="1"/>
  <c r="K1376" i="11" l="1"/>
  <c r="E1377" i="11" s="1"/>
  <c r="I1377" i="11" l="1"/>
  <c r="J1377" i="11" s="1"/>
  <c r="K1377" i="11" s="1"/>
  <c r="E1378" i="11" s="1"/>
  <c r="I1378" i="11" s="1"/>
  <c r="J1378" i="11" s="1"/>
  <c r="K1378" i="11" s="1"/>
  <c r="E1379" i="11" s="1"/>
  <c r="I1379" i="11" l="1"/>
  <c r="J1379" i="11" s="1"/>
  <c r="K1379" i="11" l="1"/>
  <c r="E1380" i="11" s="1"/>
  <c r="I1380" i="11" l="1"/>
  <c r="J1380" i="11" s="1"/>
  <c r="K1380" i="11" l="1"/>
  <c r="E1381" i="11" s="1"/>
  <c r="I1381" i="11" l="1"/>
  <c r="J1381" i="11" s="1"/>
  <c r="K1381" i="11" l="1"/>
  <c r="E1382" i="11" s="1"/>
  <c r="I1382" i="11" s="1"/>
  <c r="J1382" i="11" s="1"/>
  <c r="K1382" i="11" s="1"/>
  <c r="E1383" i="11" s="1"/>
  <c r="I1383" i="11" l="1"/>
  <c r="J1383" i="11" s="1"/>
  <c r="K1383" i="11" l="1"/>
  <c r="E1384" i="11" s="1"/>
  <c r="I1384" i="11" l="1"/>
  <c r="J1384" i="11" s="1"/>
  <c r="K1384" i="11" l="1"/>
  <c r="E1385" i="11" s="1"/>
  <c r="I1385" i="11" s="1"/>
  <c r="J1385" i="11" s="1"/>
  <c r="K1385" i="11" s="1"/>
  <c r="E1386" i="11" s="1"/>
  <c r="I1386" i="11" s="1"/>
  <c r="J1386" i="11" s="1"/>
  <c r="K1386" i="11" l="1"/>
  <c r="E1387" i="11" s="1"/>
  <c r="I1387" i="11" l="1"/>
  <c r="J1387" i="11" s="1"/>
  <c r="K1387" i="11" l="1"/>
  <c r="E1388" i="11" s="1"/>
  <c r="I1388" i="11" l="1"/>
  <c r="J1388" i="11" s="1"/>
  <c r="K1388" i="11" l="1"/>
  <c r="E1389" i="11" s="1"/>
  <c r="I1389" i="11" l="1"/>
  <c r="J1389" i="11" s="1"/>
  <c r="K1389" i="11" l="1"/>
  <c r="E1390" i="11" s="1"/>
  <c r="I1390" i="11" s="1"/>
  <c r="J1390" i="11" s="1"/>
  <c r="K1390" i="11" s="1"/>
  <c r="E1391" i="11" s="1"/>
  <c r="I1391" i="11" s="1"/>
  <c r="J1391" i="11" s="1"/>
  <c r="K1391" i="11" s="1"/>
  <c r="E1392" i="11" s="1"/>
  <c r="I1392" i="11" l="1"/>
  <c r="J1392" i="11" s="1"/>
  <c r="K1392" i="11" l="1"/>
  <c r="E1393" i="11" s="1"/>
  <c r="I1393" i="11" l="1"/>
  <c r="J1393" i="11" s="1"/>
  <c r="K1393" i="11" l="1"/>
  <c r="E1394" i="11" s="1"/>
  <c r="I1394" i="11" l="1"/>
  <c r="J1394" i="11" s="1"/>
  <c r="K1394" i="11" l="1"/>
  <c r="E1395" i="11" s="1"/>
  <c r="I1395" i="11"/>
  <c r="J1395" i="11" s="1"/>
  <c r="K1395" i="11" l="1"/>
  <c r="E1396" i="11" s="1"/>
  <c r="I1396" i="11" l="1"/>
  <c r="J1396" i="11" s="1"/>
  <c r="K1396" i="11" l="1"/>
  <c r="E1397" i="11" s="1"/>
  <c r="I1397" i="11" l="1"/>
  <c r="J1397" i="11" s="1"/>
  <c r="K1397" i="11" l="1"/>
  <c r="E1398" i="11" s="1"/>
  <c r="I1398" i="11" l="1"/>
  <c r="J1398" i="11" s="1"/>
  <c r="K1398" i="11" l="1"/>
  <c r="E1399" i="11" s="1"/>
  <c r="I1399" i="11" l="1"/>
  <c r="J1399" i="11" s="1"/>
  <c r="K1399" i="11" l="1"/>
  <c r="E1400" i="11" s="1"/>
  <c r="I1400" i="11" l="1"/>
  <c r="J1400" i="11" s="1"/>
  <c r="K1400" i="11" l="1"/>
  <c r="E1401" i="11" s="1"/>
  <c r="I1401" i="11" l="1"/>
  <c r="J1401" i="11" s="1"/>
  <c r="K1401" i="11" l="1"/>
  <c r="E1402" i="11" s="1"/>
  <c r="I1402" i="11" l="1"/>
  <c r="J1402" i="11" s="1"/>
  <c r="K1402" i="11" l="1"/>
  <c r="E1403" i="11" s="1"/>
  <c r="I1403" i="11" l="1"/>
  <c r="J1403" i="11" s="1"/>
  <c r="K1403" i="11" l="1"/>
  <c r="E1404" i="11" s="1"/>
  <c r="I1404" i="11" l="1"/>
  <c r="J1404" i="11" s="1"/>
  <c r="K1404" i="11" l="1"/>
  <c r="E1405" i="11" s="1"/>
  <c r="I1405" i="11" l="1"/>
  <c r="J1405" i="11" s="1"/>
  <c r="K1405" i="11" l="1"/>
  <c r="E1406" i="11" s="1"/>
  <c r="I1406" i="11" l="1"/>
  <c r="J1406" i="11" s="1"/>
  <c r="K1406" i="11" l="1"/>
  <c r="E1407" i="11" s="1"/>
  <c r="I1407" i="11" l="1"/>
  <c r="J1407" i="11" s="1"/>
  <c r="K1407" i="11" l="1"/>
  <c r="E1408" i="11" s="1"/>
  <c r="I1408" i="11" l="1"/>
  <c r="J1408" i="11" s="1"/>
  <c r="K1408" i="11" l="1"/>
  <c r="E1409" i="11" s="1"/>
  <c r="I1409" i="11" l="1"/>
  <c r="J1409" i="11" s="1"/>
  <c r="K1409" i="11" l="1"/>
  <c r="E1410" i="11" s="1"/>
  <c r="I1410" i="11" l="1"/>
  <c r="J1410" i="11" s="1"/>
  <c r="K1410" i="11" l="1"/>
  <c r="E1411" i="11" s="1"/>
  <c r="I1411" i="11" l="1"/>
  <c r="J1411" i="11" s="1"/>
  <c r="K1411" i="11" l="1"/>
  <c r="E1412" i="11" s="1"/>
  <c r="I1412" i="11" l="1"/>
  <c r="J1412" i="11" s="1"/>
  <c r="K1412" i="11" l="1"/>
  <c r="E1413" i="11" s="1"/>
  <c r="I1413" i="11" l="1"/>
  <c r="J1413" i="11" s="1"/>
  <c r="K1413" i="11" l="1"/>
  <c r="E1414" i="11" s="1"/>
  <c r="I1414" i="11" l="1"/>
  <c r="J1414" i="11" s="1"/>
  <c r="K1414" i="11" l="1"/>
  <c r="E1415" i="11" s="1"/>
  <c r="I1415" i="11" l="1"/>
  <c r="J1415" i="11" s="1"/>
  <c r="K1415" i="11" l="1"/>
  <c r="E1416" i="11" s="1"/>
  <c r="I1416" i="11"/>
  <c r="J1416" i="11" s="1"/>
  <c r="K1416" i="11" l="1"/>
  <c r="E1417" i="11" s="1"/>
  <c r="I1417" i="11"/>
  <c r="J1417" i="11" s="1"/>
  <c r="K1417" i="11" l="1"/>
  <c r="E1418" i="11" s="1"/>
  <c r="I1418" i="11"/>
  <c r="J1418" i="11" s="1"/>
  <c r="K1418" i="11" l="1"/>
  <c r="E1419" i="11" s="1"/>
  <c r="I1419" i="11" s="1"/>
  <c r="J1419" i="11" s="1"/>
  <c r="K1419" i="11" l="1"/>
  <c r="E1420" i="11" s="1"/>
  <c r="I1420" i="11" l="1"/>
  <c r="J1420" i="11" s="1"/>
  <c r="K1420" i="11" l="1"/>
  <c r="E1421" i="11" s="1"/>
  <c r="I1421" i="11" l="1"/>
  <c r="J1421" i="11" s="1"/>
  <c r="K1421" i="11" l="1"/>
  <c r="E1422" i="11" s="1"/>
  <c r="I1422" i="11" s="1"/>
  <c r="J1422" i="11" s="1"/>
  <c r="K1422" i="11" s="1"/>
  <c r="E1423" i="11" s="1"/>
  <c r="I1423" i="11" l="1"/>
  <c r="J1423" i="11" s="1"/>
  <c r="K1423" i="11" l="1"/>
  <c r="E1424" i="11" s="1"/>
  <c r="I1424" i="11" l="1"/>
  <c r="J1424" i="11" s="1"/>
  <c r="K1424" i="11" s="1"/>
  <c r="E1425" i="11" s="1"/>
  <c r="I1425" i="11" l="1"/>
  <c r="J1425" i="11" s="1"/>
  <c r="K1425" i="11" l="1"/>
  <c r="E1426" i="11" s="1"/>
  <c r="I1426" i="11" l="1"/>
  <c r="J1426" i="11" s="1"/>
  <c r="K1426" i="11" s="1"/>
  <c r="E1427" i="11" s="1"/>
  <c r="I1427" i="11" l="1"/>
  <c r="J1427" i="11" s="1"/>
  <c r="K1427" i="11" l="1"/>
  <c r="E1428" i="11" s="1"/>
  <c r="I1428" i="11" l="1"/>
  <c r="J1428" i="11" s="1"/>
  <c r="K1428" i="11" s="1"/>
  <c r="E1429" i="11" s="1"/>
  <c r="I1429" i="11" l="1"/>
  <c r="J1429" i="11" s="1"/>
  <c r="K1429" i="11" l="1"/>
  <c r="E1430" i="11" s="1"/>
  <c r="I1430" i="11" l="1"/>
  <c r="J1430" i="11" s="1"/>
  <c r="K1430" i="11" l="1"/>
  <c r="E1431" i="11" s="1"/>
  <c r="I1431" i="11" s="1"/>
  <c r="J1431" i="11" s="1"/>
  <c r="K1431" i="11" s="1"/>
  <c r="E1432" i="11" s="1"/>
  <c r="I1432" i="11" l="1"/>
  <c r="J1432" i="11" s="1"/>
  <c r="K1432" i="11" l="1"/>
  <c r="E1433" i="11" s="1"/>
  <c r="I1433" i="11" l="1"/>
  <c r="J1433" i="11" s="1"/>
  <c r="K1433" i="11" l="1"/>
  <c r="E1434" i="11" s="1"/>
  <c r="I1434" i="11" l="1"/>
  <c r="J1434" i="11" s="1"/>
  <c r="K1434" i="11" l="1"/>
  <c r="E1435" i="11" s="1"/>
  <c r="I1435" i="11" l="1"/>
  <c r="J1435" i="11" s="1"/>
  <c r="K1435" i="11" l="1"/>
  <c r="E1436" i="11" s="1"/>
  <c r="I1436" i="11" s="1"/>
  <c r="J1436" i="11" s="1"/>
  <c r="K1436" i="11" s="1"/>
  <c r="E1437" i="11" s="1"/>
  <c r="I1437" i="11" l="1"/>
  <c r="J1437" i="11" s="1"/>
  <c r="K1437" i="11" l="1"/>
  <c r="E1438" i="11" s="1"/>
  <c r="I1438" i="11"/>
  <c r="J1438" i="11" s="1"/>
  <c r="K1438" i="11" l="1"/>
  <c r="E1439" i="11" s="1"/>
  <c r="I1439" i="11"/>
  <c r="J1439" i="11" s="1"/>
  <c r="K1439" i="11" l="1"/>
  <c r="E1440" i="11" s="1"/>
  <c r="I1440" i="11" l="1"/>
  <c r="J1440" i="11" s="1"/>
  <c r="K1440" i="11" l="1"/>
  <c r="E1441" i="11" s="1"/>
  <c r="I1441" i="11" l="1"/>
  <c r="J1441" i="11" s="1"/>
  <c r="K1441" i="11" l="1"/>
  <c r="E1442" i="11" s="1"/>
  <c r="I1442" i="11" s="1"/>
  <c r="J1442" i="11" s="1"/>
  <c r="K1442" i="11" s="1"/>
  <c r="E1443" i="11" s="1"/>
  <c r="I1443" i="11" l="1"/>
  <c r="J1443" i="11" s="1"/>
  <c r="K1443" i="11" l="1"/>
  <c r="E1444" i="11" s="1"/>
  <c r="I1444" i="11" s="1"/>
  <c r="J1444" i="11" s="1"/>
  <c r="K1444" i="11" s="1"/>
  <c r="E1445" i="11" s="1"/>
  <c r="I1445" i="11" l="1"/>
  <c r="J1445" i="11" s="1"/>
  <c r="K1445" i="11" l="1"/>
  <c r="E1446" i="11" s="1"/>
  <c r="I1446" i="11" l="1"/>
  <c r="J1446" i="11" s="1"/>
  <c r="K1446" i="11" s="1"/>
  <c r="E1447" i="11" s="1"/>
  <c r="I1447" i="11" l="1"/>
  <c r="J1447" i="11" s="1"/>
  <c r="K1447" i="11" s="1"/>
  <c r="E1448" i="11" s="1"/>
  <c r="I1448" i="11" l="1"/>
  <c r="J1448" i="11" s="1"/>
  <c r="K1448" i="11" l="1"/>
  <c r="E1449" i="11" s="1"/>
  <c r="I1449" i="11" s="1"/>
  <c r="J1449" i="11" s="1"/>
  <c r="K1449" i="11" s="1"/>
  <c r="E1450" i="11" s="1"/>
  <c r="I1450" i="11" l="1"/>
  <c r="J1450" i="11" s="1"/>
  <c r="K1450" i="11" l="1"/>
  <c r="E1451" i="11" s="1"/>
  <c r="I1451" i="11" s="1"/>
  <c r="J1451" i="11" s="1"/>
  <c r="K1451" i="11" l="1"/>
  <c r="E1452" i="11" s="1"/>
  <c r="I1452" i="11"/>
  <c r="J1452" i="11" s="1"/>
  <c r="K1452" i="11" l="1"/>
  <c r="E1453" i="11" s="1"/>
  <c r="I1453" i="11" l="1"/>
  <c r="J1453" i="11" s="1"/>
  <c r="K1453" i="11" l="1"/>
  <c r="E1454" i="11" s="1"/>
  <c r="I1454" i="11" s="1"/>
  <c r="J1454" i="11" s="1"/>
  <c r="K1454" i="11" l="1"/>
  <c r="E1455" i="11" s="1"/>
  <c r="I1455" i="11"/>
  <c r="J1455" i="11" s="1"/>
  <c r="K1455" i="11" l="1"/>
  <c r="E1456" i="11" s="1"/>
  <c r="I1456" i="11"/>
  <c r="J1456" i="11" s="1"/>
  <c r="K1456" i="11" l="1"/>
  <c r="E1457" i="11" s="1"/>
  <c r="I1457" i="11" l="1"/>
  <c r="J1457" i="11" s="1"/>
  <c r="K1457" i="11" l="1"/>
  <c r="E1458" i="11" s="1"/>
  <c r="I1458" i="11" s="1"/>
  <c r="J1458" i="11" s="1"/>
  <c r="K1458" i="11" s="1"/>
  <c r="E1459" i="11" s="1"/>
  <c r="I1459" i="11" l="1"/>
  <c r="J1459" i="11" s="1"/>
  <c r="K1459" i="11" l="1"/>
  <c r="E1460" i="11" s="1"/>
  <c r="I1460" i="11" s="1"/>
  <c r="J1460" i="11" s="1"/>
  <c r="K1460" i="11" l="1"/>
  <c r="E1461" i="11" s="1"/>
  <c r="I1461" i="11" l="1"/>
  <c r="J1461" i="11" s="1"/>
  <c r="K1461" i="11" l="1"/>
  <c r="E1462" i="11" s="1"/>
  <c r="I1462" i="11" s="1"/>
  <c r="J1462" i="11" s="1"/>
  <c r="K1462" i="11" s="1"/>
  <c r="E1463" i="11" s="1"/>
  <c r="I1463" i="11" l="1"/>
  <c r="J1463" i="11" s="1"/>
  <c r="K1463" i="11" l="1"/>
  <c r="E1464" i="11" s="1"/>
  <c r="I1464" i="11" l="1"/>
  <c r="J1464" i="11" s="1"/>
  <c r="K1464" i="11" l="1"/>
  <c r="E1465" i="11" s="1"/>
  <c r="I1465" i="11" l="1"/>
  <c r="J1465" i="11" s="1"/>
  <c r="K1465" i="11" l="1"/>
  <c r="E1466" i="11" s="1"/>
  <c r="I1466" i="11" l="1"/>
  <c r="J1466" i="11" s="1"/>
  <c r="K1466" i="11" s="1"/>
  <c r="E1467" i="11" s="1"/>
  <c r="I1467" i="11" l="1"/>
  <c r="J1467" i="11" s="1"/>
  <c r="K1467" i="11" s="1"/>
  <c r="E1468" i="11" s="1"/>
  <c r="I1468" i="11" l="1"/>
  <c r="J1468" i="11" s="1"/>
  <c r="K1468" i="11" l="1"/>
  <c r="E1469" i="11" s="1"/>
  <c r="I1469" i="11" l="1"/>
  <c r="J1469" i="11" s="1"/>
  <c r="K1469" i="11" l="1"/>
  <c r="E1470" i="11" s="1"/>
  <c r="I1470" i="11" l="1"/>
  <c r="J1470" i="11" s="1"/>
  <c r="K1470" i="11" l="1"/>
  <c r="E1471" i="11" s="1"/>
  <c r="I1471" i="11" l="1"/>
  <c r="J1471" i="11" s="1"/>
  <c r="K1471" i="11" l="1"/>
  <c r="E1472" i="11" s="1"/>
  <c r="I1472" i="11" l="1"/>
  <c r="J1472" i="11" s="1"/>
  <c r="K1472" i="11" l="1"/>
  <c r="E1473" i="11" s="1"/>
  <c r="I1473" i="11" s="1"/>
  <c r="J1473" i="11" s="1"/>
  <c r="K1473" i="11" s="1"/>
  <c r="E1474" i="11" s="1"/>
  <c r="I1474" i="11" s="1"/>
  <c r="J1474" i="11" s="1"/>
  <c r="K1474" i="11" l="1"/>
  <c r="E1475" i="11" s="1"/>
  <c r="I1475" i="11" l="1"/>
  <c r="J1475" i="11" s="1"/>
  <c r="K1475" i="11" l="1"/>
  <c r="E1476" i="11" s="1"/>
  <c r="I1476" i="11" l="1"/>
  <c r="J1476" i="11" s="1"/>
  <c r="K1476" i="11" s="1"/>
  <c r="E1477" i="11" s="1"/>
  <c r="I1477" i="11" l="1"/>
  <c r="J1477" i="11" s="1"/>
  <c r="K1477" i="11" l="1"/>
  <c r="E1478" i="11" s="1"/>
  <c r="I1478" i="11" s="1"/>
  <c r="J1478" i="11" s="1"/>
  <c r="K1478" i="11" s="1"/>
  <c r="E1479" i="11" s="1"/>
  <c r="I1479" i="11" l="1"/>
  <c r="J1479" i="11" s="1"/>
  <c r="K1479" i="11" l="1"/>
  <c r="E1480" i="11" s="1"/>
  <c r="I1480" i="11" l="1"/>
  <c r="J1480" i="11" s="1"/>
  <c r="K1480" i="11" l="1"/>
  <c r="E1481" i="11" s="1"/>
  <c r="I1481" i="11" l="1"/>
  <c r="J1481" i="11" s="1"/>
  <c r="K1481" i="11" l="1"/>
  <c r="E1482" i="11" s="1"/>
  <c r="I1482" i="11" s="1"/>
  <c r="J1482" i="11" s="1"/>
  <c r="K1482" i="11" s="1"/>
  <c r="E1483" i="11" s="1"/>
  <c r="I1483" i="11" l="1"/>
  <c r="J1483" i="11" s="1"/>
  <c r="K1483" i="11" l="1"/>
  <c r="E1484" i="11" s="1"/>
  <c r="I1484" i="11" l="1"/>
  <c r="J1484" i="11" s="1"/>
  <c r="K1484" i="11" l="1"/>
  <c r="E1485" i="11" s="1"/>
  <c r="I1485" i="11" l="1"/>
  <c r="J1485" i="11" s="1"/>
  <c r="K1485" i="11" l="1"/>
  <c r="E1486" i="11" s="1"/>
  <c r="I1486" i="11" l="1"/>
  <c r="J1486" i="11" s="1"/>
  <c r="K1486" i="11" s="1"/>
  <c r="E1487" i="11" s="1"/>
  <c r="I1487" i="11" s="1"/>
  <c r="J1487" i="11" s="1"/>
  <c r="K1487" i="11" s="1"/>
  <c r="E1488" i="11" s="1"/>
  <c r="I1488" i="11" l="1"/>
  <c r="J1488" i="11" s="1"/>
  <c r="K1488" i="11" l="1"/>
  <c r="E1489" i="11" s="1"/>
  <c r="I1489" i="11" l="1"/>
  <c r="J1489" i="11" s="1"/>
  <c r="K1489" i="11" l="1"/>
  <c r="E1490" i="11" s="1"/>
  <c r="I1490" i="11"/>
  <c r="J1490" i="11" s="1"/>
  <c r="K1490" i="11" l="1"/>
  <c r="E1491" i="11" s="1"/>
  <c r="I1491" i="11" l="1"/>
  <c r="J1491" i="11" s="1"/>
  <c r="K1491" i="11" l="1"/>
  <c r="E1492" i="11" s="1"/>
  <c r="I1492" i="11" l="1"/>
  <c r="J1492" i="11" s="1"/>
  <c r="K1492" i="11" l="1"/>
  <c r="E1493" i="11" s="1"/>
  <c r="I1493" i="11" l="1"/>
  <c r="J1493" i="11" s="1"/>
  <c r="K1493" i="11" l="1"/>
  <c r="E1494" i="11" s="1"/>
  <c r="I1494" i="11" l="1"/>
  <c r="J1494" i="11" s="1"/>
  <c r="K1494" i="11" l="1"/>
  <c r="E1495" i="11" s="1"/>
  <c r="I1495" i="11"/>
  <c r="J1495" i="11" s="1"/>
  <c r="K1495" i="11" l="1"/>
  <c r="E1496" i="11" s="1"/>
  <c r="I1496" i="11" l="1"/>
  <c r="J1496" i="11" s="1"/>
  <c r="K1496" i="11" l="1"/>
  <c r="E1497" i="11" s="1"/>
  <c r="I1497" i="11" l="1"/>
  <c r="J1497" i="11" s="1"/>
  <c r="K1497" i="11" l="1"/>
  <c r="E1498" i="11" s="1"/>
  <c r="I1498" i="11" l="1"/>
  <c r="J1498" i="11" s="1"/>
  <c r="K1498" i="11" s="1"/>
  <c r="E1499" i="11" s="1"/>
  <c r="I1499" i="11" l="1"/>
  <c r="J1499" i="11" s="1"/>
  <c r="K1499" i="11" s="1"/>
  <c r="E1500" i="11" s="1"/>
  <c r="I1500" i="11" l="1"/>
  <c r="J1500" i="11" s="1"/>
  <c r="K1500" i="11" l="1"/>
  <c r="E1501" i="11" s="1"/>
  <c r="I1501" i="11" l="1"/>
  <c r="J1501" i="11" s="1"/>
  <c r="K1501" i="11" l="1"/>
  <c r="E1502" i="11" s="1"/>
  <c r="I1502" i="11" l="1"/>
  <c r="J1502" i="11" s="1"/>
  <c r="K1502" i="11" l="1"/>
  <c r="E1503" i="11" s="1"/>
  <c r="I1503" i="11" l="1"/>
  <c r="J1503" i="11" s="1"/>
  <c r="K1503" i="11" l="1"/>
  <c r="E1504" i="11" s="1"/>
  <c r="I1504" i="11" l="1"/>
  <c r="J1504" i="11" s="1"/>
  <c r="K1504" i="11" l="1"/>
  <c r="E1505" i="11" s="1"/>
  <c r="I1505" i="11" l="1"/>
  <c r="J1505" i="11" s="1"/>
  <c r="K1505" i="11" l="1"/>
  <c r="E1506" i="11" s="1"/>
  <c r="I1506" i="11" l="1"/>
  <c r="J1506" i="11" s="1"/>
  <c r="K1506" i="11" l="1"/>
  <c r="E1507" i="11" s="1"/>
  <c r="I1507" i="11" l="1"/>
  <c r="J1507" i="11" s="1"/>
  <c r="K1507" i="11" l="1"/>
  <c r="E1508" i="11" s="1"/>
  <c r="I1508" i="11"/>
  <c r="J1508" i="11" s="1"/>
  <c r="K1508" i="11" s="1"/>
  <c r="E1509" i="11" s="1"/>
  <c r="I1509" i="11" l="1"/>
  <c r="J1509" i="11" s="1"/>
  <c r="K1509" i="11" l="1"/>
  <c r="E1510" i="11" s="1"/>
  <c r="I1510" i="11"/>
  <c r="J1510" i="11" s="1"/>
  <c r="K1510" i="11" l="1"/>
  <c r="E1511" i="11" s="1"/>
  <c r="I1511" i="11" l="1"/>
  <c r="J1511" i="11" s="1"/>
  <c r="K1511" i="11" s="1"/>
  <c r="E1512" i="11" s="1"/>
  <c r="I1512" i="11" l="1"/>
  <c r="J1512" i="11" s="1"/>
  <c r="K1512" i="11" l="1"/>
  <c r="E1513" i="11" s="1"/>
  <c r="I1513" i="11" s="1"/>
  <c r="J1513" i="11" s="1"/>
  <c r="K1513" i="11" s="1"/>
  <c r="E1514" i="11" s="1"/>
  <c r="I1514" i="11" l="1"/>
  <c r="J1514" i="11" s="1"/>
  <c r="K1514" i="11" s="1"/>
  <c r="E1515" i="11" s="1"/>
  <c r="I1515" i="11" l="1"/>
  <c r="J1515" i="11" s="1"/>
  <c r="K1515" i="11" l="1"/>
  <c r="E1516" i="11" s="1"/>
  <c r="I1516" i="11" l="1"/>
  <c r="J1516" i="11" s="1"/>
  <c r="K1516" i="11" l="1"/>
  <c r="E1517" i="11" s="1"/>
  <c r="I1517" i="11" l="1"/>
  <c r="J1517" i="11" s="1"/>
  <c r="K1517" i="11" l="1"/>
  <c r="E1518" i="11" s="1"/>
  <c r="I1518" i="11" s="1"/>
  <c r="J1518" i="11" s="1"/>
  <c r="K1518" i="11" s="1"/>
  <c r="E1519" i="11" s="1"/>
  <c r="I1519" i="11" s="1"/>
  <c r="J1519" i="11" s="1"/>
  <c r="K1519" i="11" s="1"/>
  <c r="E1520" i="11" s="1"/>
  <c r="I1520" i="11" l="1"/>
  <c r="J1520" i="11" s="1"/>
  <c r="K1520" i="11" s="1"/>
  <c r="E1521" i="11" s="1"/>
  <c r="I1521" i="11" l="1"/>
  <c r="J1521" i="11" s="1"/>
  <c r="K1521" i="11" l="1"/>
  <c r="E1522" i="11" s="1"/>
  <c r="I1522" i="11" l="1"/>
  <c r="J1522" i="11" s="1"/>
  <c r="K1522" i="11" l="1"/>
  <c r="E1523" i="11" s="1"/>
  <c r="I1523" i="11" l="1"/>
  <c r="J1523" i="11" s="1"/>
  <c r="K1523" i="11" l="1"/>
  <c r="E1524" i="11" s="1"/>
  <c r="I1524" i="11"/>
  <c r="J1524" i="11" s="1"/>
  <c r="K1524" i="11" l="1"/>
  <c r="E1525" i="11" s="1"/>
  <c r="I1525" i="11" l="1"/>
  <c r="J1525" i="11" s="1"/>
  <c r="K1525" i="11" l="1"/>
  <c r="E1526" i="11" s="1"/>
  <c r="I1526" i="11" s="1"/>
  <c r="J1526" i="11" s="1"/>
  <c r="K1526" i="11" l="1"/>
  <c r="E1527" i="11" s="1"/>
  <c r="I1527" i="11" l="1"/>
  <c r="J1527" i="11" s="1"/>
  <c r="K1527" i="11" l="1"/>
  <c r="E1528" i="11" s="1"/>
  <c r="I1528" i="11" l="1"/>
  <c r="J1528" i="11" s="1"/>
  <c r="K1528" i="11" s="1"/>
  <c r="E1529" i="11" s="1"/>
  <c r="I1529" i="11" l="1"/>
  <c r="J1529" i="11" s="1"/>
  <c r="K1529" i="11" l="1"/>
  <c r="E1530" i="11" s="1"/>
  <c r="I1530" i="11"/>
  <c r="J1530" i="11" s="1"/>
  <c r="K1530" i="11" l="1"/>
  <c r="E1531" i="11" s="1"/>
  <c r="I1531" i="11" s="1"/>
  <c r="J1531" i="11" s="1"/>
  <c r="K1531" i="11" l="1"/>
  <c r="E1532" i="11" s="1"/>
  <c r="I1532" i="11" l="1"/>
  <c r="J1532" i="11" s="1"/>
  <c r="K1532" i="11" l="1"/>
  <c r="E1533" i="11" s="1"/>
  <c r="I1533" i="11" l="1"/>
  <c r="J1533" i="11" s="1"/>
  <c r="K1533" i="11" l="1"/>
  <c r="E1534" i="11" s="1"/>
  <c r="I1534" i="11" l="1"/>
  <c r="J1534" i="11" s="1"/>
  <c r="K1534" i="11" l="1"/>
  <c r="E1535" i="11" s="1"/>
  <c r="I1535" i="11" l="1"/>
  <c r="J1535" i="11" s="1"/>
  <c r="K1535" i="11" s="1"/>
  <c r="E1536" i="11" s="1"/>
  <c r="I1536" i="11" l="1"/>
  <c r="J1536" i="11" s="1"/>
  <c r="K1536" i="11" l="1"/>
  <c r="E1537" i="11" s="1"/>
  <c r="I1537" i="11" s="1"/>
  <c r="J1537" i="11" s="1"/>
  <c r="K1537" i="11" s="1"/>
  <c r="E1538" i="11" s="1"/>
  <c r="I1538" i="11" l="1"/>
  <c r="J1538" i="11" s="1"/>
  <c r="K1538" i="11" l="1"/>
  <c r="E1539" i="11" s="1"/>
  <c r="I1539" i="11" l="1"/>
  <c r="J1539" i="11" s="1"/>
  <c r="K1539" i="11" l="1"/>
  <c r="E1540" i="11" s="1"/>
  <c r="I1540" i="11" s="1"/>
  <c r="J1540" i="11" s="1"/>
  <c r="K1540" i="11" s="1"/>
  <c r="E1541" i="11" s="1"/>
  <c r="I1541" i="11" l="1"/>
  <c r="J1541" i="11" s="1"/>
  <c r="K1541" i="11" l="1"/>
  <c r="E1542" i="11" s="1"/>
  <c r="I1542" i="11" l="1"/>
  <c r="J1542" i="11" s="1"/>
  <c r="K1542" i="11" l="1"/>
  <c r="E1543" i="11" s="1"/>
  <c r="I1543" i="11" l="1"/>
  <c r="J1543" i="11" s="1"/>
  <c r="K1543" i="11" l="1"/>
  <c r="E1544" i="11" s="1"/>
  <c r="I1544" i="11" l="1"/>
  <c r="J1544" i="11" s="1"/>
  <c r="K1544" i="11" l="1"/>
  <c r="E1545" i="11" s="1"/>
  <c r="I1545" i="11" l="1"/>
  <c r="J1545" i="11" s="1"/>
  <c r="K1545" i="11" l="1"/>
  <c r="E1546" i="11" s="1"/>
  <c r="I1546" i="11" s="1"/>
  <c r="J1546" i="11" s="1"/>
  <c r="K1546" i="11" s="1"/>
  <c r="E1547" i="11" s="1"/>
  <c r="I1547" i="11" l="1"/>
  <c r="J1547" i="11" s="1"/>
  <c r="K1547" i="11" s="1"/>
  <c r="E1548" i="11" s="1"/>
  <c r="I1548" i="11" l="1"/>
  <c r="J1548" i="11" s="1"/>
  <c r="K1548" i="11" l="1"/>
  <c r="E1549" i="11" s="1"/>
  <c r="I1549" i="11" l="1"/>
  <c r="J1549" i="11" s="1"/>
  <c r="K1549" i="11" l="1"/>
  <c r="E1550" i="11" s="1"/>
  <c r="I1550" i="11" l="1"/>
  <c r="J1550" i="11" s="1"/>
  <c r="K1550" i="11" s="1"/>
  <c r="E1551" i="11" s="1"/>
  <c r="I1551" i="11" l="1"/>
  <c r="J1551" i="11" s="1"/>
  <c r="K1551" i="11" l="1"/>
  <c r="E1552" i="11" s="1"/>
  <c r="I1552" i="11"/>
  <c r="J1552" i="11" s="1"/>
  <c r="K1552" i="11" l="1"/>
  <c r="E1553" i="11" s="1"/>
  <c r="I1553" i="11" l="1"/>
  <c r="J1553" i="11" s="1"/>
  <c r="K1553" i="11" l="1"/>
  <c r="E1554" i="11" s="1"/>
  <c r="I1554" i="11"/>
  <c r="J1554" i="11" s="1"/>
  <c r="K1554" i="11" l="1"/>
  <c r="E1555" i="11" s="1"/>
  <c r="I1555" i="11" l="1"/>
  <c r="J1555" i="11" s="1"/>
  <c r="K1555" i="11" l="1"/>
  <c r="E1556" i="11" s="1"/>
  <c r="I1556" i="11" l="1"/>
  <c r="J1556" i="11" s="1"/>
  <c r="K1556" i="11" s="1"/>
  <c r="E1557" i="11" s="1"/>
  <c r="I1557" i="11" l="1"/>
  <c r="J1557" i="11" s="1"/>
  <c r="K1557" i="11" l="1"/>
  <c r="E1558" i="11" s="1"/>
  <c r="I1558" i="11" l="1"/>
  <c r="J1558" i="11" s="1"/>
  <c r="K1558" i="11" l="1"/>
  <c r="E1559" i="11" s="1"/>
  <c r="I1559" i="11" l="1"/>
  <c r="J1559" i="11" s="1"/>
  <c r="K1559" i="11" l="1"/>
  <c r="E1560" i="11" s="1"/>
  <c r="I1560" i="11" l="1"/>
  <c r="J1560" i="11" s="1"/>
  <c r="K1560" i="11" l="1"/>
  <c r="E1561" i="11" s="1"/>
  <c r="I1561" i="11" l="1"/>
  <c r="J1561" i="11" s="1"/>
  <c r="K1561" i="11" l="1"/>
  <c r="E1562" i="11" s="1"/>
  <c r="I1562" i="11" l="1"/>
  <c r="J1562" i="11" s="1"/>
  <c r="K1562" i="11" l="1"/>
  <c r="E1563" i="11" s="1"/>
  <c r="I1563" i="11" l="1"/>
  <c r="J1563" i="11" s="1"/>
  <c r="K1563" i="11" l="1"/>
  <c r="E1564" i="11" s="1"/>
  <c r="I1564" i="11" l="1"/>
  <c r="J1564" i="11" s="1"/>
  <c r="K1564" i="11" l="1"/>
  <c r="E1565" i="11" s="1"/>
  <c r="I1565" i="11" l="1"/>
  <c r="J1565" i="11" s="1"/>
  <c r="K1565" i="11" s="1"/>
  <c r="E1566" i="11" s="1"/>
  <c r="I1566" i="11" l="1"/>
  <c r="J1566" i="11" s="1"/>
  <c r="K1566" i="11" l="1"/>
  <c r="E1567" i="11" s="1"/>
  <c r="I1567" i="11" l="1"/>
  <c r="J1567" i="11" s="1"/>
  <c r="K1567" i="11" l="1"/>
  <c r="E1568" i="11" s="1"/>
  <c r="I1568" i="11" l="1"/>
  <c r="J1568" i="11" s="1"/>
  <c r="K1568" i="11" l="1"/>
  <c r="E1569" i="11" s="1"/>
  <c r="I1569" i="11" s="1"/>
  <c r="J1569" i="11" s="1"/>
  <c r="K1569" i="11" s="1"/>
  <c r="E1570" i="11" s="1"/>
  <c r="I1570" i="11" s="1"/>
  <c r="J1570" i="11" s="1"/>
  <c r="K1570" i="11" s="1"/>
  <c r="E1571" i="11" s="1"/>
  <c r="I1571" i="11" l="1"/>
  <c r="J1571" i="11" s="1"/>
  <c r="K1571" i="11" l="1"/>
  <c r="E1572" i="11" s="1"/>
  <c r="I1572" i="11" l="1"/>
  <c r="J1572" i="11" s="1"/>
  <c r="K1572" i="11" l="1"/>
  <c r="E1573" i="11" s="1"/>
  <c r="I1573" i="11" l="1"/>
  <c r="J1573" i="11" s="1"/>
  <c r="K1573" i="11" l="1"/>
  <c r="E1574" i="11" s="1"/>
  <c r="I1574" i="11" l="1"/>
  <c r="J1574" i="11" s="1"/>
  <c r="K1574" i="11" l="1"/>
  <c r="E1575" i="11" s="1"/>
  <c r="I1575" i="11"/>
  <c r="J1575" i="11" s="1"/>
  <c r="K1575" i="11" s="1"/>
  <c r="E1576" i="11" s="1"/>
  <c r="I1576" i="11" l="1"/>
  <c r="J1576" i="11" s="1"/>
  <c r="K1576" i="11" l="1"/>
  <c r="E1577" i="11" s="1"/>
  <c r="I1577" i="11"/>
  <c r="J1577" i="11" s="1"/>
  <c r="K1577" i="11" l="1"/>
  <c r="E1578" i="11" s="1"/>
  <c r="I1578" i="11"/>
  <c r="J1578" i="11" s="1"/>
  <c r="K1578" i="11" l="1"/>
  <c r="E1579" i="11" s="1"/>
  <c r="I1579" i="11" l="1"/>
  <c r="J1579" i="11" s="1"/>
  <c r="K1579" i="11" l="1"/>
  <c r="E1580" i="11" s="1"/>
  <c r="I1580" i="11" s="1"/>
  <c r="J1580" i="11" s="1"/>
  <c r="K1580" i="11" s="1"/>
  <c r="E1581" i="11" s="1"/>
  <c r="I1581" i="11" l="1"/>
  <c r="J1581" i="11" s="1"/>
  <c r="K1581" i="11" l="1"/>
  <c r="E1582" i="11" s="1"/>
  <c r="I1582" i="11" l="1"/>
  <c r="J1582" i="11" s="1"/>
  <c r="K1582" i="11" l="1"/>
  <c r="E1583" i="11" s="1"/>
  <c r="I1583" i="11" s="1"/>
  <c r="J1583" i="11" s="1"/>
  <c r="K1583" i="11" s="1"/>
  <c r="E1584" i="11" s="1"/>
  <c r="I1584" i="11" l="1"/>
  <c r="J1584" i="11" s="1"/>
  <c r="K1584" i="11" l="1"/>
  <c r="E1585" i="11" s="1"/>
  <c r="I1585" i="11" s="1"/>
  <c r="J1585" i="11" s="1"/>
  <c r="K1585" i="11" l="1"/>
  <c r="E1586" i="11" s="1"/>
  <c r="I1586" i="11" s="1"/>
  <c r="J1586" i="11" s="1"/>
  <c r="K1586" i="11" l="1"/>
  <c r="E1587" i="11" s="1"/>
  <c r="I1587" i="11" l="1"/>
  <c r="J1587" i="11" s="1"/>
  <c r="K1587" i="11" l="1"/>
  <c r="E1588" i="11" s="1"/>
  <c r="I1588" i="11" l="1"/>
  <c r="J1588" i="11" s="1"/>
  <c r="K1588" i="11" l="1"/>
  <c r="E1589" i="11" s="1"/>
  <c r="I1589" i="11" l="1"/>
  <c r="J1589" i="11" s="1"/>
  <c r="K1589" i="11" l="1"/>
  <c r="E1590" i="11" s="1"/>
  <c r="I1590" i="11" s="1"/>
  <c r="J1590" i="11" s="1"/>
  <c r="K1590" i="11" s="1"/>
  <c r="E1591" i="11" s="1"/>
  <c r="I1591" i="11" s="1"/>
  <c r="J1591" i="11" l="1"/>
  <c r="K1591" i="11" s="1"/>
  <c r="E1592" i="11" s="1"/>
  <c r="I1592" i="11" s="1"/>
  <c r="J1592" i="11" s="1"/>
  <c r="K1592" i="11" l="1"/>
  <c r="E1593" i="11" s="1"/>
  <c r="I1593" i="11" s="1"/>
  <c r="J1593" i="11" s="1"/>
  <c r="K1593" i="11" s="1"/>
  <c r="E1594" i="11" s="1"/>
  <c r="I1594" i="11" l="1"/>
  <c r="J1594" i="11" s="1"/>
  <c r="K1594" i="11" s="1"/>
  <c r="E1595" i="11" s="1"/>
  <c r="I1595" i="11" l="1"/>
  <c r="J1595" i="11" s="1"/>
  <c r="K1595" i="11" l="1"/>
  <c r="E1596" i="11" s="1"/>
  <c r="I1596" i="11"/>
  <c r="J1596" i="11" s="1"/>
  <c r="K1596" i="11" l="1"/>
  <c r="E1597" i="11" s="1"/>
  <c r="I1597" i="11" l="1"/>
  <c r="J1597" i="11" s="1"/>
  <c r="K1597" i="11" s="1"/>
  <c r="E1598" i="11" s="1"/>
  <c r="I1598" i="11" l="1"/>
  <c r="J1598" i="11" s="1"/>
  <c r="K1598" i="11" s="1"/>
  <c r="E1599" i="11" s="1"/>
  <c r="I1599" i="11" l="1"/>
  <c r="J1599" i="11" s="1"/>
  <c r="K1599" i="11" l="1"/>
  <c r="E1600" i="11" s="1"/>
  <c r="I1600" i="11" l="1"/>
  <c r="J1600" i="11" s="1"/>
  <c r="K1600" i="11" l="1"/>
  <c r="E1601" i="11" s="1"/>
  <c r="I1601" i="11"/>
  <c r="J1601" i="11" s="1"/>
  <c r="K1601" i="11" l="1"/>
  <c r="E1602" i="11" s="1"/>
  <c r="I1602" i="11" l="1"/>
  <c r="J1602" i="11" s="1"/>
  <c r="K1602" i="11" l="1"/>
  <c r="E1603" i="11" s="1"/>
  <c r="I1603" i="11"/>
  <c r="J1603" i="11" s="1"/>
  <c r="K1603" i="11" l="1"/>
  <c r="E1604" i="11" s="1"/>
  <c r="I1604" i="11"/>
  <c r="J1604" i="11" s="1"/>
  <c r="K1604" i="11" l="1"/>
  <c r="E1605" i="11" s="1"/>
  <c r="I1605" i="11" s="1"/>
  <c r="J1605" i="11" s="1"/>
  <c r="K1605" i="11" l="1"/>
  <c r="E1606" i="11" s="1"/>
  <c r="I1606" i="11"/>
  <c r="J1606" i="11" s="1"/>
  <c r="K1606" i="11" s="1"/>
  <c r="E1607" i="11" s="1"/>
  <c r="I1607" i="11" l="1"/>
  <c r="J1607" i="11" s="1"/>
  <c r="K1607" i="11" l="1"/>
  <c r="E1608" i="11" s="1"/>
  <c r="I1608" i="11"/>
  <c r="J1608" i="11" s="1"/>
  <c r="K1608" i="11" l="1"/>
  <c r="E1609" i="11" s="1"/>
  <c r="I1609" i="11" l="1"/>
  <c r="J1609" i="11" s="1"/>
  <c r="K1609" i="11" l="1"/>
  <c r="E1610" i="11" s="1"/>
  <c r="I1610" i="11" l="1"/>
  <c r="J1610" i="11" s="1"/>
  <c r="K1610" i="11" l="1"/>
  <c r="E1611" i="11" s="1"/>
  <c r="I1611" i="11" l="1"/>
  <c r="J1611" i="11" s="1"/>
  <c r="K1611" i="11" l="1"/>
  <c r="E1612" i="11" s="1"/>
  <c r="I1612" i="11" l="1"/>
  <c r="J1612" i="11" s="1"/>
  <c r="K1612" i="11" l="1"/>
  <c r="E1613" i="11" s="1"/>
  <c r="I1613" i="11" l="1"/>
  <c r="J1613" i="11" s="1"/>
  <c r="K1613" i="11" l="1"/>
  <c r="E1614" i="11" s="1"/>
  <c r="I1614" i="11" l="1"/>
  <c r="J1614" i="11" s="1"/>
  <c r="K1614" i="11" s="1"/>
  <c r="E1615" i="11" s="1"/>
  <c r="I1615" i="11" l="1"/>
  <c r="J1615" i="11" s="1"/>
  <c r="K1615" i="11" s="1"/>
  <c r="E1616" i="11" s="1"/>
  <c r="I1616" i="11" l="1"/>
  <c r="J1616" i="11" s="1"/>
  <c r="K1616" i="11" l="1"/>
  <c r="E1617" i="11" s="1"/>
  <c r="I1617" i="11" l="1"/>
  <c r="J1617" i="11" s="1"/>
  <c r="K1617" i="11" l="1"/>
  <c r="E1618" i="11" s="1"/>
  <c r="I1618" i="11" s="1"/>
  <c r="J1618" i="11" s="1"/>
  <c r="K1618" i="11" s="1"/>
  <c r="E1619" i="11" s="1"/>
  <c r="I1619" i="11" s="1"/>
  <c r="J1619" i="11" s="1"/>
  <c r="K1619" i="11" l="1"/>
  <c r="E1620" i="11" s="1"/>
  <c r="I1620" i="11" l="1"/>
  <c r="J1620" i="11" s="1"/>
  <c r="K1620" i="11" l="1"/>
  <c r="E1621" i="11" s="1"/>
  <c r="I1621" i="11" l="1"/>
  <c r="J1621" i="11" s="1"/>
  <c r="K1621" i="11" s="1"/>
  <c r="E1622" i="11" s="1"/>
  <c r="I1622" i="11" l="1"/>
  <c r="J1622" i="11" s="1"/>
  <c r="K1622" i="11" l="1"/>
  <c r="E1623" i="11" s="1"/>
  <c r="I1623" i="11" s="1"/>
  <c r="J1623" i="11" s="1"/>
  <c r="K1623" i="11" l="1"/>
  <c r="E1624" i="11" s="1"/>
  <c r="I1624" i="11" l="1"/>
  <c r="J1624" i="11" s="1"/>
  <c r="K1624" i="11" l="1"/>
  <c r="E1625" i="11" s="1"/>
  <c r="I1625" i="11" s="1"/>
  <c r="J1625" i="11" s="1"/>
  <c r="K1625" i="11" l="1"/>
  <c r="E1626" i="11" s="1"/>
  <c r="I1626" i="11" s="1"/>
  <c r="J1626" i="11" s="1"/>
  <c r="K1626" i="11" l="1"/>
  <c r="E1627" i="11" s="1"/>
  <c r="I1627" i="11" l="1"/>
  <c r="J1627" i="11" s="1"/>
  <c r="K1627" i="11" l="1"/>
  <c r="E1628" i="11" s="1"/>
  <c r="I1628" i="11" s="1"/>
  <c r="J1628" i="11" s="1"/>
  <c r="K1628" i="11" l="1"/>
  <c r="E1629" i="11" s="1"/>
  <c r="I1629" i="11" l="1"/>
  <c r="J1629" i="11" s="1"/>
  <c r="K1629" i="11" l="1"/>
  <c r="E1630" i="11" s="1"/>
  <c r="I1630" i="11" s="1"/>
  <c r="J1630" i="11" s="1"/>
  <c r="K1630" i="11" l="1"/>
  <c r="E1631" i="11" s="1"/>
  <c r="I1631" i="11" l="1"/>
  <c r="J1631" i="11" s="1"/>
  <c r="K1631" i="11" l="1"/>
  <c r="E1632" i="11" s="1"/>
  <c r="I1632" i="11" l="1"/>
  <c r="J1632" i="11" s="1"/>
  <c r="K1632" i="11" l="1"/>
  <c r="E1633" i="11" s="1"/>
  <c r="I1633" i="11" s="1"/>
  <c r="J1633" i="11" s="1"/>
  <c r="K1633" i="11" s="1"/>
  <c r="E1634" i="11" s="1"/>
  <c r="I1634" i="11" s="1"/>
  <c r="J1634" i="11" s="1"/>
  <c r="K1634" i="11" s="1"/>
  <c r="E1635" i="11" s="1"/>
  <c r="I1635" i="11" s="1"/>
  <c r="J1635" i="11" s="1"/>
  <c r="K1635" i="11" l="1"/>
  <c r="E1636" i="11" s="1"/>
  <c r="I1636" i="11" s="1"/>
  <c r="J1636" i="11" s="1"/>
  <c r="K1636" i="11" l="1"/>
  <c r="E1637" i="11" s="1"/>
  <c r="I1637" i="11" l="1"/>
  <c r="J1637" i="11" s="1"/>
  <c r="K1637" i="11" l="1"/>
  <c r="E1638" i="11" s="1"/>
  <c r="I1638" i="11" l="1"/>
  <c r="J1638" i="11" s="1"/>
  <c r="K1638" i="11" l="1"/>
  <c r="E1639" i="11" s="1"/>
  <c r="I1639" i="11" l="1"/>
  <c r="J1639" i="11" s="1"/>
  <c r="K1639" i="11" l="1"/>
  <c r="E1640" i="11" s="1"/>
  <c r="I1640" i="11" l="1"/>
  <c r="J1640" i="11" s="1"/>
  <c r="K1640" i="11" l="1"/>
  <c r="E1641" i="11" s="1"/>
  <c r="I1641" i="11" l="1"/>
  <c r="J1641" i="11" s="1"/>
  <c r="K1641" i="11" l="1"/>
  <c r="E1642" i="11" s="1"/>
  <c r="I1642" i="11" l="1"/>
  <c r="J1642" i="11" s="1"/>
  <c r="K1642" i="11" l="1"/>
  <c r="E1643" i="11" s="1"/>
  <c r="I1643" i="11" l="1"/>
  <c r="J1643" i="11" s="1"/>
  <c r="K1643" i="11" l="1"/>
  <c r="E1644" i="11" s="1"/>
  <c r="I1644" i="11" l="1"/>
  <c r="J1644" i="11" s="1"/>
  <c r="K1644" i="11" l="1"/>
  <c r="E1645" i="11" s="1"/>
  <c r="I1645" i="11" l="1"/>
  <c r="J1645" i="11" s="1"/>
  <c r="K1645" i="11" l="1"/>
  <c r="E1646" i="11" s="1"/>
  <c r="I1646" i="11" l="1"/>
  <c r="J1646" i="11" s="1"/>
  <c r="K1646" i="11" l="1"/>
  <c r="E1647" i="11" s="1"/>
  <c r="I1647" i="11" l="1"/>
  <c r="J1647" i="11" s="1"/>
  <c r="K1647" i="11" l="1"/>
  <c r="E1648" i="11" s="1"/>
  <c r="I1648" i="11" l="1"/>
  <c r="J1648" i="11" s="1"/>
  <c r="K1648" i="11" l="1"/>
  <c r="E1649" i="11" s="1"/>
  <c r="I1649" i="11" s="1"/>
  <c r="J1649" i="11" s="1"/>
  <c r="K1649" i="11" s="1"/>
  <c r="E1650" i="11" s="1"/>
  <c r="I1650" i="11" l="1"/>
  <c r="J1650" i="11" s="1"/>
  <c r="K1650" i="11" l="1"/>
  <c r="E1651" i="11" s="1"/>
  <c r="I1651" i="11" l="1"/>
  <c r="J1651" i="11" s="1"/>
  <c r="K1651" i="11" l="1"/>
  <c r="E1652" i="11" s="1"/>
  <c r="I1652" i="11" l="1"/>
  <c r="J1652" i="11" s="1"/>
  <c r="K1652" i="11" l="1"/>
  <c r="E1653" i="11" s="1"/>
  <c r="I1653" i="11" l="1"/>
  <c r="J1653" i="11" s="1"/>
  <c r="K1653" i="11" l="1"/>
  <c r="E1654" i="11" s="1"/>
  <c r="I1654" i="11" l="1"/>
  <c r="J1654" i="11" s="1"/>
  <c r="K1654" i="11" l="1"/>
  <c r="E1655" i="11" s="1"/>
  <c r="I1655" i="11" l="1"/>
  <c r="J1655" i="11" s="1"/>
  <c r="K1655" i="11" l="1"/>
  <c r="E1656" i="11" s="1"/>
  <c r="I1656" i="11" l="1"/>
  <c r="J1656" i="11" s="1"/>
  <c r="K1656" i="11" l="1"/>
  <c r="E1657" i="11" s="1"/>
  <c r="I1657" i="11" l="1"/>
  <c r="J1657" i="11" s="1"/>
  <c r="K1657" i="11" l="1"/>
  <c r="E1658" i="11" s="1"/>
  <c r="I1658" i="11" l="1"/>
  <c r="J1658" i="11" s="1"/>
  <c r="K1658" i="11" l="1"/>
  <c r="E1659" i="11" s="1"/>
  <c r="I1659" i="11" l="1"/>
  <c r="J1659" i="11" s="1"/>
  <c r="K1659" i="11" l="1"/>
  <c r="E1660" i="11" s="1"/>
  <c r="I1660" i="11" l="1"/>
  <c r="J1660" i="11" s="1"/>
  <c r="K1660" i="11" l="1"/>
  <c r="E1661" i="11" s="1"/>
  <c r="I1661" i="11" l="1"/>
  <c r="J1661" i="11" s="1"/>
  <c r="K1661" i="11" l="1"/>
  <c r="E1662" i="11" s="1"/>
  <c r="I1662" i="11" s="1"/>
  <c r="J1662" i="11" s="1"/>
  <c r="K1662" i="11" s="1"/>
  <c r="E1663" i="11" s="1"/>
  <c r="I1663" i="11" s="1"/>
  <c r="J1663" i="11" s="1"/>
  <c r="K1663" i="11" s="1"/>
  <c r="E1664" i="11" s="1"/>
  <c r="I1664" i="11" s="1"/>
  <c r="J1664" i="11" s="1"/>
  <c r="K1664" i="11" l="1"/>
  <c r="E1665" i="11" s="1"/>
  <c r="I1665" i="11" l="1"/>
  <c r="J1665" i="11" s="1"/>
  <c r="K1665" i="11" l="1"/>
  <c r="E1666" i="11" s="1"/>
  <c r="I1666" i="11" l="1"/>
  <c r="J1666" i="11" s="1"/>
  <c r="K1666" i="11" l="1"/>
  <c r="E1667" i="11" s="1"/>
  <c r="I1667" i="11" l="1"/>
  <c r="J1667" i="11" s="1"/>
  <c r="K1667" i="11" l="1"/>
  <c r="E1668" i="11" s="1"/>
  <c r="I1668" i="11" l="1"/>
  <c r="J1668" i="11" s="1"/>
  <c r="K1668" i="11" l="1"/>
  <c r="E1669" i="11" s="1"/>
  <c r="I1669" i="11" l="1"/>
  <c r="J1669" i="11" s="1"/>
  <c r="K1669" i="11" l="1"/>
  <c r="E1670" i="11" s="1"/>
  <c r="I1670" i="11" s="1"/>
  <c r="J1670" i="11" s="1"/>
  <c r="K1670" i="11" s="1"/>
  <c r="E1671" i="11" s="1"/>
  <c r="I1671" i="11" l="1"/>
  <c r="J1671" i="11" s="1"/>
  <c r="K1671" i="11" s="1"/>
  <c r="E1672" i="11" s="1"/>
  <c r="I1672" i="11" l="1"/>
  <c r="J1672" i="11" s="1"/>
  <c r="K1672" i="11" l="1"/>
  <c r="E1673" i="11" s="1"/>
  <c r="I1673" i="11" s="1"/>
  <c r="J1673" i="11" s="1"/>
  <c r="K1673" i="11" s="1"/>
  <c r="E1674" i="11" s="1"/>
  <c r="I1674" i="11" l="1"/>
  <c r="J1674" i="11" s="1"/>
  <c r="K1674" i="11" s="1"/>
  <c r="E1675" i="11" s="1"/>
  <c r="I1675" i="11" l="1"/>
  <c r="J1675" i="11" s="1"/>
  <c r="K1675" i="11" l="1"/>
  <c r="E1676" i="11" s="1"/>
  <c r="I1676" i="11" l="1"/>
  <c r="J1676" i="11" s="1"/>
  <c r="K1676" i="11" l="1"/>
  <c r="E1677" i="11" s="1"/>
  <c r="I1677" i="11" l="1"/>
  <c r="J1677" i="11" s="1"/>
  <c r="K1677" i="11" s="1"/>
  <c r="E1678" i="11" s="1"/>
  <c r="I1678" i="11" l="1"/>
  <c r="J1678" i="11" s="1"/>
  <c r="K1678" i="11" l="1"/>
  <c r="E1679" i="11" s="1"/>
  <c r="I1679" i="11" l="1"/>
  <c r="J1679" i="11" s="1"/>
  <c r="K1679" i="11" l="1"/>
  <c r="E1680" i="11" s="1"/>
  <c r="I1680" i="11" l="1"/>
  <c r="J1680" i="11" s="1"/>
  <c r="K1680" i="11" l="1"/>
  <c r="E1681" i="11" s="1"/>
  <c r="I1681" i="11"/>
  <c r="J1681" i="11" s="1"/>
  <c r="K1681" i="11" l="1"/>
  <c r="E1682" i="11" s="1"/>
  <c r="I1682" i="11"/>
  <c r="J1682" i="11" s="1"/>
  <c r="K1682" i="11" l="1"/>
  <c r="E1683" i="11" s="1"/>
  <c r="I1683" i="11" s="1"/>
  <c r="J1683" i="11" s="1"/>
  <c r="K1683" i="11" s="1"/>
  <c r="E1684" i="11" s="1"/>
  <c r="I1684" i="11" l="1"/>
  <c r="J1684" i="11" s="1"/>
  <c r="K1684" i="11" s="1"/>
  <c r="E1685" i="11" s="1"/>
  <c r="I1685" i="11" l="1"/>
  <c r="J1685" i="11" s="1"/>
  <c r="K1685" i="11" l="1"/>
  <c r="E1686" i="11" s="1"/>
  <c r="I1686" i="11" l="1"/>
  <c r="J1686" i="11" s="1"/>
  <c r="K1686" i="11" l="1"/>
  <c r="E1687" i="11" s="1"/>
  <c r="I1687" i="11" l="1"/>
  <c r="J1687" i="11" s="1"/>
  <c r="K1687" i="11" l="1"/>
  <c r="E1688" i="11" s="1"/>
  <c r="I1688" i="11" l="1"/>
  <c r="J1688" i="11" s="1"/>
  <c r="K1688" i="11" l="1"/>
  <c r="E1689" i="11" s="1"/>
  <c r="I1689" i="11" l="1"/>
  <c r="J1689" i="11" s="1"/>
  <c r="K1689" i="11" l="1"/>
  <c r="E1690" i="11" s="1"/>
  <c r="I1690" i="11" l="1"/>
  <c r="J1690" i="11" s="1"/>
  <c r="K1690" i="11" l="1"/>
  <c r="E1691" i="11" s="1"/>
  <c r="I1691" i="11" l="1"/>
  <c r="J1691" i="11" s="1"/>
  <c r="K1691" i="11" l="1"/>
  <c r="E1692" i="11" s="1"/>
  <c r="I1692" i="11" l="1"/>
  <c r="J1692" i="11" s="1"/>
  <c r="K1692" i="11" s="1"/>
  <c r="E1693" i="11" s="1"/>
  <c r="I1693" i="11" l="1"/>
  <c r="J1693" i="11" s="1"/>
  <c r="K1693" i="11" l="1"/>
  <c r="E1694" i="11" s="1"/>
  <c r="I1694" i="11"/>
  <c r="J1694" i="11" s="1"/>
  <c r="K1694" i="11" l="1"/>
  <c r="E1695" i="11" s="1"/>
  <c r="I1695" i="11" l="1"/>
  <c r="J1695" i="11" s="1"/>
  <c r="K1695" i="11" l="1"/>
  <c r="E1696" i="11" s="1"/>
  <c r="I1696" i="11" l="1"/>
  <c r="J1696" i="11" s="1"/>
  <c r="K1696" i="11" s="1"/>
  <c r="E1697" i="11" s="1"/>
  <c r="I1697" i="11" l="1"/>
  <c r="J1697" i="11" s="1"/>
  <c r="K1697" i="11" l="1"/>
  <c r="E1698" i="11" s="1"/>
  <c r="I1698" i="11"/>
  <c r="J1698" i="11" s="1"/>
  <c r="K1698" i="11" l="1"/>
  <c r="E1699" i="11" s="1"/>
  <c r="I1699" i="11" l="1"/>
  <c r="J1699" i="11" s="1"/>
  <c r="K1699" i="11" l="1"/>
  <c r="E1700" i="11" s="1"/>
  <c r="I1700" i="11" l="1"/>
  <c r="J1700" i="11" s="1"/>
  <c r="K1700" i="11" l="1"/>
  <c r="E1701" i="11" s="1"/>
  <c r="I1701" i="11" l="1"/>
  <c r="J1701" i="11" s="1"/>
  <c r="K1701" i="11" l="1"/>
  <c r="E1702" i="11" s="1"/>
  <c r="I1702" i="11" l="1"/>
  <c r="J1702" i="11" s="1"/>
  <c r="K1702" i="11" l="1"/>
  <c r="E1703" i="11" s="1"/>
  <c r="I1703" i="11" s="1"/>
  <c r="J1703" i="11" s="1"/>
  <c r="K1703" i="11" s="1"/>
  <c r="E1704" i="11" s="1"/>
  <c r="I1704" i="11" l="1"/>
  <c r="J1704" i="11" s="1"/>
  <c r="K1704" i="11" l="1"/>
  <c r="E1705" i="11" s="1"/>
  <c r="I1705" i="11" l="1"/>
  <c r="J1705" i="11" s="1"/>
  <c r="K1705" i="11" l="1"/>
  <c r="E1706" i="11" s="1"/>
  <c r="I1706" i="11" l="1"/>
  <c r="J1706" i="11" s="1"/>
  <c r="K1706" i="11" l="1"/>
  <c r="E1707" i="11" s="1"/>
  <c r="I1707" i="11" s="1"/>
  <c r="J1707" i="11" s="1"/>
  <c r="K1707" i="11" s="1"/>
  <c r="E1708" i="11" s="1"/>
  <c r="I1708" i="11" l="1"/>
  <c r="J1708" i="11" s="1"/>
  <c r="K1708" i="11" l="1"/>
  <c r="E1709" i="11" s="1"/>
  <c r="I1709" i="11" s="1"/>
  <c r="J1709" i="11" s="1"/>
  <c r="K1709" i="11" s="1"/>
  <c r="E1710" i="11" s="1"/>
  <c r="I1710" i="11" l="1"/>
  <c r="J1710" i="11" s="1"/>
  <c r="K1710" i="11" l="1"/>
  <c r="E1711" i="11" s="1"/>
  <c r="I1711" i="11" l="1"/>
  <c r="J1711" i="11" s="1"/>
  <c r="K1711" i="11" l="1"/>
  <c r="E1712" i="11" s="1"/>
  <c r="I1712" i="11" l="1"/>
  <c r="J1712" i="11" s="1"/>
  <c r="K1712" i="11" l="1"/>
  <c r="E1713" i="11" s="1"/>
  <c r="I1713" i="11" l="1"/>
  <c r="J1713" i="11" s="1"/>
  <c r="K1713" i="11" l="1"/>
  <c r="E1714" i="11" s="1"/>
  <c r="I1714" i="11" s="1"/>
  <c r="J1714" i="11" s="1"/>
  <c r="K1714" i="11" l="1"/>
  <c r="E1715" i="11" s="1"/>
  <c r="I1715" i="11" s="1"/>
  <c r="J1715" i="11" s="1"/>
  <c r="K1715" i="11" l="1"/>
  <c r="E1716" i="11" s="1"/>
  <c r="I1716" i="11"/>
  <c r="J1716" i="11" s="1"/>
  <c r="K1716" i="11" l="1"/>
  <c r="E1717" i="11" s="1"/>
  <c r="I1717" i="11" s="1"/>
  <c r="J1717" i="11" s="1"/>
  <c r="K1717" i="11" s="1"/>
  <c r="E1718" i="11" s="1"/>
  <c r="I1718" i="11" l="1"/>
  <c r="J1718" i="11" s="1"/>
  <c r="K1718" i="11" l="1"/>
  <c r="E1719" i="11" s="1"/>
  <c r="I1719" i="11"/>
  <c r="J1719" i="11" s="1"/>
  <c r="K1719" i="11" l="1"/>
  <c r="E1720" i="11" s="1"/>
  <c r="I1720" i="11" s="1"/>
  <c r="J1720" i="11" s="1"/>
  <c r="K1720" i="11" l="1"/>
  <c r="E1721" i="11" s="1"/>
  <c r="I1721" i="11" l="1"/>
  <c r="J1721" i="11" s="1"/>
  <c r="K1721" i="11" l="1"/>
  <c r="E1722" i="11" s="1"/>
  <c r="I1722" i="11" l="1"/>
  <c r="J1722" i="11" s="1"/>
  <c r="K1722" i="11" l="1"/>
  <c r="E1723" i="11" s="1"/>
  <c r="I1723" i="11" l="1"/>
  <c r="J1723" i="11" s="1"/>
  <c r="K1723" i="11" l="1"/>
  <c r="E1724" i="11" s="1"/>
  <c r="I1724" i="11" l="1"/>
  <c r="J1724" i="11" s="1"/>
  <c r="K1724" i="11" l="1"/>
  <c r="E1725" i="11" s="1"/>
  <c r="I1725" i="11" s="1"/>
  <c r="J1725" i="11" s="1"/>
  <c r="K1725" i="11" l="1"/>
  <c r="E1726" i="11" s="1"/>
  <c r="I1726" i="11" l="1"/>
  <c r="J1726" i="11" s="1"/>
  <c r="K1726" i="11" l="1"/>
  <c r="E1727" i="11" s="1"/>
  <c r="I1727" i="11" s="1"/>
  <c r="J1727" i="11" s="1"/>
  <c r="K1727" i="11" l="1"/>
  <c r="E1728" i="11" s="1"/>
  <c r="I1728" i="11" l="1"/>
  <c r="J1728" i="11" s="1"/>
  <c r="K1728" i="11" l="1"/>
  <c r="E1729" i="11" s="1"/>
  <c r="I1729" i="11" l="1"/>
  <c r="J1729" i="11" s="1"/>
  <c r="K1729" i="11" l="1"/>
  <c r="E1730" i="11" s="1"/>
  <c r="I1730" i="11"/>
  <c r="J1730" i="11" s="1"/>
  <c r="K1730" i="11" l="1"/>
  <c r="E1731" i="11" s="1"/>
  <c r="I1731" i="11" s="1"/>
  <c r="J1731" i="11" s="1"/>
  <c r="K1731" i="11" s="1"/>
  <c r="E1732" i="11" s="1"/>
  <c r="I1732" i="11" s="1"/>
  <c r="J1732" i="11" s="1"/>
  <c r="K1732" i="11" s="1"/>
  <c r="E1733" i="11" s="1"/>
  <c r="I1733" i="11" l="1"/>
  <c r="J1733" i="11" s="1"/>
  <c r="K1733" i="11" l="1"/>
  <c r="E1734" i="11" s="1"/>
  <c r="I1734" i="11" l="1"/>
  <c r="J1734" i="11" s="1"/>
  <c r="K1734" i="11" l="1"/>
  <c r="E1735" i="11" s="1"/>
  <c r="I1735" i="11" l="1"/>
  <c r="J1735" i="11" s="1"/>
  <c r="K1735" i="11" l="1"/>
  <c r="E1736" i="11" s="1"/>
  <c r="I1736" i="11" s="1"/>
  <c r="J1736" i="11" s="1"/>
  <c r="K1736" i="11" l="1"/>
  <c r="E1737" i="11" s="1"/>
  <c r="I1737" i="11" l="1"/>
  <c r="J1737" i="11" s="1"/>
  <c r="K1737" i="11" l="1"/>
  <c r="E1738" i="11" s="1"/>
  <c r="I1738" i="11" s="1"/>
  <c r="J1738" i="11" s="1"/>
  <c r="K1738" i="11" l="1"/>
  <c r="E1739" i="11" s="1"/>
  <c r="I1739" i="11"/>
  <c r="J1739" i="11" s="1"/>
  <c r="K1739" i="11" l="1"/>
  <c r="E1740" i="11" s="1"/>
  <c r="I1740" i="11" l="1"/>
  <c r="J1740" i="11" s="1"/>
  <c r="K1740" i="11" l="1"/>
  <c r="E1741" i="11" s="1"/>
  <c r="I1741" i="11"/>
  <c r="J1741" i="11" s="1"/>
  <c r="K1741" i="11" l="1"/>
  <c r="E1742" i="11" s="1"/>
  <c r="I1742" i="11" s="1"/>
  <c r="J1742" i="11" s="1"/>
  <c r="K1742" i="11" l="1"/>
  <c r="E1743" i="11" s="1"/>
  <c r="I1743" i="11" s="1"/>
  <c r="J1743" i="11" s="1"/>
  <c r="K1743" i="11" s="1"/>
  <c r="E1744" i="11" s="1"/>
  <c r="I1744" i="11" l="1"/>
  <c r="J1744" i="11" s="1"/>
  <c r="K1744" i="11" l="1"/>
  <c r="E1745" i="11" s="1"/>
  <c r="I1745" i="11" l="1"/>
  <c r="J1745" i="11" s="1"/>
  <c r="K1745" i="11" l="1"/>
  <c r="E1746" i="11" s="1"/>
  <c r="I1746" i="11" l="1"/>
  <c r="J1746" i="11" s="1"/>
  <c r="K1746" i="11" l="1"/>
  <c r="E1747" i="11" s="1"/>
  <c r="I1747" i="11" l="1"/>
  <c r="J1747" i="11" s="1"/>
  <c r="K1747" i="11" l="1"/>
  <c r="E1748" i="11" s="1"/>
  <c r="I1748" i="11" l="1"/>
  <c r="J1748" i="11" s="1"/>
  <c r="K1748" i="11" l="1"/>
  <c r="E1749" i="11" s="1"/>
  <c r="I1749" i="11" l="1"/>
  <c r="J1749" i="11" s="1"/>
  <c r="K1749" i="11" l="1"/>
  <c r="E1750" i="11" s="1"/>
  <c r="I1750" i="11" l="1"/>
  <c r="J1750" i="11" s="1"/>
  <c r="K1750" i="11" l="1"/>
  <c r="E1751" i="11" s="1"/>
  <c r="I1751" i="11" l="1"/>
  <c r="J1751" i="11" s="1"/>
  <c r="K1751" i="11" l="1"/>
  <c r="E1752" i="11" s="1"/>
  <c r="I1752" i="11" l="1"/>
  <c r="J1752" i="11" s="1"/>
  <c r="K1752" i="11" l="1"/>
  <c r="E1753" i="11" s="1"/>
  <c r="I1753" i="11" l="1"/>
  <c r="J1753" i="11" s="1"/>
  <c r="K1753" i="11" l="1"/>
  <c r="E1754" i="11" s="1"/>
  <c r="I1754" i="11" s="1"/>
  <c r="J1754" i="11" s="1"/>
  <c r="K1754" i="11" s="1"/>
  <c r="E1755" i="11" s="1"/>
  <c r="I1755" i="11" l="1"/>
  <c r="J1755" i="11" s="1"/>
  <c r="K1755" i="11" l="1"/>
  <c r="E1756" i="11" s="1"/>
  <c r="I1756" i="11" l="1"/>
  <c r="J1756" i="11" s="1"/>
  <c r="K1756" i="11" s="1"/>
  <c r="E1757" i="11" s="1"/>
  <c r="I1757" i="11" l="1"/>
  <c r="J1757" i="11" s="1"/>
  <c r="K1757" i="11" l="1"/>
  <c r="E1758" i="11" s="1"/>
  <c r="I1758" i="11" l="1"/>
  <c r="J1758" i="11" s="1"/>
  <c r="K1758" i="11" l="1"/>
  <c r="E1759" i="11" s="1"/>
  <c r="I1759" i="11" l="1"/>
  <c r="J1759" i="11" s="1"/>
  <c r="K1759" i="11" l="1"/>
  <c r="E1760" i="11" s="1"/>
  <c r="I1760" i="11" l="1"/>
  <c r="J1760" i="11" s="1"/>
  <c r="K1760" i="11" l="1"/>
  <c r="E1761" i="11" s="1"/>
  <c r="I1761" i="11" l="1"/>
  <c r="J1761" i="11" s="1"/>
  <c r="K1761" i="11" s="1"/>
  <c r="E1762" i="11" s="1"/>
  <c r="I1762" i="11" l="1"/>
  <c r="J1762" i="11" s="1"/>
  <c r="K1762" i="11" l="1"/>
  <c r="E1763" i="11" s="1"/>
  <c r="I1763" i="11" l="1"/>
  <c r="J1763" i="11" s="1"/>
  <c r="K1763" i="11" l="1"/>
  <c r="E1764" i="11" s="1"/>
  <c r="I1764" i="11" l="1"/>
  <c r="J1764" i="11" s="1"/>
  <c r="K1764" i="11" l="1"/>
  <c r="E1765" i="11" s="1"/>
  <c r="I1765" i="11"/>
  <c r="J1765" i="11" s="1"/>
  <c r="K1765" i="11" l="1"/>
  <c r="E1766" i="11" s="1"/>
  <c r="I1766" i="11" l="1"/>
  <c r="J1766" i="11" s="1"/>
  <c r="K1766" i="11" l="1"/>
  <c r="E1767" i="11" s="1"/>
  <c r="I1767" i="11" l="1"/>
  <c r="J1767" i="11" s="1"/>
  <c r="K1767" i="11" l="1"/>
  <c r="E1768" i="11" s="1"/>
  <c r="I1768" i="11" l="1"/>
  <c r="J1768" i="11" s="1"/>
  <c r="K1768" i="11" l="1"/>
  <c r="E1769" i="11" s="1"/>
  <c r="I1769" i="11" l="1"/>
  <c r="J1769" i="11" s="1"/>
  <c r="K1769" i="11" l="1"/>
  <c r="E1770" i="11" s="1"/>
  <c r="I1770" i="11" s="1"/>
  <c r="J1770" i="11" s="1"/>
  <c r="K1770" i="11" l="1"/>
  <c r="E1771" i="11" s="1"/>
  <c r="I1771" i="11" l="1"/>
  <c r="J1771" i="11" s="1"/>
  <c r="K1771" i="11" l="1"/>
  <c r="E1772" i="11" s="1"/>
  <c r="I1772" i="11" s="1"/>
  <c r="J1772" i="11" s="1"/>
  <c r="K1772" i="11" s="1"/>
  <c r="E1773" i="11" s="1"/>
  <c r="I1773" i="11" l="1"/>
  <c r="J1773" i="11" s="1"/>
  <c r="K1773" i="11" l="1"/>
  <c r="E1774" i="11" s="1"/>
  <c r="I1774" i="11" l="1"/>
  <c r="J1774" i="11" s="1"/>
  <c r="K1774" i="11" l="1"/>
  <c r="E1775" i="11" s="1"/>
  <c r="I1775" i="11" l="1"/>
  <c r="J1775" i="11" s="1"/>
  <c r="K1775" i="11" l="1"/>
  <c r="E1776" i="11" s="1"/>
  <c r="I1776" i="11" s="1"/>
  <c r="J1776" i="11" s="1"/>
  <c r="K1776" i="11" s="1"/>
  <c r="E1777" i="11" s="1"/>
  <c r="I1777" i="11" l="1"/>
  <c r="J1777" i="11" s="1"/>
  <c r="K1777" i="11" s="1"/>
  <c r="E1778" i="11" s="1"/>
  <c r="I1778" i="11" l="1"/>
  <c r="J1778" i="11" s="1"/>
  <c r="K1778" i="11" l="1"/>
  <c r="E1779" i="11" s="1"/>
  <c r="I1779" i="11" l="1"/>
  <c r="J1779" i="11" s="1"/>
  <c r="K1779" i="11" l="1"/>
  <c r="E1780" i="11" s="1"/>
  <c r="I1780" i="11" l="1"/>
  <c r="J1780" i="11" s="1"/>
  <c r="K1780" i="11" l="1"/>
  <c r="E1781" i="11" s="1"/>
  <c r="I1781" i="11" s="1"/>
  <c r="J1781" i="11" s="1"/>
  <c r="K1781" i="11" s="1"/>
  <c r="E1782" i="11" s="1"/>
  <c r="I1782" i="11" l="1"/>
  <c r="J1782" i="11" s="1"/>
  <c r="K1782" i="11" s="1"/>
  <c r="E1783" i="11" s="1"/>
  <c r="I1783" i="11" l="1"/>
  <c r="J1783" i="11" s="1"/>
  <c r="K1783" i="11" s="1"/>
  <c r="E1784" i="11" s="1"/>
  <c r="I1784" i="11" s="1"/>
  <c r="J1784" i="11" s="1"/>
  <c r="K1784" i="11" s="1"/>
  <c r="E1785" i="11" s="1"/>
  <c r="I1785" i="11" l="1"/>
  <c r="J1785" i="11" s="1"/>
  <c r="K1785" i="11" l="1"/>
  <c r="E1786" i="11" s="1"/>
  <c r="I1786" i="11" l="1"/>
  <c r="J1786" i="11" s="1"/>
  <c r="K1786" i="11" l="1"/>
  <c r="E1787" i="11" s="1"/>
  <c r="I1787" i="11" s="1"/>
  <c r="J1787" i="11" s="1"/>
  <c r="K1787" i="11" l="1"/>
  <c r="E1788" i="11" s="1"/>
  <c r="I1788" i="11" l="1"/>
  <c r="J1788" i="11" s="1"/>
  <c r="K1788" i="11" l="1"/>
  <c r="E1789" i="11" s="1"/>
  <c r="I1789" i="11" l="1"/>
  <c r="J1789" i="11" s="1"/>
  <c r="K1789" i="11" l="1"/>
  <c r="E1790" i="11" s="1"/>
  <c r="I1790" i="11" l="1"/>
  <c r="J1790" i="11" s="1"/>
  <c r="K1790" i="11" l="1"/>
  <c r="E1791" i="11" s="1"/>
  <c r="I1791" i="11"/>
  <c r="J1791" i="11" s="1"/>
  <c r="K1791" i="11" l="1"/>
  <c r="E1792" i="11" s="1"/>
  <c r="I1792" i="11" l="1"/>
  <c r="J1792" i="11" s="1"/>
  <c r="K1792" i="11" l="1"/>
  <c r="E1793" i="11" s="1"/>
  <c r="I1793" i="11" s="1"/>
  <c r="J1793" i="11" s="1"/>
  <c r="K1793" i="11" s="1"/>
  <c r="E1794" i="11" s="1"/>
  <c r="I1794" i="11" s="1"/>
  <c r="J1794" i="11" s="1"/>
  <c r="K1794" i="11" l="1"/>
  <c r="E1795" i="11" s="1"/>
  <c r="I1795" i="11" l="1"/>
  <c r="J1795" i="11" s="1"/>
  <c r="K1795" i="11" l="1"/>
  <c r="E1796" i="11" s="1"/>
  <c r="I1796" i="11" l="1"/>
  <c r="J1796" i="11" s="1"/>
  <c r="K1796" i="11" l="1"/>
  <c r="E1797" i="11" s="1"/>
  <c r="I1797" i="11" s="1"/>
  <c r="J1797" i="11" s="1"/>
  <c r="K1797" i="11" s="1"/>
  <c r="E1798" i="11" s="1"/>
  <c r="I1798" i="11" l="1"/>
  <c r="J1798" i="11" s="1"/>
  <c r="K1798" i="11" s="1"/>
  <c r="E1799" i="11" s="1"/>
  <c r="I1799" i="11" l="1"/>
  <c r="J1799" i="11" s="1"/>
  <c r="K1799" i="11" l="1"/>
  <c r="E1800" i="11" s="1"/>
  <c r="I1800" i="11" l="1"/>
  <c r="J1800" i="11" s="1"/>
  <c r="K1800" i="11" l="1"/>
  <c r="E1801" i="11" s="1"/>
  <c r="I1801" i="11" l="1"/>
  <c r="J1801" i="11" s="1"/>
  <c r="K1801" i="11" l="1"/>
  <c r="E1802" i="11" s="1"/>
  <c r="I1802" i="11"/>
  <c r="J1802" i="11" s="1"/>
  <c r="K1802" i="11" l="1"/>
  <c r="E1803" i="11" s="1"/>
  <c r="I1803" i="11" l="1"/>
  <c r="J1803" i="11" s="1"/>
  <c r="K1803" i="11" l="1"/>
  <c r="E1804" i="11" s="1"/>
  <c r="I1804" i="11" l="1"/>
  <c r="J1804" i="11" s="1"/>
  <c r="K1804" i="11" l="1"/>
  <c r="E1805" i="11" s="1"/>
  <c r="I1805" i="11" l="1"/>
  <c r="J1805" i="11" s="1"/>
  <c r="K1805" i="11" l="1"/>
  <c r="E1806" i="11" s="1"/>
  <c r="I1806" i="11" l="1"/>
  <c r="J1806" i="11" s="1"/>
  <c r="K1806" i="11" l="1"/>
  <c r="E1807" i="11" s="1"/>
  <c r="I1807" i="11" l="1"/>
  <c r="J1807" i="11" s="1"/>
  <c r="K1807" i="11" l="1"/>
  <c r="E1808" i="11" s="1"/>
  <c r="I1808" i="11" l="1"/>
  <c r="J1808" i="11" s="1"/>
  <c r="K1808" i="11" l="1"/>
  <c r="E1809" i="11" s="1"/>
  <c r="I1809" i="11" l="1"/>
  <c r="J1809" i="11" s="1"/>
  <c r="K1809" i="11" l="1"/>
  <c r="E1810" i="11" s="1"/>
  <c r="I1810" i="11" l="1"/>
  <c r="J1810" i="11" s="1"/>
  <c r="K1810" i="11" s="1"/>
  <c r="E1811" i="11" s="1"/>
  <c r="I1811" i="11" l="1"/>
  <c r="J1811" i="11" s="1"/>
  <c r="K1811" i="11" s="1"/>
  <c r="E1812" i="11" s="1"/>
  <c r="I1812" i="11" l="1"/>
  <c r="J1812" i="11" s="1"/>
  <c r="K1812" i="11" l="1"/>
  <c r="E1813" i="11" s="1"/>
  <c r="I1813" i="11" l="1"/>
  <c r="J1813" i="11" s="1"/>
  <c r="K1813" i="11" l="1"/>
  <c r="E1814" i="11" s="1"/>
  <c r="I1814" i="11"/>
  <c r="J1814" i="11" s="1"/>
  <c r="K1814" i="11" l="1"/>
  <c r="E1815" i="11" s="1"/>
  <c r="I1815" i="11"/>
  <c r="J1815" i="11" s="1"/>
  <c r="K1815" i="11" l="1"/>
  <c r="E1816" i="11" s="1"/>
  <c r="I1816" i="11" l="1"/>
  <c r="J1816" i="11" s="1"/>
  <c r="K1816" i="11" s="1"/>
  <c r="E1817" i="11" s="1"/>
  <c r="I1817" i="11" l="1"/>
  <c r="J1817" i="11" s="1"/>
  <c r="K1817" i="11" l="1"/>
  <c r="E1818" i="11" s="1"/>
  <c r="I1818" i="11"/>
  <c r="J1818" i="11" s="1"/>
  <c r="K1818" i="11" l="1"/>
  <c r="E1819" i="11" s="1"/>
  <c r="I1819" i="11" l="1"/>
  <c r="J1819" i="11" s="1"/>
  <c r="K1819" i="11" s="1"/>
  <c r="E1820" i="11" s="1"/>
  <c r="I1820" i="11" l="1"/>
  <c r="J1820" i="11" s="1"/>
  <c r="K1820" i="11" l="1"/>
  <c r="E1821" i="11" s="1"/>
  <c r="I1821" i="11"/>
  <c r="J1821" i="11" s="1"/>
  <c r="K1821" i="11" l="1"/>
  <c r="E1822" i="11" s="1"/>
  <c r="I1822" i="11" s="1"/>
  <c r="J1822" i="11" s="1"/>
  <c r="K1822" i="11" l="1"/>
  <c r="E1823" i="11" s="1"/>
  <c r="I1823" i="11" l="1"/>
  <c r="J1823" i="11" s="1"/>
  <c r="K1823" i="11" l="1"/>
  <c r="E1824" i="11" s="1"/>
  <c r="I1824" i="11" l="1"/>
  <c r="J1824" i="11" s="1"/>
  <c r="K1824" i="11" l="1"/>
  <c r="E1825" i="11" s="1"/>
  <c r="I1825" i="11" l="1"/>
  <c r="J1825" i="11" s="1"/>
  <c r="K1825" i="11" l="1"/>
  <c r="E1826" i="11" s="1"/>
  <c r="I1826" i="11"/>
  <c r="J1826" i="11" s="1"/>
  <c r="K1826" i="11" l="1"/>
  <c r="E1827" i="11" s="1"/>
  <c r="I1827" i="11" l="1"/>
  <c r="J1827" i="11" s="1"/>
  <c r="K1827" i="11" l="1"/>
  <c r="E1828" i="11" s="1"/>
  <c r="I1828" i="11" l="1"/>
  <c r="J1828" i="11" s="1"/>
  <c r="K1828" i="11" l="1"/>
  <c r="E1829" i="11" s="1"/>
  <c r="I1829" i="11" l="1"/>
  <c r="J1829" i="11" s="1"/>
  <c r="K1829" i="11" s="1"/>
  <c r="E1830" i="11" s="1"/>
  <c r="I1830" i="11" l="1"/>
  <c r="J1830" i="11" s="1"/>
  <c r="K1830" i="11" l="1"/>
  <c r="E1831" i="11" s="1"/>
  <c r="I1831" i="11" l="1"/>
  <c r="J1831" i="11" s="1"/>
  <c r="K1831" i="11" l="1"/>
  <c r="E1832" i="11" s="1"/>
  <c r="I1832" i="11" l="1"/>
  <c r="J1832" i="11" s="1"/>
  <c r="K1832" i="11" s="1"/>
  <c r="E1833" i="11" s="1"/>
  <c r="I1833" i="11" l="1"/>
  <c r="J1833" i="11" s="1"/>
  <c r="K1833" i="11" s="1"/>
  <c r="E1834" i="11" s="1"/>
  <c r="I1834" i="11" l="1"/>
  <c r="J1834" i="11" s="1"/>
  <c r="K1834" i="11" l="1"/>
  <c r="E1835" i="11" s="1"/>
  <c r="I1835" i="11"/>
  <c r="J1835" i="11" s="1"/>
  <c r="K1835" i="11" l="1"/>
  <c r="E1836" i="11" s="1"/>
  <c r="I1836" i="11" l="1"/>
  <c r="J1836" i="11" s="1"/>
  <c r="K1836" i="11" l="1"/>
  <c r="E1837" i="11" s="1"/>
  <c r="I1837" i="11"/>
  <c r="J1837" i="11" s="1"/>
  <c r="K1837" i="11" l="1"/>
  <c r="E1838" i="11" s="1"/>
  <c r="I1838" i="11"/>
  <c r="J1838" i="11" s="1"/>
  <c r="K1838" i="11" l="1"/>
  <c r="E1839" i="11" s="1"/>
  <c r="I1839" i="11" l="1"/>
  <c r="J1839" i="11" s="1"/>
  <c r="K1839" i="11" l="1"/>
  <c r="E1840" i="11" s="1"/>
  <c r="I1840" i="11" l="1"/>
  <c r="J1840" i="11" s="1"/>
  <c r="K1840" i="11" l="1"/>
  <c r="E1841" i="11" s="1"/>
  <c r="I1841" i="11" l="1"/>
  <c r="J1841" i="11" s="1"/>
  <c r="K1841" i="11" l="1"/>
  <c r="E1842" i="11" s="1"/>
  <c r="I1842" i="11" s="1"/>
  <c r="J1842" i="11" s="1"/>
  <c r="K1842" i="11" s="1"/>
  <c r="E1843" i="11" s="1"/>
  <c r="I1843" i="11" l="1"/>
  <c r="J1843" i="11" s="1"/>
  <c r="K1843" i="11" s="1"/>
  <c r="E1844" i="11" s="1"/>
  <c r="I1844" i="11" l="1"/>
  <c r="J1844" i="11" s="1"/>
  <c r="K1844" i="11" l="1"/>
  <c r="E1845" i="11" s="1"/>
  <c r="I1845" i="11"/>
  <c r="J1845" i="11" s="1"/>
  <c r="K1845" i="11" l="1"/>
  <c r="E1846" i="11" s="1"/>
  <c r="I1846" i="11" l="1"/>
  <c r="J1846" i="11" s="1"/>
  <c r="K1846" i="11" l="1"/>
  <c r="E1847" i="11" s="1"/>
  <c r="I1847" i="11" s="1"/>
  <c r="J1847" i="11" s="1"/>
  <c r="K1847" i="11" s="1"/>
  <c r="E1848" i="11" s="1"/>
  <c r="I1848" i="11" l="1"/>
  <c r="J1848" i="11" s="1"/>
  <c r="K1848" i="11" l="1"/>
  <c r="E1849" i="11" s="1"/>
  <c r="I1849" i="11" s="1"/>
  <c r="J1849" i="11" s="1"/>
  <c r="K1849" i="11" s="1"/>
  <c r="E1850" i="11" s="1"/>
  <c r="I1850" i="11" l="1"/>
  <c r="J1850" i="11" s="1"/>
  <c r="K1850" i="11" l="1"/>
  <c r="E1851" i="11" s="1"/>
  <c r="I1851" i="11" l="1"/>
  <c r="J1851" i="11" s="1"/>
  <c r="K1851" i="11" s="1"/>
  <c r="E1852" i="11" s="1"/>
  <c r="I1852" i="11" l="1"/>
  <c r="J1852" i="11" s="1"/>
  <c r="K1852" i="11" l="1"/>
  <c r="E1853" i="11" s="1"/>
  <c r="I1853" i="11" l="1"/>
  <c r="J1853" i="11" s="1"/>
  <c r="K1853" i="11" l="1"/>
  <c r="E1854" i="11" s="1"/>
  <c r="I1854" i="11"/>
  <c r="J1854" i="11" s="1"/>
  <c r="K1854" i="11" l="1"/>
  <c r="E1855" i="11" s="1"/>
  <c r="I1855" i="11" l="1"/>
  <c r="J1855" i="11" s="1"/>
  <c r="K1855" i="11" l="1"/>
  <c r="E1856" i="11" s="1"/>
  <c r="I1856" i="11" l="1"/>
  <c r="J1856" i="11" s="1"/>
  <c r="K1856" i="11" l="1"/>
  <c r="E1857" i="11" s="1"/>
  <c r="I1857" i="11" l="1"/>
  <c r="J1857" i="11" s="1"/>
  <c r="K1857" i="11" l="1"/>
  <c r="E1858" i="11" s="1"/>
  <c r="I1858" i="11" s="1"/>
  <c r="J1858" i="11" s="1"/>
  <c r="K1858" i="11" s="1"/>
  <c r="E1859" i="11" s="1"/>
  <c r="I1859" i="11" s="1"/>
  <c r="J1859" i="11" s="1"/>
  <c r="K1859" i="11" l="1"/>
  <c r="E1860" i="11" s="1"/>
  <c r="I1860" i="11" l="1"/>
  <c r="J1860" i="11" s="1"/>
  <c r="K1860" i="11" l="1"/>
  <c r="E1861" i="11" s="1"/>
  <c r="I1861" i="11" l="1"/>
  <c r="J1861" i="11" s="1"/>
  <c r="K1861" i="11" l="1"/>
  <c r="E1862" i="11" s="1"/>
  <c r="I1862" i="11" l="1"/>
  <c r="J1862" i="11" s="1"/>
  <c r="K1862" i="11" s="1"/>
  <c r="E1863" i="11" s="1"/>
  <c r="I1863" i="11" l="1"/>
  <c r="J1863" i="11" s="1"/>
  <c r="K1863" i="11" l="1"/>
  <c r="E1864" i="11" s="1"/>
  <c r="I1864" i="11" s="1"/>
  <c r="J1864" i="11" s="1"/>
  <c r="K1864" i="11" s="1"/>
  <c r="E1865" i="11" s="1"/>
  <c r="I1865" i="11" l="1"/>
  <c r="J1865" i="11" s="1"/>
  <c r="K1865" i="11" l="1"/>
  <c r="E1866" i="11" s="1"/>
  <c r="I1866" i="11" l="1"/>
  <c r="J1866" i="11" s="1"/>
  <c r="K1866" i="11" l="1"/>
  <c r="E1867" i="11" s="1"/>
  <c r="I1867" i="11" l="1"/>
  <c r="J1867" i="11" s="1"/>
  <c r="K1867" i="11" l="1"/>
  <c r="E1868" i="11" s="1"/>
  <c r="I1868" i="11" l="1"/>
  <c r="J1868" i="11" s="1"/>
  <c r="K1868" i="11" l="1"/>
  <c r="E1869" i="11" s="1"/>
  <c r="I1869" i="11" l="1"/>
  <c r="J1869" i="11" s="1"/>
  <c r="K1869" i="11" l="1"/>
  <c r="E1870" i="11" s="1"/>
  <c r="I1870" i="11" l="1"/>
  <c r="J1870" i="11" s="1"/>
  <c r="K1870" i="11" l="1"/>
  <c r="E1871" i="11" s="1"/>
  <c r="I1871" i="11" l="1"/>
  <c r="J1871" i="11" s="1"/>
  <c r="K1871" i="11" l="1"/>
  <c r="E1872" i="11" s="1"/>
  <c r="I1872" i="11" l="1"/>
  <c r="J1872" i="11" s="1"/>
  <c r="K1872" i="11" l="1"/>
  <c r="E1873" i="11" s="1"/>
  <c r="I1873" i="11" s="1"/>
  <c r="J1873" i="11" s="1"/>
  <c r="K1873" i="11" s="1"/>
  <c r="E1874" i="11" s="1"/>
  <c r="I1874" i="11" l="1"/>
  <c r="J1874" i="11" s="1"/>
  <c r="K1874" i="11" l="1"/>
  <c r="E1875" i="11" s="1"/>
  <c r="I1875" i="11" l="1"/>
  <c r="J1875" i="11" s="1"/>
  <c r="K1875" i="11" l="1"/>
  <c r="E1876" i="11" s="1"/>
  <c r="I1876" i="11" l="1"/>
  <c r="J1876" i="11" s="1"/>
  <c r="K1876" i="11" l="1"/>
  <c r="E1877" i="11" s="1"/>
  <c r="I1877" i="11" l="1"/>
  <c r="J1877" i="11" s="1"/>
  <c r="K1877" i="11" l="1"/>
  <c r="E1878" i="11" s="1"/>
  <c r="I1878" i="11" l="1"/>
  <c r="J1878" i="11" s="1"/>
  <c r="K1878" i="11" s="1"/>
  <c r="E1879" i="11" s="1"/>
  <c r="I1879" i="11" l="1"/>
  <c r="J1879" i="11" s="1"/>
  <c r="K1879" i="11" l="1"/>
  <c r="E1880" i="11" s="1"/>
  <c r="I1880" i="11" l="1"/>
  <c r="J1880" i="11" s="1"/>
  <c r="K1880" i="11" l="1"/>
  <c r="E1881" i="11" s="1"/>
  <c r="I1881" i="11" l="1"/>
  <c r="J1881" i="11" s="1"/>
  <c r="K1881" i="11" l="1"/>
  <c r="E1882" i="11" s="1"/>
  <c r="I1882" i="11" l="1"/>
  <c r="J1882" i="11" s="1"/>
  <c r="K1882" i="11" l="1"/>
  <c r="E1883" i="11" s="1"/>
  <c r="I1883" i="11" l="1"/>
  <c r="J1883" i="11" s="1"/>
  <c r="K1883" i="11" l="1"/>
  <c r="E1884" i="11" s="1"/>
  <c r="I1884" i="11"/>
  <c r="J1884" i="11" s="1"/>
  <c r="K1884" i="11" l="1"/>
  <c r="E1885" i="11" s="1"/>
  <c r="I1885" i="11" s="1"/>
  <c r="J1885" i="11" s="1"/>
  <c r="K1885" i="11" l="1"/>
  <c r="E1886" i="11" s="1"/>
  <c r="I1886" i="11" l="1"/>
  <c r="J1886" i="11" s="1"/>
  <c r="K1886" i="11" l="1"/>
  <c r="E1887" i="11" s="1"/>
  <c r="I1887" i="11" l="1"/>
  <c r="J1887" i="11" s="1"/>
  <c r="K1887" i="11" l="1"/>
  <c r="E1888" i="11" s="1"/>
  <c r="I1888" i="11" l="1"/>
  <c r="J1888" i="11" s="1"/>
  <c r="K1888" i="11" l="1"/>
  <c r="E1889" i="11" s="1"/>
  <c r="I1889" i="11" l="1"/>
  <c r="J1889" i="11" s="1"/>
  <c r="K1889" i="11" l="1"/>
  <c r="E1890" i="11" s="1"/>
  <c r="I1890" i="11" l="1"/>
  <c r="J1890" i="11" s="1"/>
  <c r="K1890" i="11" l="1"/>
  <c r="E1891" i="11" s="1"/>
  <c r="I1891" i="11" l="1"/>
  <c r="J1891" i="11" s="1"/>
  <c r="K1891" i="11" l="1"/>
  <c r="E1892" i="11" s="1"/>
  <c r="I1892" i="11" l="1"/>
  <c r="J1892" i="11" s="1"/>
  <c r="K1892" i="11" l="1"/>
  <c r="E1893" i="11" s="1"/>
  <c r="I1893" i="11" l="1"/>
  <c r="J1893" i="11" s="1"/>
  <c r="K1893" i="11" s="1"/>
  <c r="E1894" i="11" s="1"/>
  <c r="I1894" i="11" l="1"/>
  <c r="J1894" i="11" s="1"/>
  <c r="K1894" i="11" l="1"/>
  <c r="E1895" i="11" s="1"/>
  <c r="I1895" i="11" l="1"/>
  <c r="J1895" i="11" s="1"/>
  <c r="K1895" i="11" l="1"/>
  <c r="E1896" i="11" s="1"/>
  <c r="I1896" i="11" l="1"/>
  <c r="J1896" i="11" s="1"/>
  <c r="K1896" i="11" l="1"/>
  <c r="E1897" i="11" s="1"/>
  <c r="I1897" i="11" l="1"/>
  <c r="J1897" i="11" s="1"/>
  <c r="K1897" i="11" l="1"/>
  <c r="E1898" i="11" s="1"/>
  <c r="I1898" i="11" l="1"/>
  <c r="J1898" i="11" s="1"/>
  <c r="K1898" i="11" l="1"/>
  <c r="E1899" i="11" s="1"/>
  <c r="I1899" i="11" l="1"/>
  <c r="J1899" i="11" s="1"/>
  <c r="K1899" i="11" l="1"/>
  <c r="E1900" i="11" s="1"/>
  <c r="I1900" i="11" l="1"/>
  <c r="J1900" i="11" s="1"/>
  <c r="K1900" i="11" l="1"/>
  <c r="E1901" i="11" s="1"/>
  <c r="I1901" i="11" l="1"/>
  <c r="J1901" i="11" s="1"/>
  <c r="K1901" i="11" l="1"/>
  <c r="E1902" i="11" s="1"/>
  <c r="I1902" i="11"/>
  <c r="J1902" i="11" s="1"/>
  <c r="K1902" i="11" l="1"/>
  <c r="E1903" i="11" s="1"/>
  <c r="I1903" i="11" l="1"/>
  <c r="J1903" i="11" s="1"/>
  <c r="K1903" i="11" l="1"/>
  <c r="E1904" i="11" s="1"/>
  <c r="I1904" i="11" s="1"/>
  <c r="J1904" i="11" s="1"/>
  <c r="K1904" i="11" s="1"/>
  <c r="E1905" i="11" s="1"/>
  <c r="I1905" i="11" s="1"/>
  <c r="J1905" i="11" s="1"/>
  <c r="K1905" i="11" s="1"/>
  <c r="E1906" i="11" s="1"/>
  <c r="I1906" i="11" l="1"/>
  <c r="J1906" i="11" s="1"/>
  <c r="K1906" i="11" l="1"/>
  <c r="E1907" i="11" s="1"/>
  <c r="I1907" i="11" s="1"/>
  <c r="J1907" i="11" s="1"/>
  <c r="K1907" i="11" s="1"/>
  <c r="E1908" i="11" s="1"/>
  <c r="I1908" i="11" s="1"/>
  <c r="J1908" i="11" s="1"/>
  <c r="K1908" i="11" l="1"/>
  <c r="E1909" i="11" s="1"/>
  <c r="I1909" i="11" s="1"/>
  <c r="J1909" i="11" s="1"/>
  <c r="K1909" i="11" s="1"/>
  <c r="E1910" i="11" s="1"/>
  <c r="I1910" i="11" s="1"/>
  <c r="J1910" i="11" s="1"/>
  <c r="K1910" i="11" l="1"/>
  <c r="E1911" i="11" s="1"/>
  <c r="I1911" i="11" l="1"/>
  <c r="J1911" i="11" s="1"/>
  <c r="K1911" i="11" s="1"/>
  <c r="E1912" i="11" s="1"/>
  <c r="I1912" i="11" l="1"/>
  <c r="J1912" i="11" s="1"/>
  <c r="K1912" i="11" s="1"/>
  <c r="E1913" i="11" s="1"/>
  <c r="I1913" i="11" l="1"/>
  <c r="J1913" i="11" s="1"/>
  <c r="K1913" i="11" l="1"/>
  <c r="E1914" i="11" s="1"/>
  <c r="I1914" i="11" l="1"/>
  <c r="J1914" i="11" s="1"/>
  <c r="K1914" i="11" l="1"/>
  <c r="E1915" i="11" s="1"/>
  <c r="I1915" i="11" l="1"/>
  <c r="J1915" i="11" s="1"/>
  <c r="K1915" i="11" l="1"/>
  <c r="E1916" i="11" s="1"/>
  <c r="I1916" i="11" l="1"/>
  <c r="J1916" i="11" s="1"/>
  <c r="K1916" i="11" l="1"/>
  <c r="E1917" i="11" s="1"/>
  <c r="I1917" i="11" l="1"/>
  <c r="J1917" i="11" s="1"/>
  <c r="K1917" i="11" l="1"/>
  <c r="E1918" i="11" s="1"/>
  <c r="I1918" i="11" s="1"/>
  <c r="J1918" i="11" s="1"/>
  <c r="K1918" i="11" s="1"/>
  <c r="E1919" i="11" s="1"/>
  <c r="I1919" i="11" l="1"/>
  <c r="J1919" i="11" s="1"/>
  <c r="K1919" i="11" s="1"/>
  <c r="E1920" i="11" s="1"/>
  <c r="I1920" i="11" l="1"/>
  <c r="J1920" i="11" s="1"/>
  <c r="K1920" i="11" l="1"/>
  <c r="E1921" i="11" s="1"/>
  <c r="I1921" i="11" l="1"/>
  <c r="J1921" i="11" s="1"/>
  <c r="K1921" i="11" l="1"/>
  <c r="E1922" i="11" s="1"/>
  <c r="I1922" i="11" l="1"/>
  <c r="J1922" i="11" s="1"/>
  <c r="K1922" i="11" s="1"/>
  <c r="E1923" i="11" s="1"/>
  <c r="I1923" i="11" l="1"/>
  <c r="J1923" i="11" s="1"/>
  <c r="K1923" i="11" l="1"/>
  <c r="E1924" i="11" s="1"/>
  <c r="I1924" i="11" l="1"/>
  <c r="J1924" i="11" s="1"/>
  <c r="K1924" i="11" l="1"/>
  <c r="E1925" i="11" s="1"/>
  <c r="I1925" i="11" l="1"/>
  <c r="J1925" i="11" s="1"/>
  <c r="K1925" i="11" l="1"/>
  <c r="E1926" i="11" s="1"/>
  <c r="I1926" i="11" l="1"/>
  <c r="J1926" i="11" s="1"/>
  <c r="K1926" i="11" l="1"/>
  <c r="E1927" i="11" s="1"/>
  <c r="I1927" i="11"/>
  <c r="J1927" i="11" s="1"/>
  <c r="K1927" i="11" l="1"/>
  <c r="E1928" i="11" s="1"/>
  <c r="I1928" i="11" s="1"/>
  <c r="J1928" i="11" s="1"/>
  <c r="K1928" i="11" s="1"/>
  <c r="E1929" i="11" s="1"/>
  <c r="I1929" i="11" l="1"/>
  <c r="J1929" i="11" s="1"/>
  <c r="K1929" i="11" l="1"/>
  <c r="E1930" i="11" s="1"/>
  <c r="I1930" i="11"/>
  <c r="J1930" i="11" s="1"/>
  <c r="K1930" i="11" l="1"/>
  <c r="E1931" i="11" s="1"/>
  <c r="I1931" i="11" l="1"/>
  <c r="J1931" i="11" s="1"/>
  <c r="K1931" i="11" l="1"/>
  <c r="E1932" i="11" s="1"/>
  <c r="I1932" i="11" s="1"/>
  <c r="J1932" i="11" s="1"/>
  <c r="K1932" i="11" l="1"/>
  <c r="E1933" i="11" s="1"/>
  <c r="I1933" i="11" l="1"/>
  <c r="J1933" i="11" s="1"/>
  <c r="K1933" i="11" l="1"/>
  <c r="E1934" i="11" s="1"/>
  <c r="I1934" i="11" l="1"/>
  <c r="J1934" i="11" s="1"/>
  <c r="K1934" i="11" s="1"/>
  <c r="E1935" i="11" s="1"/>
  <c r="I1935" i="11" l="1"/>
  <c r="J1935" i="11" s="1"/>
  <c r="K1935" i="11" l="1"/>
  <c r="E1936" i="11" s="1"/>
  <c r="I1936" i="11" s="1"/>
  <c r="J1936" i="11" s="1"/>
  <c r="K1936" i="11" l="1"/>
  <c r="E1937" i="11" s="1"/>
  <c r="I1937" i="11" l="1"/>
  <c r="J1937" i="11" s="1"/>
  <c r="K1937" i="11" l="1"/>
  <c r="E1938" i="11" s="1"/>
  <c r="I1938" i="11" l="1"/>
  <c r="J1938" i="11" s="1"/>
  <c r="K1938" i="11" l="1"/>
  <c r="E1939" i="11" s="1"/>
  <c r="I1939" i="11" l="1"/>
  <c r="J1939" i="11" s="1"/>
  <c r="K1939" i="11" l="1"/>
  <c r="E1940" i="11" s="1"/>
  <c r="I1940" i="11" l="1"/>
  <c r="J1940" i="11" s="1"/>
  <c r="K1940" i="11" l="1"/>
  <c r="E1941" i="11" s="1"/>
  <c r="I1941" i="11" l="1"/>
  <c r="J1941" i="11" s="1"/>
  <c r="K1941" i="11" l="1"/>
  <c r="E1942" i="11" s="1"/>
  <c r="I1942" i="11" l="1"/>
  <c r="J1942" i="11" s="1"/>
  <c r="K1942" i="11" l="1"/>
  <c r="E1943" i="11" s="1"/>
  <c r="I1943" i="11" l="1"/>
  <c r="J1943" i="11" s="1"/>
  <c r="K1943" i="11" l="1"/>
  <c r="E1944" i="11" s="1"/>
  <c r="I1944" i="11" s="1"/>
  <c r="J1944" i="11" s="1"/>
  <c r="K1944" i="11" s="1"/>
  <c r="E1945" i="11" s="1"/>
  <c r="I1945" i="11" l="1"/>
  <c r="J1945" i="11" s="1"/>
  <c r="K1945" i="11" l="1"/>
  <c r="E1946" i="11" s="1"/>
  <c r="I1946" i="11" l="1"/>
  <c r="J1946" i="11" s="1"/>
  <c r="K1946" i="11" l="1"/>
  <c r="E1947" i="11" s="1"/>
  <c r="I1947" i="11"/>
  <c r="J1947" i="11" s="1"/>
  <c r="K1947" i="11" l="1"/>
  <c r="E1948" i="11" s="1"/>
  <c r="I1948" i="11" s="1"/>
  <c r="J1948" i="11" s="1"/>
  <c r="K1948" i="11" s="1"/>
  <c r="E1949" i="11" s="1"/>
  <c r="I1949" i="11" l="1"/>
  <c r="J1949" i="11" s="1"/>
  <c r="K1949" i="11" l="1"/>
  <c r="E1950" i="11" s="1"/>
  <c r="I1950" i="11" l="1"/>
  <c r="J1950" i="11" s="1"/>
  <c r="K1950" i="11" l="1"/>
  <c r="E1951" i="11" s="1"/>
  <c r="I1951" i="11"/>
  <c r="J1951" i="11" s="1"/>
  <c r="K1951" i="11" s="1"/>
  <c r="E1952" i="11" s="1"/>
  <c r="I1952" i="11" l="1"/>
  <c r="J1952" i="11" s="1"/>
  <c r="K1952" i="11" l="1"/>
  <c r="E1953" i="11" s="1"/>
  <c r="I1953" i="11"/>
  <c r="J1953" i="11" s="1"/>
  <c r="K1953" i="11" l="1"/>
  <c r="E1954" i="11" s="1"/>
  <c r="I1954" i="11" l="1"/>
  <c r="J1954" i="11" s="1"/>
  <c r="K1954" i="11" s="1"/>
  <c r="E1955" i="11" s="1"/>
  <c r="I1955" i="11" l="1"/>
  <c r="J1955" i="11" s="1"/>
  <c r="K1955" i="11" l="1"/>
  <c r="E1956" i="11" s="1"/>
  <c r="I1956" i="11" l="1"/>
  <c r="J1956" i="11" s="1"/>
  <c r="K1956" i="11" l="1"/>
  <c r="E1957" i="11" s="1"/>
  <c r="I1957" i="11" l="1"/>
  <c r="J1957" i="11" s="1"/>
  <c r="K1957" i="11" l="1"/>
  <c r="E1958" i="11" s="1"/>
  <c r="I1958" i="11" l="1"/>
  <c r="J1958" i="11" s="1"/>
  <c r="K1958" i="11" l="1"/>
  <c r="E1959" i="11" s="1"/>
  <c r="I1959" i="11" l="1"/>
  <c r="J1959" i="11" s="1"/>
  <c r="K1959" i="11" s="1"/>
  <c r="E1960" i="11" s="1"/>
  <c r="I1960" i="11" l="1"/>
  <c r="J1960" i="11" s="1"/>
  <c r="K1960" i="11" s="1"/>
  <c r="E1961" i="11" s="1"/>
  <c r="I1961" i="11" l="1"/>
  <c r="J1961" i="11" s="1"/>
  <c r="K1961" i="11" s="1"/>
  <c r="E1962" i="11" s="1"/>
  <c r="I1962" i="11" l="1"/>
  <c r="J1962" i="11" s="1"/>
  <c r="K1962" i="11" s="1"/>
  <c r="E1963" i="11" s="1"/>
  <c r="I1963" i="11" l="1"/>
  <c r="J1963" i="11" s="1"/>
  <c r="K1963" i="11" l="1"/>
  <c r="E1964" i="11" s="1"/>
  <c r="I1964" i="11" l="1"/>
  <c r="J1964" i="11" s="1"/>
  <c r="K1964" i="11" s="1"/>
  <c r="E1965" i="11" s="1"/>
  <c r="I1965" i="11" l="1"/>
  <c r="J1965" i="11" s="1"/>
  <c r="K1965" i="11" l="1"/>
  <c r="E1966" i="11" s="1"/>
  <c r="I1966" i="11" l="1"/>
  <c r="J1966" i="11" s="1"/>
  <c r="K1966" i="11" l="1"/>
  <c r="E1967" i="11" s="1"/>
  <c r="I1967" i="11" l="1"/>
  <c r="J1967" i="11" s="1"/>
  <c r="K1967" i="11" l="1"/>
  <c r="E1968" i="11" s="1"/>
  <c r="I1968" i="11" l="1"/>
  <c r="J1968" i="11" s="1"/>
  <c r="K1968" i="11" l="1"/>
  <c r="E1969" i="11" s="1"/>
  <c r="I1969" i="11" l="1"/>
  <c r="J1969" i="11" s="1"/>
  <c r="K1969" i="11" l="1"/>
  <c r="E1970" i="11" s="1"/>
  <c r="I1970" i="11" l="1"/>
  <c r="J1970" i="11" s="1"/>
  <c r="K1970" i="11" l="1"/>
  <c r="E1971" i="11" s="1"/>
  <c r="I1971" i="11" l="1"/>
  <c r="J1971" i="11" s="1"/>
  <c r="K1971" i="11" l="1"/>
  <c r="E1972" i="11" s="1"/>
  <c r="I1972" i="11" l="1"/>
  <c r="J1972" i="11" s="1"/>
  <c r="K1972" i="11" s="1"/>
  <c r="E1973" i="11" s="1"/>
  <c r="I1973" i="11" l="1"/>
  <c r="J1973" i="11" s="1"/>
  <c r="K1973" i="11" l="1"/>
  <c r="E1974" i="11" s="1"/>
  <c r="I1974" i="11" l="1"/>
  <c r="J1974" i="11" s="1"/>
  <c r="K1974" i="11" l="1"/>
  <c r="E1975" i="11" s="1"/>
  <c r="I1975" i="11" l="1"/>
  <c r="J1975" i="11" s="1"/>
  <c r="K1975" i="11" l="1"/>
  <c r="E1976" i="11" s="1"/>
  <c r="I1976" i="11" s="1"/>
  <c r="J1976" i="11" s="1"/>
  <c r="K1976" i="11" s="1"/>
  <c r="E1977" i="11" s="1"/>
  <c r="I1977" i="11" l="1"/>
  <c r="J1977" i="11" s="1"/>
  <c r="K1977" i="11" l="1"/>
  <c r="E1978" i="11" s="1"/>
  <c r="I1978" i="11" l="1"/>
  <c r="J1978" i="11" s="1"/>
  <c r="K1978" i="11" s="1"/>
  <c r="E1979" i="11" s="1"/>
  <c r="I1979" i="11" s="1"/>
  <c r="J1979" i="11" s="1"/>
  <c r="K1979" i="11" s="1"/>
  <c r="E1980" i="11" s="1"/>
  <c r="I1980" i="11" l="1"/>
  <c r="J1980" i="11" s="1"/>
  <c r="K1980" i="11" l="1"/>
  <c r="E1981" i="11" s="1"/>
  <c r="I1981" i="11" l="1"/>
  <c r="J1981" i="11" s="1"/>
  <c r="K1981" i="11" l="1"/>
  <c r="E1982" i="11" s="1"/>
  <c r="I1982" i="11" s="1"/>
  <c r="J1982" i="11" s="1"/>
  <c r="K1982" i="11" s="1"/>
  <c r="E1983" i="11" s="1"/>
  <c r="I1983" i="11" l="1"/>
  <c r="J1983" i="11" s="1"/>
  <c r="K1983" i="11" l="1"/>
  <c r="E1984" i="11" s="1"/>
  <c r="I1984" i="11" l="1"/>
  <c r="J1984" i="11" s="1"/>
  <c r="K1984" i="11" l="1"/>
  <c r="E1985" i="11" s="1"/>
  <c r="I1985" i="11" l="1"/>
  <c r="J1985" i="11" s="1"/>
  <c r="K1985" i="11" l="1"/>
  <c r="E1986" i="11" s="1"/>
  <c r="I1986" i="11" l="1"/>
  <c r="J1986" i="11" s="1"/>
  <c r="K1986" i="11" l="1"/>
  <c r="E1987" i="11" s="1"/>
  <c r="I1987" i="11" l="1"/>
  <c r="J1987" i="11" s="1"/>
  <c r="K1987" i="11" l="1"/>
  <c r="E1988" i="11" s="1"/>
  <c r="I1988" i="11" l="1"/>
  <c r="J1988" i="11" s="1"/>
  <c r="K1988" i="11" l="1"/>
  <c r="E1989" i="11" s="1"/>
  <c r="I1989" i="11" l="1"/>
  <c r="J1989" i="11" s="1"/>
  <c r="K1989" i="11" l="1"/>
  <c r="E1990" i="11" s="1"/>
  <c r="I1990" i="11" l="1"/>
  <c r="J1990" i="11" s="1"/>
  <c r="K1990" i="11" l="1"/>
  <c r="E1991" i="11" s="1"/>
  <c r="I1991" i="11" l="1"/>
  <c r="J1991" i="11" s="1"/>
  <c r="K1991" i="11" l="1"/>
  <c r="E1992" i="11" s="1"/>
  <c r="I1992" i="11" l="1"/>
  <c r="J1992" i="11" s="1"/>
  <c r="K1992" i="11" l="1"/>
  <c r="E1993" i="11" s="1"/>
  <c r="I1993" i="11" l="1"/>
  <c r="J1993" i="11" s="1"/>
  <c r="K1993" i="11" l="1"/>
  <c r="E1994" i="11" s="1"/>
  <c r="I1994" i="11" s="1"/>
  <c r="J1994" i="11" s="1"/>
  <c r="K1994" i="11" s="1"/>
  <c r="E1995" i="11" s="1"/>
  <c r="I1995" i="11" l="1"/>
  <c r="J1995" i="11" s="1"/>
  <c r="K1995" i="11" l="1"/>
  <c r="E1996" i="11" s="1"/>
  <c r="I1996" i="11" l="1"/>
  <c r="J1996" i="11" s="1"/>
  <c r="K1996" i="11" l="1"/>
  <c r="E1997" i="11" s="1"/>
  <c r="I1997" i="11" s="1"/>
  <c r="J1997" i="11" s="1"/>
  <c r="K1997" i="11" s="1"/>
  <c r="E1998" i="11" s="1"/>
  <c r="I1998" i="11" l="1"/>
  <c r="J1998" i="11" s="1"/>
  <c r="K1998" i="11" s="1"/>
  <c r="E1999" i="11" s="1"/>
  <c r="I1999" i="11" l="1"/>
  <c r="J1999" i="11" s="1"/>
  <c r="K1999" i="11" l="1"/>
  <c r="E2000" i="11" s="1"/>
  <c r="I2000" i="11" l="1"/>
  <c r="J2000" i="11" s="1"/>
  <c r="K2000" i="11" l="1"/>
  <c r="E2001" i="11" s="1"/>
  <c r="I2001" i="11" l="1"/>
  <c r="J2001" i="11" s="1"/>
  <c r="K2001" i="11" l="1"/>
  <c r="E2002" i="11" s="1"/>
  <c r="I2002" i="11" l="1"/>
  <c r="J2002" i="11" s="1"/>
  <c r="K2002" i="11" s="1"/>
  <c r="E2003" i="11" s="1"/>
  <c r="I2003" i="11" l="1"/>
  <c r="J2003" i="11" s="1"/>
  <c r="K2003" i="11" l="1"/>
  <c r="E2004" i="11" s="1"/>
  <c r="I2004" i="11" l="1"/>
  <c r="J2004" i="11" s="1"/>
  <c r="K2004" i="11" s="1"/>
  <c r="E2005" i="11" s="1"/>
  <c r="I2005" i="11" l="1"/>
  <c r="J2005" i="11" s="1"/>
  <c r="K2005" i="11" l="1"/>
  <c r="E2006" i="11" s="1"/>
  <c r="I2006" i="11" l="1"/>
  <c r="J2006" i="11" s="1"/>
  <c r="K2006" i="11" s="1"/>
  <c r="E2007" i="11" s="1"/>
  <c r="I2007" i="11" l="1"/>
  <c r="J2007" i="11" s="1"/>
  <c r="K2007" i="11" l="1"/>
  <c r="E2008" i="11" s="1"/>
  <c r="I2008" i="11" l="1"/>
  <c r="J2008" i="11" s="1"/>
  <c r="K2008" i="11" l="1"/>
  <c r="E2009" i="11" s="1"/>
  <c r="I2009" i="11" l="1"/>
  <c r="J2009" i="11" s="1"/>
  <c r="K2009" i="11" s="1"/>
  <c r="E2010" i="11" s="1"/>
  <c r="I2010" i="11" l="1"/>
  <c r="J2010" i="11" s="1"/>
  <c r="K2010" i="11" l="1"/>
  <c r="E2011" i="11" s="1"/>
  <c r="I2011" i="11" l="1"/>
  <c r="J2011" i="11" s="1"/>
  <c r="K2011" i="11" l="1"/>
  <c r="E2012" i="11" s="1"/>
  <c r="I2012" i="11" l="1"/>
  <c r="J2012" i="11" s="1"/>
  <c r="K2012" i="11" l="1"/>
  <c r="E2013" i="11" s="1"/>
  <c r="I2013" i="11" l="1"/>
  <c r="J2013" i="11" s="1"/>
  <c r="K2013" i="11" l="1"/>
  <c r="E2014" i="11" s="1"/>
  <c r="I2014" i="11" l="1"/>
  <c r="J2014" i="11" s="1"/>
  <c r="K2014" i="11" l="1"/>
  <c r="E2015" i="11" s="1"/>
  <c r="I2015" i="11" l="1"/>
  <c r="J2015" i="11" s="1"/>
  <c r="K2015" i="11" l="1"/>
  <c r="E2016" i="11" s="1"/>
  <c r="I2016" i="11" l="1"/>
  <c r="J2016" i="11" s="1"/>
  <c r="K2016" i="11" l="1"/>
  <c r="E2017" i="11" s="1"/>
  <c r="I2017" i="11" l="1"/>
  <c r="J2017" i="11" s="1"/>
  <c r="K2017" i="11" l="1"/>
  <c r="E2018" i="11" s="1"/>
  <c r="I2018" i="11" l="1"/>
  <c r="J2018" i="11" s="1"/>
  <c r="K2018" i="11" l="1"/>
  <c r="E2019" i="11" s="1"/>
  <c r="I2019" i="11"/>
  <c r="J2019" i="11" s="1"/>
  <c r="K2019" i="11" l="1"/>
  <c r="E2020" i="11" s="1"/>
  <c r="I2020" i="11" s="1"/>
  <c r="J2020" i="11" s="1"/>
  <c r="K2020" i="11" l="1"/>
  <c r="E2021" i="11" s="1"/>
  <c r="I2021" i="11" l="1"/>
  <c r="J2021" i="11" s="1"/>
  <c r="K2021" i="11" s="1"/>
  <c r="E2022" i="11" s="1"/>
  <c r="I2022" i="11" l="1"/>
  <c r="J2022" i="11" s="1"/>
  <c r="K2022" i="11" l="1"/>
  <c r="E2023" i="11" s="1"/>
  <c r="I2023" i="11" l="1"/>
  <c r="J2023" i="11" s="1"/>
  <c r="K2023" i="11" l="1"/>
  <c r="E2024" i="11" s="1"/>
  <c r="I2024" i="11" l="1"/>
  <c r="J2024" i="11" s="1"/>
  <c r="K2024" i="11" s="1"/>
  <c r="E2025" i="11" s="1"/>
  <c r="I2025" i="11" l="1"/>
  <c r="J2025" i="11" s="1"/>
  <c r="K2025" i="11" l="1"/>
  <c r="E2026" i="11" s="1"/>
  <c r="I2026" i="11" l="1"/>
  <c r="J2026" i="11" s="1"/>
  <c r="K2026" i="11" l="1"/>
  <c r="E2027" i="11" s="1"/>
  <c r="I2027" i="11" l="1"/>
  <c r="J2027" i="11" s="1"/>
  <c r="K2027" i="11" l="1"/>
  <c r="E2028" i="11" s="1"/>
  <c r="I2028" i="11"/>
  <c r="J2028" i="11" s="1"/>
  <c r="K2028" i="11" l="1"/>
  <c r="E2029" i="11" s="1"/>
  <c r="I2029" i="11" l="1"/>
  <c r="J2029" i="11" s="1"/>
  <c r="K2029" i="11" l="1"/>
  <c r="E2030" i="11" s="1"/>
  <c r="I2030" i="11" l="1"/>
  <c r="J2030" i="11" s="1"/>
  <c r="K2030" i="11" l="1"/>
  <c r="E2031" i="11" s="1"/>
  <c r="I2031" i="11" l="1"/>
  <c r="J2031" i="11" s="1"/>
  <c r="K2031" i="11" l="1"/>
  <c r="E2032" i="11" s="1"/>
  <c r="I2032" i="11" s="1"/>
  <c r="J2032" i="11" s="1"/>
  <c r="K2032" i="11" l="1"/>
  <c r="E2033" i="11" s="1"/>
  <c r="I2033" i="11" l="1"/>
  <c r="J2033" i="11" s="1"/>
  <c r="K2033" i="11" l="1"/>
  <c r="E2034" i="11" s="1"/>
  <c r="I2034" i="11" s="1"/>
  <c r="J2034" i="11" s="1"/>
  <c r="K2034" i="11" l="1"/>
  <c r="E2035" i="11" s="1"/>
  <c r="I2035" i="11" s="1"/>
  <c r="J2035" i="11" s="1"/>
  <c r="K2035" i="11" s="1"/>
  <c r="E2036" i="11" s="1"/>
  <c r="I2036" i="11" s="1"/>
  <c r="J2036" i="11" s="1"/>
  <c r="K2036" i="11" s="1"/>
  <c r="E2037" i="11" s="1"/>
  <c r="I2037" i="11" s="1"/>
  <c r="J2037" i="11" s="1"/>
  <c r="K2037" i="11" s="1"/>
  <c r="E2038" i="11" s="1"/>
  <c r="I2038" i="11" l="1"/>
  <c r="J2038" i="11" s="1"/>
  <c r="K2038" i="11" l="1"/>
  <c r="E2039" i="11" s="1"/>
  <c r="I2039" i="11" l="1"/>
  <c r="J2039" i="11" s="1"/>
  <c r="K2039" i="11" l="1"/>
  <c r="E2040" i="11" s="1"/>
  <c r="I2040" i="11" s="1"/>
  <c r="J2040" i="11" s="1"/>
  <c r="K2040" i="11" s="1"/>
  <c r="E2041" i="11" s="1"/>
  <c r="I2041" i="11" l="1"/>
  <c r="J2041" i="11" s="1"/>
  <c r="K2041" i="11" l="1"/>
  <c r="E2042" i="11" s="1"/>
  <c r="I2042" i="11" l="1"/>
  <c r="J2042" i="11" s="1"/>
  <c r="K2042" i="11" l="1"/>
  <c r="E2043" i="11" s="1"/>
  <c r="I2043" i="11" s="1"/>
  <c r="J2043" i="11" s="1"/>
  <c r="K2043" i="11" s="1"/>
  <c r="E2044" i="11" s="1"/>
  <c r="I2044" i="11" l="1"/>
  <c r="J2044" i="11" s="1"/>
  <c r="K2044" i="11" l="1"/>
  <c r="E2045" i="11" s="1"/>
  <c r="I2045" i="11" s="1"/>
  <c r="J2045" i="11" s="1"/>
  <c r="K2045" i="11" s="1"/>
  <c r="E2046" i="11" s="1"/>
  <c r="I2046" i="11" s="1"/>
  <c r="J2046" i="11" s="1"/>
  <c r="K2046" i="11" l="1"/>
  <c r="E2047" i="11" s="1"/>
  <c r="I2047" i="11" l="1"/>
  <c r="J2047" i="11" s="1"/>
  <c r="K2047" i="11" s="1"/>
  <c r="E2048" i="11" s="1"/>
  <c r="I2048" i="11" l="1"/>
  <c r="J2048" i="11" s="1"/>
  <c r="K2048" i="11" s="1"/>
  <c r="E2049" i="11" s="1"/>
  <c r="I2049" i="11" l="1"/>
  <c r="J2049" i="11" s="1"/>
  <c r="K2049" i="11" l="1"/>
  <c r="E2050" i="11" s="1"/>
  <c r="I2050" i="11" l="1"/>
  <c r="J2050" i="11" s="1"/>
  <c r="K2050" i="11" l="1"/>
  <c r="E2051" i="11" s="1"/>
  <c r="I2051" i="11" s="1"/>
  <c r="J2051" i="11" s="1"/>
  <c r="K2051" i="11" s="1"/>
  <c r="E2052" i="11" s="1"/>
  <c r="I2052" i="11" s="1"/>
  <c r="J2052" i="11" s="1"/>
  <c r="K2052" i="11" s="1"/>
  <c r="E2053" i="11" s="1"/>
  <c r="I2053" i="11" s="1"/>
  <c r="J2053" i="11" s="1"/>
  <c r="K2053" i="11" s="1"/>
  <c r="E2054" i="11" s="1"/>
  <c r="I2054" i="11" l="1"/>
  <c r="J2054" i="11" s="1"/>
  <c r="K2054" i="11" l="1"/>
  <c r="E2055" i="11" s="1"/>
  <c r="I2055" i="11" l="1"/>
  <c r="J2055" i="11" s="1"/>
  <c r="K2055" i="11" l="1"/>
  <c r="E2056" i="11" s="1"/>
  <c r="I2056" i="11" s="1"/>
  <c r="J2056" i="11" s="1"/>
  <c r="K2056" i="11" s="1"/>
  <c r="E2057" i="11" s="1"/>
  <c r="I2057" i="11" s="1"/>
  <c r="J2057" i="11" s="1"/>
  <c r="K2057" i="11" l="1"/>
  <c r="E2058" i="11" s="1"/>
  <c r="I2058" i="11" l="1"/>
  <c r="J2058" i="11" s="1"/>
  <c r="K2058" i="11" l="1"/>
  <c r="E2059" i="11" s="1"/>
  <c r="I2059" i="11" l="1"/>
  <c r="J2059" i="11" s="1"/>
  <c r="K2059" i="11" l="1"/>
  <c r="E2060" i="11" s="1"/>
  <c r="I2060" i="11" l="1"/>
  <c r="J2060" i="11" s="1"/>
  <c r="K2060" i="11" l="1"/>
  <c r="E2061" i="11" s="1"/>
  <c r="I2061" i="11" l="1"/>
  <c r="J2061" i="11" s="1"/>
  <c r="K2061" i="11" s="1"/>
  <c r="E2062" i="11" s="1"/>
  <c r="I2062" i="11" l="1"/>
  <c r="J2062" i="11" s="1"/>
  <c r="K2062" i="11" l="1"/>
  <c r="E2063" i="11" s="1"/>
  <c r="I2063" i="11" l="1"/>
  <c r="J2063" i="11" s="1"/>
  <c r="K2063" i="11" l="1"/>
  <c r="E2064" i="11" s="1"/>
  <c r="I2064" i="11" l="1"/>
  <c r="J2064" i="11" s="1"/>
  <c r="K2064" i="11" l="1"/>
  <c r="E2065" i="11" s="1"/>
  <c r="I2065" i="11"/>
  <c r="J2065" i="11" s="1"/>
  <c r="K2065" i="11" l="1"/>
  <c r="E2066" i="11" s="1"/>
  <c r="I2066" i="11" l="1"/>
  <c r="J2066" i="11" s="1"/>
  <c r="K2066" i="11" l="1"/>
  <c r="E2067" i="11" s="1"/>
  <c r="I2067" i="11" s="1"/>
  <c r="J2067" i="11" s="1"/>
  <c r="K2067" i="11" s="1"/>
  <c r="E2068" i="11" s="1"/>
  <c r="I2068" i="11" s="1"/>
  <c r="J2068" i="11" s="1"/>
  <c r="K2068" i="11" s="1"/>
  <c r="E2069" i="11" s="1"/>
  <c r="I2069" i="11" s="1"/>
  <c r="J2069" i="11" s="1"/>
  <c r="K2069" i="11" s="1"/>
  <c r="E2070" i="11" s="1"/>
  <c r="I2070" i="11" s="1"/>
  <c r="J2070" i="11" s="1"/>
  <c r="K2070" i="11" s="1"/>
  <c r="E2071" i="11" s="1"/>
  <c r="I2071" i="11" l="1"/>
  <c r="J2071" i="11" s="1"/>
  <c r="K2071" i="11" l="1"/>
  <c r="E2072" i="11" s="1"/>
  <c r="I2072" i="11" s="1"/>
  <c r="J2072" i="11" s="1"/>
  <c r="K2072" i="11" s="1"/>
  <c r="E2073" i="11" s="1"/>
  <c r="I2073" i="11" s="1"/>
  <c r="J2073" i="11" s="1"/>
  <c r="K2073" i="11" s="1"/>
  <c r="E2074" i="11" s="1"/>
  <c r="I2074" i="11" l="1"/>
  <c r="J2074" i="11" s="1"/>
  <c r="K2074" i="11" l="1"/>
  <c r="E2075" i="11" s="1"/>
  <c r="I2075" i="11" s="1"/>
  <c r="J2075" i="11" s="1"/>
  <c r="K2075" i="11" s="1"/>
  <c r="E2076" i="11" s="1"/>
  <c r="I2076" i="11" s="1"/>
  <c r="J2076" i="11" s="1"/>
  <c r="K2076" i="11" s="1"/>
  <c r="E2077" i="11" s="1"/>
  <c r="I2077" i="11" s="1"/>
  <c r="J2077" i="11" s="1"/>
  <c r="K2077" i="11" s="1"/>
  <c r="E2078" i="11" s="1"/>
  <c r="I2078" i="11" s="1"/>
  <c r="J2078" i="11" s="1"/>
  <c r="K2078" i="11" s="1"/>
  <c r="E2079" i="11" s="1"/>
  <c r="I2079" i="11" l="1"/>
  <c r="J2079" i="11" s="1"/>
  <c r="K2079" i="11" l="1"/>
  <c r="E2080" i="11" s="1"/>
  <c r="I2080" i="11" s="1"/>
  <c r="J2080" i="11" s="1"/>
  <c r="K2080" i="11" s="1"/>
  <c r="E2081" i="11" s="1"/>
  <c r="I2081" i="11" l="1"/>
  <c r="J2081" i="11" s="1"/>
  <c r="K2081" i="11" l="1"/>
  <c r="E2082" i="11" s="1"/>
  <c r="I2082" i="11" l="1"/>
  <c r="J2082" i="11" s="1"/>
  <c r="K2082" i="11" l="1"/>
  <c r="E2083" i="11" s="1"/>
  <c r="I2083" i="11" s="1"/>
  <c r="J2083" i="11" s="1"/>
  <c r="K2083" i="11" s="1"/>
  <c r="E2084" i="11" s="1"/>
  <c r="I2084" i="11" l="1"/>
  <c r="J2084" i="11" s="1"/>
  <c r="K2084" i="11" l="1"/>
  <c r="E2085" i="11" s="1"/>
  <c r="I2085" i="11" s="1"/>
  <c r="J2085" i="11" s="1"/>
  <c r="K2085" i="11" s="1"/>
  <c r="E2086" i="11" s="1"/>
  <c r="I2086" i="11" l="1"/>
  <c r="J2086" i="11" s="1"/>
  <c r="K2086" i="11" l="1"/>
  <c r="E2087" i="11" s="1"/>
  <c r="I2087" i="11" l="1"/>
  <c r="J2087" i="11" s="1"/>
  <c r="K2087" i="11" l="1"/>
  <c r="E2088" i="11" s="1"/>
  <c r="I2088" i="11" l="1"/>
  <c r="J2088" i="11" s="1"/>
  <c r="K2088" i="11" l="1"/>
  <c r="E2089" i="11" s="1"/>
  <c r="I2089" i="11" l="1"/>
  <c r="J2089" i="11" s="1"/>
  <c r="K2089" i="11" l="1"/>
  <c r="E2090" i="11" s="1"/>
  <c r="I2090" i="11" l="1"/>
  <c r="J2090" i="11" s="1"/>
  <c r="K2090" i="11" s="1"/>
  <c r="E2091" i="11" s="1"/>
  <c r="I2091" i="11" s="1"/>
  <c r="J2091" i="11" s="1"/>
  <c r="K2091" i="11" s="1"/>
  <c r="E2092" i="11" s="1"/>
  <c r="I2092" i="11" l="1"/>
  <c r="J2092" i="11" s="1"/>
  <c r="K2092" i="11" l="1"/>
  <c r="E2093" i="11" s="1"/>
  <c r="I2093" i="11" l="1"/>
  <c r="J2093" i="11" s="1"/>
  <c r="K2093" i="11" s="1"/>
  <c r="E2094" i="11" s="1"/>
  <c r="I2094" i="11" l="1"/>
  <c r="J2094" i="11" s="1"/>
  <c r="K2094" i="11" s="1"/>
  <c r="E2095" i="11" s="1"/>
  <c r="I2095" i="11" l="1"/>
  <c r="J2095" i="11" s="1"/>
  <c r="K2095" i="11" l="1"/>
  <c r="E2096" i="11" s="1"/>
  <c r="I2096" i="11"/>
  <c r="J2096" i="11" s="1"/>
  <c r="K2096" i="11" s="1"/>
  <c r="E2097" i="11" s="1"/>
  <c r="I2097" i="11" l="1"/>
  <c r="J2097" i="11" s="1"/>
  <c r="K2097" i="11" l="1"/>
  <c r="E2098" i="11" s="1"/>
  <c r="I2098" i="11" s="1"/>
  <c r="J2098" i="11" s="1"/>
  <c r="K2098" i="11" l="1"/>
  <c r="E2099" i="11" s="1"/>
  <c r="I2099" i="11" l="1"/>
  <c r="J2099" i="11" s="1"/>
  <c r="K2099" i="11" l="1"/>
  <c r="E2100" i="11" s="1"/>
  <c r="I2100" i="11" l="1"/>
  <c r="J2100" i="11" s="1"/>
  <c r="K2100" i="11" l="1"/>
  <c r="E2101" i="11" s="1"/>
  <c r="I2101" i="11" l="1"/>
  <c r="J2101" i="11" s="1"/>
  <c r="K2101" i="11" l="1"/>
  <c r="E2102" i="11" s="1"/>
  <c r="I2102" i="11" l="1"/>
  <c r="J2102" i="11" s="1"/>
  <c r="K2102" i="11" l="1"/>
  <c r="E2103" i="11" s="1"/>
  <c r="I2103" i="11"/>
  <c r="J2103" i="11" s="1"/>
  <c r="K2103" i="11" l="1"/>
  <c r="E2104" i="11" s="1"/>
  <c r="I2104" i="11" s="1"/>
  <c r="J2104" i="11" s="1"/>
  <c r="K2104" i="11" s="1"/>
  <c r="E2105" i="11" s="1"/>
  <c r="I2105" i="11" l="1"/>
  <c r="J2105" i="11" s="1"/>
  <c r="K2105" i="11" l="1"/>
  <c r="E2106" i="11" s="1"/>
  <c r="I2106" i="11" l="1"/>
  <c r="J2106" i="11" s="1"/>
  <c r="K2106" i="11" l="1"/>
  <c r="E2107" i="11" s="1"/>
  <c r="I2107" i="11" l="1"/>
  <c r="J2107" i="11" s="1"/>
  <c r="K2107" i="11" l="1"/>
  <c r="E2108" i="11" s="1"/>
  <c r="I2108" i="11" l="1"/>
  <c r="J2108" i="11" s="1"/>
  <c r="K2108" i="11" l="1"/>
  <c r="E2109" i="11" s="1"/>
  <c r="I2109" i="11" l="1"/>
  <c r="J2109" i="11" s="1"/>
  <c r="K2109" i="11" l="1"/>
  <c r="E2110" i="11" s="1"/>
  <c r="I2110" i="11" s="1"/>
  <c r="J2110" i="11" s="1"/>
  <c r="K2110" i="11" l="1"/>
  <c r="E2111" i="11" s="1"/>
  <c r="I2111" i="11" l="1"/>
  <c r="J2111" i="11" s="1"/>
  <c r="K2111" i="11" l="1"/>
  <c r="E2112" i="11" s="1"/>
  <c r="I2112" i="11" s="1"/>
  <c r="J2112" i="11" s="1"/>
  <c r="K2112" i="11" s="1"/>
  <c r="E2113" i="11" s="1"/>
  <c r="I2113" i="11" s="1"/>
  <c r="J2113" i="11" s="1"/>
  <c r="K2113" i="11" s="1"/>
  <c r="E2114" i="11" s="1"/>
  <c r="I2114" i="11" s="1"/>
  <c r="J2114" i="11" s="1"/>
  <c r="K2114" i="11" l="1"/>
  <c r="E2115" i="11" s="1"/>
  <c r="I2115" i="11" s="1"/>
  <c r="J2115" i="11" s="1"/>
  <c r="K2115" i="11" l="1"/>
  <c r="E2116" i="11" s="1"/>
  <c r="I2116" i="11" l="1"/>
  <c r="J2116" i="11" s="1"/>
  <c r="K2116" i="11" l="1"/>
  <c r="E2117" i="11" s="1"/>
  <c r="I2117" i="11" l="1"/>
  <c r="J2117" i="11" s="1"/>
  <c r="K2117" i="11" l="1"/>
  <c r="E2118" i="11" s="1"/>
  <c r="I2118" i="11" l="1"/>
  <c r="J2118" i="11" s="1"/>
  <c r="K2118" i="11" l="1"/>
  <c r="E2119" i="11" s="1"/>
  <c r="I2119" i="11" l="1"/>
  <c r="J2119" i="11" s="1"/>
  <c r="K2119" i="11" l="1"/>
  <c r="E2120" i="11" s="1"/>
  <c r="I2120" i="11" s="1"/>
  <c r="J2120" i="11" s="1"/>
  <c r="K2120" i="11" s="1"/>
  <c r="E2121" i="11" s="1"/>
  <c r="I2121" i="11" s="1"/>
  <c r="J2121" i="11" s="1"/>
  <c r="K2121" i="11" s="1"/>
  <c r="E2122" i="11" s="1"/>
  <c r="I2122" i="11" l="1"/>
  <c r="J2122" i="11" s="1"/>
  <c r="K2122" i="11" l="1"/>
  <c r="E2123" i="11" s="1"/>
  <c r="I2123" i="11" s="1"/>
  <c r="J2123" i="11" s="1"/>
  <c r="K2123" i="11" s="1"/>
  <c r="E2124" i="11" s="1"/>
  <c r="I2124" i="11" l="1"/>
  <c r="J2124" i="11" s="1"/>
  <c r="K2124" i="11" l="1"/>
  <c r="E2125" i="11" s="1"/>
  <c r="I2125" i="11"/>
  <c r="J2125" i="11" s="1"/>
  <c r="K2125" i="11" l="1"/>
  <c r="E2126" i="11" s="1"/>
  <c r="I2126" i="11" l="1"/>
  <c r="J2126" i="11" s="1"/>
  <c r="K2126" i="11" s="1"/>
  <c r="E2127" i="11" s="1"/>
  <c r="I2127" i="11" l="1"/>
  <c r="J2127" i="11" s="1"/>
  <c r="K2127" i="11" l="1"/>
  <c r="E2128" i="11" s="1"/>
  <c r="I2128" i="11" l="1"/>
  <c r="J2128" i="11" s="1"/>
  <c r="K2128" i="11" l="1"/>
  <c r="E2129" i="11" s="1"/>
  <c r="I2129" i="11"/>
  <c r="J2129" i="11" s="1"/>
  <c r="K2129" i="11" s="1"/>
  <c r="E2130" i="11" s="1"/>
  <c r="I2130" i="11" l="1"/>
  <c r="J2130" i="11" s="1"/>
  <c r="K2130" i="11" l="1"/>
  <c r="E2131" i="11" s="1"/>
  <c r="I2131" i="11" s="1"/>
  <c r="J2131" i="11" s="1"/>
  <c r="K2131" i="11" s="1"/>
  <c r="E2132" i="11" s="1"/>
  <c r="I2132" i="11" l="1"/>
  <c r="J2132" i="11" s="1"/>
  <c r="K2132" i="11" s="1"/>
  <c r="E2133" i="11" s="1"/>
  <c r="I2133" i="11" s="1"/>
  <c r="J2133" i="11" s="1"/>
  <c r="K2133" i="11" s="1"/>
  <c r="E2134" i="11" s="1"/>
  <c r="I2134" i="11" l="1"/>
  <c r="J2134" i="11" s="1"/>
  <c r="K2134" i="11" l="1"/>
  <c r="E2135" i="11" s="1"/>
  <c r="I2135" i="11" l="1"/>
  <c r="J2135" i="11" s="1"/>
  <c r="K2135" i="11" l="1"/>
  <c r="E2136" i="11" s="1"/>
  <c r="I2136" i="11" l="1"/>
  <c r="J2136" i="11" s="1"/>
  <c r="K2136" i="11" l="1"/>
  <c r="E2137" i="11" s="1"/>
  <c r="I2137" i="11" l="1"/>
  <c r="J2137" i="11" s="1"/>
  <c r="K2137" i="11" l="1"/>
  <c r="E2138" i="11" s="1"/>
  <c r="I2138" i="11" l="1"/>
  <c r="J2138" i="11" s="1"/>
  <c r="K2138" i="11" l="1"/>
  <c r="E2139" i="11" s="1"/>
  <c r="I2139" i="11" s="1"/>
  <c r="J2139" i="11" s="1"/>
  <c r="K2139" i="11" s="1"/>
  <c r="E2140" i="11" s="1"/>
  <c r="I2140" i="11" l="1"/>
  <c r="J2140" i="11" s="1"/>
  <c r="K2140" i="11" l="1"/>
  <c r="E2141" i="11" s="1"/>
  <c r="I2141" i="11" l="1"/>
  <c r="J2141" i="11" s="1"/>
  <c r="K2141" i="11" l="1"/>
  <c r="E2142" i="11" s="1"/>
  <c r="I2142" i="11" l="1"/>
  <c r="J2142" i="11" s="1"/>
  <c r="K2142" i="11" l="1"/>
  <c r="E2143" i="11" s="1"/>
  <c r="I2143" i="11" l="1"/>
  <c r="J2143" i="11" s="1"/>
  <c r="K2143" i="11" s="1"/>
  <c r="E2144" i="11" s="1"/>
  <c r="I2144" i="11" l="1"/>
  <c r="J2144" i="11" s="1"/>
  <c r="K2144" i="11" l="1"/>
  <c r="E2145" i="11" s="1"/>
  <c r="I2145" i="11" l="1"/>
  <c r="J2145" i="11" s="1"/>
  <c r="K2145" i="11" l="1"/>
  <c r="E2146" i="11" s="1"/>
  <c r="I2146" i="11" l="1"/>
  <c r="J2146" i="11" s="1"/>
  <c r="K2146" i="11" l="1"/>
  <c r="E2147" i="11" s="1"/>
  <c r="I2147" i="11" l="1"/>
  <c r="J2147" i="11" s="1"/>
  <c r="K2147" i="11" l="1"/>
  <c r="E2148" i="11" s="1"/>
  <c r="I2148" i="11" s="1"/>
  <c r="J2148" i="11" s="1"/>
  <c r="K2148" i="11" s="1"/>
  <c r="E2149" i="11" s="1"/>
  <c r="I2149" i="11" s="1"/>
  <c r="J2149" i="11" s="1"/>
  <c r="K2149" i="11" l="1"/>
  <c r="E2150" i="11" s="1"/>
  <c r="I2150" i="11" l="1"/>
  <c r="J2150" i="11" s="1"/>
  <c r="K2150" i="11" l="1"/>
  <c r="E2151" i="11" s="1"/>
  <c r="I2151" i="11" l="1"/>
  <c r="J2151" i="11" s="1"/>
  <c r="K2151" i="11" l="1"/>
  <c r="E2152" i="11" s="1"/>
  <c r="I2152" i="11" s="1"/>
  <c r="J2152" i="11" s="1"/>
  <c r="K2152" i="11" s="1"/>
  <c r="E2153" i="11" s="1"/>
  <c r="I2153" i="11" s="1"/>
  <c r="J2153" i="11" s="1"/>
  <c r="K2153" i="11" s="1"/>
  <c r="E2154" i="11" s="1"/>
  <c r="I2154" i="11" l="1"/>
  <c r="J2154" i="11" s="1"/>
  <c r="K2154" i="11" l="1"/>
  <c r="E2155" i="11" s="1"/>
  <c r="I2155" i="11" s="1"/>
  <c r="J2155" i="11" s="1"/>
  <c r="K2155" i="11" s="1"/>
  <c r="E2156" i="11" s="1"/>
  <c r="I2156" i="11" s="1"/>
  <c r="J2156" i="11" s="1"/>
  <c r="K2156" i="11" l="1"/>
  <c r="E2157" i="11" s="1"/>
  <c r="I2157" i="11" s="1"/>
  <c r="J2157" i="11" s="1"/>
  <c r="K2157" i="11" s="1"/>
  <c r="E2158" i="11" s="1"/>
  <c r="I2158" i="11" s="1"/>
  <c r="J2158" i="11" s="1"/>
  <c r="K2158" i="11" s="1"/>
  <c r="E2159" i="11" s="1"/>
  <c r="I2159" i="11" s="1"/>
  <c r="J2159" i="11" s="1"/>
  <c r="K2159" i="11" l="1"/>
  <c r="E2160" i="11" s="1"/>
  <c r="I2160" i="11" s="1"/>
  <c r="J2160" i="11" s="1"/>
  <c r="K2160" i="11" s="1"/>
  <c r="E2161" i="11" s="1"/>
  <c r="I2161" i="11" s="1"/>
  <c r="J2161" i="11" s="1"/>
  <c r="K2161" i="11" s="1"/>
  <c r="E2162" i="11" s="1"/>
  <c r="I2162" i="11" s="1"/>
  <c r="J2162" i="11" s="1"/>
  <c r="K2162" i="11" l="1"/>
  <c r="E2163" i="11" s="1"/>
  <c r="I2163" i="11" s="1"/>
  <c r="J2163" i="11" s="1"/>
  <c r="K2163" i="11" s="1"/>
  <c r="E2164" i="11" s="1"/>
  <c r="I2164" i="11" s="1"/>
  <c r="J2164" i="11" s="1"/>
  <c r="K2164" i="11" s="1"/>
  <c r="E2165" i="11" s="1"/>
  <c r="I2165" i="11" s="1"/>
  <c r="J2165" i="11" s="1"/>
  <c r="K2165" i="11" s="1"/>
  <c r="E2166" i="11" s="1"/>
  <c r="I2166" i="11" l="1"/>
  <c r="J2166" i="11" s="1"/>
  <c r="K2166" i="11" l="1"/>
  <c r="E2167" i="11" s="1"/>
  <c r="I2167" i="11" l="1"/>
  <c r="J2167" i="11" s="1"/>
  <c r="K2167" i="11" s="1"/>
  <c r="E2168" i="11" s="1"/>
  <c r="I2168" i="11" l="1"/>
  <c r="J2168" i="11" s="1"/>
  <c r="K2168" i="11" l="1"/>
  <c r="E2169" i="11" s="1"/>
  <c r="I2169" i="11" l="1"/>
  <c r="J2169" i="11" s="1"/>
  <c r="K2169" i="11" l="1"/>
  <c r="E2170" i="11" s="1"/>
  <c r="I2170" i="11"/>
  <c r="J2170" i="11" s="1"/>
  <c r="K2170" i="11" l="1"/>
  <c r="E2171" i="11" s="1"/>
  <c r="I2171" i="11"/>
  <c r="J2171" i="11" s="1"/>
  <c r="K2171" i="11" l="1"/>
  <c r="E2172" i="11" s="1"/>
  <c r="I2172" i="11" s="1"/>
  <c r="J2172" i="11" s="1"/>
  <c r="K2172" i="11" l="1"/>
  <c r="E2173" i="11" s="1"/>
  <c r="I2173" i="11" l="1"/>
  <c r="J2173" i="11" s="1"/>
  <c r="K2173" i="11" l="1"/>
  <c r="E2174" i="11" s="1"/>
  <c r="I2174" i="11" l="1"/>
  <c r="J2174" i="11" s="1"/>
  <c r="K2174" i="11" l="1"/>
  <c r="E2175" i="11" s="1"/>
  <c r="I2175" i="11" l="1"/>
  <c r="J2175" i="11" s="1"/>
  <c r="K2175" i="11" l="1"/>
  <c r="E2176" i="11" s="1"/>
  <c r="I2176" i="11" l="1"/>
  <c r="J2176" i="11" s="1"/>
  <c r="K2176" i="11" s="1"/>
  <c r="E2177" i="11" s="1"/>
  <c r="I2177" i="11" l="1"/>
  <c r="J2177" i="11" s="1"/>
  <c r="K2177" i="11" l="1"/>
  <c r="E2178" i="11" s="1"/>
  <c r="I2178" i="11" s="1"/>
  <c r="J2178" i="11" s="1"/>
  <c r="K2178" i="11" l="1"/>
  <c r="E2179" i="11" s="1"/>
  <c r="I2179" i="11"/>
  <c r="J2179" i="11" s="1"/>
  <c r="K2179" i="11" l="1"/>
  <c r="E2180" i="11" s="1"/>
  <c r="I2180" i="11" l="1"/>
  <c r="J2180" i="11" s="1"/>
  <c r="K2180" i="11" s="1"/>
  <c r="E2181" i="11" s="1"/>
  <c r="I2181" i="11" l="1"/>
  <c r="J2181" i="11" s="1"/>
  <c r="K2181" i="11" l="1"/>
  <c r="E2182" i="11" s="1"/>
  <c r="I2182" i="11" l="1"/>
  <c r="J2182" i="11" s="1"/>
  <c r="K2182" i="11" s="1"/>
  <c r="E2183" i="11" s="1"/>
  <c r="I2183" i="11" l="1"/>
  <c r="J2183" i="11" s="1"/>
  <c r="K2183" i="11" l="1"/>
  <c r="E2184" i="11" s="1"/>
  <c r="I2184" i="11"/>
  <c r="J2184" i="11" s="1"/>
  <c r="K2184" i="11" s="1"/>
  <c r="E2185" i="11" s="1"/>
  <c r="I2185" i="11" l="1"/>
  <c r="J2185" i="11" s="1"/>
  <c r="K2185" i="11" l="1"/>
  <c r="E2186" i="11" s="1"/>
  <c r="I2186" i="11" s="1"/>
  <c r="J2186" i="11" s="1"/>
  <c r="K2186" i="11" l="1"/>
  <c r="E2187" i="11" s="1"/>
  <c r="I2187" i="11" l="1"/>
  <c r="J2187" i="11" s="1"/>
  <c r="K2187" i="11" l="1"/>
  <c r="E2188" i="11" s="1"/>
  <c r="I2188" i="11" l="1"/>
  <c r="J2188" i="11" s="1"/>
  <c r="K2188" i="11" l="1"/>
  <c r="E2189" i="11" s="1"/>
  <c r="I2189" i="11" l="1"/>
  <c r="J2189" i="11" s="1"/>
  <c r="K2189" i="11" l="1"/>
  <c r="E2190" i="11" s="1"/>
  <c r="I2190" i="11" l="1"/>
  <c r="J2190" i="11" s="1"/>
  <c r="K2190" i="11" l="1"/>
  <c r="E2191" i="11" s="1"/>
  <c r="I2191" i="11" l="1"/>
  <c r="J2191" i="11" s="1"/>
  <c r="K2191" i="11" l="1"/>
  <c r="E2192" i="11" s="1"/>
  <c r="I2192" i="11" l="1"/>
  <c r="J2192" i="11" s="1"/>
  <c r="K2192" i="11" l="1"/>
  <c r="E2193" i="11" s="1"/>
  <c r="I2193" i="11"/>
  <c r="J2193" i="11" s="1"/>
  <c r="K2193" i="11" l="1"/>
  <c r="E2194" i="11" s="1"/>
  <c r="I2194" i="11" l="1"/>
  <c r="J2194" i="11" s="1"/>
  <c r="K2194" i="11" l="1"/>
  <c r="E2195" i="11" s="1"/>
  <c r="I2195" i="11"/>
  <c r="J2195" i="11" s="1"/>
  <c r="K2195" i="11" l="1"/>
  <c r="E2196" i="11" s="1"/>
  <c r="I2196" i="11" l="1"/>
  <c r="J2196" i="11" s="1"/>
  <c r="K2196" i="11" l="1"/>
  <c r="E2197" i="11" s="1"/>
  <c r="I2197" i="11" l="1"/>
  <c r="J2197" i="11" s="1"/>
  <c r="K2197" i="11" l="1"/>
  <c r="E2198" i="11" s="1"/>
  <c r="I2198" i="11" l="1"/>
  <c r="J2198" i="11" s="1"/>
  <c r="K2198" i="11" l="1"/>
  <c r="E2199" i="11" s="1"/>
  <c r="I2199" i="11" l="1"/>
  <c r="J2199" i="11" s="1"/>
  <c r="K2199" i="11" l="1"/>
  <c r="E2200" i="11" s="1"/>
  <c r="I2200" i="11" l="1"/>
  <c r="J2200" i="11" s="1"/>
  <c r="K2200" i="11" l="1"/>
  <c r="E2201" i="11" s="1"/>
  <c r="I2201" i="11" l="1"/>
  <c r="J2201" i="11" s="1"/>
  <c r="K2201" i="11" l="1"/>
  <c r="E2202" i="11" s="1"/>
  <c r="I2202" i="11" l="1"/>
  <c r="J2202" i="11" s="1"/>
  <c r="K2202" i="11" l="1"/>
  <c r="E2203" i="11" s="1"/>
  <c r="I2203" i="11" l="1"/>
  <c r="J2203" i="11" s="1"/>
  <c r="K2203" i="11" l="1"/>
  <c r="E2204" i="11" s="1"/>
  <c r="I2204" i="11" l="1"/>
  <c r="J2204" i="11" s="1"/>
  <c r="K2204" i="11" l="1"/>
  <c r="E2205" i="11" s="1"/>
  <c r="I2205" i="11" l="1"/>
  <c r="J2205" i="11" s="1"/>
  <c r="K2205" i="11" l="1"/>
  <c r="E2206" i="11" s="1"/>
  <c r="I2206" i="11" l="1"/>
  <c r="J2206" i="11" s="1"/>
  <c r="K2206" i="11" l="1"/>
  <c r="E2207" i="11" s="1"/>
  <c r="I2207" i="11" l="1"/>
  <c r="J2207" i="11" s="1"/>
  <c r="K2207" i="11" l="1"/>
  <c r="E2208" i="11" s="1"/>
  <c r="I2208" i="11" l="1"/>
  <c r="J2208" i="11" s="1"/>
  <c r="K2208" i="11" l="1"/>
  <c r="E2209" i="11" s="1"/>
  <c r="I2209" i="11" l="1"/>
  <c r="J2209" i="11" s="1"/>
  <c r="K2209" i="11" l="1"/>
  <c r="E2210" i="11" s="1"/>
  <c r="I2210" i="11" l="1"/>
  <c r="J2210" i="11" s="1"/>
  <c r="K2210" i="11" l="1"/>
  <c r="E2211" i="11" s="1"/>
  <c r="I2211" i="11" s="1"/>
  <c r="J2211" i="11" s="1"/>
  <c r="K2211" i="11" l="1"/>
  <c r="E2212" i="11" s="1"/>
  <c r="I2212" i="11" l="1"/>
  <c r="J2212" i="11" s="1"/>
  <c r="K2212" i="11" l="1"/>
  <c r="E2213" i="11" s="1"/>
  <c r="I2213" i="11" l="1"/>
  <c r="J2213" i="11" s="1"/>
  <c r="K2213" i="11" s="1"/>
  <c r="E2214" i="11" s="1"/>
  <c r="I2214" i="11" l="1"/>
  <c r="J2214" i="11" s="1"/>
  <c r="K2214" i="11" s="1"/>
  <c r="E2215" i="11" s="1"/>
  <c r="I2215" i="11" l="1"/>
  <c r="J2215" i="11" s="1"/>
  <c r="K2215" i="11" l="1"/>
  <c r="E2216" i="11" s="1"/>
  <c r="I2216" i="11"/>
  <c r="J2216" i="11" s="1"/>
  <c r="K2216" i="11" l="1"/>
  <c r="E2217" i="11" s="1"/>
  <c r="I2217" i="11" s="1"/>
  <c r="J2217" i="11" s="1"/>
  <c r="K2217" i="11" s="1"/>
  <c r="E2218" i="11" s="1"/>
  <c r="I2218" i="11" l="1"/>
  <c r="J2218" i="11" s="1"/>
  <c r="K2218" i="11" l="1"/>
  <c r="E2219" i="11" s="1"/>
  <c r="I2219" i="11" l="1"/>
  <c r="J2219" i="11" s="1"/>
  <c r="K2219" i="11" l="1"/>
  <c r="E2220" i="11" s="1"/>
  <c r="I2220" i="11" l="1"/>
  <c r="J2220" i="11" s="1"/>
  <c r="K2220" i="11" l="1"/>
  <c r="E2221" i="11" s="1"/>
  <c r="I2221" i="11" l="1"/>
  <c r="J2221" i="11" s="1"/>
  <c r="K2221" i="11" l="1"/>
  <c r="E2222" i="11" s="1"/>
  <c r="I2222" i="11" l="1"/>
  <c r="J2222" i="11" s="1"/>
  <c r="K2222" i="11" l="1"/>
  <c r="E2223" i="11" s="1"/>
  <c r="I2223" i="11" l="1"/>
  <c r="J2223" i="11" s="1"/>
  <c r="K2223" i="11" s="1"/>
  <c r="E2224" i="11" s="1"/>
  <c r="I2224" i="11" l="1"/>
  <c r="J2224" i="11" s="1"/>
  <c r="K2224" i="11" l="1"/>
  <c r="E2225" i="11" s="1"/>
  <c r="I2225" i="11" s="1"/>
  <c r="J2225" i="11" s="1"/>
  <c r="K2225" i="11" s="1"/>
  <c r="E2226" i="11" s="1"/>
  <c r="I2226" i="11" s="1"/>
  <c r="J2226" i="11" s="1"/>
  <c r="K2226" i="11" l="1"/>
  <c r="E2227" i="11" s="1"/>
  <c r="I2227" i="11" s="1"/>
  <c r="J2227" i="11" s="1"/>
  <c r="K2227" i="11" l="1"/>
  <c r="E2228" i="11" s="1"/>
  <c r="I2228" i="11" l="1"/>
  <c r="J2228" i="11" s="1"/>
  <c r="K2228" i="11" l="1"/>
  <c r="E2229" i="11" s="1"/>
  <c r="I2229" i="11" l="1"/>
  <c r="J2229" i="11" s="1"/>
  <c r="K2229" i="11" s="1"/>
  <c r="E2230" i="11" s="1"/>
  <c r="I2230" i="11" l="1"/>
  <c r="J2230" i="11" s="1"/>
  <c r="K2230" i="11" s="1"/>
  <c r="E2231" i="11" s="1"/>
  <c r="I2231" i="11" l="1"/>
  <c r="J2231" i="11" s="1"/>
  <c r="K2231" i="11" s="1"/>
  <c r="E2232" i="11" s="1"/>
  <c r="I2232" i="11" l="1"/>
  <c r="J2232" i="11" s="1"/>
  <c r="K2232" i="11" l="1"/>
  <c r="E2233" i="11" s="1"/>
  <c r="I2233" i="11" l="1"/>
  <c r="J2233" i="11" s="1"/>
  <c r="K2233" i="11" l="1"/>
  <c r="E2234" i="11" s="1"/>
  <c r="I2234" i="11" l="1"/>
  <c r="J2234" i="11" s="1"/>
  <c r="K2234" i="11" l="1"/>
  <c r="E2235" i="11" s="1"/>
  <c r="I2235" i="11" l="1"/>
  <c r="J2235" i="11" s="1"/>
  <c r="K2235" i="11" l="1"/>
  <c r="E2236" i="11" s="1"/>
  <c r="I2236" i="11" l="1"/>
  <c r="J2236" i="11" s="1"/>
  <c r="K2236" i="11" l="1"/>
  <c r="E2237" i="11" s="1"/>
  <c r="I2237" i="11" l="1"/>
  <c r="J2237" i="11" s="1"/>
  <c r="K2237" i="11" l="1"/>
  <c r="E2238" i="11" s="1"/>
  <c r="I2238" i="11" l="1"/>
  <c r="J2238" i="11" s="1"/>
  <c r="K2238" i="11" l="1"/>
  <c r="E2239" i="11" s="1"/>
  <c r="I2239" i="11" l="1"/>
  <c r="J2239" i="11" s="1"/>
  <c r="K2239" i="11" l="1"/>
  <c r="E2240" i="11" s="1"/>
  <c r="I2240" i="11" l="1"/>
  <c r="J2240" i="11" s="1"/>
  <c r="K2240" i="11" l="1"/>
  <c r="E2241" i="11" s="1"/>
  <c r="I2241" i="11" l="1"/>
  <c r="J2241" i="11" s="1"/>
  <c r="K2241" i="11" l="1"/>
  <c r="E2242" i="11" s="1"/>
  <c r="I2242" i="11" l="1"/>
  <c r="J2242" i="11" s="1"/>
  <c r="K2242" i="11" s="1"/>
  <c r="E2243" i="11" s="1"/>
  <c r="I2243" i="11" l="1"/>
  <c r="J2243" i="11" s="1"/>
  <c r="K2243" i="11" l="1"/>
  <c r="E2244" i="11" s="1"/>
  <c r="I2244" i="11" l="1"/>
  <c r="J2244" i="11" s="1"/>
  <c r="K2244" i="11" l="1"/>
  <c r="E2245" i="11" s="1"/>
  <c r="I2245" i="11" l="1"/>
  <c r="J2245" i="11" s="1"/>
  <c r="K2245" i="11" l="1"/>
  <c r="E2246" i="11" s="1"/>
  <c r="I2246" i="11" l="1"/>
  <c r="J2246" i="11" s="1"/>
  <c r="K2246" i="11" l="1"/>
  <c r="E2247" i="11" s="1"/>
  <c r="I2247" i="11" s="1"/>
  <c r="J2247" i="11" s="1"/>
  <c r="K2247" i="11" l="1"/>
  <c r="E2248" i="11" s="1"/>
  <c r="I2248" i="11" l="1"/>
  <c r="J2248" i="11" s="1"/>
  <c r="K2248" i="11" l="1"/>
  <c r="E2249" i="11" s="1"/>
  <c r="I2249" i="11" l="1"/>
  <c r="J2249" i="11" s="1"/>
  <c r="K2249" i="11" l="1"/>
  <c r="E2250" i="11" s="1"/>
  <c r="I2250" i="11" l="1"/>
  <c r="J2250" i="11" s="1"/>
  <c r="K2250" i="11" l="1"/>
  <c r="E2251" i="11" s="1"/>
  <c r="I2251" i="11" s="1"/>
  <c r="J2251" i="11" s="1"/>
  <c r="K2251" i="11" s="1"/>
  <c r="E2252" i="11" s="1"/>
  <c r="I2252" i="11" s="1"/>
  <c r="J2252" i="11" s="1"/>
  <c r="K2252" i="11" s="1"/>
  <c r="E2253" i="11" s="1"/>
  <c r="I2253" i="11" l="1"/>
  <c r="J2253" i="11" s="1"/>
  <c r="K2253" i="11" l="1"/>
  <c r="E2254" i="11" s="1"/>
  <c r="I2254" i="11" s="1"/>
  <c r="J2254" i="11" s="1"/>
  <c r="K2254" i="11" s="1"/>
  <c r="E2255" i="11" s="1"/>
  <c r="I2255" i="11" l="1"/>
  <c r="J2255" i="11" s="1"/>
  <c r="K2255" i="11" l="1"/>
  <c r="E2256" i="11" s="1"/>
  <c r="I2256" i="11" s="1"/>
  <c r="J2256" i="11" s="1"/>
  <c r="K2256" i="11" s="1"/>
  <c r="E2257" i="11" s="1"/>
  <c r="I2257" i="11" s="1"/>
  <c r="J2257" i="11" s="1"/>
  <c r="K2257" i="11" s="1"/>
  <c r="E2258" i="11" s="1"/>
  <c r="I2258" i="11" s="1"/>
  <c r="J2258" i="11" s="1"/>
  <c r="K2258" i="11" s="1"/>
  <c r="E2259" i="11" s="1"/>
  <c r="I2259" i="11" l="1"/>
  <c r="J2259" i="11" s="1"/>
  <c r="K2259" i="11" s="1"/>
  <c r="E2260" i="11" s="1"/>
  <c r="I2260" i="11" l="1"/>
  <c r="J2260" i="11" s="1"/>
  <c r="K2260" i="11" l="1"/>
  <c r="E2261" i="11" s="1"/>
  <c r="I2261" i="11" l="1"/>
  <c r="J2261" i="11" s="1"/>
  <c r="K2261" i="11" s="1"/>
  <c r="E2262" i="11" s="1"/>
  <c r="I2262" i="11" l="1"/>
  <c r="J2262" i="11" s="1"/>
  <c r="K2262" i="11" l="1"/>
  <c r="E2263" i="11" s="1"/>
  <c r="I2263" i="11"/>
  <c r="J2263" i="11" s="1"/>
  <c r="K2263" i="11" l="1"/>
  <c r="E2264" i="11" s="1"/>
  <c r="I2264" i="11"/>
  <c r="J2264" i="11" s="1"/>
  <c r="K2264" i="11" l="1"/>
  <c r="E2265" i="11" s="1"/>
  <c r="I2265" i="11" l="1"/>
  <c r="J2265" i="11" s="1"/>
  <c r="K2265" i="11" l="1"/>
  <c r="E2266" i="11" s="1"/>
  <c r="I2266" i="11"/>
  <c r="J2266" i="11" s="1"/>
  <c r="K2266" i="11" l="1"/>
  <c r="E2267" i="11" s="1"/>
  <c r="I2267" i="11" l="1"/>
  <c r="J2267" i="11" s="1"/>
  <c r="K2267" i="11" l="1"/>
  <c r="E2268" i="11" s="1"/>
  <c r="I2268" i="11" l="1"/>
  <c r="J2268" i="11" s="1"/>
  <c r="K2268" i="11" l="1"/>
  <c r="E2269" i="11" s="1"/>
  <c r="I2269" i="11" l="1"/>
  <c r="J2269" i="11" s="1"/>
  <c r="K2269" i="11" l="1"/>
  <c r="E2270" i="11" s="1"/>
  <c r="I2270" i="11" l="1"/>
  <c r="J2270" i="11" s="1"/>
  <c r="K2270" i="11" l="1"/>
  <c r="E2271" i="11" s="1"/>
  <c r="I2271" i="11" l="1"/>
  <c r="J2271" i="11" s="1"/>
  <c r="K2271" i="11" l="1"/>
  <c r="E2272" i="11" s="1"/>
  <c r="I2272" i="11" l="1"/>
  <c r="J2272" i="11" s="1"/>
  <c r="K2272" i="11" l="1"/>
  <c r="E2273" i="11" s="1"/>
  <c r="I2273" i="11" l="1"/>
  <c r="J2273" i="11" s="1"/>
  <c r="K2273" i="11" s="1"/>
  <c r="E2274" i="11" s="1"/>
  <c r="I2274" i="11" l="1"/>
  <c r="J2274" i="11" s="1"/>
  <c r="K2274" i="11" l="1"/>
  <c r="E2275" i="11" s="1"/>
  <c r="I2275" i="11" l="1"/>
  <c r="J2275" i="11" s="1"/>
  <c r="K2275" i="11" l="1"/>
  <c r="E2276" i="11" s="1"/>
  <c r="I2276" i="11" l="1"/>
  <c r="J2276" i="11" s="1"/>
  <c r="K2276" i="11" l="1"/>
  <c r="E2277" i="11" s="1"/>
  <c r="I2277" i="11"/>
  <c r="J2277" i="11" s="1"/>
  <c r="K2277" i="11" l="1"/>
  <c r="E2278" i="11" s="1"/>
  <c r="I2278" i="11" l="1"/>
  <c r="J2278" i="11" s="1"/>
  <c r="K2278" i="11" l="1"/>
  <c r="E2279" i="11" s="1"/>
  <c r="I2279" i="11" l="1"/>
  <c r="J2279" i="11" s="1"/>
  <c r="K2279" i="11" s="1"/>
  <c r="E2280" i="11" s="1"/>
  <c r="I2280" i="11" s="1"/>
  <c r="J2280" i="11" s="1"/>
  <c r="K2280" i="11" s="1"/>
  <c r="E2281" i="11" s="1"/>
  <c r="I2281" i="11" s="1"/>
  <c r="J2281" i="11" s="1"/>
  <c r="K2281" i="11" s="1"/>
  <c r="E2282" i="11" s="1"/>
  <c r="I2282" i="11" s="1"/>
  <c r="J2282" i="11" s="1"/>
  <c r="K2282" i="11" l="1"/>
  <c r="E2283" i="11" s="1"/>
  <c r="I2283" i="11" l="1"/>
  <c r="J2283" i="11" s="1"/>
  <c r="K2283" i="11" l="1"/>
  <c r="E2284" i="11" s="1"/>
  <c r="I2284" i="11" s="1"/>
  <c r="J2284" i="11" s="1"/>
  <c r="K2284" i="11" l="1"/>
  <c r="E2285" i="11" s="1"/>
  <c r="I2285" i="11" s="1"/>
  <c r="J2285" i="11" s="1"/>
  <c r="K2285" i="11" l="1"/>
  <c r="E2286" i="11" s="1"/>
  <c r="I2286" i="11"/>
  <c r="J2286" i="11" s="1"/>
  <c r="K2286" i="11" s="1"/>
  <c r="E2287" i="11" s="1"/>
  <c r="I2287" i="11" l="1"/>
  <c r="J2287" i="11" s="1"/>
  <c r="K2287" i="11" l="1"/>
  <c r="E2288" i="11" s="1"/>
  <c r="I2288" i="11" l="1"/>
  <c r="J2288" i="11" s="1"/>
  <c r="K2288" i="11" s="1"/>
  <c r="E2289" i="11" s="1"/>
  <c r="I2289" i="11" l="1"/>
  <c r="J2289" i="11" s="1"/>
  <c r="K2289" i="11" l="1"/>
  <c r="E2290" i="11" s="1"/>
  <c r="I2290" i="11" s="1"/>
  <c r="J2290" i="11" s="1"/>
  <c r="K2290" i="11" l="1"/>
  <c r="E2291" i="11" s="1"/>
  <c r="I2291" i="11" l="1"/>
  <c r="J2291" i="11" s="1"/>
  <c r="K2291" i="11" s="1"/>
  <c r="E2292" i="11" s="1"/>
  <c r="I2292" i="11" l="1"/>
  <c r="J2292" i="11" s="1"/>
  <c r="K2292" i="11" l="1"/>
  <c r="E2293" i="11" s="1"/>
  <c r="I2293" i="11" s="1"/>
  <c r="J2293" i="11" s="1"/>
  <c r="K2293" i="11" l="1"/>
  <c r="E2294" i="11" s="1"/>
  <c r="I2294" i="11" s="1"/>
  <c r="J2294" i="11" s="1"/>
  <c r="K2294" i="11" l="1"/>
  <c r="E2295" i="11" s="1"/>
  <c r="I2295" i="11" l="1"/>
  <c r="J2295" i="11" s="1"/>
  <c r="K2295" i="11" l="1"/>
  <c r="E2296" i="11" s="1"/>
  <c r="I2296" i="11" l="1"/>
  <c r="J2296" i="11" s="1"/>
  <c r="K2296" i="11" s="1"/>
  <c r="E2297" i="11" s="1"/>
  <c r="I2297" i="11" l="1"/>
  <c r="J2297" i="11" s="1"/>
  <c r="K2297" i="11" s="1"/>
  <c r="E2298" i="11" s="1"/>
  <c r="I2298" i="11" l="1"/>
  <c r="J2298" i="11" s="1"/>
  <c r="K2298" i="11" l="1"/>
  <c r="E2299" i="11" s="1"/>
  <c r="I2299" i="11" l="1"/>
  <c r="J2299" i="11" s="1"/>
  <c r="K2299" i="11" l="1"/>
  <c r="E2300" i="11" s="1"/>
  <c r="I2300" i="11" l="1"/>
  <c r="J2300" i="11" s="1"/>
  <c r="K2300" i="11" l="1"/>
  <c r="E2301" i="11" s="1"/>
  <c r="I2301" i="11" l="1"/>
  <c r="J2301" i="11" s="1"/>
  <c r="K2301" i="11" l="1"/>
  <c r="E2302" i="11" s="1"/>
  <c r="I2302" i="11" l="1"/>
  <c r="J2302" i="11" s="1"/>
  <c r="K2302" i="11" l="1"/>
  <c r="E2303" i="11" s="1"/>
  <c r="I2303" i="11" l="1"/>
  <c r="J2303" i="11" s="1"/>
  <c r="K2303" i="11" l="1"/>
  <c r="E2304" i="11" s="1"/>
  <c r="I2304" i="11" l="1"/>
  <c r="J2304" i="11" s="1"/>
  <c r="K2304" i="11" l="1"/>
  <c r="E2305" i="11" s="1"/>
  <c r="I2305" i="11" l="1"/>
  <c r="J2305" i="11" s="1"/>
  <c r="K2305" i="11" l="1"/>
  <c r="E2306" i="11" s="1"/>
  <c r="I2306" i="11" l="1"/>
  <c r="J2306" i="11" s="1"/>
  <c r="K2306" i="11" l="1"/>
  <c r="E2307" i="11" s="1"/>
  <c r="I2307" i="11" l="1"/>
  <c r="J2307" i="11" s="1"/>
  <c r="K2307" i="11" l="1"/>
  <c r="E2308" i="11" s="1"/>
  <c r="I2308" i="11" l="1"/>
  <c r="J2308" i="11" s="1"/>
  <c r="K2308" i="11" l="1"/>
  <c r="E2309" i="11" s="1"/>
  <c r="I2309" i="11" l="1"/>
  <c r="J2309" i="11" s="1"/>
  <c r="K2309" i="11" l="1"/>
  <c r="E2310" i="11" s="1"/>
  <c r="I2310" i="11" l="1"/>
  <c r="J2310" i="11" s="1"/>
  <c r="K2310" i="11" l="1"/>
  <c r="E2311" i="11" s="1"/>
  <c r="I2311" i="11" l="1"/>
  <c r="J2311" i="11" s="1"/>
  <c r="K2311" i="11" l="1"/>
  <c r="E2312" i="11" s="1"/>
  <c r="I2312" i="11" l="1"/>
  <c r="J2312" i="11" s="1"/>
  <c r="K2312" i="11" l="1"/>
  <c r="E2313" i="11" s="1"/>
  <c r="I2313" i="11" l="1"/>
  <c r="J2313" i="11" s="1"/>
  <c r="K2313" i="11" l="1"/>
  <c r="E2314" i="11" s="1"/>
  <c r="I2314" i="11" l="1"/>
  <c r="J2314" i="11" s="1"/>
  <c r="K2314" i="11" l="1"/>
  <c r="E2315" i="11" s="1"/>
  <c r="I2315" i="11" l="1"/>
  <c r="J2315" i="11" s="1"/>
  <c r="K2315" i="11" l="1"/>
  <c r="E2316" i="11" s="1"/>
  <c r="I2316" i="11" l="1"/>
  <c r="J2316" i="11" s="1"/>
  <c r="K2316" i="11" l="1"/>
  <c r="E2317" i="11" s="1"/>
  <c r="I2317" i="11" l="1"/>
  <c r="J2317" i="11" s="1"/>
  <c r="K2317" i="11" l="1"/>
  <c r="E2318" i="11" s="1"/>
  <c r="I2318" i="11" l="1"/>
  <c r="J2318" i="11" s="1"/>
  <c r="K2318" i="11" l="1"/>
  <c r="E2319" i="11" s="1"/>
  <c r="I2319" i="11" l="1"/>
  <c r="J2319" i="11" s="1"/>
  <c r="K2319" i="11" l="1"/>
  <c r="E2320" i="11" s="1"/>
  <c r="I2320" i="11" l="1"/>
  <c r="J2320" i="11" s="1"/>
  <c r="K2320" i="11" l="1"/>
  <c r="E2321" i="11" s="1"/>
  <c r="I2321" i="11" l="1"/>
  <c r="J2321" i="11" s="1"/>
  <c r="K2321" i="11" l="1"/>
  <c r="E2322" i="11" s="1"/>
  <c r="I2322" i="11" l="1"/>
  <c r="J2322" i="11" s="1"/>
  <c r="K2322" i="11" l="1"/>
  <c r="E2323" i="11" s="1"/>
  <c r="I2323" i="11" l="1"/>
  <c r="J2323" i="11" s="1"/>
  <c r="K2323" i="11" l="1"/>
  <c r="E2324" i="11" s="1"/>
  <c r="I2324" i="11" l="1"/>
  <c r="J2324" i="11" s="1"/>
  <c r="K2324" i="11" l="1"/>
  <c r="E2325" i="11" s="1"/>
  <c r="I2325" i="11" l="1"/>
  <c r="J2325" i="11" s="1"/>
  <c r="K2325" i="11" l="1"/>
  <c r="E2326" i="11" s="1"/>
  <c r="I2326" i="11" l="1"/>
  <c r="J2326" i="11" s="1"/>
  <c r="K2326" i="11" l="1"/>
  <c r="E2327" i="11" s="1"/>
  <c r="I2327" i="11" l="1"/>
  <c r="J2327" i="11" s="1"/>
  <c r="K2327" i="11" l="1"/>
  <c r="E2328" i="11" s="1"/>
  <c r="I2328" i="11"/>
  <c r="J2328" i="11" s="1"/>
  <c r="K2328" i="11" l="1"/>
  <c r="E2329" i="11" s="1"/>
  <c r="I2329" i="11" l="1"/>
  <c r="J2329" i="11" s="1"/>
  <c r="K2329" i="11" l="1"/>
  <c r="E2330" i="11" s="1"/>
  <c r="I2330" i="11" l="1"/>
  <c r="J2330" i="11" s="1"/>
  <c r="K2330" i="11" l="1"/>
  <c r="E2331" i="11" s="1"/>
  <c r="I2331" i="11" s="1"/>
  <c r="J2331" i="11" s="1"/>
  <c r="K2331" i="11" l="1"/>
  <c r="E2332" i="11" s="1"/>
  <c r="I2332" i="11" l="1"/>
  <c r="J2332" i="11" s="1"/>
  <c r="K2332" i="11" l="1"/>
  <c r="E2333" i="11" s="1"/>
  <c r="I2333" i="11" s="1"/>
  <c r="J2333" i="11" s="1"/>
  <c r="K2333" i="11" l="1"/>
  <c r="E2334" i="11" s="1"/>
  <c r="I2334" i="11"/>
  <c r="J2334" i="11" s="1"/>
  <c r="K2334" i="11" l="1"/>
  <c r="E2335" i="11" s="1"/>
  <c r="I2335" i="11" l="1"/>
  <c r="J2335" i="11" s="1"/>
  <c r="K2335" i="11" l="1"/>
  <c r="E2336" i="11" s="1"/>
  <c r="I2336" i="11" s="1"/>
  <c r="J2336" i="11" s="1"/>
  <c r="K2336" i="11" l="1"/>
  <c r="E2337" i="11" s="1"/>
  <c r="I2337" i="11" l="1"/>
  <c r="J2337" i="11" s="1"/>
  <c r="K2337" i="11" l="1"/>
  <c r="E2338" i="11" s="1"/>
  <c r="I2338" i="11" s="1"/>
  <c r="J2338" i="11" s="1"/>
  <c r="K2338" i="11" l="1"/>
  <c r="E2339" i="11" s="1"/>
  <c r="I2339" i="11"/>
  <c r="J2339" i="11" s="1"/>
  <c r="K2339" i="11" s="1"/>
  <c r="E2340" i="11" s="1"/>
  <c r="I2340" i="11" l="1"/>
  <c r="J2340" i="11" s="1"/>
  <c r="K2340" i="11" l="1"/>
  <c r="E2341" i="11" s="1"/>
  <c r="I2341" i="11"/>
  <c r="J2341" i="11" s="1"/>
  <c r="K2341" i="11" l="1"/>
  <c r="E2342" i="11" s="1"/>
  <c r="I2342" i="11" l="1"/>
  <c r="J2342" i="11" s="1"/>
  <c r="K2342" i="11" l="1"/>
  <c r="E2343" i="11" s="1"/>
  <c r="I2343" i="11"/>
  <c r="J2343" i="11" s="1"/>
  <c r="K2343" i="11" s="1"/>
  <c r="E2344" i="11" s="1"/>
  <c r="I2344" i="11" l="1"/>
  <c r="J2344" i="11" s="1"/>
  <c r="K2344" i="11" l="1"/>
  <c r="E2345" i="11" s="1"/>
  <c r="I2345" i="11" l="1"/>
  <c r="J2345" i="11" s="1"/>
  <c r="K2345" i="11" s="1"/>
  <c r="E2346" i="11" s="1"/>
  <c r="I2346" i="11" l="1"/>
  <c r="J2346" i="11" s="1"/>
  <c r="K2346" i="11" l="1"/>
  <c r="E2347" i="11" s="1"/>
  <c r="I2347" i="11" l="1"/>
  <c r="J2347" i="11" s="1"/>
  <c r="K2347" i="11" l="1"/>
  <c r="E2348" i="11" s="1"/>
  <c r="I2348" i="11" l="1"/>
  <c r="J2348" i="11" s="1"/>
  <c r="K2348" i="11" s="1"/>
  <c r="E2349" i="11" s="1"/>
  <c r="I2349" i="11" l="1"/>
  <c r="J2349" i="11" s="1"/>
  <c r="K2349" i="11" l="1"/>
  <c r="E2350" i="11" s="1"/>
  <c r="I2350" i="11" l="1"/>
  <c r="J2350" i="11" s="1"/>
  <c r="K2350" i="11" s="1"/>
  <c r="E2351" i="11" s="1"/>
  <c r="I2351" i="11" l="1"/>
  <c r="J2351" i="11" s="1"/>
  <c r="K2351" i="11" l="1"/>
  <c r="E2352" i="11" s="1"/>
  <c r="I2352" i="11" l="1"/>
  <c r="J2352" i="11" s="1"/>
  <c r="K2352" i="11" l="1"/>
  <c r="E2353" i="11" s="1"/>
  <c r="I2353" i="11" l="1"/>
  <c r="J2353" i="11" s="1"/>
  <c r="K2353" i="11" s="1"/>
  <c r="E2354" i="11" s="1"/>
  <c r="I2354" i="11" l="1"/>
  <c r="J2354" i="11" s="1"/>
  <c r="K2354" i="11" l="1"/>
  <c r="E2355" i="11" s="1"/>
  <c r="I2355" i="11"/>
  <c r="J2355" i="11" s="1"/>
  <c r="K2355" i="11" s="1"/>
  <c r="E2356" i="11" s="1"/>
  <c r="I2356" i="11" l="1"/>
  <c r="J2356" i="11" s="1"/>
  <c r="K2356" i="11" s="1"/>
  <c r="E2357" i="11" s="1"/>
  <c r="I2357" i="11" l="1"/>
  <c r="J2357" i="11" s="1"/>
  <c r="K2357" i="11" l="1"/>
  <c r="E2358" i="11" s="1"/>
  <c r="I2358" i="11" l="1"/>
  <c r="J2358" i="11" s="1"/>
  <c r="K2358" i="11" l="1"/>
  <c r="E2359" i="11" s="1"/>
  <c r="I2359" i="11" s="1"/>
  <c r="J2359" i="11" s="1"/>
  <c r="K2359" i="11" l="1"/>
  <c r="E2360" i="11" s="1"/>
  <c r="I2360" i="11" l="1"/>
  <c r="J2360" i="11" s="1"/>
  <c r="K2360" i="11" l="1"/>
  <c r="E2361" i="11" s="1"/>
  <c r="I2361" i="11" l="1"/>
  <c r="J2361" i="11" s="1"/>
  <c r="K2361" i="11" l="1"/>
  <c r="E2362" i="11" s="1"/>
  <c r="I2362" i="11" l="1"/>
  <c r="J2362" i="11" s="1"/>
  <c r="K2362" i="11" s="1"/>
  <c r="E2363" i="11" s="1"/>
  <c r="I2363" i="11" l="1"/>
  <c r="J2363" i="11" s="1"/>
  <c r="K2363" i="11" s="1"/>
  <c r="E2364" i="11" s="1"/>
  <c r="I2364" i="11" l="1"/>
  <c r="J2364" i="11" s="1"/>
  <c r="K2364" i="11" s="1"/>
  <c r="E2365" i="11" s="1"/>
  <c r="I2365" i="11" l="1"/>
  <c r="J2365" i="11" s="1"/>
  <c r="K2365" i="11" l="1"/>
  <c r="E2366" i="11" s="1"/>
  <c r="I2366" i="11" l="1"/>
  <c r="J2366" i="11" s="1"/>
  <c r="K2366" i="11" s="1"/>
  <c r="E2367" i="11" s="1"/>
  <c r="I2367" i="11" l="1"/>
  <c r="J2367" i="11" s="1"/>
  <c r="K2367" i="11" s="1"/>
  <c r="E2368" i="11" s="1"/>
  <c r="I2368" i="11" l="1"/>
  <c r="J2368" i="11" s="1"/>
  <c r="K2368" i="11" l="1"/>
  <c r="E2369" i="11" s="1"/>
  <c r="I2369" i="11" l="1"/>
  <c r="J2369" i="11" s="1"/>
  <c r="K2369" i="11" l="1"/>
  <c r="E2370" i="11" s="1"/>
  <c r="I2370" i="11"/>
  <c r="J2370" i="11" s="1"/>
  <c r="K2370" i="11" l="1"/>
  <c r="E2371" i="11" s="1"/>
  <c r="I2371" i="11"/>
  <c r="J2371" i="11" s="1"/>
  <c r="K2371" i="11" s="1"/>
  <c r="E2372" i="11" s="1"/>
  <c r="I2372" i="11" l="1"/>
  <c r="J2372" i="11" s="1"/>
  <c r="K2372" i="11" s="1"/>
  <c r="E2373" i="11" s="1"/>
  <c r="I2373" i="11" l="1"/>
  <c r="J2373" i="11" s="1"/>
  <c r="K2373" i="11" l="1"/>
  <c r="E2374" i="11" s="1"/>
  <c r="I2374" i="11" l="1"/>
  <c r="J2374" i="11" s="1"/>
  <c r="K2374" i="11" s="1"/>
  <c r="E2375" i="11" s="1"/>
  <c r="I2375" i="11" l="1"/>
  <c r="J2375" i="11" s="1"/>
  <c r="K2375" i="11" l="1"/>
  <c r="E2376" i="11" s="1"/>
  <c r="I2376" i="11"/>
  <c r="J2376" i="11" s="1"/>
  <c r="K2376" i="11" l="1"/>
  <c r="E2377" i="11" s="1"/>
  <c r="I2377" i="11" l="1"/>
  <c r="J2377" i="11" s="1"/>
  <c r="K2377" i="11" s="1"/>
  <c r="E2378" i="11" s="1"/>
  <c r="I2378" i="11" l="1"/>
  <c r="J2378" i="11" s="1"/>
  <c r="K2378" i="11" l="1"/>
  <c r="E2379" i="11" s="1"/>
  <c r="I2379" i="11"/>
  <c r="J2379" i="11" s="1"/>
  <c r="K2379" i="11" l="1"/>
  <c r="E2380" i="11" s="1"/>
  <c r="I2380" i="11"/>
  <c r="J2380" i="11" s="1"/>
  <c r="K2380" i="11" l="1"/>
  <c r="E2381" i="11" s="1"/>
  <c r="I2381" i="11" l="1"/>
  <c r="J2381" i="11" s="1"/>
  <c r="K2381" i="11" l="1"/>
  <c r="E2382" i="11" s="1"/>
  <c r="I2382" i="11" l="1"/>
  <c r="J2382" i="11" s="1"/>
  <c r="K2382" i="11" l="1"/>
  <c r="E2383" i="11" s="1"/>
  <c r="I2383" i="11"/>
  <c r="J2383" i="11" s="1"/>
  <c r="K2383" i="11" l="1"/>
  <c r="E2384" i="11" s="1"/>
  <c r="I2384" i="11" l="1"/>
  <c r="J2384" i="11" s="1"/>
  <c r="K2384" i="11" l="1"/>
  <c r="E2385" i="11" s="1"/>
  <c r="I2385" i="11" l="1"/>
  <c r="J2385" i="11" s="1"/>
  <c r="K2385" i="11" l="1"/>
  <c r="E2386" i="11" s="1"/>
  <c r="I2386" i="11" l="1"/>
  <c r="J2386" i="11" s="1"/>
  <c r="K2386" i="11" l="1"/>
  <c r="E2387" i="11" s="1"/>
  <c r="I2387" i="11" s="1"/>
  <c r="J2387" i="11" s="1"/>
  <c r="K2387" i="11" l="1"/>
  <c r="E2388" i="11" s="1"/>
  <c r="I2388" i="11" l="1"/>
  <c r="J2388" i="11" s="1"/>
  <c r="K2388" i="11" s="1"/>
  <c r="E2389" i="11" s="1"/>
  <c r="I2389" i="11" l="1"/>
  <c r="J2389" i="11" s="1"/>
  <c r="K2389" i="11" l="1"/>
  <c r="E2390" i="11" s="1"/>
  <c r="I2390" i="11" l="1"/>
  <c r="J2390" i="11" s="1"/>
  <c r="K2390" i="11" l="1"/>
  <c r="E2391" i="11" s="1"/>
  <c r="I2391" i="11" l="1"/>
  <c r="J2391" i="11" s="1"/>
  <c r="K2391" i="11" l="1"/>
  <c r="E2392" i="11" s="1"/>
  <c r="I2392" i="11" l="1"/>
  <c r="J2392" i="11" s="1"/>
  <c r="K2392" i="11" l="1"/>
  <c r="E2393" i="11" s="1"/>
  <c r="I2393" i="11" l="1"/>
  <c r="J2393" i="11" s="1"/>
  <c r="K2393" i="11" l="1"/>
  <c r="E2394" i="11" s="1"/>
  <c r="I2394" i="11" l="1"/>
  <c r="J2394" i="11" s="1"/>
  <c r="K2394" i="11" l="1"/>
  <c r="E2395" i="11" s="1"/>
  <c r="I2395" i="11" l="1"/>
  <c r="J2395" i="11" s="1"/>
  <c r="K2395" i="11" l="1"/>
  <c r="E2396" i="11" s="1"/>
  <c r="I2396" i="11" l="1"/>
  <c r="J2396" i="11" s="1"/>
  <c r="K2396" i="11" l="1"/>
  <c r="E2397" i="11" s="1"/>
  <c r="I2397" i="11" l="1"/>
  <c r="J2397" i="11" s="1"/>
  <c r="K2397" i="11" l="1"/>
  <c r="E2398" i="11" s="1"/>
  <c r="I2398" i="11" l="1"/>
  <c r="J2398" i="11" s="1"/>
  <c r="K2398" i="11" s="1"/>
  <c r="E2399" i="11" s="1"/>
  <c r="I2399" i="11" l="1"/>
  <c r="J2399" i="11" s="1"/>
  <c r="K2399" i="11" l="1"/>
  <c r="E2400" i="11" s="1"/>
  <c r="I2400" i="11" l="1"/>
  <c r="J2400" i="11" s="1"/>
  <c r="K2400" i="11" l="1"/>
  <c r="E2401" i="11" s="1"/>
  <c r="I2401" i="11" l="1"/>
  <c r="J2401" i="11" s="1"/>
  <c r="K2401" i="11" l="1"/>
  <c r="E2402" i="11" s="1"/>
  <c r="I2402" i="11" l="1"/>
  <c r="J2402" i="11" s="1"/>
  <c r="K2402" i="11" l="1"/>
  <c r="E2403" i="11" s="1"/>
  <c r="I2403" i="11" l="1"/>
  <c r="J2403" i="11" s="1"/>
  <c r="K2403" i="11" l="1"/>
  <c r="E2404" i="11" s="1"/>
  <c r="I2404" i="11" l="1"/>
  <c r="J2404" i="11" s="1"/>
  <c r="K2404" i="11" l="1"/>
  <c r="E2405" i="11" s="1"/>
  <c r="I2405" i="11" l="1"/>
  <c r="J2405" i="11" s="1"/>
  <c r="K2405" i="11" l="1"/>
  <c r="E2406" i="11" s="1"/>
  <c r="I2406" i="11" l="1"/>
  <c r="J2406" i="11" s="1"/>
  <c r="K2406" i="11" l="1"/>
  <c r="E2407" i="11" s="1"/>
  <c r="I2407" i="11" l="1"/>
  <c r="J2407" i="11" s="1"/>
  <c r="K2407" i="11" l="1"/>
  <c r="E2408" i="11" s="1"/>
  <c r="I2408" i="11" l="1"/>
  <c r="J2408" i="11" s="1"/>
  <c r="K2408" i="11" l="1"/>
  <c r="E2409" i="11" s="1"/>
  <c r="I2409" i="11" l="1"/>
  <c r="J2409" i="11" s="1"/>
  <c r="K2409" i="11" s="1"/>
  <c r="E2410" i="11" s="1"/>
  <c r="I2410" i="11" l="1"/>
  <c r="J2410" i="11" s="1"/>
  <c r="K2410" i="11" l="1"/>
  <c r="E2411" i="11" s="1"/>
  <c r="I2411" i="11" l="1"/>
  <c r="J2411" i="11" s="1"/>
  <c r="K2411" i="11" l="1"/>
  <c r="E2412" i="11" s="1"/>
  <c r="I2412" i="11" l="1"/>
  <c r="J2412" i="11" s="1"/>
  <c r="K2412" i="11" l="1"/>
  <c r="E2413" i="11" s="1"/>
  <c r="I2413" i="11" l="1"/>
  <c r="J2413" i="11" s="1"/>
  <c r="K2413" i="11" l="1"/>
  <c r="E2414" i="11" s="1"/>
  <c r="I2414" i="11" l="1"/>
  <c r="J2414" i="11" s="1"/>
  <c r="K2414" i="11" l="1"/>
  <c r="E2415" i="11" s="1"/>
  <c r="I2415" i="11" l="1"/>
  <c r="J2415" i="11" s="1"/>
  <c r="K2415" i="11" l="1"/>
  <c r="E2416" i="11" s="1"/>
  <c r="I2416" i="11" l="1"/>
  <c r="J2416" i="11" s="1"/>
  <c r="K2416" i="11" l="1"/>
  <c r="E2417" i="11" s="1"/>
  <c r="I2417" i="11" l="1"/>
  <c r="J2417" i="11" s="1"/>
  <c r="K2417" i="11" l="1"/>
  <c r="E2418" i="11" s="1"/>
  <c r="I2418" i="11" l="1"/>
  <c r="J2418" i="11" s="1"/>
  <c r="K2418" i="11" s="1"/>
  <c r="E2419" i="11" s="1"/>
  <c r="I2419" i="11" l="1"/>
  <c r="J2419" i="11" s="1"/>
  <c r="K2419" i="11" l="1"/>
  <c r="C14" i="11" s="1"/>
  <c r="H4" i="10" s="1"/>
  <c r="H5" i="10" l="1"/>
  <c r="M4" i="10"/>
  <c r="M5" i="10" l="1"/>
  <c r="O4" i="10"/>
  <c r="O5" i="10" l="1"/>
  <c r="R4" i="10"/>
  <c r="R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 Akello</author>
  </authors>
  <commentList>
    <comment ref="G18" authorId="0" shapeId="0" xr:uid="{DDEC422C-897F-4F80-B2C8-19FB2EEF1915}">
      <text>
        <r>
          <rPr>
            <b/>
            <sz val="9"/>
            <color indexed="81"/>
            <rFont val="Tahoma"/>
            <family val="2"/>
          </rPr>
          <t>Leslie Akello:</t>
        </r>
        <r>
          <rPr>
            <sz val="9"/>
            <color indexed="81"/>
            <rFont val="Tahoma"/>
            <family val="2"/>
          </rPr>
          <t xml:space="preserve">
Populate tabs highlighted in yellow and areas highlighted in yellow from the data and information given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<sst xmlns="http://schemas.openxmlformats.org/spreadsheetml/2006/main" count="14494" uniqueCount="181">
  <si>
    <t>DA &amp; IPP Valuation</t>
  </si>
  <si>
    <t>General Information</t>
  </si>
  <si>
    <t>Client</t>
  </si>
  <si>
    <t xml:space="preserve">Kenbright Training </t>
  </si>
  <si>
    <t>Project</t>
  </si>
  <si>
    <t>DA &amp; IPP Training</t>
  </si>
  <si>
    <t>Valuation Date</t>
  </si>
  <si>
    <t>Data Provided</t>
  </si>
  <si>
    <t>1. You are provided with Contribution &amp; Withdrawal data for 3 pension schemes</t>
  </si>
  <si>
    <t>Data Clean Up</t>
  </si>
  <si>
    <t>1. Start by combining the Contributions and Withdrawal data into a single excel Sheet</t>
  </si>
  <si>
    <t>2. Make sure to negate all the withdrawal amounts from the Fund</t>
  </si>
  <si>
    <t xml:space="preserve">3. Contribution and withdrawal amounts should be pasted on different columns </t>
  </si>
  <si>
    <t>Transaction Dates</t>
  </si>
  <si>
    <t>3. Create a copy of the data Clean up Sheet then sort the data by Transaction date from earliest transaction to Latest transaction</t>
  </si>
  <si>
    <t>Model</t>
  </si>
  <si>
    <t>4. Paste the sorted data on the Model tab</t>
  </si>
  <si>
    <t>Instructions</t>
  </si>
  <si>
    <t xml:space="preserve">1. Opening balance for the fund was KES  20,502,306 as at 1st January 2024. Calculate the Fund Closing balance as at 31st December </t>
  </si>
  <si>
    <t>2. Calculate the Fund balance at a declared rate of 0%, 4%, 8% and 10% and compare your results.</t>
  </si>
  <si>
    <t xml:space="preserve">3. The fund charges a management fee of 2% </t>
  </si>
  <si>
    <t>Policy Number</t>
  </si>
  <si>
    <t>Member Number</t>
  </si>
  <si>
    <t>Transaction Date</t>
  </si>
  <si>
    <t>Contribution Amount (KES)</t>
  </si>
  <si>
    <t>DA-003</t>
  </si>
  <si>
    <t>DA-003-M0001</t>
  </si>
  <si>
    <t>DA-001</t>
  </si>
  <si>
    <t>DA-001-M0002</t>
  </si>
  <si>
    <t>DA-002</t>
  </si>
  <si>
    <t>DA-002-M0003</t>
  </si>
  <si>
    <t>DA-001-M0004</t>
  </si>
  <si>
    <t>DA-003-M0005</t>
  </si>
  <si>
    <t>DA-003-M0006</t>
  </si>
  <si>
    <t>DA-003-M0007</t>
  </si>
  <si>
    <t>DA-003-M0008</t>
  </si>
  <si>
    <t>DA-001-M0009</t>
  </si>
  <si>
    <t>DA-001-M0010</t>
  </si>
  <si>
    <t>DA-001-M0011</t>
  </si>
  <si>
    <t>DA-003-M0012</t>
  </si>
  <si>
    <t>DA-003-M0013</t>
  </si>
  <si>
    <t>DA-003-M0014</t>
  </si>
  <si>
    <t>DA-003-M0015</t>
  </si>
  <si>
    <t>DA-002-M0016</t>
  </si>
  <si>
    <t>DA-002-M0017</t>
  </si>
  <si>
    <t>DA-002-M0018</t>
  </si>
  <si>
    <t>DA-001-M0019</t>
  </si>
  <si>
    <t>DA-002-M0020</t>
  </si>
  <si>
    <t>DA-002-M0021</t>
  </si>
  <si>
    <t>DA-001-M0022</t>
  </si>
  <si>
    <t>DA-002-M0023</t>
  </si>
  <si>
    <t>DA-001-M0024</t>
  </si>
  <si>
    <t>DA-001-M0025</t>
  </si>
  <si>
    <t>DA-002-M0026</t>
  </si>
  <si>
    <t>DA-002-M0027</t>
  </si>
  <si>
    <t>DA-003-M0028</t>
  </si>
  <si>
    <t>DA-003-M0029</t>
  </si>
  <si>
    <t>DA-002-M0030</t>
  </si>
  <si>
    <t>DA-003-M0031</t>
  </si>
  <si>
    <t>DA-003-M0032</t>
  </si>
  <si>
    <t>DA-002-M0033</t>
  </si>
  <si>
    <t>DA-001-M0034</t>
  </si>
  <si>
    <t>DA-001-M0035</t>
  </si>
  <si>
    <t>DA-003-M0036</t>
  </si>
  <si>
    <t>DA-002-M0037</t>
  </si>
  <si>
    <t>DA-001-M0038</t>
  </si>
  <si>
    <t>DA-002-M0039</t>
  </si>
  <si>
    <t>DA-002-M0040</t>
  </si>
  <si>
    <t>DA-002-M0041</t>
  </si>
  <si>
    <t>DA-002-M0042</t>
  </si>
  <si>
    <t>DA-001-M0043</t>
  </si>
  <si>
    <t>DA-002-M0044</t>
  </si>
  <si>
    <t>DA-003-M0045</t>
  </si>
  <si>
    <t>DA-001-M0046</t>
  </si>
  <si>
    <t>DA-003-M0047</t>
  </si>
  <si>
    <t>DA-003-M0048</t>
  </si>
  <si>
    <t>DA-001-M0049</t>
  </si>
  <si>
    <t>DA-002-M0050</t>
  </si>
  <si>
    <t>DA-002-M0051</t>
  </si>
  <si>
    <t>DA-003-M0052</t>
  </si>
  <si>
    <t>DA-001-M0053</t>
  </si>
  <si>
    <t>DA-002-M0054</t>
  </si>
  <si>
    <t>DA-001-M0055</t>
  </si>
  <si>
    <t>DA-001-M0056</t>
  </si>
  <si>
    <t>DA-002-M0057</t>
  </si>
  <si>
    <t>DA-001-M0058</t>
  </si>
  <si>
    <t>DA-003-M0059</t>
  </si>
  <si>
    <t>DA-002-M0060</t>
  </si>
  <si>
    <t>DA-003-M0061</t>
  </si>
  <si>
    <t>DA-002-M0062</t>
  </si>
  <si>
    <t>DA-002-M0063</t>
  </si>
  <si>
    <t>DA-002-M0064</t>
  </si>
  <si>
    <t>DA-001-M0065</t>
  </si>
  <si>
    <t>DA-003-M0066</t>
  </si>
  <si>
    <t>DA-002-M0067</t>
  </si>
  <si>
    <t>DA-003-M0068</t>
  </si>
  <si>
    <t>DA-003-M0069</t>
  </si>
  <si>
    <t>DA-002-M0070</t>
  </si>
  <si>
    <t>DA-001-M0071</t>
  </si>
  <si>
    <t>DA-002-M0072</t>
  </si>
  <si>
    <t>DA-001-M0073</t>
  </si>
  <si>
    <t>DA-001-M0074</t>
  </si>
  <si>
    <t>DA-001-M0075</t>
  </si>
  <si>
    <t>DA-003-M0076</t>
  </si>
  <si>
    <t>DA-003-M0077</t>
  </si>
  <si>
    <t>DA-002-M0078</t>
  </si>
  <si>
    <t>DA-003-M0079</t>
  </si>
  <si>
    <t>DA-003-M0080</t>
  </si>
  <si>
    <t>DA-003-M0081</t>
  </si>
  <si>
    <t>DA-003-M0082</t>
  </si>
  <si>
    <t>DA-001-M0083</t>
  </si>
  <si>
    <t>DA-003-M0084</t>
  </si>
  <si>
    <t>DA-002-M0085</t>
  </si>
  <si>
    <t>DA-003-M0086</t>
  </si>
  <si>
    <t>DA-001-M0087</t>
  </si>
  <si>
    <t>DA-002-M0088</t>
  </si>
  <si>
    <t>DA-002-M0089</t>
  </si>
  <si>
    <t>DA-003-M0090</t>
  </si>
  <si>
    <t>DA-002-M0091</t>
  </si>
  <si>
    <t>DA-001-M0092</t>
  </si>
  <si>
    <t>DA-001-M0093</t>
  </si>
  <si>
    <t>DA-002-M0094</t>
  </si>
  <si>
    <t>DA-003-M0095</t>
  </si>
  <si>
    <t>DA-001-M0096</t>
  </si>
  <si>
    <t>DA-002-M0097</t>
  </si>
  <si>
    <t>DA-001-M0098</t>
  </si>
  <si>
    <t>DA-003-M0099</t>
  </si>
  <si>
    <t>DA-003-M0100</t>
  </si>
  <si>
    <t>Withdrawal Amount (KES)</t>
  </si>
  <si>
    <t>Transactio_Type (Withdrawal or Contribution)</t>
  </si>
  <si>
    <t>Withdrawal Amount</t>
  </si>
  <si>
    <t>Contributions &gt;&gt;</t>
  </si>
  <si>
    <t>Contribution</t>
  </si>
  <si>
    <t xml:space="preserve">Withdrawals &gt;&gt;&gt; </t>
  </si>
  <si>
    <t>Withdrawal</t>
  </si>
  <si>
    <t>Annual Fees Rate</t>
  </si>
  <si>
    <t>Declared Rate of Return</t>
  </si>
  <si>
    <t>δ</t>
  </si>
  <si>
    <t>Daily Interest</t>
  </si>
  <si>
    <t>Daily Fees Rate</t>
  </si>
  <si>
    <t>Assumptions</t>
  </si>
  <si>
    <t>Interest Credited Frequency</t>
  </si>
  <si>
    <t>Daily</t>
  </si>
  <si>
    <t>Monthly Cut-off Date</t>
  </si>
  <si>
    <t>Fund Value as at 1st Januray 20242024</t>
  </si>
  <si>
    <t>Fund Value as at 31 December 2024</t>
  </si>
  <si>
    <t>Kenbright DA Client
Fund Balance as at 31st December 2024</t>
  </si>
  <si>
    <t>Date of Transaction</t>
  </si>
  <si>
    <t>Policy No</t>
  </si>
  <si>
    <t>Transaction Type</t>
  </si>
  <si>
    <t>Opening Balance</t>
  </si>
  <si>
    <t>Contributions</t>
  </si>
  <si>
    <t>Withdrawals</t>
  </si>
  <si>
    <t>Net Inflow</t>
  </si>
  <si>
    <t>Interest Credited</t>
  </si>
  <si>
    <t>Fees</t>
  </si>
  <si>
    <t>Closing Balance</t>
  </si>
  <si>
    <t>Balance BF</t>
  </si>
  <si>
    <t>Types of Insurance</t>
  </si>
  <si>
    <t>No of Contracts</t>
  </si>
  <si>
    <t>No of Lives</t>
  </si>
  <si>
    <t>Amount of Sums Assured</t>
  </si>
  <si>
    <t>Amount of Vested Bonuses</t>
  </si>
  <si>
    <t>Amount of Office Premiums</t>
  </si>
  <si>
    <t>Value of Benefits</t>
  </si>
  <si>
    <t>Value of Bonuses</t>
  </si>
  <si>
    <t>Value of Expenses</t>
  </si>
  <si>
    <t>Value of Commissions</t>
  </si>
  <si>
    <t>Value of Office Premiums</t>
  </si>
  <si>
    <t>BE Liability Before Zeroisation</t>
  </si>
  <si>
    <t>Negative Reserves</t>
  </si>
  <si>
    <t>Gross Reserve Before Zeroisation</t>
  </si>
  <si>
    <t>Risk Margin</t>
  </si>
  <si>
    <t>Reinsurance</t>
  </si>
  <si>
    <t>Total Liability</t>
  </si>
  <si>
    <t>Group Deposit Administration</t>
  </si>
  <si>
    <t>Internal Results (4% guarantee)</t>
  </si>
  <si>
    <t>Declared Interest at 8%</t>
  </si>
  <si>
    <t>Declared Interest at 10%</t>
  </si>
  <si>
    <t>Declared Interest at 0%</t>
  </si>
  <si>
    <t>Cost of additional Interest Declared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</si>
</sst>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[$]dd/mm/yyyy;@" x16r2:formatCode16="[$-en-KE,1]dd/mm/yyyy;@"/>
    <numFmt numFmtId="166" formatCode="_(* #,##0_);_(* \(#,##0\);_(* &quot;-&quot;??_);_(@_)"/>
    <numFmt numFmtId="167" formatCode="_-* #,##0_-;\-* #,##0_-;_-* &quot;-&quot;??_-;_-@_-"/>
    <numFmt numFmtId="168" formatCode="0.000%"/>
  </numFmts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Lato"/>
      <family val="2"/>
    </font>
    <font>
      <b/>
      <sz val="8"/>
      <color rgb="FF2F5BA6"/>
      <name val="Mulish"/>
    </font>
    <font>
      <sz val="8"/>
      <color theme="1"/>
      <name val="Mulish"/>
    </font>
    <font>
      <b/>
      <sz val="8"/>
      <color theme="1"/>
      <name val="Mulish"/>
    </font>
    <font>
      <b/>
      <sz val="8"/>
      <color rgb="FF0070C0"/>
      <name val="Mulish"/>
    </font>
    <font>
      <b/>
      <sz val="8"/>
      <color theme="0"/>
      <name val="Mulish"/>
    </font>
    <font>
      <sz val="9"/>
      <color theme="1"/>
      <name val="Mulish"/>
    </font>
    <font>
      <b/>
      <sz val="9"/>
      <color theme="0"/>
      <name val="Mulish"/>
    </font>
    <font>
      <b/>
      <sz val="9"/>
      <color theme="1"/>
      <name val="Mulish"/>
    </font>
    <font>
      <b/>
      <sz val="9"/>
      <color rgb="FF2F5BA6"/>
      <name val="Mulish"/>
    </font>
    <font>
      <b/>
      <sz val="8"/>
      <color rgb="FFFFFFFF"/>
      <name val="Mulish"/>
    </font>
    <font>
      <b/>
      <sz val="9"/>
      <color rgb="FF0137A6"/>
      <name val="Mulish"/>
    </font>
    <font>
      <b/>
      <sz val="9"/>
      <name val="Mulish"/>
    </font>
    <font>
      <sz val="9"/>
      <color theme="1"/>
      <name val="Nunito"/>
    </font>
    <font>
      <sz val="8"/>
      <color rgb="FF0137A6"/>
      <name val="Mulish"/>
    </font>
    <font>
      <b/>
      <sz val="8"/>
      <color rgb="FF0137A6"/>
      <name val="Mulish"/>
    </font>
    <font>
      <b/>
      <sz val="20"/>
      <color rgb="FF0137A6"/>
      <name val="Mulish"/>
    </font>
    <font>
      <sz val="9"/>
      <color theme="1"/>
      <name val="Nunito Sans"/>
    </font>
    <font>
      <b/>
      <sz val="9"/>
      <color theme="0"/>
      <name val="Nunito Sans"/>
    </font>
    <font>
      <sz val="11"/>
      <color theme="1"/>
      <name val="Nunito Sans"/>
    </font>
    <font>
      <b/>
      <sz val="9"/>
      <color theme="1"/>
      <name val="Nunito Sans"/>
    </font>
    <font>
      <b/>
      <sz val="11"/>
      <color rgb="FF0137A6"/>
      <name val="Nunito Sans"/>
    </font>
    <font>
      <sz val="10"/>
      <color theme="1"/>
      <name val="Lato"/>
      <family val="2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Mulish"/>
    </font>
    <font>
      <sz val="9"/>
      <color rgb="FF00B050"/>
      <name val="Mulish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137A6"/>
      <name val="Nunito San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137A6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2F5BA6"/>
      </top>
      <bottom style="thin">
        <color rgb="FF2F5BA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18523A"/>
      </left>
      <right style="thin">
        <color rgb="FF18523A"/>
      </right>
      <top/>
      <bottom/>
      <diagonal/>
    </border>
    <border>
      <left style="thin">
        <color rgb="FF18523A"/>
      </left>
      <right/>
      <top/>
      <bottom/>
      <diagonal/>
    </border>
    <border>
      <left/>
      <right style="thin">
        <color rgb="FF18523A"/>
      </right>
      <top/>
      <bottom/>
      <diagonal/>
    </border>
    <border>
      <left style="thin">
        <color rgb="FF18523A"/>
      </left>
      <right style="thick">
        <color rgb="FF18523A"/>
      </right>
      <top/>
      <bottom/>
      <diagonal/>
    </border>
    <border>
      <left/>
      <right/>
      <top style="thin">
        <color rgb="FF0137A6"/>
      </top>
      <bottom style="thin">
        <color rgb="FF0137A6"/>
      </bottom>
      <diagonal/>
    </border>
    <border>
      <left style="thin">
        <color rgb="FF0137A6"/>
      </left>
      <right/>
      <top style="thin">
        <color rgb="FF0137A6"/>
      </top>
      <bottom style="thin">
        <color rgb="FF0137A6"/>
      </bottom>
      <diagonal/>
    </border>
    <border>
      <left/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 style="thin">
        <color rgb="FF0137A6"/>
      </right>
      <top/>
      <bottom style="thin">
        <color rgb="FF0137A6"/>
      </bottom>
      <diagonal/>
    </border>
    <border>
      <left style="thin">
        <color rgb="FF0137A6"/>
      </left>
      <right style="thin">
        <color rgb="FF0137A6"/>
      </right>
      <top/>
      <bottom/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medium">
        <color rgb="FF2F5BA6"/>
      </left>
      <right/>
      <top/>
      <bottom/>
      <diagonal/>
    </border>
  </borders>
  <cellStyleXfs count="19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5" fillId="0" borderId="0" applyFont="0" applyFill="0" applyBorder="0" applyAlignment="0" applyProtection="0"/>
    <xf numFmtId="0" fontId="26" fillId="0" borderId="0"/>
    <xf numFmtId="0" fontId="27" fillId="0" borderId="0"/>
    <xf numFmtId="9" fontId="2" fillId="0" borderId="0" applyFont="0" applyFill="0" applyBorder="0" applyAlignment="0" applyProtection="0"/>
    <xf numFmtId="0" fontId="2" fillId="0" borderId="0"/>
    <xf numFmtId="9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2"/>
    <xf numFmtId="0" fontId="5" fillId="3" borderId="0" xfId="7" applyFont="1" applyFill="1"/>
    <xf numFmtId="0" fontId="6" fillId="3" borderId="0" xfId="7" applyFont="1" applyFill="1" applyAlignment="1">
      <alignment horizontal="left"/>
    </xf>
    <xf numFmtId="0" fontId="7" fillId="3" borderId="0" xfId="7" applyFont="1" applyFill="1" applyAlignment="1">
      <alignment vertical="center"/>
    </xf>
    <xf numFmtId="0" fontId="5" fillId="5" borderId="2" xfId="7" applyFont="1" applyFill="1" applyBorder="1" applyAlignment="1">
      <alignment horizontal="right"/>
    </xf>
    <xf numFmtId="0" fontId="6" fillId="3" borderId="0" xfId="7" applyFont="1" applyFill="1" applyAlignment="1">
      <alignment horizontal="right"/>
    </xf>
    <xf numFmtId="15" fontId="5" fillId="5" borderId="2" xfId="7" applyNumberFormat="1" applyFont="1" applyFill="1" applyBorder="1" applyAlignment="1">
      <alignment horizontal="right"/>
    </xf>
    <xf numFmtId="15" fontId="6" fillId="3" borderId="0" xfId="7" applyNumberFormat="1" applyFont="1" applyFill="1" applyAlignment="1">
      <alignment horizontal="right"/>
    </xf>
    <xf numFmtId="15" fontId="6" fillId="3" borderId="0" xfId="7" applyNumberFormat="1" applyFont="1" applyFill="1" applyAlignment="1">
      <alignment horizontal="left"/>
    </xf>
    <xf numFmtId="0" fontId="16" fillId="3" borderId="0" xfId="7" applyFont="1" applyFill="1"/>
    <xf numFmtId="0" fontId="17" fillId="4" borderId="2" xfId="7" applyFont="1" applyFill="1" applyBorder="1" applyAlignment="1">
      <alignment horizontal="right"/>
    </xf>
    <xf numFmtId="0" fontId="8" fillId="6" borderId="0" xfId="7" applyFont="1" applyFill="1" applyAlignment="1">
      <alignment vertical="center"/>
    </xf>
    <xf numFmtId="0" fontId="18" fillId="6" borderId="0" xfId="7" applyFont="1" applyFill="1" applyAlignment="1">
      <alignment horizontal="left"/>
    </xf>
    <xf numFmtId="0" fontId="17" fillId="6" borderId="0" xfId="7" applyFont="1" applyFill="1"/>
    <xf numFmtId="0" fontId="3" fillId="3" borderId="0" xfId="2" applyFill="1"/>
    <xf numFmtId="0" fontId="4" fillId="3" borderId="0" xfId="7" applyFont="1" applyFill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3" borderId="0" xfId="0" applyFill="1" applyAlignment="1">
      <alignment horizontal="right"/>
    </xf>
    <xf numFmtId="0" fontId="22" fillId="0" borderId="0" xfId="0" applyFont="1"/>
    <xf numFmtId="0" fontId="20" fillId="0" borderId="0" xfId="0" applyFont="1" applyAlignment="1">
      <alignment horizontal="right"/>
    </xf>
    <xf numFmtId="14" fontId="20" fillId="0" borderId="0" xfId="0" applyNumberFormat="1" applyFont="1" applyAlignment="1">
      <alignment horizontal="right"/>
    </xf>
    <xf numFmtId="0" fontId="21" fillId="6" borderId="1" xfId="0" applyFont="1" applyFill="1" applyBorder="1" applyAlignment="1">
      <alignment horizontal="right" vertical="top"/>
    </xf>
    <xf numFmtId="14" fontId="21" fillId="6" borderId="1" xfId="0" applyNumberFormat="1" applyFont="1" applyFill="1" applyBorder="1" applyAlignment="1">
      <alignment horizontal="right" vertical="top"/>
    </xf>
    <xf numFmtId="167" fontId="20" fillId="0" borderId="0" xfId="1" applyNumberFormat="1" applyFont="1" applyAlignment="1">
      <alignment horizontal="right"/>
    </xf>
    <xf numFmtId="167" fontId="21" fillId="6" borderId="1" xfId="1" applyNumberFormat="1" applyFont="1" applyFill="1" applyBorder="1" applyAlignment="1">
      <alignment horizontal="right" vertical="top"/>
    </xf>
    <xf numFmtId="0" fontId="24" fillId="0" borderId="0" xfId="0" applyFont="1"/>
    <xf numFmtId="0" fontId="3" fillId="0" borderId="0" xfId="7"/>
    <xf numFmtId="0" fontId="9" fillId="3" borderId="0" xfId="7" applyFont="1" applyFill="1" applyAlignment="1">
      <alignment horizontal="right" vertical="center"/>
    </xf>
    <xf numFmtId="0" fontId="9" fillId="3" borderId="0" xfId="7" applyFont="1" applyFill="1" applyAlignment="1">
      <alignment horizontal="right" vertical="center" wrapText="1"/>
    </xf>
    <xf numFmtId="0" fontId="9" fillId="3" borderId="0" xfId="7" applyFont="1" applyFill="1" applyAlignment="1">
      <alignment horizontal="left" vertical="center" wrapText="1"/>
    </xf>
    <xf numFmtId="9" fontId="9" fillId="2" borderId="0" xfId="7" applyNumberFormat="1" applyFont="1" applyFill="1" applyAlignment="1">
      <alignment horizontal="left" vertical="center" wrapText="1"/>
    </xf>
    <xf numFmtId="166" fontId="9" fillId="3" borderId="0" xfId="3" applyNumberFormat="1" applyFont="1" applyFill="1" applyAlignment="1">
      <alignment horizontal="right" vertical="center" wrapText="1"/>
    </xf>
    <xf numFmtId="166" fontId="9" fillId="3" borderId="0" xfId="7" applyNumberFormat="1" applyFont="1" applyFill="1" applyAlignment="1">
      <alignment horizontal="right" vertical="center" wrapText="1"/>
    </xf>
    <xf numFmtId="10" fontId="9" fillId="2" borderId="0" xfId="7" applyNumberFormat="1" applyFont="1" applyFill="1" applyAlignment="1">
      <alignment horizontal="left" vertical="center" wrapText="1"/>
    </xf>
    <xf numFmtId="10" fontId="9" fillId="3" borderId="0" xfId="4" applyNumberFormat="1" applyFont="1" applyFill="1" applyAlignment="1">
      <alignment horizontal="left" vertical="center" wrapText="1"/>
    </xf>
    <xf numFmtId="168" fontId="9" fillId="3" borderId="0" xfId="4" applyNumberFormat="1" applyFont="1" applyFill="1" applyAlignment="1">
      <alignment horizontal="left" vertical="center" wrapText="1"/>
    </xf>
    <xf numFmtId="3" fontId="9" fillId="3" borderId="0" xfId="3" applyNumberFormat="1" applyFont="1" applyFill="1" applyAlignment="1">
      <alignment horizontal="left" vertical="center" wrapText="1"/>
    </xf>
    <xf numFmtId="10" fontId="9" fillId="3" borderId="0" xfId="4" applyNumberFormat="1" applyFont="1" applyFill="1" applyAlignment="1">
      <alignment horizontal="right" vertical="center" wrapText="1"/>
    </xf>
    <xf numFmtId="164" fontId="9" fillId="3" borderId="0" xfId="7" applyNumberFormat="1" applyFont="1" applyFill="1" applyAlignment="1">
      <alignment horizontal="right" vertical="center" wrapText="1"/>
    </xf>
    <xf numFmtId="14" fontId="9" fillId="3" borderId="0" xfId="7" applyNumberFormat="1" applyFont="1" applyFill="1" applyAlignment="1">
      <alignment horizontal="right" vertical="center" wrapText="1"/>
    </xf>
    <xf numFmtId="166" fontId="9" fillId="3" borderId="0" xfId="3" applyNumberFormat="1" applyFont="1" applyFill="1" applyAlignment="1">
      <alignment horizontal="right" vertical="center"/>
    </xf>
    <xf numFmtId="166" fontId="29" fillId="3" borderId="0" xfId="3" applyNumberFormat="1" applyFont="1" applyFill="1" applyAlignment="1">
      <alignment horizontal="right" vertical="center" wrapText="1"/>
    </xf>
    <xf numFmtId="167" fontId="9" fillId="3" borderId="0" xfId="7" applyNumberFormat="1" applyFont="1" applyFill="1" applyAlignment="1">
      <alignment horizontal="right" vertical="center" wrapText="1"/>
    </xf>
    <xf numFmtId="0" fontId="30" fillId="3" borderId="0" xfId="7" applyFont="1" applyFill="1" applyAlignment="1">
      <alignment horizontal="right" vertical="center"/>
    </xf>
    <xf numFmtId="166" fontId="9" fillId="0" borderId="0" xfId="3" applyNumberFormat="1" applyFont="1"/>
    <xf numFmtId="0" fontId="12" fillId="3" borderId="0" xfId="7" applyFont="1" applyFill="1" applyAlignment="1">
      <alignment horizontal="right" vertical="center" wrapText="1"/>
    </xf>
    <xf numFmtId="166" fontId="14" fillId="5" borderId="9" xfId="3" applyNumberFormat="1" applyFont="1" applyFill="1" applyBorder="1" applyAlignment="1">
      <alignment horizontal="right" vertical="center" wrapText="1"/>
    </xf>
    <xf numFmtId="0" fontId="11" fillId="0" borderId="0" xfId="5" applyFont="1" applyAlignment="1">
      <alignment horizontal="right" vertical="center"/>
    </xf>
    <xf numFmtId="0" fontId="9" fillId="0" borderId="0" xfId="5" applyFont="1" applyAlignment="1">
      <alignment horizontal="right" vertical="center"/>
    </xf>
    <xf numFmtId="167" fontId="13" fillId="6" borderId="14" xfId="8" applyNumberFormat="1" applyFont="1" applyFill="1" applyBorder="1" applyAlignment="1">
      <alignment horizontal="right" vertical="center" wrapText="1"/>
    </xf>
    <xf numFmtId="167" fontId="9" fillId="0" borderId="0" xfId="3" applyNumberFormat="1" applyFont="1"/>
    <xf numFmtId="1" fontId="9" fillId="3" borderId="0" xfId="3" applyNumberFormat="1" applyFont="1" applyFill="1" applyAlignment="1">
      <alignment horizontal="right" vertical="center" wrapText="1"/>
    </xf>
    <xf numFmtId="4" fontId="9" fillId="3" borderId="0" xfId="3" applyNumberFormat="1" applyFont="1" applyFill="1" applyAlignment="1">
      <alignment horizontal="right" vertical="center" wrapText="1"/>
    </xf>
    <xf numFmtId="4" fontId="9" fillId="3" borderId="0" xfId="7" applyNumberFormat="1" applyFont="1" applyFill="1" applyAlignment="1">
      <alignment horizontal="right" vertical="center" wrapText="1"/>
    </xf>
    <xf numFmtId="1" fontId="9" fillId="3" borderId="0" xfId="7" applyNumberFormat="1" applyFont="1" applyFill="1" applyAlignment="1">
      <alignment horizontal="right" vertical="center" wrapText="1"/>
    </xf>
    <xf numFmtId="0" fontId="23" fillId="7" borderId="0" xfId="0" applyFont="1" applyFill="1" applyAlignment="1">
      <alignment horizontal="right"/>
    </xf>
    <xf numFmtId="0" fontId="14" fillId="3" borderId="0" xfId="7" applyFont="1" applyFill="1" applyAlignment="1">
      <alignment horizontal="right" vertical="center" wrapText="1"/>
    </xf>
    <xf numFmtId="166" fontId="11" fillId="3" borderId="0" xfId="3" applyNumberFormat="1" applyFont="1" applyFill="1" applyAlignment="1">
      <alignment horizontal="right" vertical="center"/>
    </xf>
    <xf numFmtId="166" fontId="14" fillId="2" borderId="9" xfId="3" applyNumberFormat="1" applyFont="1" applyFill="1" applyBorder="1" applyAlignment="1">
      <alignment horizontal="right" vertical="center" wrapText="1"/>
    </xf>
    <xf numFmtId="0" fontId="13" fillId="6" borderId="15" xfId="0" applyFont="1" applyFill="1" applyBorder="1" applyAlignment="1">
      <alignment horizontal="right" vertical="center" wrapText="1"/>
    </xf>
    <xf numFmtId="166" fontId="9" fillId="0" borderId="13" xfId="1" applyNumberFormat="1" applyFont="1" applyBorder="1" applyAlignment="1">
      <alignment horizontal="right" vertical="center"/>
    </xf>
    <xf numFmtId="166" fontId="9" fillId="0" borderId="7" xfId="1" applyNumberFormat="1" applyFont="1" applyBorder="1" applyAlignment="1">
      <alignment horizontal="right" vertical="center"/>
    </xf>
    <xf numFmtId="166" fontId="9" fillId="0" borderId="5" xfId="1" applyNumberFormat="1" applyFont="1" applyBorder="1" applyAlignment="1">
      <alignment horizontal="right" vertical="center"/>
    </xf>
    <xf numFmtId="166" fontId="9" fillId="0" borderId="8" xfId="1" applyNumberFormat="1" applyFont="1" applyBorder="1" applyAlignment="1">
      <alignment horizontal="right" vertical="center"/>
    </xf>
    <xf numFmtId="166" fontId="9" fillId="0" borderId="6" xfId="1" applyNumberFormat="1" applyFont="1" applyBorder="1" applyAlignment="1">
      <alignment horizontal="right" vertical="center"/>
    </xf>
    <xf numFmtId="166" fontId="9" fillId="0" borderId="12" xfId="1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166" fontId="11" fillId="0" borderId="4" xfId="1" applyNumberFormat="1" applyFont="1" applyBorder="1" applyAlignment="1">
      <alignment horizontal="right" vertical="center"/>
    </xf>
    <xf numFmtId="166" fontId="11" fillId="0" borderId="3" xfId="1" applyNumberFormat="1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166" fontId="11" fillId="0" borderId="0" xfId="1" applyNumberFormat="1" applyFont="1" applyBorder="1" applyAlignment="1">
      <alignment horizontal="right" vertical="center"/>
    </xf>
    <xf numFmtId="0" fontId="14" fillId="5" borderId="10" xfId="0" applyFont="1" applyFill="1" applyBorder="1" applyAlignment="1">
      <alignment horizontal="right" vertical="center"/>
    </xf>
    <xf numFmtId="166" fontId="14" fillId="5" borderId="9" xfId="1" applyNumberFormat="1" applyFont="1" applyFill="1" applyBorder="1" applyAlignment="1">
      <alignment horizontal="right" vertical="center"/>
    </xf>
    <xf numFmtId="166" fontId="14" fillId="5" borderId="11" xfId="1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6" fontId="9" fillId="0" borderId="0" xfId="1" applyNumberFormat="1" applyFont="1" applyAlignment="1">
      <alignment horizontal="right" vertical="center"/>
    </xf>
    <xf numFmtId="3" fontId="11" fillId="2" borderId="0" xfId="3" applyNumberFormat="1" applyFont="1" applyFill="1" applyAlignment="1">
      <alignment horizontal="left" vertical="center" wrapText="1"/>
    </xf>
    <xf numFmtId="0" fontId="14" fillId="2" borderId="9" xfId="7" applyFont="1" applyFill="1" applyBorder="1" applyAlignment="1">
      <alignment horizontal="right" vertical="center" wrapText="1"/>
    </xf>
    <xf numFmtId="14" fontId="11" fillId="3" borderId="0" xfId="7" applyNumberFormat="1" applyFont="1" applyFill="1" applyAlignment="1">
      <alignment horizontal="right" vertical="center" wrapText="1"/>
    </xf>
    <xf numFmtId="0" fontId="11" fillId="3" borderId="0" xfId="7" applyFont="1" applyFill="1" applyAlignment="1">
      <alignment horizontal="right" vertical="center"/>
    </xf>
    <xf numFmtId="166" fontId="11" fillId="3" borderId="0" xfId="3" applyNumberFormat="1" applyFont="1" applyFill="1" applyAlignment="1">
      <alignment horizontal="right" vertical="center" wrapText="1"/>
    </xf>
    <xf numFmtId="166" fontId="15" fillId="3" borderId="0" xfId="3" applyNumberFormat="1" applyFont="1" applyFill="1" applyAlignment="1">
      <alignment horizontal="right" vertical="center" wrapText="1"/>
    </xf>
    <xf numFmtId="166" fontId="23" fillId="0" borderId="0" xfId="0" applyNumberFormat="1" applyFont="1"/>
    <xf numFmtId="166" fontId="33" fillId="0" borderId="0" xfId="0" applyNumberFormat="1" applyFont="1"/>
    <xf numFmtId="14" fontId="9" fillId="2" borderId="0" xfId="7" applyNumberFormat="1" applyFont="1" applyFill="1" applyAlignment="1">
      <alignment horizontal="left" vertical="center" wrapText="1"/>
    </xf>
    <xf numFmtId="15" fontId="5" fillId="2" borderId="2" xfId="7" applyNumberFormat="1" applyFont="1" applyFill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9" fillId="3" borderId="0" xfId="7" applyFont="1" applyFill="1" applyAlignment="1">
      <alignment horizontal="left" vertical="center" wrapText="1"/>
    </xf>
    <xf numFmtId="0" fontId="10" fillId="6" borderId="0" xfId="7" applyFont="1" applyFill="1" applyAlignment="1">
      <alignment horizontal="center" vertical="center" wrapText="1"/>
    </xf>
  </cellXfs>
  <cellStyles count="19">
    <cellStyle name="Comma" xfId="1" builtinId="3"/>
    <cellStyle name="Comma 2" xfId="6" xr:uid="{3829A4FC-F085-49C3-8A12-16E83CD7CE92}"/>
    <cellStyle name="Comma 2 2" xfId="16" xr:uid="{0E630583-F7E4-434F-BD0A-57D7FA9E41CE}"/>
    <cellStyle name="Comma 3" xfId="3" xr:uid="{C7B6D793-DE9C-41D7-A1A6-A41B45CF47B3}"/>
    <cellStyle name="Comma 3 2" xfId="10" xr:uid="{950E5751-E267-4679-B397-8F0E05BB3499}"/>
    <cellStyle name="Comma 4" xfId="8" xr:uid="{CBBB5553-5928-457C-A721-5F446D5DE1AD}"/>
    <cellStyle name="Comma 5" xfId="18" xr:uid="{531BCA71-7058-4B9F-88D2-751AB1F4923B}"/>
    <cellStyle name="Normal" xfId="0" builtinId="0"/>
    <cellStyle name="Normal 2" xfId="7" xr:uid="{ACE10608-88B5-4141-819D-84FF45AE6FF9}"/>
    <cellStyle name="Normal 2 2" xfId="12" xr:uid="{A3799C6A-14F8-4254-9C51-DC230793F234}"/>
    <cellStyle name="Normal 2 3" xfId="14" xr:uid="{5BDFA95C-CA5E-4026-9891-6E8106B7E46A}"/>
    <cellStyle name="Normal 2 4" xfId="11" xr:uid="{BD4D28BF-903E-4067-8F40-0D4B2825CF9D}"/>
    <cellStyle name="Normal 201" xfId="9" xr:uid="{130EEFD3-4F12-4A52-8109-FB65157D1895}"/>
    <cellStyle name="Normal 3" xfId="5" xr:uid="{CA29B142-7DA6-4760-A422-5DF577DE9614}"/>
    <cellStyle name="Normal 4" xfId="2" xr:uid="{53CE6478-394D-4D1B-A210-2691441B52B6}"/>
    <cellStyle name="Normal 4 2" xfId="17" xr:uid="{B282DD43-0BDF-4FBC-8AAF-0C87E025E1BD}"/>
    <cellStyle name="Percent 2" xfId="4" xr:uid="{46D6BFB1-4F53-40F2-B1DE-4771CE6B85CB}"/>
    <cellStyle name="Percent 2 2" xfId="15" xr:uid="{65F614E5-2116-48B2-AB39-282FC8CF8158}"/>
    <cellStyle name="Percent 2 3" xfId="13" xr:uid="{ACAA16A6-E5A6-41EC-8B15-5006818C9F9F}"/>
  </cellStyles>
  <dxfs count="0"/>
  <tableStyles count="0" defaultTableStyle="TableStyleMedium9" defaultPivotStyle="PivotStyleLight16"/>
  <colors>
    <mruColors>
      <color rgb="FF01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C43B-28A3-49C1-A0DE-C36386614647}">
  <sheetPr>
    <tabColor theme="1"/>
  </sheetPr>
  <dimension ref="B2:J16"/>
  <sheetViews>
    <sheetView showGridLines="0" workbookViewId="0">
      <selection activeCell="D24" sqref="D24"/>
    </sheetView>
  </sheetViews>
  <sheetFormatPr defaultRowHeight="14.25"/>
  <cols>
    <col min="4" max="4" width="15" customWidth="1"/>
    <col min="5" max="5" width="30.85546875" customWidth="1"/>
  </cols>
  <sheetData>
    <row r="2" spans="2:10" ht="15">
      <c r="B2" s="1"/>
      <c r="C2" s="16"/>
      <c r="D2" s="1"/>
      <c r="E2" s="1"/>
      <c r="F2" s="1"/>
      <c r="G2" s="1"/>
      <c r="H2" s="1"/>
      <c r="I2" s="1"/>
      <c r="J2" s="1"/>
    </row>
    <row r="4" spans="2:10" ht="15">
      <c r="B4" s="1"/>
      <c r="C4" s="2"/>
      <c r="D4" s="2"/>
      <c r="E4" s="3"/>
      <c r="F4" s="3"/>
      <c r="G4" s="3"/>
      <c r="H4" s="2"/>
      <c r="I4" s="2"/>
      <c r="J4" s="2"/>
    </row>
    <row r="5" spans="2:10" ht="28.5">
      <c r="B5" s="1"/>
      <c r="C5" s="91" t="s">
        <v>0</v>
      </c>
      <c r="D5" s="91"/>
      <c r="E5" s="91"/>
      <c r="F5" s="91"/>
      <c r="G5" s="91"/>
      <c r="H5" s="91"/>
      <c r="I5" s="2"/>
      <c r="J5" s="2"/>
    </row>
    <row r="6" spans="2:10" ht="15">
      <c r="B6" s="1"/>
      <c r="C6" s="4"/>
      <c r="D6" s="4"/>
      <c r="E6" s="4"/>
      <c r="F6" s="4"/>
      <c r="G6" s="4"/>
      <c r="H6" s="2"/>
      <c r="I6" s="2"/>
      <c r="J6" s="2"/>
    </row>
    <row r="7" spans="2:10" ht="15">
      <c r="B7" s="1"/>
      <c r="C7" s="1"/>
      <c r="D7" s="1"/>
      <c r="E7" s="3"/>
      <c r="F7" s="3"/>
      <c r="G7" s="3"/>
      <c r="H7" s="15"/>
      <c r="I7" s="2"/>
      <c r="J7" s="2"/>
    </row>
    <row r="8" spans="2:10" ht="15">
      <c r="B8" s="1"/>
      <c r="C8" s="12" t="s">
        <v>1</v>
      </c>
      <c r="D8" s="13"/>
      <c r="E8" s="14"/>
      <c r="F8" s="14"/>
      <c r="G8" s="14"/>
      <c r="H8" s="14"/>
      <c r="I8" s="2"/>
      <c r="J8" s="2"/>
    </row>
    <row r="9" spans="2:10" ht="15">
      <c r="B9" s="1"/>
      <c r="C9" s="2"/>
      <c r="D9" s="3"/>
      <c r="E9" s="2"/>
      <c r="F9" s="2"/>
      <c r="G9" s="2"/>
      <c r="H9" s="2"/>
      <c r="I9" s="2"/>
      <c r="J9" s="2"/>
    </row>
    <row r="10" spans="2:10" ht="15">
      <c r="B10" s="1"/>
      <c r="C10" s="10"/>
      <c r="D10" s="11" t="s">
        <v>2</v>
      </c>
      <c r="E10" s="5" t="s">
        <v>3</v>
      </c>
      <c r="F10" s="6"/>
      <c r="G10" s="6"/>
      <c r="H10" s="2"/>
      <c r="I10" s="2"/>
      <c r="J10" s="2"/>
    </row>
    <row r="11" spans="2:10" ht="15">
      <c r="B11" s="1"/>
      <c r="C11" s="2"/>
      <c r="D11" s="11" t="s">
        <v>4</v>
      </c>
      <c r="E11" s="7" t="s">
        <v>5</v>
      </c>
      <c r="F11" s="8"/>
      <c r="G11" s="8"/>
      <c r="H11" s="2"/>
      <c r="I11" s="2"/>
      <c r="J11" s="2"/>
    </row>
    <row r="12" spans="2:10" ht="15">
      <c r="B12" s="1"/>
      <c r="C12" s="2"/>
      <c r="D12" s="11" t="s">
        <v>6</v>
      </c>
      <c r="E12" s="89">
        <v>45657</v>
      </c>
      <c r="F12" s="8"/>
      <c r="G12" s="8"/>
      <c r="H12" s="2"/>
      <c r="I12" s="2"/>
      <c r="J12" s="2"/>
    </row>
    <row r="13" spans="2:10" ht="15">
      <c r="B13" s="1"/>
      <c r="C13" s="2"/>
      <c r="D13" s="2"/>
      <c r="E13" s="9"/>
      <c r="F13" s="9"/>
      <c r="G13" s="9"/>
      <c r="H13" s="2"/>
      <c r="I13" s="2"/>
      <c r="J13" s="2"/>
    </row>
    <row r="16" spans="2:10" ht="15">
      <c r="E16" s="1"/>
      <c r="F16" s="1"/>
      <c r="G16" s="1"/>
      <c r="H16" s="1"/>
      <c r="I16" s="1"/>
      <c r="J16" s="1"/>
    </row>
  </sheetData>
  <mergeCells count="1">
    <mergeCell ref="C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9089-AC46-48BA-8FC9-232C453817B4}">
  <sheetPr>
    <tabColor theme="1"/>
  </sheetPr>
  <dimension ref="C3:C22"/>
  <sheetViews>
    <sheetView showGridLines="0" zoomScale="88" zoomScaleNormal="88" workbookViewId="0">
      <selection activeCell="E30" sqref="E30"/>
    </sheetView>
  </sheetViews>
  <sheetFormatPr defaultColWidth="9" defaultRowHeight="16.899999999999999"/>
  <cols>
    <col min="1" max="16384" width="9" style="22"/>
  </cols>
  <sheetData>
    <row r="3" spans="3:3">
      <c r="C3" s="29" t="s">
        <v>7</v>
      </c>
    </row>
    <row r="4" spans="3:3">
      <c r="C4" s="22" t="s">
        <v>8</v>
      </c>
    </row>
    <row r="7" spans="3:3">
      <c r="C7" s="29" t="s">
        <v>9</v>
      </c>
    </row>
    <row r="8" spans="3:3">
      <c r="C8" s="22" t="s">
        <v>10</v>
      </c>
    </row>
    <row r="9" spans="3:3">
      <c r="C9" s="22" t="s">
        <v>11</v>
      </c>
    </row>
    <row r="10" spans="3:3">
      <c r="C10" s="22" t="s">
        <v>12</v>
      </c>
    </row>
    <row r="12" spans="3:3">
      <c r="C12" s="29" t="s">
        <v>13</v>
      </c>
    </row>
    <row r="13" spans="3:3">
      <c r="C13" s="22" t="s">
        <v>14</v>
      </c>
    </row>
    <row r="15" spans="3:3">
      <c r="C15" s="29" t="s">
        <v>15</v>
      </c>
    </row>
    <row r="16" spans="3:3">
      <c r="C16" s="22" t="s">
        <v>16</v>
      </c>
    </row>
    <row r="19" spans="3:3">
      <c r="C19" s="29" t="s">
        <v>17</v>
      </c>
    </row>
    <row r="20" spans="3:3">
      <c r="C20" s="22" t="s">
        <v>18</v>
      </c>
    </row>
    <row r="21" spans="3:3">
      <c r="C21" s="22" t="s">
        <v>19</v>
      </c>
    </row>
    <row r="22" spans="3:3">
      <c r="C22" s="2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137A6"/>
  </sheetPr>
  <dimension ref="A1:I1201"/>
  <sheetViews>
    <sheetView showGridLines="0" workbookViewId="0">
      <selection activeCell="G12" sqref="G12"/>
    </sheetView>
  </sheetViews>
  <sheetFormatPr defaultColWidth="9" defaultRowHeight="14.25"/>
  <cols>
    <col min="1" max="1" width="23.42578125" style="18" customWidth="1"/>
    <col min="2" max="2" width="20.5703125" style="18" customWidth="1"/>
    <col min="3" max="3" width="20" style="18" customWidth="1"/>
    <col min="4" max="4" width="23.5703125" style="18" customWidth="1"/>
    <col min="5" max="8" width="9" style="18"/>
    <col min="9" max="9" width="10.140625" style="18" bestFit="1" customWidth="1"/>
    <col min="10" max="16384" width="9" style="18"/>
  </cols>
  <sheetData>
    <row r="1" spans="1:9">
      <c r="A1" s="17" t="s">
        <v>21</v>
      </c>
      <c r="B1" s="17" t="s">
        <v>22</v>
      </c>
      <c r="C1" s="17" t="s">
        <v>23</v>
      </c>
      <c r="D1" s="17" t="s">
        <v>24</v>
      </c>
    </row>
    <row r="2" spans="1:9">
      <c r="A2" s="18" t="s">
        <v>25</v>
      </c>
      <c r="B2" s="18" t="s">
        <v>26</v>
      </c>
      <c r="C2" s="19">
        <v>45456</v>
      </c>
      <c r="D2" s="18">
        <v>15261.14</v>
      </c>
    </row>
    <row r="3" spans="1:9">
      <c r="A3" s="18" t="s">
        <v>25</v>
      </c>
      <c r="B3" s="18" t="s">
        <v>26</v>
      </c>
      <c r="C3" s="19">
        <v>45502</v>
      </c>
      <c r="D3" s="18">
        <v>14102.98</v>
      </c>
    </row>
    <row r="4" spans="1:9">
      <c r="A4" s="18" t="s">
        <v>25</v>
      </c>
      <c r="B4" s="18" t="s">
        <v>26</v>
      </c>
      <c r="C4" s="19">
        <v>45401</v>
      </c>
      <c r="D4" s="18">
        <v>9037.2900000000009</v>
      </c>
    </row>
    <row r="5" spans="1:9">
      <c r="A5" s="18" t="s">
        <v>25</v>
      </c>
      <c r="B5" s="18" t="s">
        <v>26</v>
      </c>
      <c r="C5" s="19">
        <v>45644</v>
      </c>
      <c r="D5" s="18">
        <v>14340.98</v>
      </c>
    </row>
    <row r="6" spans="1:9">
      <c r="A6" s="18" t="s">
        <v>25</v>
      </c>
      <c r="B6" s="18" t="s">
        <v>26</v>
      </c>
      <c r="C6" s="19">
        <v>45548</v>
      </c>
      <c r="D6" s="18">
        <v>16071.34</v>
      </c>
      <c r="I6" s="19"/>
    </row>
    <row r="7" spans="1:9">
      <c r="A7" s="18" t="s">
        <v>25</v>
      </c>
      <c r="B7" s="18" t="s">
        <v>26</v>
      </c>
      <c r="C7" s="19">
        <v>45508</v>
      </c>
      <c r="D7" s="18">
        <v>19433.68</v>
      </c>
      <c r="I7" s="19"/>
    </row>
    <row r="8" spans="1:9">
      <c r="A8" s="18" t="s">
        <v>25</v>
      </c>
      <c r="B8" s="18" t="s">
        <v>26</v>
      </c>
      <c r="C8" s="19">
        <v>45440</v>
      </c>
      <c r="D8" s="18">
        <v>12574.52</v>
      </c>
    </row>
    <row r="9" spans="1:9">
      <c r="A9" s="18" t="s">
        <v>25</v>
      </c>
      <c r="B9" s="18" t="s">
        <v>26</v>
      </c>
      <c r="C9" s="19">
        <v>45344</v>
      </c>
      <c r="D9" s="18">
        <v>13494.73</v>
      </c>
    </row>
    <row r="10" spans="1:9">
      <c r="A10" s="18" t="s">
        <v>25</v>
      </c>
      <c r="B10" s="18" t="s">
        <v>26</v>
      </c>
      <c r="C10" s="19">
        <v>45307</v>
      </c>
      <c r="D10" s="18">
        <v>15986.25</v>
      </c>
    </row>
    <row r="11" spans="1:9">
      <c r="A11" s="18" t="s">
        <v>25</v>
      </c>
      <c r="B11" s="18" t="s">
        <v>26</v>
      </c>
      <c r="C11" s="19">
        <v>45387</v>
      </c>
      <c r="D11" s="18">
        <v>13410.72</v>
      </c>
    </row>
    <row r="12" spans="1:9">
      <c r="A12" s="18" t="s">
        <v>25</v>
      </c>
      <c r="B12" s="18" t="s">
        <v>26</v>
      </c>
      <c r="C12" s="19">
        <v>45310</v>
      </c>
      <c r="D12" s="18">
        <v>16539.8</v>
      </c>
    </row>
    <row r="13" spans="1:9">
      <c r="A13" s="18" t="s">
        <v>25</v>
      </c>
      <c r="B13" s="18" t="s">
        <v>26</v>
      </c>
      <c r="C13" s="19">
        <v>45463</v>
      </c>
      <c r="D13" s="18">
        <v>15291.23</v>
      </c>
    </row>
    <row r="14" spans="1:9">
      <c r="A14" s="18" t="s">
        <v>27</v>
      </c>
      <c r="B14" s="18" t="s">
        <v>28</v>
      </c>
      <c r="C14" s="19">
        <v>45591</v>
      </c>
      <c r="D14" s="18">
        <v>12893.84</v>
      </c>
    </row>
    <row r="15" spans="1:9">
      <c r="A15" s="18" t="s">
        <v>27</v>
      </c>
      <c r="B15" s="18" t="s">
        <v>28</v>
      </c>
      <c r="C15" s="19">
        <v>45583</v>
      </c>
      <c r="D15" s="18">
        <v>14017.01</v>
      </c>
    </row>
    <row r="16" spans="1:9">
      <c r="A16" s="18" t="s">
        <v>27</v>
      </c>
      <c r="B16" s="18" t="s">
        <v>28</v>
      </c>
      <c r="C16" s="19">
        <v>45618</v>
      </c>
      <c r="D16" s="18">
        <v>13823.68</v>
      </c>
    </row>
    <row r="17" spans="1:4">
      <c r="A17" s="18" t="s">
        <v>27</v>
      </c>
      <c r="B17" s="18" t="s">
        <v>28</v>
      </c>
      <c r="C17" s="19">
        <v>45351</v>
      </c>
      <c r="D17" s="18">
        <v>15888.36</v>
      </c>
    </row>
    <row r="18" spans="1:4">
      <c r="A18" s="18" t="s">
        <v>27</v>
      </c>
      <c r="B18" s="18" t="s">
        <v>28</v>
      </c>
      <c r="C18" s="19">
        <v>45322</v>
      </c>
      <c r="D18" s="18">
        <v>15783.17</v>
      </c>
    </row>
    <row r="19" spans="1:4">
      <c r="A19" s="18" t="s">
        <v>27</v>
      </c>
      <c r="B19" s="18" t="s">
        <v>28</v>
      </c>
      <c r="C19" s="19">
        <v>45507</v>
      </c>
      <c r="D19" s="18">
        <v>15015.34</v>
      </c>
    </row>
    <row r="20" spans="1:4">
      <c r="A20" s="18" t="s">
        <v>27</v>
      </c>
      <c r="B20" s="18" t="s">
        <v>28</v>
      </c>
      <c r="C20" s="19">
        <v>45608</v>
      </c>
      <c r="D20" s="18">
        <v>14296.24</v>
      </c>
    </row>
    <row r="21" spans="1:4">
      <c r="A21" s="18" t="s">
        <v>27</v>
      </c>
      <c r="B21" s="18" t="s">
        <v>28</v>
      </c>
      <c r="C21" s="19">
        <v>45513</v>
      </c>
      <c r="D21" s="18">
        <v>10753.89</v>
      </c>
    </row>
    <row r="22" spans="1:4">
      <c r="A22" s="18" t="s">
        <v>27</v>
      </c>
      <c r="B22" s="18" t="s">
        <v>28</v>
      </c>
      <c r="C22" s="19">
        <v>45308</v>
      </c>
      <c r="D22" s="18">
        <v>13738.06</v>
      </c>
    </row>
    <row r="23" spans="1:4">
      <c r="A23" s="18" t="s">
        <v>27</v>
      </c>
      <c r="B23" s="18" t="s">
        <v>28</v>
      </c>
      <c r="C23" s="19">
        <v>45449</v>
      </c>
      <c r="D23" s="18">
        <v>13971.86</v>
      </c>
    </row>
    <row r="24" spans="1:4">
      <c r="A24" s="18" t="s">
        <v>27</v>
      </c>
      <c r="B24" s="18" t="s">
        <v>28</v>
      </c>
      <c r="C24" s="19">
        <v>45564</v>
      </c>
      <c r="D24" s="18">
        <v>12593.17</v>
      </c>
    </row>
    <row r="25" spans="1:4">
      <c r="A25" s="18" t="s">
        <v>27</v>
      </c>
      <c r="B25" s="18" t="s">
        <v>28</v>
      </c>
      <c r="C25" s="19">
        <v>45414</v>
      </c>
      <c r="D25" s="18">
        <v>14516.14</v>
      </c>
    </row>
    <row r="26" spans="1:4">
      <c r="A26" s="18" t="s">
        <v>29</v>
      </c>
      <c r="B26" s="18" t="s">
        <v>30</v>
      </c>
      <c r="C26" s="19">
        <v>45613</v>
      </c>
      <c r="D26" s="18">
        <v>16212.15</v>
      </c>
    </row>
    <row r="27" spans="1:4">
      <c r="A27" s="18" t="s">
        <v>29</v>
      </c>
      <c r="B27" s="18" t="s">
        <v>30</v>
      </c>
      <c r="C27" s="19">
        <v>45614</v>
      </c>
      <c r="D27" s="18">
        <v>20658.560000000001</v>
      </c>
    </row>
    <row r="28" spans="1:4">
      <c r="A28" s="18" t="s">
        <v>29</v>
      </c>
      <c r="B28" s="18" t="s">
        <v>30</v>
      </c>
      <c r="C28" s="19">
        <v>45493</v>
      </c>
      <c r="D28" s="18">
        <v>15523.73</v>
      </c>
    </row>
    <row r="29" spans="1:4">
      <c r="A29" s="18" t="s">
        <v>29</v>
      </c>
      <c r="B29" s="18" t="s">
        <v>30</v>
      </c>
      <c r="C29" s="19">
        <v>45419</v>
      </c>
      <c r="D29" s="18">
        <v>14776.66</v>
      </c>
    </row>
    <row r="30" spans="1:4">
      <c r="A30" s="18" t="s">
        <v>29</v>
      </c>
      <c r="B30" s="18" t="s">
        <v>30</v>
      </c>
      <c r="C30" s="19">
        <v>45549</v>
      </c>
      <c r="D30" s="18">
        <v>9243.69</v>
      </c>
    </row>
    <row r="31" spans="1:4">
      <c r="A31" s="18" t="s">
        <v>29</v>
      </c>
      <c r="B31" s="18" t="s">
        <v>30</v>
      </c>
      <c r="C31" s="19">
        <v>45501</v>
      </c>
      <c r="D31" s="18">
        <v>14920.46</v>
      </c>
    </row>
    <row r="32" spans="1:4">
      <c r="A32" s="18" t="s">
        <v>29</v>
      </c>
      <c r="B32" s="18" t="s">
        <v>30</v>
      </c>
      <c r="C32" s="19">
        <v>45517</v>
      </c>
      <c r="D32" s="18">
        <v>22389.73</v>
      </c>
    </row>
    <row r="33" spans="1:4">
      <c r="A33" s="18" t="s">
        <v>29</v>
      </c>
      <c r="B33" s="18" t="s">
        <v>30</v>
      </c>
      <c r="C33" s="19">
        <v>45649</v>
      </c>
      <c r="D33" s="18">
        <v>15904.64</v>
      </c>
    </row>
    <row r="34" spans="1:4">
      <c r="A34" s="18" t="s">
        <v>29</v>
      </c>
      <c r="B34" s="18" t="s">
        <v>30</v>
      </c>
      <c r="C34" s="19">
        <v>45620</v>
      </c>
      <c r="D34" s="18">
        <v>14895.86</v>
      </c>
    </row>
    <row r="35" spans="1:4">
      <c r="A35" s="18" t="s">
        <v>29</v>
      </c>
      <c r="B35" s="18" t="s">
        <v>30</v>
      </c>
      <c r="C35" s="19">
        <v>45600</v>
      </c>
      <c r="D35" s="18">
        <v>18428.47</v>
      </c>
    </row>
    <row r="36" spans="1:4">
      <c r="A36" s="18" t="s">
        <v>29</v>
      </c>
      <c r="B36" s="18" t="s">
        <v>30</v>
      </c>
      <c r="C36" s="19">
        <v>45429</v>
      </c>
      <c r="D36" s="18">
        <v>17255.8</v>
      </c>
    </row>
    <row r="37" spans="1:4">
      <c r="A37" s="18" t="s">
        <v>29</v>
      </c>
      <c r="B37" s="18" t="s">
        <v>30</v>
      </c>
      <c r="C37" s="19">
        <v>45300</v>
      </c>
      <c r="D37" s="18">
        <v>12271.84</v>
      </c>
    </row>
    <row r="38" spans="1:4">
      <c r="A38" s="18" t="s">
        <v>27</v>
      </c>
      <c r="B38" s="18" t="s">
        <v>31</v>
      </c>
      <c r="C38" s="19">
        <v>45605</v>
      </c>
      <c r="D38" s="18">
        <v>10794.45</v>
      </c>
    </row>
    <row r="39" spans="1:4">
      <c r="A39" s="18" t="s">
        <v>27</v>
      </c>
      <c r="B39" s="18" t="s">
        <v>31</v>
      </c>
      <c r="C39" s="19">
        <v>45403</v>
      </c>
      <c r="D39" s="18">
        <v>21571.37</v>
      </c>
    </row>
    <row r="40" spans="1:4">
      <c r="A40" s="18" t="s">
        <v>27</v>
      </c>
      <c r="B40" s="18" t="s">
        <v>31</v>
      </c>
      <c r="C40" s="19">
        <v>45582</v>
      </c>
      <c r="D40" s="18">
        <v>12028.39</v>
      </c>
    </row>
    <row r="41" spans="1:4">
      <c r="A41" s="18" t="s">
        <v>27</v>
      </c>
      <c r="B41" s="18" t="s">
        <v>31</v>
      </c>
      <c r="C41" s="19">
        <v>45301</v>
      </c>
      <c r="D41" s="18">
        <v>13301.11</v>
      </c>
    </row>
    <row r="42" spans="1:4">
      <c r="A42" s="18" t="s">
        <v>27</v>
      </c>
      <c r="B42" s="18" t="s">
        <v>31</v>
      </c>
      <c r="C42" s="19">
        <v>45318</v>
      </c>
      <c r="D42" s="18">
        <v>15298.95</v>
      </c>
    </row>
    <row r="43" spans="1:4">
      <c r="A43" s="18" t="s">
        <v>27</v>
      </c>
      <c r="B43" s="18" t="s">
        <v>31</v>
      </c>
      <c r="C43" s="19">
        <v>45450</v>
      </c>
      <c r="D43" s="18">
        <v>10348.01</v>
      </c>
    </row>
    <row r="44" spans="1:4">
      <c r="A44" s="18" t="s">
        <v>27</v>
      </c>
      <c r="B44" s="18" t="s">
        <v>31</v>
      </c>
      <c r="C44" s="19">
        <v>45324</v>
      </c>
      <c r="D44" s="18">
        <v>15205.69</v>
      </c>
    </row>
    <row r="45" spans="1:4">
      <c r="A45" s="18" t="s">
        <v>27</v>
      </c>
      <c r="B45" s="18" t="s">
        <v>31</v>
      </c>
      <c r="C45" s="19">
        <v>45609</v>
      </c>
      <c r="D45" s="18">
        <v>16420.78</v>
      </c>
    </row>
    <row r="46" spans="1:4">
      <c r="A46" s="18" t="s">
        <v>27</v>
      </c>
      <c r="B46" s="18" t="s">
        <v>31</v>
      </c>
      <c r="C46" s="19">
        <v>45359</v>
      </c>
      <c r="D46" s="18">
        <v>12241.73</v>
      </c>
    </row>
    <row r="47" spans="1:4">
      <c r="A47" s="18" t="s">
        <v>27</v>
      </c>
      <c r="B47" s="18" t="s">
        <v>31</v>
      </c>
      <c r="C47" s="19">
        <v>45657</v>
      </c>
      <c r="D47" s="18">
        <v>19649.8</v>
      </c>
    </row>
    <row r="48" spans="1:4">
      <c r="A48" s="18" t="s">
        <v>27</v>
      </c>
      <c r="B48" s="18" t="s">
        <v>31</v>
      </c>
      <c r="C48" s="19">
        <v>45495</v>
      </c>
      <c r="D48" s="18">
        <v>12650.24</v>
      </c>
    </row>
    <row r="49" spans="1:4">
      <c r="A49" s="18" t="s">
        <v>27</v>
      </c>
      <c r="B49" s="18" t="s">
        <v>31</v>
      </c>
      <c r="C49" s="19">
        <v>45534</v>
      </c>
      <c r="D49" s="18">
        <v>14033.82</v>
      </c>
    </row>
    <row r="50" spans="1:4">
      <c r="A50" s="18" t="s">
        <v>25</v>
      </c>
      <c r="B50" s="18" t="s">
        <v>32</v>
      </c>
      <c r="C50" s="19">
        <v>45407</v>
      </c>
      <c r="D50" s="18">
        <v>11307.41</v>
      </c>
    </row>
    <row r="51" spans="1:4">
      <c r="A51" s="18" t="s">
        <v>25</v>
      </c>
      <c r="B51" s="18" t="s">
        <v>32</v>
      </c>
      <c r="C51" s="19">
        <v>45650</v>
      </c>
      <c r="D51" s="18">
        <v>15682.38</v>
      </c>
    </row>
    <row r="52" spans="1:4">
      <c r="A52" s="18" t="s">
        <v>25</v>
      </c>
      <c r="B52" s="18" t="s">
        <v>32</v>
      </c>
      <c r="C52" s="19">
        <v>45655</v>
      </c>
      <c r="D52" s="18">
        <v>10177.549999999999</v>
      </c>
    </row>
    <row r="53" spans="1:4">
      <c r="A53" s="18" t="s">
        <v>25</v>
      </c>
      <c r="B53" s="18" t="s">
        <v>32</v>
      </c>
      <c r="C53" s="19">
        <v>45515</v>
      </c>
      <c r="D53" s="18">
        <v>15553.9</v>
      </c>
    </row>
    <row r="54" spans="1:4">
      <c r="A54" s="18" t="s">
        <v>25</v>
      </c>
      <c r="B54" s="18" t="s">
        <v>32</v>
      </c>
      <c r="C54" s="19">
        <v>45488</v>
      </c>
      <c r="D54" s="18">
        <v>15779.65</v>
      </c>
    </row>
    <row r="55" spans="1:4">
      <c r="A55" s="18" t="s">
        <v>25</v>
      </c>
      <c r="B55" s="18" t="s">
        <v>32</v>
      </c>
      <c r="C55" s="19">
        <v>45558</v>
      </c>
      <c r="D55" s="18">
        <v>11289.15</v>
      </c>
    </row>
    <row r="56" spans="1:4">
      <c r="A56" s="18" t="s">
        <v>25</v>
      </c>
      <c r="B56" s="18" t="s">
        <v>32</v>
      </c>
      <c r="C56" s="19">
        <v>45530</v>
      </c>
      <c r="D56" s="18">
        <v>16565.82</v>
      </c>
    </row>
    <row r="57" spans="1:4">
      <c r="A57" s="18" t="s">
        <v>25</v>
      </c>
      <c r="B57" s="18" t="s">
        <v>32</v>
      </c>
      <c r="C57" s="19">
        <v>45502</v>
      </c>
      <c r="D57" s="18">
        <v>15751.48</v>
      </c>
    </row>
    <row r="58" spans="1:4">
      <c r="A58" s="18" t="s">
        <v>25</v>
      </c>
      <c r="B58" s="18" t="s">
        <v>32</v>
      </c>
      <c r="C58" s="19">
        <v>45483</v>
      </c>
      <c r="D58" s="18">
        <v>12959.93</v>
      </c>
    </row>
    <row r="59" spans="1:4">
      <c r="A59" s="18" t="s">
        <v>25</v>
      </c>
      <c r="B59" s="18" t="s">
        <v>32</v>
      </c>
      <c r="C59" s="19">
        <v>45429</v>
      </c>
      <c r="D59" s="18">
        <v>15696.76</v>
      </c>
    </row>
    <row r="60" spans="1:4">
      <c r="A60" s="18" t="s">
        <v>25</v>
      </c>
      <c r="B60" s="18" t="s">
        <v>32</v>
      </c>
      <c r="C60" s="19">
        <v>45494</v>
      </c>
      <c r="D60" s="18">
        <v>12856.95</v>
      </c>
    </row>
    <row r="61" spans="1:4">
      <c r="A61" s="18" t="s">
        <v>25</v>
      </c>
      <c r="B61" s="18" t="s">
        <v>32</v>
      </c>
      <c r="C61" s="19">
        <v>45385</v>
      </c>
      <c r="D61" s="18">
        <v>20597.32</v>
      </c>
    </row>
    <row r="62" spans="1:4">
      <c r="A62" s="18" t="s">
        <v>25</v>
      </c>
      <c r="B62" s="18" t="s">
        <v>33</v>
      </c>
      <c r="C62" s="19">
        <v>45411</v>
      </c>
      <c r="D62" s="18">
        <v>16421.5</v>
      </c>
    </row>
    <row r="63" spans="1:4">
      <c r="A63" s="18" t="s">
        <v>25</v>
      </c>
      <c r="B63" s="18" t="s">
        <v>33</v>
      </c>
      <c r="C63" s="19">
        <v>45526</v>
      </c>
      <c r="D63" s="18">
        <v>16969.66</v>
      </c>
    </row>
    <row r="64" spans="1:4">
      <c r="A64" s="18" t="s">
        <v>25</v>
      </c>
      <c r="B64" s="18" t="s">
        <v>33</v>
      </c>
      <c r="C64" s="19">
        <v>45509</v>
      </c>
      <c r="D64" s="18">
        <v>12075.95</v>
      </c>
    </row>
    <row r="65" spans="1:4">
      <c r="A65" s="18" t="s">
        <v>25</v>
      </c>
      <c r="B65" s="18" t="s">
        <v>33</v>
      </c>
      <c r="C65" s="19">
        <v>45333</v>
      </c>
      <c r="D65" s="18">
        <v>17361.25</v>
      </c>
    </row>
    <row r="66" spans="1:4">
      <c r="A66" s="18" t="s">
        <v>25</v>
      </c>
      <c r="B66" s="18" t="s">
        <v>33</v>
      </c>
      <c r="C66" s="19">
        <v>45442</v>
      </c>
      <c r="D66" s="18">
        <v>18475.79</v>
      </c>
    </row>
    <row r="67" spans="1:4">
      <c r="A67" s="18" t="s">
        <v>25</v>
      </c>
      <c r="B67" s="18" t="s">
        <v>33</v>
      </c>
      <c r="C67" s="19">
        <v>45539</v>
      </c>
      <c r="D67" s="18">
        <v>12537.95</v>
      </c>
    </row>
    <row r="68" spans="1:4">
      <c r="A68" s="18" t="s">
        <v>25</v>
      </c>
      <c r="B68" s="18" t="s">
        <v>33</v>
      </c>
      <c r="C68" s="19">
        <v>45399</v>
      </c>
      <c r="D68" s="18">
        <v>16238.34</v>
      </c>
    </row>
    <row r="69" spans="1:4">
      <c r="A69" s="18" t="s">
        <v>25</v>
      </c>
      <c r="B69" s="18" t="s">
        <v>33</v>
      </c>
      <c r="C69" s="19">
        <v>45504</v>
      </c>
      <c r="D69" s="18">
        <v>17466.18</v>
      </c>
    </row>
    <row r="70" spans="1:4">
      <c r="A70" s="18" t="s">
        <v>25</v>
      </c>
      <c r="B70" s="18" t="s">
        <v>33</v>
      </c>
      <c r="C70" s="19">
        <v>45295</v>
      </c>
      <c r="D70" s="18">
        <v>20690.38</v>
      </c>
    </row>
    <row r="71" spans="1:4">
      <c r="A71" s="18" t="s">
        <v>25</v>
      </c>
      <c r="B71" s="18" t="s">
        <v>33</v>
      </c>
      <c r="C71" s="19">
        <v>45366</v>
      </c>
      <c r="D71" s="18">
        <v>14263.84</v>
      </c>
    </row>
    <row r="72" spans="1:4">
      <c r="A72" s="18" t="s">
        <v>25</v>
      </c>
      <c r="B72" s="18" t="s">
        <v>33</v>
      </c>
      <c r="C72" s="19">
        <v>45396</v>
      </c>
      <c r="D72" s="18">
        <v>12331.46</v>
      </c>
    </row>
    <row r="73" spans="1:4">
      <c r="A73" s="18" t="s">
        <v>25</v>
      </c>
      <c r="B73" s="18" t="s">
        <v>33</v>
      </c>
      <c r="C73" s="19">
        <v>45335</v>
      </c>
      <c r="D73" s="18">
        <v>12552.57</v>
      </c>
    </row>
    <row r="74" spans="1:4">
      <c r="A74" s="18" t="s">
        <v>25</v>
      </c>
      <c r="B74" s="18" t="s">
        <v>34</v>
      </c>
      <c r="C74" s="19">
        <v>45509</v>
      </c>
      <c r="D74" s="18">
        <v>16023.46</v>
      </c>
    </row>
    <row r="75" spans="1:4">
      <c r="A75" s="18" t="s">
        <v>25</v>
      </c>
      <c r="B75" s="18" t="s">
        <v>34</v>
      </c>
      <c r="C75" s="19">
        <v>45428</v>
      </c>
      <c r="D75" s="18">
        <v>15830.07</v>
      </c>
    </row>
    <row r="76" spans="1:4">
      <c r="A76" s="18" t="s">
        <v>25</v>
      </c>
      <c r="B76" s="18" t="s">
        <v>34</v>
      </c>
      <c r="C76" s="19">
        <v>45392</v>
      </c>
      <c r="D76" s="18">
        <v>15039.01</v>
      </c>
    </row>
    <row r="77" spans="1:4">
      <c r="A77" s="18" t="s">
        <v>25</v>
      </c>
      <c r="B77" s="18" t="s">
        <v>34</v>
      </c>
      <c r="C77" s="19">
        <v>45340</v>
      </c>
      <c r="D77" s="18">
        <v>19360.599999999999</v>
      </c>
    </row>
    <row r="78" spans="1:4">
      <c r="A78" s="18" t="s">
        <v>25</v>
      </c>
      <c r="B78" s="18" t="s">
        <v>34</v>
      </c>
      <c r="C78" s="19">
        <v>45484</v>
      </c>
      <c r="D78" s="18">
        <v>14206.03</v>
      </c>
    </row>
    <row r="79" spans="1:4">
      <c r="A79" s="18" t="s">
        <v>25</v>
      </c>
      <c r="B79" s="18" t="s">
        <v>34</v>
      </c>
      <c r="C79" s="19">
        <v>45655</v>
      </c>
      <c r="D79" s="18">
        <v>23160.51</v>
      </c>
    </row>
    <row r="80" spans="1:4">
      <c r="A80" s="18" t="s">
        <v>25</v>
      </c>
      <c r="B80" s="18" t="s">
        <v>34</v>
      </c>
      <c r="C80" s="19">
        <v>45650</v>
      </c>
      <c r="D80" s="18">
        <v>16877</v>
      </c>
    </row>
    <row r="81" spans="1:4">
      <c r="A81" s="18" t="s">
        <v>25</v>
      </c>
      <c r="B81" s="18" t="s">
        <v>34</v>
      </c>
      <c r="C81" s="19">
        <v>45560</v>
      </c>
      <c r="D81" s="18">
        <v>11787.32</v>
      </c>
    </row>
    <row r="82" spans="1:4">
      <c r="A82" s="18" t="s">
        <v>25</v>
      </c>
      <c r="B82" s="18" t="s">
        <v>34</v>
      </c>
      <c r="C82" s="19">
        <v>45476</v>
      </c>
      <c r="D82" s="18">
        <v>14329.61</v>
      </c>
    </row>
    <row r="83" spans="1:4">
      <c r="A83" s="18" t="s">
        <v>25</v>
      </c>
      <c r="B83" s="18" t="s">
        <v>34</v>
      </c>
      <c r="C83" s="19">
        <v>45546</v>
      </c>
      <c r="D83" s="18">
        <v>17142</v>
      </c>
    </row>
    <row r="84" spans="1:4">
      <c r="A84" s="18" t="s">
        <v>25</v>
      </c>
      <c r="B84" s="18" t="s">
        <v>34</v>
      </c>
      <c r="C84" s="19">
        <v>45635</v>
      </c>
      <c r="D84" s="18">
        <v>16419.71</v>
      </c>
    </row>
    <row r="85" spans="1:4">
      <c r="A85" s="18" t="s">
        <v>25</v>
      </c>
      <c r="B85" s="18" t="s">
        <v>34</v>
      </c>
      <c r="C85" s="19">
        <v>45610</v>
      </c>
      <c r="D85" s="18">
        <v>14781.51</v>
      </c>
    </row>
    <row r="86" spans="1:4">
      <c r="A86" s="18" t="s">
        <v>25</v>
      </c>
      <c r="B86" s="18" t="s">
        <v>35</v>
      </c>
      <c r="C86" s="19">
        <v>45519</v>
      </c>
      <c r="D86" s="18">
        <v>10455.459999999999</v>
      </c>
    </row>
    <row r="87" spans="1:4">
      <c r="A87" s="18" t="s">
        <v>25</v>
      </c>
      <c r="B87" s="18" t="s">
        <v>35</v>
      </c>
      <c r="C87" s="19">
        <v>45486</v>
      </c>
      <c r="D87" s="18">
        <v>13660.46</v>
      </c>
    </row>
    <row r="88" spans="1:4">
      <c r="A88" s="18" t="s">
        <v>25</v>
      </c>
      <c r="B88" s="18" t="s">
        <v>35</v>
      </c>
      <c r="C88" s="19">
        <v>45425</v>
      </c>
      <c r="D88" s="18">
        <v>17569.2</v>
      </c>
    </row>
    <row r="89" spans="1:4">
      <c r="A89" s="18" t="s">
        <v>25</v>
      </c>
      <c r="B89" s="18" t="s">
        <v>35</v>
      </c>
      <c r="C89" s="19">
        <v>45656</v>
      </c>
      <c r="D89" s="18">
        <v>15642.28</v>
      </c>
    </row>
    <row r="90" spans="1:4">
      <c r="A90" s="18" t="s">
        <v>25</v>
      </c>
      <c r="B90" s="18" t="s">
        <v>35</v>
      </c>
      <c r="C90" s="19">
        <v>45352</v>
      </c>
      <c r="D90" s="18">
        <v>15519.54</v>
      </c>
    </row>
    <row r="91" spans="1:4">
      <c r="A91" s="18" t="s">
        <v>25</v>
      </c>
      <c r="B91" s="18" t="s">
        <v>35</v>
      </c>
      <c r="C91" s="19">
        <v>45430</v>
      </c>
      <c r="D91" s="18">
        <v>12348.43</v>
      </c>
    </row>
    <row r="92" spans="1:4">
      <c r="A92" s="18" t="s">
        <v>25</v>
      </c>
      <c r="B92" s="18" t="s">
        <v>35</v>
      </c>
      <c r="C92" s="19">
        <v>45440</v>
      </c>
      <c r="D92" s="18">
        <v>15174.63</v>
      </c>
    </row>
    <row r="93" spans="1:4">
      <c r="A93" s="18" t="s">
        <v>25</v>
      </c>
      <c r="B93" s="18" t="s">
        <v>35</v>
      </c>
      <c r="C93" s="19">
        <v>45366</v>
      </c>
      <c r="D93" s="18">
        <v>11571.09</v>
      </c>
    </row>
    <row r="94" spans="1:4">
      <c r="A94" s="18" t="s">
        <v>25</v>
      </c>
      <c r="B94" s="18" t="s">
        <v>35</v>
      </c>
      <c r="C94" s="19">
        <v>45459</v>
      </c>
      <c r="D94" s="18">
        <v>16682.349999999999</v>
      </c>
    </row>
    <row r="95" spans="1:4">
      <c r="A95" s="18" t="s">
        <v>25</v>
      </c>
      <c r="B95" s="18" t="s">
        <v>35</v>
      </c>
      <c r="C95" s="19">
        <v>45317</v>
      </c>
      <c r="D95" s="18">
        <v>18249.150000000001</v>
      </c>
    </row>
    <row r="96" spans="1:4">
      <c r="A96" s="18" t="s">
        <v>25</v>
      </c>
      <c r="B96" s="18" t="s">
        <v>35</v>
      </c>
      <c r="C96" s="19">
        <v>45504</v>
      </c>
      <c r="D96" s="18">
        <v>18161.41</v>
      </c>
    </row>
    <row r="97" spans="1:4">
      <c r="A97" s="18" t="s">
        <v>25</v>
      </c>
      <c r="B97" s="18" t="s">
        <v>35</v>
      </c>
      <c r="C97" s="19">
        <v>45522</v>
      </c>
      <c r="D97" s="18">
        <v>10866.99</v>
      </c>
    </row>
    <row r="98" spans="1:4">
      <c r="A98" s="18" t="s">
        <v>27</v>
      </c>
      <c r="B98" s="18" t="s">
        <v>36</v>
      </c>
      <c r="C98" s="19">
        <v>45443</v>
      </c>
      <c r="D98" s="18">
        <v>16545.11</v>
      </c>
    </row>
    <row r="99" spans="1:4">
      <c r="A99" s="18" t="s">
        <v>27</v>
      </c>
      <c r="B99" s="18" t="s">
        <v>36</v>
      </c>
      <c r="C99" s="19">
        <v>45420</v>
      </c>
      <c r="D99" s="18">
        <v>16541.36</v>
      </c>
    </row>
    <row r="100" spans="1:4">
      <c r="A100" s="18" t="s">
        <v>27</v>
      </c>
      <c r="B100" s="18" t="s">
        <v>36</v>
      </c>
      <c r="C100" s="19">
        <v>45489</v>
      </c>
      <c r="D100" s="18">
        <v>16545.14</v>
      </c>
    </row>
    <row r="101" spans="1:4">
      <c r="A101" s="18" t="s">
        <v>27</v>
      </c>
      <c r="B101" s="18" t="s">
        <v>36</v>
      </c>
      <c r="C101" s="19">
        <v>45405</v>
      </c>
      <c r="D101" s="18">
        <v>26558.19</v>
      </c>
    </row>
    <row r="102" spans="1:4">
      <c r="A102" s="18" t="s">
        <v>27</v>
      </c>
      <c r="B102" s="18" t="s">
        <v>36</v>
      </c>
      <c r="C102" s="19">
        <v>45627</v>
      </c>
      <c r="D102" s="18">
        <v>16712.669999999998</v>
      </c>
    </row>
    <row r="103" spans="1:4">
      <c r="A103" s="18" t="s">
        <v>27</v>
      </c>
      <c r="B103" s="18" t="s">
        <v>36</v>
      </c>
      <c r="C103" s="19">
        <v>45629</v>
      </c>
      <c r="D103" s="18">
        <v>17862.009999999998</v>
      </c>
    </row>
    <row r="104" spans="1:4">
      <c r="A104" s="18" t="s">
        <v>27</v>
      </c>
      <c r="B104" s="18" t="s">
        <v>36</v>
      </c>
      <c r="C104" s="19">
        <v>45353</v>
      </c>
      <c r="D104" s="18">
        <v>16954.169999999998</v>
      </c>
    </row>
    <row r="105" spans="1:4">
      <c r="A105" s="18" t="s">
        <v>27</v>
      </c>
      <c r="B105" s="18" t="s">
        <v>36</v>
      </c>
      <c r="C105" s="19">
        <v>45401</v>
      </c>
      <c r="D105" s="18">
        <v>17276.91</v>
      </c>
    </row>
    <row r="106" spans="1:4">
      <c r="A106" s="18" t="s">
        <v>27</v>
      </c>
      <c r="B106" s="18" t="s">
        <v>36</v>
      </c>
      <c r="C106" s="19">
        <v>45637</v>
      </c>
      <c r="D106" s="18">
        <v>12681.52</v>
      </c>
    </row>
    <row r="107" spans="1:4">
      <c r="A107" s="18" t="s">
        <v>27</v>
      </c>
      <c r="B107" s="18" t="s">
        <v>36</v>
      </c>
      <c r="C107" s="19">
        <v>45656</v>
      </c>
      <c r="D107" s="18">
        <v>13543.91</v>
      </c>
    </row>
    <row r="108" spans="1:4">
      <c r="A108" s="18" t="s">
        <v>27</v>
      </c>
      <c r="B108" s="18" t="s">
        <v>36</v>
      </c>
      <c r="C108" s="19">
        <v>45352</v>
      </c>
      <c r="D108" s="18">
        <v>15245.62</v>
      </c>
    </row>
    <row r="109" spans="1:4">
      <c r="A109" s="18" t="s">
        <v>27</v>
      </c>
      <c r="B109" s="18" t="s">
        <v>36</v>
      </c>
      <c r="C109" s="19">
        <v>45402</v>
      </c>
      <c r="D109" s="18">
        <v>21943.98</v>
      </c>
    </row>
    <row r="110" spans="1:4">
      <c r="A110" s="18" t="s">
        <v>27</v>
      </c>
      <c r="B110" s="18" t="s">
        <v>37</v>
      </c>
      <c r="C110" s="19">
        <v>45657</v>
      </c>
      <c r="D110" s="18">
        <v>17058.78</v>
      </c>
    </row>
    <row r="111" spans="1:4">
      <c r="A111" s="18" t="s">
        <v>27</v>
      </c>
      <c r="B111" s="18" t="s">
        <v>37</v>
      </c>
      <c r="C111" s="19">
        <v>45499</v>
      </c>
      <c r="D111" s="18">
        <v>10161.85</v>
      </c>
    </row>
    <row r="112" spans="1:4">
      <c r="A112" s="18" t="s">
        <v>27</v>
      </c>
      <c r="B112" s="18" t="s">
        <v>37</v>
      </c>
      <c r="C112" s="19">
        <v>45302</v>
      </c>
      <c r="D112" s="18">
        <v>13584.2</v>
      </c>
    </row>
    <row r="113" spans="1:4">
      <c r="A113" s="18" t="s">
        <v>27</v>
      </c>
      <c r="B113" s="18" t="s">
        <v>37</v>
      </c>
      <c r="C113" s="19">
        <v>45639</v>
      </c>
      <c r="D113" s="18">
        <v>15192.84</v>
      </c>
    </row>
    <row r="114" spans="1:4">
      <c r="A114" s="18" t="s">
        <v>27</v>
      </c>
      <c r="B114" s="18" t="s">
        <v>37</v>
      </c>
      <c r="C114" s="19">
        <v>45541</v>
      </c>
      <c r="D114" s="18">
        <v>11766.77</v>
      </c>
    </row>
    <row r="115" spans="1:4">
      <c r="A115" s="18" t="s">
        <v>27</v>
      </c>
      <c r="B115" s="18" t="s">
        <v>37</v>
      </c>
      <c r="C115" s="19">
        <v>45455</v>
      </c>
      <c r="D115" s="18">
        <v>17038.79</v>
      </c>
    </row>
    <row r="116" spans="1:4">
      <c r="A116" s="18" t="s">
        <v>27</v>
      </c>
      <c r="B116" s="18" t="s">
        <v>37</v>
      </c>
      <c r="C116" s="19">
        <v>45603</v>
      </c>
      <c r="D116" s="18">
        <v>12808.9</v>
      </c>
    </row>
    <row r="117" spans="1:4">
      <c r="A117" s="18" t="s">
        <v>27</v>
      </c>
      <c r="B117" s="18" t="s">
        <v>37</v>
      </c>
      <c r="C117" s="19">
        <v>45382</v>
      </c>
      <c r="D117" s="18">
        <v>15649.38</v>
      </c>
    </row>
    <row r="118" spans="1:4">
      <c r="A118" s="18" t="s">
        <v>27</v>
      </c>
      <c r="B118" s="18" t="s">
        <v>37</v>
      </c>
      <c r="C118" s="19">
        <v>45408</v>
      </c>
      <c r="D118" s="18">
        <v>15136.72</v>
      </c>
    </row>
    <row r="119" spans="1:4">
      <c r="A119" s="18" t="s">
        <v>27</v>
      </c>
      <c r="B119" s="18" t="s">
        <v>37</v>
      </c>
      <c r="C119" s="19">
        <v>45348</v>
      </c>
      <c r="D119" s="18">
        <v>21431.83</v>
      </c>
    </row>
    <row r="120" spans="1:4">
      <c r="A120" s="18" t="s">
        <v>27</v>
      </c>
      <c r="B120" s="18" t="s">
        <v>37</v>
      </c>
      <c r="C120" s="19">
        <v>45657</v>
      </c>
      <c r="D120" s="18">
        <v>16901.759999999998</v>
      </c>
    </row>
    <row r="121" spans="1:4">
      <c r="A121" s="18" t="s">
        <v>27</v>
      </c>
      <c r="B121" s="18" t="s">
        <v>37</v>
      </c>
      <c r="C121" s="19">
        <v>45552</v>
      </c>
      <c r="D121" s="18">
        <v>8924.57</v>
      </c>
    </row>
    <row r="122" spans="1:4">
      <c r="A122" s="18" t="s">
        <v>27</v>
      </c>
      <c r="B122" s="18" t="s">
        <v>38</v>
      </c>
      <c r="C122" s="19">
        <v>45574</v>
      </c>
      <c r="D122" s="18">
        <v>15559.36</v>
      </c>
    </row>
    <row r="123" spans="1:4">
      <c r="A123" s="18" t="s">
        <v>27</v>
      </c>
      <c r="B123" s="18" t="s">
        <v>38</v>
      </c>
      <c r="C123" s="19">
        <v>45644</v>
      </c>
      <c r="D123" s="18">
        <v>13014.64</v>
      </c>
    </row>
    <row r="124" spans="1:4">
      <c r="A124" s="18" t="s">
        <v>27</v>
      </c>
      <c r="B124" s="18" t="s">
        <v>38</v>
      </c>
      <c r="C124" s="19">
        <v>45612</v>
      </c>
      <c r="D124" s="18">
        <v>17557.3</v>
      </c>
    </row>
    <row r="125" spans="1:4">
      <c r="A125" s="18" t="s">
        <v>27</v>
      </c>
      <c r="B125" s="18" t="s">
        <v>38</v>
      </c>
      <c r="C125" s="19">
        <v>45300</v>
      </c>
      <c r="D125" s="18">
        <v>12622.44</v>
      </c>
    </row>
    <row r="126" spans="1:4">
      <c r="A126" s="18" t="s">
        <v>27</v>
      </c>
      <c r="B126" s="18" t="s">
        <v>38</v>
      </c>
      <c r="C126" s="19">
        <v>45631</v>
      </c>
      <c r="D126" s="18">
        <v>14655.79</v>
      </c>
    </row>
    <row r="127" spans="1:4">
      <c r="A127" s="18" t="s">
        <v>27</v>
      </c>
      <c r="B127" s="18" t="s">
        <v>38</v>
      </c>
      <c r="C127" s="19">
        <v>45523</v>
      </c>
      <c r="D127" s="18">
        <v>16514.96</v>
      </c>
    </row>
    <row r="128" spans="1:4">
      <c r="A128" s="18" t="s">
        <v>27</v>
      </c>
      <c r="B128" s="18" t="s">
        <v>38</v>
      </c>
      <c r="C128" s="19">
        <v>45381</v>
      </c>
      <c r="D128" s="18">
        <v>11399.11</v>
      </c>
    </row>
    <row r="129" spans="1:4">
      <c r="A129" s="18" t="s">
        <v>27</v>
      </c>
      <c r="B129" s="18" t="s">
        <v>38</v>
      </c>
      <c r="C129" s="19">
        <v>45465</v>
      </c>
      <c r="D129" s="18">
        <v>13575.16</v>
      </c>
    </row>
    <row r="130" spans="1:4">
      <c r="A130" s="18" t="s">
        <v>27</v>
      </c>
      <c r="B130" s="18" t="s">
        <v>38</v>
      </c>
      <c r="C130" s="19">
        <v>45499</v>
      </c>
      <c r="D130" s="18">
        <v>13040.01</v>
      </c>
    </row>
    <row r="131" spans="1:4">
      <c r="A131" s="18" t="s">
        <v>27</v>
      </c>
      <c r="B131" s="18" t="s">
        <v>38</v>
      </c>
      <c r="C131" s="19">
        <v>45320</v>
      </c>
      <c r="D131" s="18">
        <v>16214.95</v>
      </c>
    </row>
    <row r="132" spans="1:4">
      <c r="A132" s="18" t="s">
        <v>27</v>
      </c>
      <c r="B132" s="18" t="s">
        <v>38</v>
      </c>
      <c r="C132" s="19">
        <v>45564</v>
      </c>
      <c r="D132" s="18">
        <v>11217.35</v>
      </c>
    </row>
    <row r="133" spans="1:4">
      <c r="A133" s="18" t="s">
        <v>27</v>
      </c>
      <c r="B133" s="18" t="s">
        <v>38</v>
      </c>
      <c r="C133" s="19">
        <v>45440</v>
      </c>
      <c r="D133" s="18">
        <v>17753.59</v>
      </c>
    </row>
    <row r="134" spans="1:4">
      <c r="A134" s="18" t="s">
        <v>25</v>
      </c>
      <c r="B134" s="18" t="s">
        <v>39</v>
      </c>
      <c r="C134" s="19">
        <v>45372</v>
      </c>
      <c r="D134" s="18">
        <v>18097.400000000001</v>
      </c>
    </row>
    <row r="135" spans="1:4">
      <c r="A135" s="18" t="s">
        <v>25</v>
      </c>
      <c r="B135" s="18" t="s">
        <v>39</v>
      </c>
      <c r="C135" s="19">
        <v>45540</v>
      </c>
      <c r="D135" s="18">
        <v>10441.89</v>
      </c>
    </row>
    <row r="136" spans="1:4">
      <c r="A136" s="18" t="s">
        <v>25</v>
      </c>
      <c r="B136" s="18" t="s">
        <v>39</v>
      </c>
      <c r="C136" s="19">
        <v>45424</v>
      </c>
      <c r="D136" s="18">
        <v>13547.3</v>
      </c>
    </row>
    <row r="137" spans="1:4">
      <c r="A137" s="18" t="s">
        <v>25</v>
      </c>
      <c r="B137" s="18" t="s">
        <v>39</v>
      </c>
      <c r="C137" s="19">
        <v>45363</v>
      </c>
      <c r="D137" s="18">
        <v>12876.99</v>
      </c>
    </row>
    <row r="138" spans="1:4">
      <c r="A138" s="18" t="s">
        <v>25</v>
      </c>
      <c r="B138" s="18" t="s">
        <v>39</v>
      </c>
      <c r="C138" s="19">
        <v>45594</v>
      </c>
      <c r="D138" s="18">
        <v>17323.900000000001</v>
      </c>
    </row>
    <row r="139" spans="1:4">
      <c r="A139" s="18" t="s">
        <v>25</v>
      </c>
      <c r="B139" s="18" t="s">
        <v>39</v>
      </c>
      <c r="C139" s="19">
        <v>45551</v>
      </c>
      <c r="D139" s="18">
        <v>12219.21</v>
      </c>
    </row>
    <row r="140" spans="1:4">
      <c r="A140" s="18" t="s">
        <v>25</v>
      </c>
      <c r="B140" s="18" t="s">
        <v>39</v>
      </c>
      <c r="C140" s="19">
        <v>45369</v>
      </c>
      <c r="D140" s="18">
        <v>5276.2</v>
      </c>
    </row>
    <row r="141" spans="1:4">
      <c r="A141" s="18" t="s">
        <v>25</v>
      </c>
      <c r="B141" s="18" t="s">
        <v>39</v>
      </c>
      <c r="C141" s="19">
        <v>45505</v>
      </c>
      <c r="D141" s="18">
        <v>11926.84</v>
      </c>
    </row>
    <row r="142" spans="1:4">
      <c r="A142" s="18" t="s">
        <v>25</v>
      </c>
      <c r="B142" s="18" t="s">
        <v>39</v>
      </c>
      <c r="C142" s="19">
        <v>45423</v>
      </c>
      <c r="D142" s="18">
        <v>11256.65</v>
      </c>
    </row>
    <row r="143" spans="1:4">
      <c r="A143" s="18" t="s">
        <v>25</v>
      </c>
      <c r="B143" s="18" t="s">
        <v>39</v>
      </c>
      <c r="C143" s="19">
        <v>45541</v>
      </c>
      <c r="D143" s="18">
        <v>10709.58</v>
      </c>
    </row>
    <row r="144" spans="1:4">
      <c r="A144" s="18" t="s">
        <v>25</v>
      </c>
      <c r="B144" s="18" t="s">
        <v>39</v>
      </c>
      <c r="C144" s="19">
        <v>45379</v>
      </c>
      <c r="D144" s="18">
        <v>13679.87</v>
      </c>
    </row>
    <row r="145" spans="1:4">
      <c r="A145" s="18" t="s">
        <v>25</v>
      </c>
      <c r="B145" s="18" t="s">
        <v>39</v>
      </c>
      <c r="C145" s="19">
        <v>45620</v>
      </c>
      <c r="D145" s="18">
        <v>15392.22</v>
      </c>
    </row>
    <row r="146" spans="1:4">
      <c r="A146" s="18" t="s">
        <v>25</v>
      </c>
      <c r="B146" s="18" t="s">
        <v>40</v>
      </c>
      <c r="C146" s="19">
        <v>45329</v>
      </c>
      <c r="D146" s="18">
        <v>10692.41</v>
      </c>
    </row>
    <row r="147" spans="1:4">
      <c r="A147" s="18" t="s">
        <v>25</v>
      </c>
      <c r="B147" s="18" t="s">
        <v>40</v>
      </c>
      <c r="C147" s="19">
        <v>45599</v>
      </c>
      <c r="D147" s="18">
        <v>18489.490000000002</v>
      </c>
    </row>
    <row r="148" spans="1:4">
      <c r="A148" s="18" t="s">
        <v>25</v>
      </c>
      <c r="B148" s="18" t="s">
        <v>40</v>
      </c>
      <c r="C148" s="19">
        <v>45294</v>
      </c>
      <c r="D148" s="18">
        <v>15030.7</v>
      </c>
    </row>
    <row r="149" spans="1:4">
      <c r="A149" s="18" t="s">
        <v>25</v>
      </c>
      <c r="B149" s="18" t="s">
        <v>40</v>
      </c>
      <c r="C149" s="19">
        <v>45434</v>
      </c>
      <c r="D149" s="18">
        <v>16386.310000000001</v>
      </c>
    </row>
    <row r="150" spans="1:4">
      <c r="A150" s="18" t="s">
        <v>25</v>
      </c>
      <c r="B150" s="18" t="s">
        <v>40</v>
      </c>
      <c r="C150" s="19">
        <v>45407</v>
      </c>
      <c r="D150" s="18">
        <v>15597.18</v>
      </c>
    </row>
    <row r="151" spans="1:4">
      <c r="A151" s="18" t="s">
        <v>25</v>
      </c>
      <c r="B151" s="18" t="s">
        <v>40</v>
      </c>
      <c r="C151" s="19">
        <v>45442</v>
      </c>
      <c r="D151" s="18">
        <v>13199.35</v>
      </c>
    </row>
    <row r="152" spans="1:4">
      <c r="A152" s="18" t="s">
        <v>25</v>
      </c>
      <c r="B152" s="18" t="s">
        <v>40</v>
      </c>
      <c r="C152" s="19">
        <v>45652</v>
      </c>
      <c r="D152" s="18">
        <v>13844.06</v>
      </c>
    </row>
    <row r="153" spans="1:4">
      <c r="A153" s="18" t="s">
        <v>25</v>
      </c>
      <c r="B153" s="18" t="s">
        <v>40</v>
      </c>
      <c r="C153" s="19">
        <v>45509</v>
      </c>
      <c r="D153" s="18">
        <v>16986.39</v>
      </c>
    </row>
    <row r="154" spans="1:4">
      <c r="A154" s="18" t="s">
        <v>25</v>
      </c>
      <c r="B154" s="18" t="s">
        <v>40</v>
      </c>
      <c r="C154" s="19">
        <v>45633</v>
      </c>
      <c r="D154" s="18">
        <v>19758.05</v>
      </c>
    </row>
    <row r="155" spans="1:4">
      <c r="A155" s="18" t="s">
        <v>25</v>
      </c>
      <c r="B155" s="18" t="s">
        <v>40</v>
      </c>
      <c r="C155" s="19">
        <v>45641</v>
      </c>
      <c r="D155" s="18">
        <v>11286.55</v>
      </c>
    </row>
    <row r="156" spans="1:4">
      <c r="A156" s="18" t="s">
        <v>25</v>
      </c>
      <c r="B156" s="18" t="s">
        <v>40</v>
      </c>
      <c r="C156" s="19">
        <v>45376</v>
      </c>
      <c r="D156" s="18">
        <v>21399.1</v>
      </c>
    </row>
    <row r="157" spans="1:4">
      <c r="A157" s="18" t="s">
        <v>25</v>
      </c>
      <c r="B157" s="18" t="s">
        <v>40</v>
      </c>
      <c r="C157" s="19">
        <v>45486</v>
      </c>
      <c r="D157" s="18">
        <v>9143.74</v>
      </c>
    </row>
    <row r="158" spans="1:4">
      <c r="A158" s="18" t="s">
        <v>25</v>
      </c>
      <c r="B158" s="18" t="s">
        <v>41</v>
      </c>
      <c r="C158" s="19">
        <v>45645</v>
      </c>
      <c r="D158" s="18">
        <v>16764.95</v>
      </c>
    </row>
    <row r="159" spans="1:4">
      <c r="A159" s="18" t="s">
        <v>25</v>
      </c>
      <c r="B159" s="18" t="s">
        <v>41</v>
      </c>
      <c r="C159" s="19">
        <v>45616</v>
      </c>
      <c r="D159" s="18">
        <v>15842.98</v>
      </c>
    </row>
    <row r="160" spans="1:4">
      <c r="A160" s="18" t="s">
        <v>25</v>
      </c>
      <c r="B160" s="18" t="s">
        <v>41</v>
      </c>
      <c r="C160" s="19">
        <v>45382</v>
      </c>
      <c r="D160" s="18">
        <v>13131.9</v>
      </c>
    </row>
    <row r="161" spans="1:4">
      <c r="A161" s="18" t="s">
        <v>25</v>
      </c>
      <c r="B161" s="18" t="s">
        <v>41</v>
      </c>
      <c r="C161" s="19">
        <v>45302</v>
      </c>
      <c r="D161" s="18">
        <v>14375.63</v>
      </c>
    </row>
    <row r="162" spans="1:4">
      <c r="A162" s="18" t="s">
        <v>25</v>
      </c>
      <c r="B162" s="18" t="s">
        <v>41</v>
      </c>
      <c r="C162" s="19">
        <v>45550</v>
      </c>
      <c r="D162" s="18">
        <v>13521</v>
      </c>
    </row>
    <row r="163" spans="1:4">
      <c r="A163" s="18" t="s">
        <v>25</v>
      </c>
      <c r="B163" s="18" t="s">
        <v>41</v>
      </c>
      <c r="C163" s="19">
        <v>45628</v>
      </c>
      <c r="D163" s="18">
        <v>13231.91</v>
      </c>
    </row>
    <row r="164" spans="1:4">
      <c r="A164" s="18" t="s">
        <v>25</v>
      </c>
      <c r="B164" s="18" t="s">
        <v>41</v>
      </c>
      <c r="C164" s="19">
        <v>45509</v>
      </c>
      <c r="D164" s="18">
        <v>17548.810000000001</v>
      </c>
    </row>
    <row r="165" spans="1:4">
      <c r="A165" s="18" t="s">
        <v>25</v>
      </c>
      <c r="B165" s="18" t="s">
        <v>41</v>
      </c>
      <c r="C165" s="19">
        <v>45620</v>
      </c>
      <c r="D165" s="18">
        <v>16071.05</v>
      </c>
    </row>
    <row r="166" spans="1:4">
      <c r="A166" s="18" t="s">
        <v>25</v>
      </c>
      <c r="B166" s="18" t="s">
        <v>41</v>
      </c>
      <c r="C166" s="19">
        <v>45387</v>
      </c>
      <c r="D166" s="18">
        <v>17698.8</v>
      </c>
    </row>
    <row r="167" spans="1:4">
      <c r="A167" s="18" t="s">
        <v>25</v>
      </c>
      <c r="B167" s="18" t="s">
        <v>41</v>
      </c>
      <c r="C167" s="19">
        <v>45387</v>
      </c>
      <c r="D167" s="18">
        <v>15921.9</v>
      </c>
    </row>
    <row r="168" spans="1:4">
      <c r="A168" s="18" t="s">
        <v>25</v>
      </c>
      <c r="B168" s="18" t="s">
        <v>41</v>
      </c>
      <c r="C168" s="19">
        <v>45533</v>
      </c>
      <c r="D168" s="18">
        <v>17438.59</v>
      </c>
    </row>
    <row r="169" spans="1:4">
      <c r="A169" s="18" t="s">
        <v>25</v>
      </c>
      <c r="B169" s="18" t="s">
        <v>41</v>
      </c>
      <c r="C169" s="19">
        <v>45503</v>
      </c>
      <c r="D169" s="18">
        <v>16888.89</v>
      </c>
    </row>
    <row r="170" spans="1:4">
      <c r="A170" s="18" t="s">
        <v>25</v>
      </c>
      <c r="B170" s="18" t="s">
        <v>42</v>
      </c>
      <c r="C170" s="19">
        <v>45504</v>
      </c>
      <c r="D170" s="18">
        <v>13319.46</v>
      </c>
    </row>
    <row r="171" spans="1:4">
      <c r="A171" s="18" t="s">
        <v>25</v>
      </c>
      <c r="B171" s="18" t="s">
        <v>42</v>
      </c>
      <c r="C171" s="19">
        <v>45610</v>
      </c>
      <c r="D171" s="18">
        <v>17241.88</v>
      </c>
    </row>
    <row r="172" spans="1:4">
      <c r="A172" s="18" t="s">
        <v>25</v>
      </c>
      <c r="B172" s="18" t="s">
        <v>42</v>
      </c>
      <c r="C172" s="19">
        <v>45309</v>
      </c>
      <c r="D172" s="18">
        <v>16831.11</v>
      </c>
    </row>
    <row r="173" spans="1:4">
      <c r="A173" s="18" t="s">
        <v>25</v>
      </c>
      <c r="B173" s="18" t="s">
        <v>42</v>
      </c>
      <c r="C173" s="19">
        <v>45388</v>
      </c>
      <c r="D173" s="18">
        <v>14937.3</v>
      </c>
    </row>
    <row r="174" spans="1:4">
      <c r="A174" s="18" t="s">
        <v>25</v>
      </c>
      <c r="B174" s="18" t="s">
        <v>42</v>
      </c>
      <c r="C174" s="19">
        <v>45529</v>
      </c>
      <c r="D174" s="18">
        <v>15351.98</v>
      </c>
    </row>
    <row r="175" spans="1:4">
      <c r="A175" s="18" t="s">
        <v>25</v>
      </c>
      <c r="B175" s="18" t="s">
        <v>42</v>
      </c>
      <c r="C175" s="19">
        <v>45563</v>
      </c>
      <c r="D175" s="18">
        <v>18832.990000000002</v>
      </c>
    </row>
    <row r="176" spans="1:4">
      <c r="A176" s="18" t="s">
        <v>25</v>
      </c>
      <c r="B176" s="18" t="s">
        <v>42</v>
      </c>
      <c r="C176" s="19">
        <v>45605</v>
      </c>
      <c r="D176" s="18">
        <v>16641.29</v>
      </c>
    </row>
    <row r="177" spans="1:4">
      <c r="A177" s="18" t="s">
        <v>25</v>
      </c>
      <c r="B177" s="18" t="s">
        <v>42</v>
      </c>
      <c r="C177" s="19">
        <v>45565</v>
      </c>
      <c r="D177" s="18">
        <v>14393.42</v>
      </c>
    </row>
    <row r="178" spans="1:4">
      <c r="A178" s="18" t="s">
        <v>25</v>
      </c>
      <c r="B178" s="18" t="s">
        <v>42</v>
      </c>
      <c r="C178" s="19">
        <v>45310</v>
      </c>
      <c r="D178" s="18">
        <v>18296.330000000002</v>
      </c>
    </row>
    <row r="179" spans="1:4">
      <c r="A179" s="18" t="s">
        <v>25</v>
      </c>
      <c r="B179" s="18" t="s">
        <v>42</v>
      </c>
      <c r="C179" s="19">
        <v>45336</v>
      </c>
      <c r="D179" s="18">
        <v>17440.53</v>
      </c>
    </row>
    <row r="180" spans="1:4">
      <c r="A180" s="18" t="s">
        <v>25</v>
      </c>
      <c r="B180" s="18" t="s">
        <v>42</v>
      </c>
      <c r="C180" s="19">
        <v>45591</v>
      </c>
      <c r="D180" s="18">
        <v>15063.01</v>
      </c>
    </row>
    <row r="181" spans="1:4">
      <c r="A181" s="18" t="s">
        <v>25</v>
      </c>
      <c r="B181" s="18" t="s">
        <v>42</v>
      </c>
      <c r="C181" s="19">
        <v>45375</v>
      </c>
      <c r="D181" s="18">
        <v>17045.86</v>
      </c>
    </row>
    <row r="182" spans="1:4">
      <c r="A182" s="18" t="s">
        <v>29</v>
      </c>
      <c r="B182" s="18" t="s">
        <v>43</v>
      </c>
      <c r="C182" s="19">
        <v>45301</v>
      </c>
      <c r="D182" s="18">
        <v>14069.2</v>
      </c>
    </row>
    <row r="183" spans="1:4">
      <c r="A183" s="18" t="s">
        <v>29</v>
      </c>
      <c r="B183" s="18" t="s">
        <v>43</v>
      </c>
      <c r="C183" s="19">
        <v>45367</v>
      </c>
      <c r="D183" s="18">
        <v>15972.5</v>
      </c>
    </row>
    <row r="184" spans="1:4">
      <c r="A184" s="18" t="s">
        <v>29</v>
      </c>
      <c r="B184" s="18" t="s">
        <v>43</v>
      </c>
      <c r="C184" s="19">
        <v>45424</v>
      </c>
      <c r="D184" s="18">
        <v>14609.57</v>
      </c>
    </row>
    <row r="185" spans="1:4">
      <c r="A185" s="18" t="s">
        <v>29</v>
      </c>
      <c r="B185" s="18" t="s">
        <v>43</v>
      </c>
      <c r="C185" s="19">
        <v>45370</v>
      </c>
      <c r="D185" s="18">
        <v>16785.47</v>
      </c>
    </row>
    <row r="186" spans="1:4">
      <c r="A186" s="18" t="s">
        <v>29</v>
      </c>
      <c r="B186" s="18" t="s">
        <v>43</v>
      </c>
      <c r="C186" s="19">
        <v>45311</v>
      </c>
      <c r="D186" s="18">
        <v>21277.16</v>
      </c>
    </row>
    <row r="187" spans="1:4">
      <c r="A187" s="18" t="s">
        <v>29</v>
      </c>
      <c r="B187" s="18" t="s">
        <v>43</v>
      </c>
      <c r="C187" s="19">
        <v>45498</v>
      </c>
      <c r="D187" s="18">
        <v>11357.43</v>
      </c>
    </row>
    <row r="188" spans="1:4">
      <c r="A188" s="18" t="s">
        <v>29</v>
      </c>
      <c r="B188" s="18" t="s">
        <v>43</v>
      </c>
      <c r="C188" s="19">
        <v>45451</v>
      </c>
      <c r="D188" s="18">
        <v>18474.330000000002</v>
      </c>
    </row>
    <row r="189" spans="1:4">
      <c r="A189" s="18" t="s">
        <v>29</v>
      </c>
      <c r="B189" s="18" t="s">
        <v>43</v>
      </c>
      <c r="C189" s="19">
        <v>45591</v>
      </c>
      <c r="D189" s="18">
        <v>16872.36</v>
      </c>
    </row>
    <row r="190" spans="1:4">
      <c r="A190" s="18" t="s">
        <v>29</v>
      </c>
      <c r="B190" s="18" t="s">
        <v>43</v>
      </c>
      <c r="C190" s="19">
        <v>45390</v>
      </c>
      <c r="D190" s="18">
        <v>16885.04</v>
      </c>
    </row>
    <row r="191" spans="1:4">
      <c r="A191" s="18" t="s">
        <v>29</v>
      </c>
      <c r="B191" s="18" t="s">
        <v>43</v>
      </c>
      <c r="C191" s="19">
        <v>45347</v>
      </c>
      <c r="D191" s="18">
        <v>14963.26</v>
      </c>
    </row>
    <row r="192" spans="1:4">
      <c r="A192" s="18" t="s">
        <v>29</v>
      </c>
      <c r="B192" s="18" t="s">
        <v>43</v>
      </c>
      <c r="C192" s="19">
        <v>45366</v>
      </c>
      <c r="D192" s="18">
        <v>12308.24</v>
      </c>
    </row>
    <row r="193" spans="1:4">
      <c r="A193" s="18" t="s">
        <v>29</v>
      </c>
      <c r="B193" s="18" t="s">
        <v>43</v>
      </c>
      <c r="C193" s="19">
        <v>45565</v>
      </c>
      <c r="D193" s="18">
        <v>15227.41</v>
      </c>
    </row>
    <row r="194" spans="1:4">
      <c r="A194" s="18" t="s">
        <v>29</v>
      </c>
      <c r="B194" s="18" t="s">
        <v>44</v>
      </c>
      <c r="C194" s="19">
        <v>45305</v>
      </c>
      <c r="D194" s="18">
        <v>17925.36</v>
      </c>
    </row>
    <row r="195" spans="1:4">
      <c r="A195" s="18" t="s">
        <v>29</v>
      </c>
      <c r="B195" s="18" t="s">
        <v>44</v>
      </c>
      <c r="C195" s="19">
        <v>45303</v>
      </c>
      <c r="D195" s="18">
        <v>12523.51</v>
      </c>
    </row>
    <row r="196" spans="1:4">
      <c r="A196" s="18" t="s">
        <v>29</v>
      </c>
      <c r="B196" s="18" t="s">
        <v>44</v>
      </c>
      <c r="C196" s="19">
        <v>45318</v>
      </c>
      <c r="D196" s="18">
        <v>16238.79</v>
      </c>
    </row>
    <row r="197" spans="1:4">
      <c r="A197" s="18" t="s">
        <v>29</v>
      </c>
      <c r="B197" s="18" t="s">
        <v>44</v>
      </c>
      <c r="C197" s="19">
        <v>45422</v>
      </c>
      <c r="D197" s="18">
        <v>13308.83</v>
      </c>
    </row>
    <row r="198" spans="1:4">
      <c r="A198" s="18" t="s">
        <v>29</v>
      </c>
      <c r="B198" s="18" t="s">
        <v>44</v>
      </c>
      <c r="C198" s="19">
        <v>45349</v>
      </c>
      <c r="D198" s="18">
        <v>12533.34</v>
      </c>
    </row>
    <row r="199" spans="1:4">
      <c r="A199" s="18" t="s">
        <v>29</v>
      </c>
      <c r="B199" s="18" t="s">
        <v>44</v>
      </c>
      <c r="C199" s="19">
        <v>45655</v>
      </c>
      <c r="D199" s="18">
        <v>15731.06</v>
      </c>
    </row>
    <row r="200" spans="1:4">
      <c r="A200" s="18" t="s">
        <v>29</v>
      </c>
      <c r="B200" s="18" t="s">
        <v>44</v>
      </c>
      <c r="C200" s="19">
        <v>45486</v>
      </c>
      <c r="D200" s="18">
        <v>15734.9</v>
      </c>
    </row>
    <row r="201" spans="1:4">
      <c r="A201" s="18" t="s">
        <v>29</v>
      </c>
      <c r="B201" s="18" t="s">
        <v>44</v>
      </c>
      <c r="C201" s="19">
        <v>45430</v>
      </c>
      <c r="D201" s="18">
        <v>13479.17</v>
      </c>
    </row>
    <row r="202" spans="1:4">
      <c r="A202" s="18" t="s">
        <v>29</v>
      </c>
      <c r="B202" s="18" t="s">
        <v>44</v>
      </c>
      <c r="C202" s="19">
        <v>45298</v>
      </c>
      <c r="D202" s="18">
        <v>13586.89</v>
      </c>
    </row>
    <row r="203" spans="1:4">
      <c r="A203" s="18" t="s">
        <v>29</v>
      </c>
      <c r="B203" s="18" t="s">
        <v>44</v>
      </c>
      <c r="C203" s="19">
        <v>45631</v>
      </c>
      <c r="D203" s="18">
        <v>15696.15</v>
      </c>
    </row>
    <row r="204" spans="1:4">
      <c r="A204" s="18" t="s">
        <v>29</v>
      </c>
      <c r="B204" s="18" t="s">
        <v>44</v>
      </c>
      <c r="C204" s="19">
        <v>45299</v>
      </c>
      <c r="D204" s="18">
        <v>10777.61</v>
      </c>
    </row>
    <row r="205" spans="1:4">
      <c r="A205" s="18" t="s">
        <v>29</v>
      </c>
      <c r="B205" s="18" t="s">
        <v>44</v>
      </c>
      <c r="C205" s="19">
        <v>45303</v>
      </c>
      <c r="D205" s="18">
        <v>12844.67</v>
      </c>
    </row>
    <row r="206" spans="1:4">
      <c r="A206" s="18" t="s">
        <v>29</v>
      </c>
      <c r="B206" s="18" t="s">
        <v>45</v>
      </c>
      <c r="C206" s="19">
        <v>45419</v>
      </c>
      <c r="D206" s="18">
        <v>14359.66</v>
      </c>
    </row>
    <row r="207" spans="1:4">
      <c r="A207" s="18" t="s">
        <v>29</v>
      </c>
      <c r="B207" s="18" t="s">
        <v>45</v>
      </c>
      <c r="C207" s="19">
        <v>45588</v>
      </c>
      <c r="D207" s="18">
        <v>15932.72</v>
      </c>
    </row>
    <row r="208" spans="1:4">
      <c r="A208" s="18" t="s">
        <v>29</v>
      </c>
      <c r="B208" s="18" t="s">
        <v>45</v>
      </c>
      <c r="C208" s="19">
        <v>45421</v>
      </c>
      <c r="D208" s="18">
        <v>19426.07</v>
      </c>
    </row>
    <row r="209" spans="1:4">
      <c r="A209" s="18" t="s">
        <v>29</v>
      </c>
      <c r="B209" s="18" t="s">
        <v>45</v>
      </c>
      <c r="C209" s="19">
        <v>45621</v>
      </c>
      <c r="D209" s="18">
        <v>17572.98</v>
      </c>
    </row>
    <row r="210" spans="1:4">
      <c r="A210" s="18" t="s">
        <v>29</v>
      </c>
      <c r="B210" s="18" t="s">
        <v>45</v>
      </c>
      <c r="C210" s="19">
        <v>45442</v>
      </c>
      <c r="D210" s="18">
        <v>14520.18</v>
      </c>
    </row>
    <row r="211" spans="1:4">
      <c r="A211" s="18" t="s">
        <v>29</v>
      </c>
      <c r="B211" s="18" t="s">
        <v>45</v>
      </c>
      <c r="C211" s="19">
        <v>45626</v>
      </c>
      <c r="D211" s="18">
        <v>11992.41</v>
      </c>
    </row>
    <row r="212" spans="1:4">
      <c r="A212" s="18" t="s">
        <v>29</v>
      </c>
      <c r="B212" s="18" t="s">
        <v>45</v>
      </c>
      <c r="C212" s="19">
        <v>45555</v>
      </c>
      <c r="D212" s="18">
        <v>14134.02</v>
      </c>
    </row>
    <row r="213" spans="1:4">
      <c r="A213" s="18" t="s">
        <v>29</v>
      </c>
      <c r="B213" s="18" t="s">
        <v>45</v>
      </c>
      <c r="C213" s="19">
        <v>45450</v>
      </c>
      <c r="D213" s="18">
        <v>15968.16</v>
      </c>
    </row>
    <row r="214" spans="1:4">
      <c r="A214" s="18" t="s">
        <v>29</v>
      </c>
      <c r="B214" s="18" t="s">
        <v>45</v>
      </c>
      <c r="C214" s="19">
        <v>45427</v>
      </c>
      <c r="D214" s="18">
        <v>12518.31</v>
      </c>
    </row>
    <row r="215" spans="1:4">
      <c r="A215" s="18" t="s">
        <v>29</v>
      </c>
      <c r="B215" s="18" t="s">
        <v>45</v>
      </c>
      <c r="C215" s="19">
        <v>45514</v>
      </c>
      <c r="D215" s="18">
        <v>16558.04</v>
      </c>
    </row>
    <row r="216" spans="1:4">
      <c r="A216" s="18" t="s">
        <v>29</v>
      </c>
      <c r="B216" s="18" t="s">
        <v>45</v>
      </c>
      <c r="C216" s="19">
        <v>45564</v>
      </c>
      <c r="D216" s="18">
        <v>14673.72</v>
      </c>
    </row>
    <row r="217" spans="1:4">
      <c r="A217" s="18" t="s">
        <v>29</v>
      </c>
      <c r="B217" s="18" t="s">
        <v>45</v>
      </c>
      <c r="C217" s="19">
        <v>45370</v>
      </c>
      <c r="D217" s="18">
        <v>16205.14</v>
      </c>
    </row>
    <row r="218" spans="1:4">
      <c r="A218" s="18" t="s">
        <v>27</v>
      </c>
      <c r="B218" s="18" t="s">
        <v>46</v>
      </c>
      <c r="C218" s="19">
        <v>45406</v>
      </c>
      <c r="D218" s="18">
        <v>17070.43</v>
      </c>
    </row>
    <row r="219" spans="1:4">
      <c r="A219" s="18" t="s">
        <v>27</v>
      </c>
      <c r="B219" s="18" t="s">
        <v>46</v>
      </c>
      <c r="C219" s="19">
        <v>45369</v>
      </c>
      <c r="D219" s="18">
        <v>13796.34</v>
      </c>
    </row>
    <row r="220" spans="1:4">
      <c r="A220" s="18" t="s">
        <v>27</v>
      </c>
      <c r="B220" s="18" t="s">
        <v>46</v>
      </c>
      <c r="C220" s="19">
        <v>45622</v>
      </c>
      <c r="D220" s="18">
        <v>15672.28</v>
      </c>
    </row>
    <row r="221" spans="1:4">
      <c r="A221" s="18" t="s">
        <v>27</v>
      </c>
      <c r="B221" s="18" t="s">
        <v>46</v>
      </c>
      <c r="C221" s="19">
        <v>45346</v>
      </c>
      <c r="D221" s="18">
        <v>15037.78</v>
      </c>
    </row>
    <row r="222" spans="1:4">
      <c r="A222" s="18" t="s">
        <v>27</v>
      </c>
      <c r="B222" s="18" t="s">
        <v>46</v>
      </c>
      <c r="C222" s="19">
        <v>45382</v>
      </c>
      <c r="D222" s="18">
        <v>12680.97</v>
      </c>
    </row>
    <row r="223" spans="1:4">
      <c r="A223" s="18" t="s">
        <v>27</v>
      </c>
      <c r="B223" s="18" t="s">
        <v>46</v>
      </c>
      <c r="C223" s="19">
        <v>45313</v>
      </c>
      <c r="D223" s="18">
        <v>15073.53</v>
      </c>
    </row>
    <row r="224" spans="1:4">
      <c r="A224" s="18" t="s">
        <v>27</v>
      </c>
      <c r="B224" s="18" t="s">
        <v>46</v>
      </c>
      <c r="C224" s="19">
        <v>45317</v>
      </c>
      <c r="D224" s="18">
        <v>16493.990000000002</v>
      </c>
    </row>
    <row r="225" spans="1:4">
      <c r="A225" s="18" t="s">
        <v>27</v>
      </c>
      <c r="B225" s="18" t="s">
        <v>46</v>
      </c>
      <c r="C225" s="19">
        <v>45394</v>
      </c>
      <c r="D225" s="18">
        <v>19353.43</v>
      </c>
    </row>
    <row r="226" spans="1:4">
      <c r="A226" s="18" t="s">
        <v>27</v>
      </c>
      <c r="B226" s="18" t="s">
        <v>46</v>
      </c>
      <c r="C226" s="19">
        <v>45386</v>
      </c>
      <c r="D226" s="18">
        <v>17877.810000000001</v>
      </c>
    </row>
    <row r="227" spans="1:4">
      <c r="A227" s="18" t="s">
        <v>27</v>
      </c>
      <c r="B227" s="18" t="s">
        <v>46</v>
      </c>
      <c r="C227" s="19">
        <v>45484</v>
      </c>
      <c r="D227" s="18">
        <v>21459.55</v>
      </c>
    </row>
    <row r="228" spans="1:4">
      <c r="A228" s="18" t="s">
        <v>27</v>
      </c>
      <c r="B228" s="18" t="s">
        <v>46</v>
      </c>
      <c r="C228" s="19">
        <v>45311</v>
      </c>
      <c r="D228" s="18">
        <v>12697.96</v>
      </c>
    </row>
    <row r="229" spans="1:4">
      <c r="A229" s="18" t="s">
        <v>27</v>
      </c>
      <c r="B229" s="18" t="s">
        <v>46</v>
      </c>
      <c r="C229" s="19">
        <v>45378</v>
      </c>
      <c r="D229" s="18">
        <v>15550.03</v>
      </c>
    </row>
    <row r="230" spans="1:4">
      <c r="A230" s="18" t="s">
        <v>29</v>
      </c>
      <c r="B230" s="18" t="s">
        <v>47</v>
      </c>
      <c r="C230" s="19">
        <v>45409</v>
      </c>
      <c r="D230" s="18">
        <v>12575.11</v>
      </c>
    </row>
    <row r="231" spans="1:4">
      <c r="A231" s="18" t="s">
        <v>29</v>
      </c>
      <c r="B231" s="18" t="s">
        <v>47</v>
      </c>
      <c r="C231" s="19">
        <v>45455</v>
      </c>
      <c r="D231" s="18">
        <v>12480.83</v>
      </c>
    </row>
    <row r="232" spans="1:4">
      <c r="A232" s="18" t="s">
        <v>29</v>
      </c>
      <c r="B232" s="18" t="s">
        <v>47</v>
      </c>
      <c r="C232" s="19">
        <v>45294</v>
      </c>
      <c r="D232" s="18">
        <v>13201.82</v>
      </c>
    </row>
    <row r="233" spans="1:4">
      <c r="A233" s="18" t="s">
        <v>29</v>
      </c>
      <c r="B233" s="18" t="s">
        <v>47</v>
      </c>
      <c r="C233" s="19">
        <v>45353</v>
      </c>
      <c r="D233" s="18">
        <v>8628.31</v>
      </c>
    </row>
    <row r="234" spans="1:4">
      <c r="A234" s="18" t="s">
        <v>29</v>
      </c>
      <c r="B234" s="18" t="s">
        <v>47</v>
      </c>
      <c r="C234" s="19">
        <v>45453</v>
      </c>
      <c r="D234" s="18">
        <v>13422.73</v>
      </c>
    </row>
    <row r="235" spans="1:4">
      <c r="A235" s="18" t="s">
        <v>29</v>
      </c>
      <c r="B235" s="18" t="s">
        <v>47</v>
      </c>
      <c r="C235" s="19">
        <v>45562</v>
      </c>
      <c r="D235" s="18">
        <v>15451.18</v>
      </c>
    </row>
    <row r="236" spans="1:4">
      <c r="A236" s="18" t="s">
        <v>29</v>
      </c>
      <c r="B236" s="18" t="s">
        <v>47</v>
      </c>
      <c r="C236" s="19">
        <v>45646</v>
      </c>
      <c r="D236" s="18">
        <v>16025.27</v>
      </c>
    </row>
    <row r="237" spans="1:4">
      <c r="A237" s="18" t="s">
        <v>29</v>
      </c>
      <c r="B237" s="18" t="s">
        <v>47</v>
      </c>
      <c r="C237" s="19">
        <v>45351</v>
      </c>
      <c r="D237" s="18">
        <v>20628.509999999998</v>
      </c>
    </row>
    <row r="238" spans="1:4">
      <c r="A238" s="18" t="s">
        <v>29</v>
      </c>
      <c r="B238" s="18" t="s">
        <v>47</v>
      </c>
      <c r="C238" s="19">
        <v>45414</v>
      </c>
      <c r="D238" s="18">
        <v>17851.27</v>
      </c>
    </row>
    <row r="239" spans="1:4">
      <c r="A239" s="18" t="s">
        <v>29</v>
      </c>
      <c r="B239" s="18" t="s">
        <v>47</v>
      </c>
      <c r="C239" s="19">
        <v>45339</v>
      </c>
      <c r="D239" s="18">
        <v>13269.29</v>
      </c>
    </row>
    <row r="240" spans="1:4">
      <c r="A240" s="18" t="s">
        <v>29</v>
      </c>
      <c r="B240" s="18" t="s">
        <v>47</v>
      </c>
      <c r="C240" s="19">
        <v>45475</v>
      </c>
      <c r="D240" s="18">
        <v>16475.759999999998</v>
      </c>
    </row>
    <row r="241" spans="1:4">
      <c r="A241" s="18" t="s">
        <v>29</v>
      </c>
      <c r="B241" s="18" t="s">
        <v>47</v>
      </c>
      <c r="C241" s="19">
        <v>45413</v>
      </c>
      <c r="D241" s="18">
        <v>11039.3</v>
      </c>
    </row>
    <row r="242" spans="1:4">
      <c r="A242" s="18" t="s">
        <v>29</v>
      </c>
      <c r="B242" s="18" t="s">
        <v>48</v>
      </c>
      <c r="C242" s="19">
        <v>45316</v>
      </c>
      <c r="D242" s="18">
        <v>20494.38</v>
      </c>
    </row>
    <row r="243" spans="1:4">
      <c r="A243" s="18" t="s">
        <v>29</v>
      </c>
      <c r="B243" s="18" t="s">
        <v>48</v>
      </c>
      <c r="C243" s="19">
        <v>45403</v>
      </c>
      <c r="D243" s="18">
        <v>18538.32</v>
      </c>
    </row>
    <row r="244" spans="1:4">
      <c r="A244" s="18" t="s">
        <v>29</v>
      </c>
      <c r="B244" s="18" t="s">
        <v>48</v>
      </c>
      <c r="C244" s="19">
        <v>45476</v>
      </c>
      <c r="D244" s="18">
        <v>13592.47</v>
      </c>
    </row>
    <row r="245" spans="1:4">
      <c r="A245" s="18" t="s">
        <v>29</v>
      </c>
      <c r="B245" s="18" t="s">
        <v>48</v>
      </c>
      <c r="C245" s="19">
        <v>45508</v>
      </c>
      <c r="D245" s="18">
        <v>9860.6</v>
      </c>
    </row>
    <row r="246" spans="1:4">
      <c r="A246" s="18" t="s">
        <v>29</v>
      </c>
      <c r="B246" s="18" t="s">
        <v>48</v>
      </c>
      <c r="C246" s="19">
        <v>45362</v>
      </c>
      <c r="D246" s="18">
        <v>14656.38</v>
      </c>
    </row>
    <row r="247" spans="1:4">
      <c r="A247" s="18" t="s">
        <v>29</v>
      </c>
      <c r="B247" s="18" t="s">
        <v>48</v>
      </c>
      <c r="C247" s="19">
        <v>45506</v>
      </c>
      <c r="D247" s="18">
        <v>10216.719999999999</v>
      </c>
    </row>
    <row r="248" spans="1:4">
      <c r="A248" s="18" t="s">
        <v>29</v>
      </c>
      <c r="B248" s="18" t="s">
        <v>48</v>
      </c>
      <c r="C248" s="19">
        <v>45607</v>
      </c>
      <c r="D248" s="18">
        <v>15015.73</v>
      </c>
    </row>
    <row r="249" spans="1:4">
      <c r="A249" s="18" t="s">
        <v>29</v>
      </c>
      <c r="B249" s="18" t="s">
        <v>48</v>
      </c>
      <c r="C249" s="19">
        <v>45591</v>
      </c>
      <c r="D249" s="18">
        <v>15140.94</v>
      </c>
    </row>
    <row r="250" spans="1:4">
      <c r="A250" s="18" t="s">
        <v>29</v>
      </c>
      <c r="B250" s="18" t="s">
        <v>48</v>
      </c>
      <c r="C250" s="19">
        <v>45452</v>
      </c>
      <c r="D250" s="18">
        <v>13649.8</v>
      </c>
    </row>
    <row r="251" spans="1:4">
      <c r="A251" s="18" t="s">
        <v>29</v>
      </c>
      <c r="B251" s="18" t="s">
        <v>48</v>
      </c>
      <c r="C251" s="19">
        <v>45450</v>
      </c>
      <c r="D251" s="18">
        <v>16868.55</v>
      </c>
    </row>
    <row r="252" spans="1:4">
      <c r="A252" s="18" t="s">
        <v>29</v>
      </c>
      <c r="B252" s="18" t="s">
        <v>48</v>
      </c>
      <c r="C252" s="19">
        <v>45441</v>
      </c>
      <c r="D252" s="18">
        <v>11797.14</v>
      </c>
    </row>
    <row r="253" spans="1:4">
      <c r="A253" s="18" t="s">
        <v>29</v>
      </c>
      <c r="B253" s="18" t="s">
        <v>48</v>
      </c>
      <c r="C253" s="19">
        <v>45558</v>
      </c>
      <c r="D253" s="18">
        <v>14572.86</v>
      </c>
    </row>
    <row r="254" spans="1:4">
      <c r="A254" s="18" t="s">
        <v>27</v>
      </c>
      <c r="B254" s="18" t="s">
        <v>49</v>
      </c>
      <c r="C254" s="19">
        <v>45488</v>
      </c>
      <c r="D254" s="18">
        <v>15360.89</v>
      </c>
    </row>
    <row r="255" spans="1:4">
      <c r="A255" s="18" t="s">
        <v>27</v>
      </c>
      <c r="B255" s="18" t="s">
        <v>49</v>
      </c>
      <c r="C255" s="19">
        <v>45402</v>
      </c>
      <c r="D255" s="18">
        <v>16543.32</v>
      </c>
    </row>
    <row r="256" spans="1:4">
      <c r="A256" s="18" t="s">
        <v>27</v>
      </c>
      <c r="B256" s="18" t="s">
        <v>49</v>
      </c>
      <c r="C256" s="19">
        <v>45355</v>
      </c>
      <c r="D256" s="18">
        <v>17134.84</v>
      </c>
    </row>
    <row r="257" spans="1:4">
      <c r="A257" s="18" t="s">
        <v>27</v>
      </c>
      <c r="B257" s="18" t="s">
        <v>49</v>
      </c>
      <c r="C257" s="19">
        <v>45433</v>
      </c>
      <c r="D257" s="18">
        <v>10397.66</v>
      </c>
    </row>
    <row r="258" spans="1:4">
      <c r="A258" s="18" t="s">
        <v>27</v>
      </c>
      <c r="B258" s="18" t="s">
        <v>49</v>
      </c>
      <c r="C258" s="19">
        <v>45537</v>
      </c>
      <c r="D258" s="18">
        <v>15996.94</v>
      </c>
    </row>
    <row r="259" spans="1:4">
      <c r="A259" s="18" t="s">
        <v>27</v>
      </c>
      <c r="B259" s="18" t="s">
        <v>49</v>
      </c>
      <c r="C259" s="19">
        <v>45468</v>
      </c>
      <c r="D259" s="18">
        <v>12754.54</v>
      </c>
    </row>
    <row r="260" spans="1:4">
      <c r="A260" s="18" t="s">
        <v>27</v>
      </c>
      <c r="B260" s="18" t="s">
        <v>49</v>
      </c>
      <c r="C260" s="19">
        <v>45464</v>
      </c>
      <c r="D260" s="18">
        <v>19653.46</v>
      </c>
    </row>
    <row r="261" spans="1:4">
      <c r="A261" s="18" t="s">
        <v>27</v>
      </c>
      <c r="B261" s="18" t="s">
        <v>49</v>
      </c>
      <c r="C261" s="19">
        <v>45496</v>
      </c>
      <c r="D261" s="18">
        <v>15347.02</v>
      </c>
    </row>
    <row r="262" spans="1:4">
      <c r="A262" s="18" t="s">
        <v>27</v>
      </c>
      <c r="B262" s="18" t="s">
        <v>49</v>
      </c>
      <c r="C262" s="19">
        <v>45297</v>
      </c>
      <c r="D262" s="18">
        <v>15202.56</v>
      </c>
    </row>
    <row r="263" spans="1:4">
      <c r="A263" s="18" t="s">
        <v>27</v>
      </c>
      <c r="B263" s="18" t="s">
        <v>49</v>
      </c>
      <c r="C263" s="19">
        <v>45617</v>
      </c>
      <c r="D263" s="18">
        <v>21182.240000000002</v>
      </c>
    </row>
    <row r="264" spans="1:4">
      <c r="A264" s="18" t="s">
        <v>27</v>
      </c>
      <c r="B264" s="18" t="s">
        <v>49</v>
      </c>
      <c r="C264" s="19">
        <v>45333</v>
      </c>
      <c r="D264" s="18">
        <v>20266.02</v>
      </c>
    </row>
    <row r="265" spans="1:4">
      <c r="A265" s="18" t="s">
        <v>27</v>
      </c>
      <c r="B265" s="18" t="s">
        <v>49</v>
      </c>
      <c r="C265" s="19">
        <v>45569</v>
      </c>
      <c r="D265" s="18">
        <v>17914.71</v>
      </c>
    </row>
    <row r="266" spans="1:4">
      <c r="A266" s="18" t="s">
        <v>29</v>
      </c>
      <c r="B266" s="18" t="s">
        <v>50</v>
      </c>
      <c r="C266" s="19">
        <v>45366</v>
      </c>
      <c r="D266" s="18">
        <v>16936.13</v>
      </c>
    </row>
    <row r="267" spans="1:4">
      <c r="A267" s="18" t="s">
        <v>29</v>
      </c>
      <c r="B267" s="18" t="s">
        <v>50</v>
      </c>
      <c r="C267" s="19">
        <v>45589</v>
      </c>
      <c r="D267" s="18">
        <v>12105.23</v>
      </c>
    </row>
    <row r="268" spans="1:4">
      <c r="A268" s="18" t="s">
        <v>29</v>
      </c>
      <c r="B268" s="18" t="s">
        <v>50</v>
      </c>
      <c r="C268" s="19">
        <v>45418</v>
      </c>
      <c r="D268" s="18">
        <v>17058.150000000001</v>
      </c>
    </row>
    <row r="269" spans="1:4">
      <c r="A269" s="18" t="s">
        <v>29</v>
      </c>
      <c r="B269" s="18" t="s">
        <v>50</v>
      </c>
      <c r="C269" s="19">
        <v>45380</v>
      </c>
      <c r="D269" s="18">
        <v>18175.27</v>
      </c>
    </row>
    <row r="270" spans="1:4">
      <c r="A270" s="18" t="s">
        <v>29</v>
      </c>
      <c r="B270" s="18" t="s">
        <v>50</v>
      </c>
      <c r="C270" s="19">
        <v>45389</v>
      </c>
      <c r="D270" s="18">
        <v>9723.7800000000007</v>
      </c>
    </row>
    <row r="271" spans="1:4">
      <c r="A271" s="18" t="s">
        <v>29</v>
      </c>
      <c r="B271" s="18" t="s">
        <v>50</v>
      </c>
      <c r="C271" s="19">
        <v>45456</v>
      </c>
      <c r="D271" s="18">
        <v>11450.22</v>
      </c>
    </row>
    <row r="272" spans="1:4">
      <c r="A272" s="18" t="s">
        <v>29</v>
      </c>
      <c r="B272" s="18" t="s">
        <v>50</v>
      </c>
      <c r="C272" s="19">
        <v>45492</v>
      </c>
      <c r="D272" s="18">
        <v>8882.2999999999993</v>
      </c>
    </row>
    <row r="273" spans="1:4">
      <c r="A273" s="18" t="s">
        <v>29</v>
      </c>
      <c r="B273" s="18" t="s">
        <v>50</v>
      </c>
      <c r="C273" s="19">
        <v>45565</v>
      </c>
      <c r="D273" s="18">
        <v>14191.78</v>
      </c>
    </row>
    <row r="274" spans="1:4">
      <c r="A274" s="18" t="s">
        <v>29</v>
      </c>
      <c r="B274" s="18" t="s">
        <v>50</v>
      </c>
      <c r="C274" s="19">
        <v>45656</v>
      </c>
      <c r="D274" s="18">
        <v>17152.63</v>
      </c>
    </row>
    <row r="275" spans="1:4">
      <c r="A275" s="18" t="s">
        <v>29</v>
      </c>
      <c r="B275" s="18" t="s">
        <v>50</v>
      </c>
      <c r="C275" s="19">
        <v>45437</v>
      </c>
      <c r="D275" s="18">
        <v>19507.07</v>
      </c>
    </row>
    <row r="276" spans="1:4">
      <c r="A276" s="18" t="s">
        <v>29</v>
      </c>
      <c r="B276" s="18" t="s">
        <v>50</v>
      </c>
      <c r="C276" s="19">
        <v>45590</v>
      </c>
      <c r="D276" s="18">
        <v>15222.28</v>
      </c>
    </row>
    <row r="277" spans="1:4">
      <c r="A277" s="18" t="s">
        <v>29</v>
      </c>
      <c r="B277" s="18" t="s">
        <v>50</v>
      </c>
      <c r="C277" s="19">
        <v>45383</v>
      </c>
      <c r="D277" s="18">
        <v>19885.849999999999</v>
      </c>
    </row>
    <row r="278" spans="1:4">
      <c r="A278" s="18" t="s">
        <v>27</v>
      </c>
      <c r="B278" s="18" t="s">
        <v>51</v>
      </c>
      <c r="C278" s="19">
        <v>45385</v>
      </c>
      <c r="D278" s="18">
        <v>10859.7</v>
      </c>
    </row>
    <row r="279" spans="1:4">
      <c r="A279" s="18" t="s">
        <v>27</v>
      </c>
      <c r="B279" s="18" t="s">
        <v>51</v>
      </c>
      <c r="C279" s="19">
        <v>45490</v>
      </c>
      <c r="D279" s="18">
        <v>9889.85</v>
      </c>
    </row>
    <row r="280" spans="1:4">
      <c r="A280" s="18" t="s">
        <v>27</v>
      </c>
      <c r="B280" s="18" t="s">
        <v>51</v>
      </c>
      <c r="C280" s="19">
        <v>45652</v>
      </c>
      <c r="D280" s="18">
        <v>14833.36</v>
      </c>
    </row>
    <row r="281" spans="1:4">
      <c r="A281" s="18" t="s">
        <v>27</v>
      </c>
      <c r="B281" s="18" t="s">
        <v>51</v>
      </c>
      <c r="C281" s="19">
        <v>45642</v>
      </c>
      <c r="D281" s="18">
        <v>16152.2</v>
      </c>
    </row>
    <row r="282" spans="1:4">
      <c r="A282" s="18" t="s">
        <v>27</v>
      </c>
      <c r="B282" s="18" t="s">
        <v>51</v>
      </c>
      <c r="C282" s="19">
        <v>45470</v>
      </c>
      <c r="D282" s="18">
        <v>8797.67</v>
      </c>
    </row>
    <row r="283" spans="1:4">
      <c r="A283" s="18" t="s">
        <v>27</v>
      </c>
      <c r="B283" s="18" t="s">
        <v>51</v>
      </c>
      <c r="C283" s="19">
        <v>45436</v>
      </c>
      <c r="D283" s="18">
        <v>14732.64</v>
      </c>
    </row>
    <row r="284" spans="1:4">
      <c r="A284" s="18" t="s">
        <v>27</v>
      </c>
      <c r="B284" s="18" t="s">
        <v>51</v>
      </c>
      <c r="C284" s="19">
        <v>45483</v>
      </c>
      <c r="D284" s="18">
        <v>17009.02</v>
      </c>
    </row>
    <row r="285" spans="1:4">
      <c r="A285" s="18" t="s">
        <v>27</v>
      </c>
      <c r="B285" s="18" t="s">
        <v>51</v>
      </c>
      <c r="C285" s="19">
        <v>45332</v>
      </c>
      <c r="D285" s="18">
        <v>16099.79</v>
      </c>
    </row>
    <row r="286" spans="1:4">
      <c r="A286" s="18" t="s">
        <v>27</v>
      </c>
      <c r="B286" s="18" t="s">
        <v>51</v>
      </c>
      <c r="C286" s="19">
        <v>45379</v>
      </c>
      <c r="D286" s="18">
        <v>12180.36</v>
      </c>
    </row>
    <row r="287" spans="1:4">
      <c r="A287" s="18" t="s">
        <v>27</v>
      </c>
      <c r="B287" s="18" t="s">
        <v>51</v>
      </c>
      <c r="C287" s="19">
        <v>45599</v>
      </c>
      <c r="D287" s="18">
        <v>11822.36</v>
      </c>
    </row>
    <row r="288" spans="1:4">
      <c r="A288" s="18" t="s">
        <v>27</v>
      </c>
      <c r="B288" s="18" t="s">
        <v>51</v>
      </c>
      <c r="C288" s="19">
        <v>45424</v>
      </c>
      <c r="D288" s="18">
        <v>14811.96</v>
      </c>
    </row>
    <row r="289" spans="1:4">
      <c r="A289" s="18" t="s">
        <v>27</v>
      </c>
      <c r="B289" s="18" t="s">
        <v>51</v>
      </c>
      <c r="C289" s="19">
        <v>45531</v>
      </c>
      <c r="D289" s="18">
        <v>12042.82</v>
      </c>
    </row>
    <row r="290" spans="1:4">
      <c r="A290" s="18" t="s">
        <v>27</v>
      </c>
      <c r="B290" s="18" t="s">
        <v>52</v>
      </c>
      <c r="C290" s="19">
        <v>45448</v>
      </c>
      <c r="D290" s="18">
        <v>16512.14</v>
      </c>
    </row>
    <row r="291" spans="1:4">
      <c r="A291" s="18" t="s">
        <v>27</v>
      </c>
      <c r="B291" s="18" t="s">
        <v>52</v>
      </c>
      <c r="C291" s="19">
        <v>45476</v>
      </c>
      <c r="D291" s="18">
        <v>13409.23</v>
      </c>
    </row>
    <row r="292" spans="1:4">
      <c r="A292" s="18" t="s">
        <v>27</v>
      </c>
      <c r="B292" s="18" t="s">
        <v>52</v>
      </c>
      <c r="C292" s="19">
        <v>45406</v>
      </c>
      <c r="D292" s="18">
        <v>14678.91</v>
      </c>
    </row>
    <row r="293" spans="1:4">
      <c r="A293" s="18" t="s">
        <v>27</v>
      </c>
      <c r="B293" s="18" t="s">
        <v>52</v>
      </c>
      <c r="C293" s="19">
        <v>45542</v>
      </c>
      <c r="D293" s="18">
        <v>11894.27</v>
      </c>
    </row>
    <row r="294" spans="1:4">
      <c r="A294" s="18" t="s">
        <v>27</v>
      </c>
      <c r="B294" s="18" t="s">
        <v>52</v>
      </c>
      <c r="C294" s="19">
        <v>45495</v>
      </c>
      <c r="D294" s="18">
        <v>11406.37</v>
      </c>
    </row>
    <row r="295" spans="1:4">
      <c r="A295" s="18" t="s">
        <v>27</v>
      </c>
      <c r="B295" s="18" t="s">
        <v>52</v>
      </c>
      <c r="C295" s="19">
        <v>45382</v>
      </c>
      <c r="D295" s="18">
        <v>15105.79</v>
      </c>
    </row>
    <row r="296" spans="1:4">
      <c r="A296" s="18" t="s">
        <v>27</v>
      </c>
      <c r="B296" s="18" t="s">
        <v>52</v>
      </c>
      <c r="C296" s="19">
        <v>45641</v>
      </c>
      <c r="D296" s="18">
        <v>12900.82</v>
      </c>
    </row>
    <row r="297" spans="1:4">
      <c r="A297" s="18" t="s">
        <v>27</v>
      </c>
      <c r="B297" s="18" t="s">
        <v>52</v>
      </c>
      <c r="C297" s="19">
        <v>45398</v>
      </c>
      <c r="D297" s="18">
        <v>15641.94</v>
      </c>
    </row>
    <row r="298" spans="1:4">
      <c r="A298" s="18" t="s">
        <v>27</v>
      </c>
      <c r="B298" s="18" t="s">
        <v>52</v>
      </c>
      <c r="C298" s="19">
        <v>45324</v>
      </c>
      <c r="D298" s="18">
        <v>14337.09</v>
      </c>
    </row>
    <row r="299" spans="1:4">
      <c r="A299" s="18" t="s">
        <v>27</v>
      </c>
      <c r="B299" s="18" t="s">
        <v>52</v>
      </c>
      <c r="C299" s="19">
        <v>45492</v>
      </c>
      <c r="D299" s="18">
        <v>16842.5</v>
      </c>
    </row>
    <row r="300" spans="1:4">
      <c r="A300" s="18" t="s">
        <v>27</v>
      </c>
      <c r="B300" s="18" t="s">
        <v>52</v>
      </c>
      <c r="C300" s="19">
        <v>45630</v>
      </c>
      <c r="D300" s="18">
        <v>17272.52</v>
      </c>
    </row>
    <row r="301" spans="1:4">
      <c r="A301" s="18" t="s">
        <v>27</v>
      </c>
      <c r="B301" s="18" t="s">
        <v>52</v>
      </c>
      <c r="C301" s="19">
        <v>45354</v>
      </c>
      <c r="D301" s="18">
        <v>13408.5</v>
      </c>
    </row>
    <row r="302" spans="1:4">
      <c r="A302" s="18" t="s">
        <v>29</v>
      </c>
      <c r="B302" s="18" t="s">
        <v>53</v>
      </c>
      <c r="C302" s="19">
        <v>45333</v>
      </c>
      <c r="D302" s="18">
        <v>13272.55</v>
      </c>
    </row>
    <row r="303" spans="1:4">
      <c r="A303" s="18" t="s">
        <v>29</v>
      </c>
      <c r="B303" s="18" t="s">
        <v>53</v>
      </c>
      <c r="C303" s="19">
        <v>45485</v>
      </c>
      <c r="D303" s="18">
        <v>14174.84</v>
      </c>
    </row>
    <row r="304" spans="1:4">
      <c r="A304" s="18" t="s">
        <v>29</v>
      </c>
      <c r="B304" s="18" t="s">
        <v>53</v>
      </c>
      <c r="C304" s="19">
        <v>45608</v>
      </c>
      <c r="D304" s="18">
        <v>8094.24</v>
      </c>
    </row>
    <row r="305" spans="1:4">
      <c r="A305" s="18" t="s">
        <v>29</v>
      </c>
      <c r="B305" s="18" t="s">
        <v>53</v>
      </c>
      <c r="C305" s="19">
        <v>45526</v>
      </c>
      <c r="D305" s="18">
        <v>10454.43</v>
      </c>
    </row>
    <row r="306" spans="1:4">
      <c r="A306" s="18" t="s">
        <v>29</v>
      </c>
      <c r="B306" s="18" t="s">
        <v>53</v>
      </c>
      <c r="C306" s="19">
        <v>45524</v>
      </c>
      <c r="D306" s="18">
        <v>19934.900000000001</v>
      </c>
    </row>
    <row r="307" spans="1:4">
      <c r="A307" s="18" t="s">
        <v>29</v>
      </c>
      <c r="B307" s="18" t="s">
        <v>53</v>
      </c>
      <c r="C307" s="19">
        <v>45346</v>
      </c>
      <c r="D307" s="18">
        <v>16729.669999999998</v>
      </c>
    </row>
    <row r="308" spans="1:4">
      <c r="A308" s="18" t="s">
        <v>29</v>
      </c>
      <c r="B308" s="18" t="s">
        <v>53</v>
      </c>
      <c r="C308" s="19">
        <v>45298</v>
      </c>
      <c r="D308" s="18">
        <v>15933.75</v>
      </c>
    </row>
    <row r="309" spans="1:4">
      <c r="A309" s="18" t="s">
        <v>29</v>
      </c>
      <c r="B309" s="18" t="s">
        <v>53</v>
      </c>
      <c r="C309" s="19">
        <v>45333</v>
      </c>
      <c r="D309" s="18">
        <v>24236.639999999999</v>
      </c>
    </row>
    <row r="310" spans="1:4">
      <c r="A310" s="18" t="s">
        <v>29</v>
      </c>
      <c r="B310" s="18" t="s">
        <v>53</v>
      </c>
      <c r="C310" s="19">
        <v>45469</v>
      </c>
      <c r="D310" s="18">
        <v>18358.72</v>
      </c>
    </row>
    <row r="311" spans="1:4">
      <c r="A311" s="18" t="s">
        <v>29</v>
      </c>
      <c r="B311" s="18" t="s">
        <v>53</v>
      </c>
      <c r="C311" s="19">
        <v>45521</v>
      </c>
      <c r="D311" s="18">
        <v>14616.25</v>
      </c>
    </row>
    <row r="312" spans="1:4">
      <c r="A312" s="18" t="s">
        <v>29</v>
      </c>
      <c r="B312" s="18" t="s">
        <v>53</v>
      </c>
      <c r="C312" s="19">
        <v>45372</v>
      </c>
      <c r="D312" s="18">
        <v>12133.38</v>
      </c>
    </row>
    <row r="313" spans="1:4">
      <c r="A313" s="18" t="s">
        <v>29</v>
      </c>
      <c r="B313" s="18" t="s">
        <v>53</v>
      </c>
      <c r="C313" s="19">
        <v>45315</v>
      </c>
      <c r="D313" s="18">
        <v>10180.66</v>
      </c>
    </row>
    <row r="314" spans="1:4">
      <c r="A314" s="18" t="s">
        <v>29</v>
      </c>
      <c r="B314" s="18" t="s">
        <v>54</v>
      </c>
      <c r="C314" s="19">
        <v>45337</v>
      </c>
      <c r="D314" s="18">
        <v>12730.95</v>
      </c>
    </row>
    <row r="315" spans="1:4">
      <c r="A315" s="18" t="s">
        <v>29</v>
      </c>
      <c r="B315" s="18" t="s">
        <v>54</v>
      </c>
      <c r="C315" s="19">
        <v>45548</v>
      </c>
      <c r="D315" s="18">
        <v>13060.28</v>
      </c>
    </row>
    <row r="316" spans="1:4">
      <c r="A316" s="18" t="s">
        <v>29</v>
      </c>
      <c r="B316" s="18" t="s">
        <v>54</v>
      </c>
      <c r="C316" s="19">
        <v>45592</v>
      </c>
      <c r="D316" s="18">
        <v>20061.419999999998</v>
      </c>
    </row>
    <row r="317" spans="1:4">
      <c r="A317" s="18" t="s">
        <v>29</v>
      </c>
      <c r="B317" s="18" t="s">
        <v>54</v>
      </c>
      <c r="C317" s="19">
        <v>45514</v>
      </c>
      <c r="D317" s="18">
        <v>17644.919999999998</v>
      </c>
    </row>
    <row r="318" spans="1:4">
      <c r="A318" s="18" t="s">
        <v>29</v>
      </c>
      <c r="B318" s="18" t="s">
        <v>54</v>
      </c>
      <c r="C318" s="19">
        <v>45497</v>
      </c>
      <c r="D318" s="18">
        <v>14976.08</v>
      </c>
    </row>
    <row r="319" spans="1:4">
      <c r="A319" s="18" t="s">
        <v>29</v>
      </c>
      <c r="B319" s="18" t="s">
        <v>54</v>
      </c>
      <c r="C319" s="19">
        <v>45319</v>
      </c>
      <c r="D319" s="18">
        <v>19439.830000000002</v>
      </c>
    </row>
    <row r="320" spans="1:4">
      <c r="A320" s="18" t="s">
        <v>29</v>
      </c>
      <c r="B320" s="18" t="s">
        <v>54</v>
      </c>
      <c r="C320" s="19">
        <v>45606</v>
      </c>
      <c r="D320" s="18">
        <v>15232.1</v>
      </c>
    </row>
    <row r="321" spans="1:4">
      <c r="A321" s="18" t="s">
        <v>29</v>
      </c>
      <c r="B321" s="18" t="s">
        <v>54</v>
      </c>
      <c r="C321" s="19">
        <v>45519</v>
      </c>
      <c r="D321" s="18">
        <v>12416.15</v>
      </c>
    </row>
    <row r="322" spans="1:4">
      <c r="A322" s="18" t="s">
        <v>29</v>
      </c>
      <c r="B322" s="18" t="s">
        <v>54</v>
      </c>
      <c r="C322" s="19">
        <v>45509</v>
      </c>
      <c r="D322" s="18">
        <v>19569.37</v>
      </c>
    </row>
    <row r="323" spans="1:4">
      <c r="A323" s="18" t="s">
        <v>29</v>
      </c>
      <c r="B323" s="18" t="s">
        <v>54</v>
      </c>
      <c r="C323" s="19">
        <v>45322</v>
      </c>
      <c r="D323" s="18">
        <v>16616.73</v>
      </c>
    </row>
    <row r="324" spans="1:4">
      <c r="A324" s="18" t="s">
        <v>29</v>
      </c>
      <c r="B324" s="18" t="s">
        <v>54</v>
      </c>
      <c r="C324" s="19">
        <v>45537</v>
      </c>
      <c r="D324" s="18">
        <v>11888.26</v>
      </c>
    </row>
    <row r="325" spans="1:4">
      <c r="A325" s="18" t="s">
        <v>29</v>
      </c>
      <c r="B325" s="18" t="s">
        <v>54</v>
      </c>
      <c r="C325" s="19">
        <v>45423</v>
      </c>
      <c r="D325" s="18">
        <v>14428.98</v>
      </c>
    </row>
    <row r="326" spans="1:4">
      <c r="A326" s="18" t="s">
        <v>25</v>
      </c>
      <c r="B326" s="18" t="s">
        <v>55</v>
      </c>
      <c r="C326" s="19">
        <v>45372</v>
      </c>
      <c r="D326" s="18">
        <v>12373.15</v>
      </c>
    </row>
    <row r="327" spans="1:4">
      <c r="A327" s="18" t="s">
        <v>25</v>
      </c>
      <c r="B327" s="18" t="s">
        <v>55</v>
      </c>
      <c r="C327" s="19">
        <v>45564</v>
      </c>
      <c r="D327" s="18">
        <v>17778.53</v>
      </c>
    </row>
    <row r="328" spans="1:4">
      <c r="A328" s="18" t="s">
        <v>25</v>
      </c>
      <c r="B328" s="18" t="s">
        <v>55</v>
      </c>
      <c r="C328" s="19">
        <v>45626</v>
      </c>
      <c r="D328" s="18">
        <v>10804.3</v>
      </c>
    </row>
    <row r="329" spans="1:4">
      <c r="A329" s="18" t="s">
        <v>25</v>
      </c>
      <c r="B329" s="18" t="s">
        <v>55</v>
      </c>
      <c r="C329" s="19">
        <v>45410</v>
      </c>
      <c r="D329" s="18">
        <v>13048.07</v>
      </c>
    </row>
    <row r="330" spans="1:4">
      <c r="A330" s="18" t="s">
        <v>25</v>
      </c>
      <c r="B330" s="18" t="s">
        <v>55</v>
      </c>
      <c r="C330" s="19">
        <v>45456</v>
      </c>
      <c r="D330" s="18">
        <v>13538.62</v>
      </c>
    </row>
    <row r="331" spans="1:4">
      <c r="A331" s="18" t="s">
        <v>25</v>
      </c>
      <c r="B331" s="18" t="s">
        <v>55</v>
      </c>
      <c r="C331" s="19">
        <v>45489</v>
      </c>
      <c r="D331" s="18">
        <v>12408.03</v>
      </c>
    </row>
    <row r="332" spans="1:4">
      <c r="A332" s="18" t="s">
        <v>25</v>
      </c>
      <c r="B332" s="18" t="s">
        <v>55</v>
      </c>
      <c r="C332" s="19">
        <v>45418</v>
      </c>
      <c r="D332" s="18">
        <v>15145.56</v>
      </c>
    </row>
    <row r="333" spans="1:4">
      <c r="A333" s="18" t="s">
        <v>25</v>
      </c>
      <c r="B333" s="18" t="s">
        <v>55</v>
      </c>
      <c r="C333" s="19">
        <v>45455</v>
      </c>
      <c r="D333" s="18">
        <v>12507.15</v>
      </c>
    </row>
    <row r="334" spans="1:4">
      <c r="A334" s="18" t="s">
        <v>25</v>
      </c>
      <c r="B334" s="18" t="s">
        <v>55</v>
      </c>
      <c r="C334" s="19">
        <v>45380</v>
      </c>
      <c r="D334" s="18">
        <v>14849.29</v>
      </c>
    </row>
    <row r="335" spans="1:4">
      <c r="A335" s="18" t="s">
        <v>25</v>
      </c>
      <c r="B335" s="18" t="s">
        <v>55</v>
      </c>
      <c r="C335" s="19">
        <v>45374</v>
      </c>
      <c r="D335" s="18">
        <v>14283.16</v>
      </c>
    </row>
    <row r="336" spans="1:4">
      <c r="A336" s="18" t="s">
        <v>25</v>
      </c>
      <c r="B336" s="18" t="s">
        <v>55</v>
      </c>
      <c r="C336" s="19">
        <v>45355</v>
      </c>
      <c r="D336" s="18">
        <v>12277.31</v>
      </c>
    </row>
    <row r="337" spans="1:4">
      <c r="A337" s="18" t="s">
        <v>25</v>
      </c>
      <c r="B337" s="18" t="s">
        <v>55</v>
      </c>
      <c r="C337" s="19">
        <v>45600</v>
      </c>
      <c r="D337" s="18">
        <v>13269.69</v>
      </c>
    </row>
    <row r="338" spans="1:4">
      <c r="A338" s="18" t="s">
        <v>25</v>
      </c>
      <c r="B338" s="18" t="s">
        <v>56</v>
      </c>
      <c r="C338" s="19">
        <v>45453</v>
      </c>
      <c r="D338" s="18">
        <v>17266.169999999998</v>
      </c>
    </row>
    <row r="339" spans="1:4">
      <c r="A339" s="18" t="s">
        <v>25</v>
      </c>
      <c r="B339" s="18" t="s">
        <v>56</v>
      </c>
      <c r="C339" s="19">
        <v>45428</v>
      </c>
      <c r="D339" s="18">
        <v>12067.33</v>
      </c>
    </row>
    <row r="340" spans="1:4">
      <c r="A340" s="18" t="s">
        <v>25</v>
      </c>
      <c r="B340" s="18" t="s">
        <v>56</v>
      </c>
      <c r="C340" s="19">
        <v>45504</v>
      </c>
      <c r="D340" s="18">
        <v>17254.16</v>
      </c>
    </row>
    <row r="341" spans="1:4">
      <c r="A341" s="18" t="s">
        <v>25</v>
      </c>
      <c r="B341" s="18" t="s">
        <v>56</v>
      </c>
      <c r="C341" s="19">
        <v>45343</v>
      </c>
      <c r="D341" s="18">
        <v>9991.7800000000007</v>
      </c>
    </row>
    <row r="342" spans="1:4">
      <c r="A342" s="18" t="s">
        <v>25</v>
      </c>
      <c r="B342" s="18" t="s">
        <v>56</v>
      </c>
      <c r="C342" s="19">
        <v>45380</v>
      </c>
      <c r="D342" s="18">
        <v>16630.080000000002</v>
      </c>
    </row>
    <row r="343" spans="1:4">
      <c r="A343" s="18" t="s">
        <v>25</v>
      </c>
      <c r="B343" s="18" t="s">
        <v>56</v>
      </c>
      <c r="C343" s="19">
        <v>45295</v>
      </c>
      <c r="D343" s="18">
        <v>13012.13</v>
      </c>
    </row>
    <row r="344" spans="1:4">
      <c r="A344" s="18" t="s">
        <v>25</v>
      </c>
      <c r="B344" s="18" t="s">
        <v>56</v>
      </c>
      <c r="C344" s="19">
        <v>45480</v>
      </c>
      <c r="D344" s="18">
        <v>16711.8</v>
      </c>
    </row>
    <row r="345" spans="1:4">
      <c r="A345" s="18" t="s">
        <v>25</v>
      </c>
      <c r="B345" s="18" t="s">
        <v>56</v>
      </c>
      <c r="C345" s="19">
        <v>45387</v>
      </c>
      <c r="D345" s="18">
        <v>9585.35</v>
      </c>
    </row>
    <row r="346" spans="1:4">
      <c r="A346" s="18" t="s">
        <v>25</v>
      </c>
      <c r="B346" s="18" t="s">
        <v>56</v>
      </c>
      <c r="C346" s="19">
        <v>45656</v>
      </c>
      <c r="D346" s="18">
        <v>10117.370000000001</v>
      </c>
    </row>
    <row r="347" spans="1:4">
      <c r="A347" s="18" t="s">
        <v>25</v>
      </c>
      <c r="B347" s="18" t="s">
        <v>56</v>
      </c>
      <c r="C347" s="19">
        <v>45317</v>
      </c>
      <c r="D347" s="18">
        <v>15779.17</v>
      </c>
    </row>
    <row r="348" spans="1:4">
      <c r="A348" s="18" t="s">
        <v>25</v>
      </c>
      <c r="B348" s="18" t="s">
        <v>56</v>
      </c>
      <c r="C348" s="19">
        <v>45418</v>
      </c>
      <c r="D348" s="18">
        <v>12287.05</v>
      </c>
    </row>
    <row r="349" spans="1:4">
      <c r="A349" s="18" t="s">
        <v>25</v>
      </c>
      <c r="B349" s="18" t="s">
        <v>56</v>
      </c>
      <c r="C349" s="19">
        <v>45308</v>
      </c>
      <c r="D349" s="18">
        <v>16915.78</v>
      </c>
    </row>
    <row r="350" spans="1:4">
      <c r="A350" s="18" t="s">
        <v>29</v>
      </c>
      <c r="B350" s="18" t="s">
        <v>57</v>
      </c>
      <c r="C350" s="19">
        <v>45537</v>
      </c>
      <c r="D350" s="18">
        <v>14801.76</v>
      </c>
    </row>
    <row r="351" spans="1:4">
      <c r="A351" s="18" t="s">
        <v>29</v>
      </c>
      <c r="B351" s="18" t="s">
        <v>57</v>
      </c>
      <c r="C351" s="19">
        <v>45608</v>
      </c>
      <c r="D351" s="18">
        <v>13044.49</v>
      </c>
    </row>
    <row r="352" spans="1:4">
      <c r="A352" s="18" t="s">
        <v>29</v>
      </c>
      <c r="B352" s="18" t="s">
        <v>57</v>
      </c>
      <c r="C352" s="19">
        <v>45465</v>
      </c>
      <c r="D352" s="18">
        <v>12418.76</v>
      </c>
    </row>
    <row r="353" spans="1:4">
      <c r="A353" s="18" t="s">
        <v>29</v>
      </c>
      <c r="B353" s="18" t="s">
        <v>57</v>
      </c>
      <c r="C353" s="19">
        <v>45377</v>
      </c>
      <c r="D353" s="18">
        <v>13846.33</v>
      </c>
    </row>
    <row r="354" spans="1:4">
      <c r="A354" s="18" t="s">
        <v>29</v>
      </c>
      <c r="B354" s="18" t="s">
        <v>57</v>
      </c>
      <c r="C354" s="19">
        <v>45414</v>
      </c>
      <c r="D354" s="18">
        <v>18018.88</v>
      </c>
    </row>
    <row r="355" spans="1:4">
      <c r="A355" s="18" t="s">
        <v>29</v>
      </c>
      <c r="B355" s="18" t="s">
        <v>57</v>
      </c>
      <c r="C355" s="19">
        <v>45566</v>
      </c>
      <c r="D355" s="18">
        <v>13269.32</v>
      </c>
    </row>
    <row r="356" spans="1:4">
      <c r="A356" s="18" t="s">
        <v>29</v>
      </c>
      <c r="B356" s="18" t="s">
        <v>57</v>
      </c>
      <c r="C356" s="19">
        <v>45297</v>
      </c>
      <c r="D356" s="18">
        <v>11610.88</v>
      </c>
    </row>
    <row r="357" spans="1:4">
      <c r="A357" s="18" t="s">
        <v>29</v>
      </c>
      <c r="B357" s="18" t="s">
        <v>57</v>
      </c>
      <c r="C357" s="19">
        <v>45308</v>
      </c>
      <c r="D357" s="18">
        <v>19324.71</v>
      </c>
    </row>
    <row r="358" spans="1:4">
      <c r="A358" s="18" t="s">
        <v>29</v>
      </c>
      <c r="B358" s="18" t="s">
        <v>57</v>
      </c>
      <c r="C358" s="19">
        <v>45370</v>
      </c>
      <c r="D358" s="18">
        <v>7585.07</v>
      </c>
    </row>
    <row r="359" spans="1:4">
      <c r="A359" s="18" t="s">
        <v>29</v>
      </c>
      <c r="B359" s="18" t="s">
        <v>57</v>
      </c>
      <c r="C359" s="19">
        <v>45399</v>
      </c>
      <c r="D359" s="18">
        <v>12609.31</v>
      </c>
    </row>
    <row r="360" spans="1:4">
      <c r="A360" s="18" t="s">
        <v>29</v>
      </c>
      <c r="B360" s="18" t="s">
        <v>57</v>
      </c>
      <c r="C360" s="19">
        <v>45370</v>
      </c>
      <c r="D360" s="18">
        <v>16731.22</v>
      </c>
    </row>
    <row r="361" spans="1:4">
      <c r="A361" s="18" t="s">
        <v>29</v>
      </c>
      <c r="B361" s="18" t="s">
        <v>57</v>
      </c>
      <c r="C361" s="19">
        <v>45293</v>
      </c>
      <c r="D361" s="18">
        <v>14390.86</v>
      </c>
    </row>
    <row r="362" spans="1:4">
      <c r="A362" s="18" t="s">
        <v>25</v>
      </c>
      <c r="B362" s="18" t="s">
        <v>58</v>
      </c>
      <c r="C362" s="19">
        <v>45378</v>
      </c>
      <c r="D362" s="18">
        <v>16113.44</v>
      </c>
    </row>
    <row r="363" spans="1:4">
      <c r="A363" s="18" t="s">
        <v>25</v>
      </c>
      <c r="B363" s="18" t="s">
        <v>58</v>
      </c>
      <c r="C363" s="19">
        <v>45495</v>
      </c>
      <c r="D363" s="18">
        <v>15259.77</v>
      </c>
    </row>
    <row r="364" spans="1:4">
      <c r="A364" s="18" t="s">
        <v>25</v>
      </c>
      <c r="B364" s="18" t="s">
        <v>58</v>
      </c>
      <c r="C364" s="19">
        <v>45417</v>
      </c>
      <c r="D364" s="18">
        <v>14532.97</v>
      </c>
    </row>
    <row r="365" spans="1:4">
      <c r="A365" s="18" t="s">
        <v>25</v>
      </c>
      <c r="B365" s="18" t="s">
        <v>58</v>
      </c>
      <c r="C365" s="19">
        <v>45377</v>
      </c>
      <c r="D365" s="18">
        <v>18503.349999999999</v>
      </c>
    </row>
    <row r="366" spans="1:4">
      <c r="A366" s="18" t="s">
        <v>25</v>
      </c>
      <c r="B366" s="18" t="s">
        <v>58</v>
      </c>
      <c r="C366" s="19">
        <v>45479</v>
      </c>
      <c r="D366" s="18">
        <v>16012.81</v>
      </c>
    </row>
    <row r="367" spans="1:4">
      <c r="A367" s="18" t="s">
        <v>25</v>
      </c>
      <c r="B367" s="18" t="s">
        <v>58</v>
      </c>
      <c r="C367" s="19">
        <v>45632</v>
      </c>
      <c r="D367" s="18">
        <v>13764.37</v>
      </c>
    </row>
    <row r="368" spans="1:4">
      <c r="A368" s="18" t="s">
        <v>25</v>
      </c>
      <c r="B368" s="18" t="s">
        <v>58</v>
      </c>
      <c r="C368" s="19">
        <v>45432</v>
      </c>
      <c r="D368" s="18">
        <v>13537.18</v>
      </c>
    </row>
    <row r="369" spans="1:4">
      <c r="A369" s="18" t="s">
        <v>25</v>
      </c>
      <c r="B369" s="18" t="s">
        <v>58</v>
      </c>
      <c r="C369" s="19">
        <v>45640</v>
      </c>
      <c r="D369" s="18">
        <v>13702.33</v>
      </c>
    </row>
    <row r="370" spans="1:4">
      <c r="A370" s="18" t="s">
        <v>25</v>
      </c>
      <c r="B370" s="18" t="s">
        <v>58</v>
      </c>
      <c r="C370" s="19">
        <v>45609</v>
      </c>
      <c r="D370" s="18">
        <v>16183.36</v>
      </c>
    </row>
    <row r="371" spans="1:4">
      <c r="A371" s="18" t="s">
        <v>25</v>
      </c>
      <c r="B371" s="18" t="s">
        <v>58</v>
      </c>
      <c r="C371" s="19">
        <v>45323</v>
      </c>
      <c r="D371" s="18">
        <v>13737.05</v>
      </c>
    </row>
    <row r="372" spans="1:4">
      <c r="A372" s="18" t="s">
        <v>25</v>
      </c>
      <c r="B372" s="18" t="s">
        <v>58</v>
      </c>
      <c r="C372" s="19">
        <v>45591</v>
      </c>
      <c r="D372" s="18">
        <v>21226.2</v>
      </c>
    </row>
    <row r="373" spans="1:4">
      <c r="A373" s="18" t="s">
        <v>25</v>
      </c>
      <c r="B373" s="18" t="s">
        <v>58</v>
      </c>
      <c r="C373" s="19">
        <v>45499</v>
      </c>
      <c r="D373" s="18">
        <v>17613.37</v>
      </c>
    </row>
    <row r="374" spans="1:4">
      <c r="A374" s="18" t="s">
        <v>25</v>
      </c>
      <c r="B374" s="18" t="s">
        <v>59</v>
      </c>
      <c r="C374" s="19">
        <v>45343</v>
      </c>
      <c r="D374" s="18">
        <v>14021.93</v>
      </c>
    </row>
    <row r="375" spans="1:4">
      <c r="A375" s="18" t="s">
        <v>25</v>
      </c>
      <c r="B375" s="18" t="s">
        <v>59</v>
      </c>
      <c r="C375" s="19">
        <v>45639</v>
      </c>
      <c r="D375" s="18">
        <v>18603.64</v>
      </c>
    </row>
    <row r="376" spans="1:4">
      <c r="A376" s="18" t="s">
        <v>25</v>
      </c>
      <c r="B376" s="18" t="s">
        <v>59</v>
      </c>
      <c r="C376" s="19">
        <v>45591</v>
      </c>
      <c r="D376" s="18">
        <v>13775.77</v>
      </c>
    </row>
    <row r="377" spans="1:4">
      <c r="A377" s="18" t="s">
        <v>25</v>
      </c>
      <c r="B377" s="18" t="s">
        <v>59</v>
      </c>
      <c r="C377" s="19">
        <v>45465</v>
      </c>
      <c r="D377" s="18">
        <v>8885.6299999999992</v>
      </c>
    </row>
    <row r="378" spans="1:4">
      <c r="A378" s="18" t="s">
        <v>25</v>
      </c>
      <c r="B378" s="18" t="s">
        <v>59</v>
      </c>
      <c r="C378" s="19">
        <v>45609</v>
      </c>
      <c r="D378" s="18">
        <v>11975.74</v>
      </c>
    </row>
    <row r="379" spans="1:4">
      <c r="A379" s="18" t="s">
        <v>25</v>
      </c>
      <c r="B379" s="18" t="s">
        <v>59</v>
      </c>
      <c r="C379" s="19">
        <v>45347</v>
      </c>
      <c r="D379" s="18">
        <v>13945.46</v>
      </c>
    </row>
    <row r="380" spans="1:4">
      <c r="A380" s="18" t="s">
        <v>25</v>
      </c>
      <c r="B380" s="18" t="s">
        <v>59</v>
      </c>
      <c r="C380" s="19">
        <v>45437</v>
      </c>
      <c r="D380" s="18">
        <v>15055.26</v>
      </c>
    </row>
    <row r="381" spans="1:4">
      <c r="A381" s="18" t="s">
        <v>25</v>
      </c>
      <c r="B381" s="18" t="s">
        <v>59</v>
      </c>
      <c r="C381" s="19">
        <v>45513</v>
      </c>
      <c r="D381" s="18">
        <v>20029.310000000001</v>
      </c>
    </row>
    <row r="382" spans="1:4">
      <c r="A382" s="18" t="s">
        <v>25</v>
      </c>
      <c r="B382" s="18" t="s">
        <v>59</v>
      </c>
      <c r="C382" s="19">
        <v>45370</v>
      </c>
      <c r="D382" s="18">
        <v>15980.78</v>
      </c>
    </row>
    <row r="383" spans="1:4">
      <c r="A383" s="18" t="s">
        <v>25</v>
      </c>
      <c r="B383" s="18" t="s">
        <v>59</v>
      </c>
      <c r="C383" s="19">
        <v>45313</v>
      </c>
      <c r="D383" s="18">
        <v>14342.7</v>
      </c>
    </row>
    <row r="384" spans="1:4">
      <c r="A384" s="18" t="s">
        <v>25</v>
      </c>
      <c r="B384" s="18" t="s">
        <v>59</v>
      </c>
      <c r="C384" s="19">
        <v>45648</v>
      </c>
      <c r="D384" s="18">
        <v>17488.22</v>
      </c>
    </row>
    <row r="385" spans="1:4">
      <c r="A385" s="18" t="s">
        <v>25</v>
      </c>
      <c r="B385" s="18" t="s">
        <v>59</v>
      </c>
      <c r="C385" s="19">
        <v>45443</v>
      </c>
      <c r="D385" s="18">
        <v>8366.59</v>
      </c>
    </row>
    <row r="386" spans="1:4">
      <c r="A386" s="18" t="s">
        <v>29</v>
      </c>
      <c r="B386" s="18" t="s">
        <v>60</v>
      </c>
      <c r="C386" s="19">
        <v>45374</v>
      </c>
      <c r="D386" s="18">
        <v>17312.599999999999</v>
      </c>
    </row>
    <row r="387" spans="1:4">
      <c r="A387" s="18" t="s">
        <v>29</v>
      </c>
      <c r="B387" s="18" t="s">
        <v>60</v>
      </c>
      <c r="C387" s="19">
        <v>45657</v>
      </c>
      <c r="D387" s="18">
        <v>10564.24</v>
      </c>
    </row>
    <row r="388" spans="1:4">
      <c r="A388" s="18" t="s">
        <v>29</v>
      </c>
      <c r="B388" s="18" t="s">
        <v>60</v>
      </c>
      <c r="C388" s="19">
        <v>45506</v>
      </c>
      <c r="D388" s="18">
        <v>18431.259999999998</v>
      </c>
    </row>
    <row r="389" spans="1:4">
      <c r="A389" s="18" t="s">
        <v>29</v>
      </c>
      <c r="B389" s="18" t="s">
        <v>60</v>
      </c>
      <c r="C389" s="19">
        <v>45437</v>
      </c>
      <c r="D389" s="18">
        <v>16015.49</v>
      </c>
    </row>
    <row r="390" spans="1:4">
      <c r="A390" s="18" t="s">
        <v>29</v>
      </c>
      <c r="B390" s="18" t="s">
        <v>60</v>
      </c>
      <c r="C390" s="19">
        <v>45549</v>
      </c>
      <c r="D390" s="18">
        <v>13754.14</v>
      </c>
    </row>
    <row r="391" spans="1:4">
      <c r="A391" s="18" t="s">
        <v>29</v>
      </c>
      <c r="B391" s="18" t="s">
        <v>60</v>
      </c>
      <c r="C391" s="19">
        <v>45500</v>
      </c>
      <c r="D391" s="18">
        <v>16898.349999999999</v>
      </c>
    </row>
    <row r="392" spans="1:4">
      <c r="A392" s="18" t="s">
        <v>29</v>
      </c>
      <c r="B392" s="18" t="s">
        <v>60</v>
      </c>
      <c r="C392" s="19">
        <v>45611</v>
      </c>
      <c r="D392" s="18">
        <v>21812.080000000002</v>
      </c>
    </row>
    <row r="393" spans="1:4">
      <c r="A393" s="18" t="s">
        <v>29</v>
      </c>
      <c r="B393" s="18" t="s">
        <v>60</v>
      </c>
      <c r="C393" s="19">
        <v>45564</v>
      </c>
      <c r="D393" s="18">
        <v>15744.66</v>
      </c>
    </row>
    <row r="394" spans="1:4">
      <c r="A394" s="18" t="s">
        <v>29</v>
      </c>
      <c r="B394" s="18" t="s">
        <v>60</v>
      </c>
      <c r="C394" s="19">
        <v>45355</v>
      </c>
      <c r="D394" s="18">
        <v>12450.47</v>
      </c>
    </row>
    <row r="395" spans="1:4">
      <c r="A395" s="18" t="s">
        <v>29</v>
      </c>
      <c r="B395" s="18" t="s">
        <v>60</v>
      </c>
      <c r="C395" s="19">
        <v>45300</v>
      </c>
      <c r="D395" s="18">
        <v>12431.75</v>
      </c>
    </row>
    <row r="396" spans="1:4">
      <c r="A396" s="18" t="s">
        <v>29</v>
      </c>
      <c r="B396" s="18" t="s">
        <v>60</v>
      </c>
      <c r="C396" s="19">
        <v>45567</v>
      </c>
      <c r="D396" s="18">
        <v>15214.7</v>
      </c>
    </row>
    <row r="397" spans="1:4">
      <c r="A397" s="18" t="s">
        <v>29</v>
      </c>
      <c r="B397" s="18" t="s">
        <v>60</v>
      </c>
      <c r="C397" s="19">
        <v>45563</v>
      </c>
      <c r="D397" s="18">
        <v>13567.03</v>
      </c>
    </row>
    <row r="398" spans="1:4">
      <c r="A398" s="18" t="s">
        <v>27</v>
      </c>
      <c r="B398" s="18" t="s">
        <v>61</v>
      </c>
      <c r="C398" s="19">
        <v>45377</v>
      </c>
      <c r="D398" s="18">
        <v>16436.939999999999</v>
      </c>
    </row>
    <row r="399" spans="1:4">
      <c r="A399" s="18" t="s">
        <v>27</v>
      </c>
      <c r="B399" s="18" t="s">
        <v>61</v>
      </c>
      <c r="C399" s="19">
        <v>45440</v>
      </c>
      <c r="D399" s="18">
        <v>16000.99</v>
      </c>
    </row>
    <row r="400" spans="1:4">
      <c r="A400" s="18" t="s">
        <v>27</v>
      </c>
      <c r="B400" s="18" t="s">
        <v>61</v>
      </c>
      <c r="C400" s="19">
        <v>45324</v>
      </c>
      <c r="D400" s="18">
        <v>18112.62</v>
      </c>
    </row>
    <row r="401" spans="1:4">
      <c r="A401" s="18" t="s">
        <v>27</v>
      </c>
      <c r="B401" s="18" t="s">
        <v>61</v>
      </c>
      <c r="C401" s="19">
        <v>45581</v>
      </c>
      <c r="D401" s="18">
        <v>13469.95</v>
      </c>
    </row>
    <row r="402" spans="1:4">
      <c r="A402" s="18" t="s">
        <v>27</v>
      </c>
      <c r="B402" s="18" t="s">
        <v>61</v>
      </c>
      <c r="C402" s="19">
        <v>45407</v>
      </c>
      <c r="D402" s="18">
        <v>14190.38</v>
      </c>
    </row>
    <row r="403" spans="1:4">
      <c r="A403" s="18" t="s">
        <v>27</v>
      </c>
      <c r="B403" s="18" t="s">
        <v>61</v>
      </c>
      <c r="C403" s="19">
        <v>45329</v>
      </c>
      <c r="D403" s="18">
        <v>13667.12</v>
      </c>
    </row>
    <row r="404" spans="1:4">
      <c r="A404" s="18" t="s">
        <v>27</v>
      </c>
      <c r="B404" s="18" t="s">
        <v>61</v>
      </c>
      <c r="C404" s="19">
        <v>45657</v>
      </c>
      <c r="D404" s="18">
        <v>16131.9</v>
      </c>
    </row>
    <row r="405" spans="1:4">
      <c r="A405" s="18" t="s">
        <v>27</v>
      </c>
      <c r="B405" s="18" t="s">
        <v>61</v>
      </c>
      <c r="C405" s="19">
        <v>45635</v>
      </c>
      <c r="D405" s="18">
        <v>17270.97</v>
      </c>
    </row>
    <row r="406" spans="1:4">
      <c r="A406" s="18" t="s">
        <v>27</v>
      </c>
      <c r="B406" s="18" t="s">
        <v>61</v>
      </c>
      <c r="C406" s="19">
        <v>45449</v>
      </c>
      <c r="D406" s="18">
        <v>17608.82</v>
      </c>
    </row>
    <row r="407" spans="1:4">
      <c r="A407" s="18" t="s">
        <v>27</v>
      </c>
      <c r="B407" s="18" t="s">
        <v>61</v>
      </c>
      <c r="C407" s="19">
        <v>45550</v>
      </c>
      <c r="D407" s="18">
        <v>19066.91</v>
      </c>
    </row>
    <row r="408" spans="1:4">
      <c r="A408" s="18" t="s">
        <v>27</v>
      </c>
      <c r="B408" s="18" t="s">
        <v>61</v>
      </c>
      <c r="C408" s="19">
        <v>45441</v>
      </c>
      <c r="D408" s="18">
        <v>20630.39</v>
      </c>
    </row>
    <row r="409" spans="1:4">
      <c r="A409" s="18" t="s">
        <v>27</v>
      </c>
      <c r="B409" s="18" t="s">
        <v>61</v>
      </c>
      <c r="C409" s="19">
        <v>45544</v>
      </c>
      <c r="D409" s="18">
        <v>12678.63</v>
      </c>
    </row>
    <row r="410" spans="1:4">
      <c r="A410" s="18" t="s">
        <v>27</v>
      </c>
      <c r="B410" s="18" t="s">
        <v>62</v>
      </c>
      <c r="C410" s="19">
        <v>45315</v>
      </c>
      <c r="D410" s="18">
        <v>11266.04</v>
      </c>
    </row>
    <row r="411" spans="1:4">
      <c r="A411" s="18" t="s">
        <v>27</v>
      </c>
      <c r="B411" s="18" t="s">
        <v>62</v>
      </c>
      <c r="C411" s="19">
        <v>45544</v>
      </c>
      <c r="D411" s="18">
        <v>9663.84</v>
      </c>
    </row>
    <row r="412" spans="1:4">
      <c r="A412" s="18" t="s">
        <v>27</v>
      </c>
      <c r="B412" s="18" t="s">
        <v>62</v>
      </c>
      <c r="C412" s="19">
        <v>45620</v>
      </c>
      <c r="D412" s="18">
        <v>19488.13</v>
      </c>
    </row>
    <row r="413" spans="1:4">
      <c r="A413" s="18" t="s">
        <v>27</v>
      </c>
      <c r="B413" s="18" t="s">
        <v>62</v>
      </c>
      <c r="C413" s="19">
        <v>45394</v>
      </c>
      <c r="D413" s="18">
        <v>16963.099999999999</v>
      </c>
    </row>
    <row r="414" spans="1:4">
      <c r="A414" s="18" t="s">
        <v>27</v>
      </c>
      <c r="B414" s="18" t="s">
        <v>62</v>
      </c>
      <c r="C414" s="19">
        <v>45382</v>
      </c>
      <c r="D414" s="18">
        <v>14833.25</v>
      </c>
    </row>
    <row r="415" spans="1:4">
      <c r="A415" s="18" t="s">
        <v>27</v>
      </c>
      <c r="B415" s="18" t="s">
        <v>62</v>
      </c>
      <c r="C415" s="19">
        <v>45656</v>
      </c>
      <c r="D415" s="18">
        <v>15839.91</v>
      </c>
    </row>
    <row r="416" spans="1:4">
      <c r="A416" s="18" t="s">
        <v>27</v>
      </c>
      <c r="B416" s="18" t="s">
        <v>62</v>
      </c>
      <c r="C416" s="19">
        <v>45460</v>
      </c>
      <c r="D416" s="18">
        <v>22337.26</v>
      </c>
    </row>
    <row r="417" spans="1:4">
      <c r="A417" s="18" t="s">
        <v>27</v>
      </c>
      <c r="B417" s="18" t="s">
        <v>62</v>
      </c>
      <c r="C417" s="19">
        <v>45571</v>
      </c>
      <c r="D417" s="18">
        <v>15387.66</v>
      </c>
    </row>
    <row r="418" spans="1:4">
      <c r="A418" s="18" t="s">
        <v>27</v>
      </c>
      <c r="B418" s="18" t="s">
        <v>62</v>
      </c>
      <c r="C418" s="19">
        <v>45399</v>
      </c>
      <c r="D418" s="18">
        <v>17177.3</v>
      </c>
    </row>
    <row r="419" spans="1:4">
      <c r="A419" s="18" t="s">
        <v>27</v>
      </c>
      <c r="B419" s="18" t="s">
        <v>62</v>
      </c>
      <c r="C419" s="19">
        <v>45532</v>
      </c>
      <c r="D419" s="18">
        <v>16443.03</v>
      </c>
    </row>
    <row r="420" spans="1:4">
      <c r="A420" s="18" t="s">
        <v>27</v>
      </c>
      <c r="B420" s="18" t="s">
        <v>62</v>
      </c>
      <c r="C420" s="19">
        <v>45447</v>
      </c>
      <c r="D420" s="18">
        <v>15671.65</v>
      </c>
    </row>
    <row r="421" spans="1:4">
      <c r="A421" s="18" t="s">
        <v>27</v>
      </c>
      <c r="B421" s="18" t="s">
        <v>62</v>
      </c>
      <c r="C421" s="19">
        <v>45627</v>
      </c>
      <c r="D421" s="18">
        <v>12628.58</v>
      </c>
    </row>
    <row r="422" spans="1:4">
      <c r="A422" s="18" t="s">
        <v>25</v>
      </c>
      <c r="B422" s="18" t="s">
        <v>63</v>
      </c>
      <c r="C422" s="19">
        <v>45543</v>
      </c>
      <c r="D422" s="18">
        <v>16414.41</v>
      </c>
    </row>
    <row r="423" spans="1:4">
      <c r="A423" s="18" t="s">
        <v>25</v>
      </c>
      <c r="B423" s="18" t="s">
        <v>63</v>
      </c>
      <c r="C423" s="19">
        <v>45636</v>
      </c>
      <c r="D423" s="18">
        <v>20646.07</v>
      </c>
    </row>
    <row r="424" spans="1:4">
      <c r="A424" s="18" t="s">
        <v>25</v>
      </c>
      <c r="B424" s="18" t="s">
        <v>63</v>
      </c>
      <c r="C424" s="19">
        <v>45508</v>
      </c>
      <c r="D424" s="18">
        <v>19036.259999999998</v>
      </c>
    </row>
    <row r="425" spans="1:4">
      <c r="A425" s="18" t="s">
        <v>25</v>
      </c>
      <c r="B425" s="18" t="s">
        <v>63</v>
      </c>
      <c r="C425" s="19">
        <v>45443</v>
      </c>
      <c r="D425" s="18">
        <v>19779.560000000001</v>
      </c>
    </row>
    <row r="426" spans="1:4">
      <c r="A426" s="18" t="s">
        <v>25</v>
      </c>
      <c r="B426" s="18" t="s">
        <v>63</v>
      </c>
      <c r="C426" s="19">
        <v>45338</v>
      </c>
      <c r="D426" s="18">
        <v>12031.19</v>
      </c>
    </row>
    <row r="427" spans="1:4">
      <c r="A427" s="18" t="s">
        <v>25</v>
      </c>
      <c r="B427" s="18" t="s">
        <v>63</v>
      </c>
      <c r="C427" s="19">
        <v>45523</v>
      </c>
      <c r="D427" s="18">
        <v>15167.17</v>
      </c>
    </row>
    <row r="428" spans="1:4">
      <c r="A428" s="18" t="s">
        <v>25</v>
      </c>
      <c r="B428" s="18" t="s">
        <v>63</v>
      </c>
      <c r="C428" s="19">
        <v>45436</v>
      </c>
      <c r="D428" s="18">
        <v>9922.61</v>
      </c>
    </row>
    <row r="429" spans="1:4">
      <c r="A429" s="18" t="s">
        <v>25</v>
      </c>
      <c r="B429" s="18" t="s">
        <v>63</v>
      </c>
      <c r="C429" s="19">
        <v>45405</v>
      </c>
      <c r="D429" s="18">
        <v>19588.650000000001</v>
      </c>
    </row>
    <row r="430" spans="1:4">
      <c r="A430" s="18" t="s">
        <v>25</v>
      </c>
      <c r="B430" s="18" t="s">
        <v>63</v>
      </c>
      <c r="C430" s="19">
        <v>45600</v>
      </c>
      <c r="D430" s="18">
        <v>14525.98</v>
      </c>
    </row>
    <row r="431" spans="1:4">
      <c r="A431" s="18" t="s">
        <v>25</v>
      </c>
      <c r="B431" s="18" t="s">
        <v>63</v>
      </c>
      <c r="C431" s="19">
        <v>45446</v>
      </c>
      <c r="D431" s="18">
        <v>13719.36</v>
      </c>
    </row>
    <row r="432" spans="1:4">
      <c r="A432" s="18" t="s">
        <v>25</v>
      </c>
      <c r="B432" s="18" t="s">
        <v>63</v>
      </c>
      <c r="C432" s="19">
        <v>45574</v>
      </c>
      <c r="D432" s="18">
        <v>10035.43</v>
      </c>
    </row>
    <row r="433" spans="1:4">
      <c r="A433" s="18" t="s">
        <v>25</v>
      </c>
      <c r="B433" s="18" t="s">
        <v>63</v>
      </c>
      <c r="C433" s="19">
        <v>45423</v>
      </c>
      <c r="D433" s="18">
        <v>17469.509999999998</v>
      </c>
    </row>
    <row r="434" spans="1:4">
      <c r="A434" s="18" t="s">
        <v>29</v>
      </c>
      <c r="B434" s="18" t="s">
        <v>64</v>
      </c>
      <c r="C434" s="19">
        <v>45392</v>
      </c>
      <c r="D434" s="18">
        <v>15219.95</v>
      </c>
    </row>
    <row r="435" spans="1:4">
      <c r="A435" s="18" t="s">
        <v>29</v>
      </c>
      <c r="B435" s="18" t="s">
        <v>64</v>
      </c>
      <c r="C435" s="19">
        <v>45404</v>
      </c>
      <c r="D435" s="18">
        <v>11130.12</v>
      </c>
    </row>
    <row r="436" spans="1:4">
      <c r="A436" s="18" t="s">
        <v>29</v>
      </c>
      <c r="B436" s="18" t="s">
        <v>64</v>
      </c>
      <c r="C436" s="19">
        <v>45511</v>
      </c>
      <c r="D436" s="18">
        <v>11114.76</v>
      </c>
    </row>
    <row r="437" spans="1:4">
      <c r="A437" s="18" t="s">
        <v>29</v>
      </c>
      <c r="B437" s="18" t="s">
        <v>64</v>
      </c>
      <c r="C437" s="19">
        <v>45477</v>
      </c>
      <c r="D437" s="18">
        <v>20007.060000000001</v>
      </c>
    </row>
    <row r="438" spans="1:4">
      <c r="A438" s="18" t="s">
        <v>29</v>
      </c>
      <c r="B438" s="18" t="s">
        <v>64</v>
      </c>
      <c r="C438" s="19">
        <v>45576</v>
      </c>
      <c r="D438" s="18">
        <v>14221.23</v>
      </c>
    </row>
    <row r="439" spans="1:4">
      <c r="A439" s="18" t="s">
        <v>29</v>
      </c>
      <c r="B439" s="18" t="s">
        <v>64</v>
      </c>
      <c r="C439" s="19">
        <v>45419</v>
      </c>
      <c r="D439" s="18">
        <v>14262.77</v>
      </c>
    </row>
    <row r="440" spans="1:4">
      <c r="A440" s="18" t="s">
        <v>29</v>
      </c>
      <c r="B440" s="18" t="s">
        <v>64</v>
      </c>
      <c r="C440" s="19">
        <v>45368</v>
      </c>
      <c r="D440" s="18">
        <v>6909.34</v>
      </c>
    </row>
    <row r="441" spans="1:4">
      <c r="A441" s="18" t="s">
        <v>29</v>
      </c>
      <c r="B441" s="18" t="s">
        <v>64</v>
      </c>
      <c r="C441" s="19">
        <v>45296</v>
      </c>
      <c r="D441" s="18">
        <v>14837.12</v>
      </c>
    </row>
    <row r="442" spans="1:4">
      <c r="A442" s="18" t="s">
        <v>29</v>
      </c>
      <c r="B442" s="18" t="s">
        <v>64</v>
      </c>
      <c r="C442" s="19">
        <v>45444</v>
      </c>
      <c r="D442" s="18">
        <v>17088.62</v>
      </c>
    </row>
    <row r="443" spans="1:4">
      <c r="A443" s="18" t="s">
        <v>29</v>
      </c>
      <c r="B443" s="18" t="s">
        <v>64</v>
      </c>
      <c r="C443" s="19">
        <v>45514</v>
      </c>
      <c r="D443" s="18">
        <v>20546.87</v>
      </c>
    </row>
    <row r="444" spans="1:4">
      <c r="A444" s="18" t="s">
        <v>29</v>
      </c>
      <c r="B444" s="18" t="s">
        <v>64</v>
      </c>
      <c r="C444" s="19">
        <v>45571</v>
      </c>
      <c r="D444" s="18">
        <v>18379.7</v>
      </c>
    </row>
    <row r="445" spans="1:4">
      <c r="A445" s="18" t="s">
        <v>29</v>
      </c>
      <c r="B445" s="18" t="s">
        <v>64</v>
      </c>
      <c r="C445" s="19">
        <v>45651</v>
      </c>
      <c r="D445" s="18">
        <v>14193.33</v>
      </c>
    </row>
    <row r="446" spans="1:4">
      <c r="A446" s="18" t="s">
        <v>27</v>
      </c>
      <c r="B446" s="18" t="s">
        <v>65</v>
      </c>
      <c r="C446" s="19">
        <v>45509</v>
      </c>
      <c r="D446" s="18">
        <v>22720.080000000002</v>
      </c>
    </row>
    <row r="447" spans="1:4">
      <c r="A447" s="18" t="s">
        <v>27</v>
      </c>
      <c r="B447" s="18" t="s">
        <v>65</v>
      </c>
      <c r="C447" s="19">
        <v>45355</v>
      </c>
      <c r="D447" s="18">
        <v>15177.66</v>
      </c>
    </row>
    <row r="448" spans="1:4">
      <c r="A448" s="18" t="s">
        <v>27</v>
      </c>
      <c r="B448" s="18" t="s">
        <v>65</v>
      </c>
      <c r="C448" s="19">
        <v>45387</v>
      </c>
      <c r="D448" s="18">
        <v>14927.62</v>
      </c>
    </row>
    <row r="449" spans="1:4">
      <c r="A449" s="18" t="s">
        <v>27</v>
      </c>
      <c r="B449" s="18" t="s">
        <v>65</v>
      </c>
      <c r="C449" s="19">
        <v>45527</v>
      </c>
      <c r="D449" s="18">
        <v>15594.25</v>
      </c>
    </row>
    <row r="450" spans="1:4">
      <c r="A450" s="18" t="s">
        <v>27</v>
      </c>
      <c r="B450" s="18" t="s">
        <v>65</v>
      </c>
      <c r="C450" s="19">
        <v>45466</v>
      </c>
      <c r="D450" s="18">
        <v>14566.92</v>
      </c>
    </row>
    <row r="451" spans="1:4">
      <c r="A451" s="18" t="s">
        <v>27</v>
      </c>
      <c r="B451" s="18" t="s">
        <v>65</v>
      </c>
      <c r="C451" s="19">
        <v>45510</v>
      </c>
      <c r="D451" s="18">
        <v>13279.01</v>
      </c>
    </row>
    <row r="452" spans="1:4">
      <c r="A452" s="18" t="s">
        <v>27</v>
      </c>
      <c r="B452" s="18" t="s">
        <v>65</v>
      </c>
      <c r="C452" s="19">
        <v>45568</v>
      </c>
      <c r="D452" s="18">
        <v>14901.74</v>
      </c>
    </row>
    <row r="453" spans="1:4">
      <c r="A453" s="18" t="s">
        <v>27</v>
      </c>
      <c r="B453" s="18" t="s">
        <v>65</v>
      </c>
      <c r="C453" s="19">
        <v>45472</v>
      </c>
      <c r="D453" s="18">
        <v>12861.46</v>
      </c>
    </row>
    <row r="454" spans="1:4">
      <c r="A454" s="18" t="s">
        <v>27</v>
      </c>
      <c r="B454" s="18" t="s">
        <v>65</v>
      </c>
      <c r="C454" s="19">
        <v>45491</v>
      </c>
      <c r="D454" s="18">
        <v>15319.29</v>
      </c>
    </row>
    <row r="455" spans="1:4">
      <c r="A455" s="18" t="s">
        <v>27</v>
      </c>
      <c r="B455" s="18" t="s">
        <v>65</v>
      </c>
      <c r="C455" s="19">
        <v>45626</v>
      </c>
      <c r="D455" s="18">
        <v>14235.07</v>
      </c>
    </row>
    <row r="456" spans="1:4">
      <c r="A456" s="18" t="s">
        <v>27</v>
      </c>
      <c r="B456" s="18" t="s">
        <v>65</v>
      </c>
      <c r="C456" s="19">
        <v>45295</v>
      </c>
      <c r="D456" s="18">
        <v>19511.98</v>
      </c>
    </row>
    <row r="457" spans="1:4">
      <c r="A457" s="18" t="s">
        <v>27</v>
      </c>
      <c r="B457" s="18" t="s">
        <v>65</v>
      </c>
      <c r="C457" s="19">
        <v>45403</v>
      </c>
      <c r="D457" s="18">
        <v>18274.52</v>
      </c>
    </row>
    <row r="458" spans="1:4">
      <c r="A458" s="18" t="s">
        <v>29</v>
      </c>
      <c r="B458" s="18" t="s">
        <v>66</v>
      </c>
      <c r="C458" s="19">
        <v>45471</v>
      </c>
      <c r="D458" s="18">
        <v>18738.259999999998</v>
      </c>
    </row>
    <row r="459" spans="1:4">
      <c r="A459" s="18" t="s">
        <v>29</v>
      </c>
      <c r="B459" s="18" t="s">
        <v>66</v>
      </c>
      <c r="C459" s="19">
        <v>45361</v>
      </c>
      <c r="D459" s="18">
        <v>13971.94</v>
      </c>
    </row>
    <row r="460" spans="1:4">
      <c r="A460" s="18" t="s">
        <v>29</v>
      </c>
      <c r="B460" s="18" t="s">
        <v>66</v>
      </c>
      <c r="C460" s="19">
        <v>45305</v>
      </c>
      <c r="D460" s="18">
        <v>13885.68</v>
      </c>
    </row>
    <row r="461" spans="1:4">
      <c r="A461" s="18" t="s">
        <v>29</v>
      </c>
      <c r="B461" s="18" t="s">
        <v>66</v>
      </c>
      <c r="C461" s="19">
        <v>45626</v>
      </c>
      <c r="D461" s="18">
        <v>10777.46</v>
      </c>
    </row>
    <row r="462" spans="1:4">
      <c r="A462" s="18" t="s">
        <v>29</v>
      </c>
      <c r="B462" s="18" t="s">
        <v>66</v>
      </c>
      <c r="C462" s="19">
        <v>45413</v>
      </c>
      <c r="D462" s="18">
        <v>12666.55</v>
      </c>
    </row>
    <row r="463" spans="1:4">
      <c r="A463" s="18" t="s">
        <v>29</v>
      </c>
      <c r="B463" s="18" t="s">
        <v>66</v>
      </c>
      <c r="C463" s="19">
        <v>45315</v>
      </c>
      <c r="D463" s="18">
        <v>20256.810000000001</v>
      </c>
    </row>
    <row r="464" spans="1:4">
      <c r="A464" s="18" t="s">
        <v>29</v>
      </c>
      <c r="B464" s="18" t="s">
        <v>66</v>
      </c>
      <c r="C464" s="19">
        <v>45508</v>
      </c>
      <c r="D464" s="18">
        <v>17807.04</v>
      </c>
    </row>
    <row r="465" spans="1:4">
      <c r="A465" s="18" t="s">
        <v>29</v>
      </c>
      <c r="B465" s="18" t="s">
        <v>66</v>
      </c>
      <c r="C465" s="19">
        <v>45394</v>
      </c>
      <c r="D465" s="18">
        <v>18814.669999999998</v>
      </c>
    </row>
    <row r="466" spans="1:4">
      <c r="A466" s="18" t="s">
        <v>29</v>
      </c>
      <c r="B466" s="18" t="s">
        <v>66</v>
      </c>
      <c r="C466" s="19">
        <v>45646</v>
      </c>
      <c r="D466" s="18">
        <v>17165.02</v>
      </c>
    </row>
    <row r="467" spans="1:4">
      <c r="A467" s="18" t="s">
        <v>29</v>
      </c>
      <c r="B467" s="18" t="s">
        <v>66</v>
      </c>
      <c r="C467" s="19">
        <v>45454</v>
      </c>
      <c r="D467" s="18">
        <v>11612.84</v>
      </c>
    </row>
    <row r="468" spans="1:4">
      <c r="A468" s="18" t="s">
        <v>29</v>
      </c>
      <c r="B468" s="18" t="s">
        <v>66</v>
      </c>
      <c r="C468" s="19">
        <v>45301</v>
      </c>
      <c r="D468" s="18">
        <v>13426.44</v>
      </c>
    </row>
    <row r="469" spans="1:4">
      <c r="A469" s="18" t="s">
        <v>29</v>
      </c>
      <c r="B469" s="18" t="s">
        <v>66</v>
      </c>
      <c r="C469" s="19">
        <v>45555</v>
      </c>
      <c r="D469" s="18">
        <v>16468.12</v>
      </c>
    </row>
    <row r="470" spans="1:4">
      <c r="A470" s="18" t="s">
        <v>29</v>
      </c>
      <c r="B470" s="18" t="s">
        <v>67</v>
      </c>
      <c r="C470" s="19">
        <v>45406</v>
      </c>
      <c r="D470" s="18">
        <v>17139</v>
      </c>
    </row>
    <row r="471" spans="1:4">
      <c r="A471" s="18" t="s">
        <v>29</v>
      </c>
      <c r="B471" s="18" t="s">
        <v>67</v>
      </c>
      <c r="C471" s="19">
        <v>45649</v>
      </c>
      <c r="D471" s="18">
        <v>14279.02</v>
      </c>
    </row>
    <row r="472" spans="1:4">
      <c r="A472" s="18" t="s">
        <v>29</v>
      </c>
      <c r="B472" s="18" t="s">
        <v>67</v>
      </c>
      <c r="C472" s="19">
        <v>45580</v>
      </c>
      <c r="D472" s="18">
        <v>13875.54</v>
      </c>
    </row>
    <row r="473" spans="1:4">
      <c r="A473" s="18" t="s">
        <v>29</v>
      </c>
      <c r="B473" s="18" t="s">
        <v>67</v>
      </c>
      <c r="C473" s="19">
        <v>45339</v>
      </c>
      <c r="D473" s="18">
        <v>17132.88</v>
      </c>
    </row>
    <row r="474" spans="1:4">
      <c r="A474" s="18" t="s">
        <v>29</v>
      </c>
      <c r="B474" s="18" t="s">
        <v>67</v>
      </c>
      <c r="C474" s="19">
        <v>45579</v>
      </c>
      <c r="D474" s="18">
        <v>16332.79</v>
      </c>
    </row>
    <row r="475" spans="1:4">
      <c r="A475" s="18" t="s">
        <v>29</v>
      </c>
      <c r="B475" s="18" t="s">
        <v>67</v>
      </c>
      <c r="C475" s="19">
        <v>45568</v>
      </c>
      <c r="D475" s="18">
        <v>13917.1</v>
      </c>
    </row>
    <row r="476" spans="1:4">
      <c r="A476" s="18" t="s">
        <v>29</v>
      </c>
      <c r="B476" s="18" t="s">
        <v>67</v>
      </c>
      <c r="C476" s="19">
        <v>45481</v>
      </c>
      <c r="D476" s="18">
        <v>18477.990000000002</v>
      </c>
    </row>
    <row r="477" spans="1:4">
      <c r="A477" s="18" t="s">
        <v>29</v>
      </c>
      <c r="B477" s="18" t="s">
        <v>67</v>
      </c>
      <c r="C477" s="19">
        <v>45558</v>
      </c>
      <c r="D477" s="18">
        <v>16847.810000000001</v>
      </c>
    </row>
    <row r="478" spans="1:4">
      <c r="A478" s="18" t="s">
        <v>29</v>
      </c>
      <c r="B478" s="18" t="s">
        <v>67</v>
      </c>
      <c r="C478" s="19">
        <v>45599</v>
      </c>
      <c r="D478" s="18">
        <v>14071.36</v>
      </c>
    </row>
    <row r="479" spans="1:4">
      <c r="A479" s="18" t="s">
        <v>29</v>
      </c>
      <c r="B479" s="18" t="s">
        <v>67</v>
      </c>
      <c r="C479" s="19">
        <v>45328</v>
      </c>
      <c r="D479" s="18">
        <v>11246.66</v>
      </c>
    </row>
    <row r="480" spans="1:4">
      <c r="A480" s="18" t="s">
        <v>29</v>
      </c>
      <c r="B480" s="18" t="s">
        <v>67</v>
      </c>
      <c r="C480" s="19">
        <v>45456</v>
      </c>
      <c r="D480" s="18">
        <v>17772.080000000002</v>
      </c>
    </row>
    <row r="481" spans="1:4">
      <c r="A481" s="18" t="s">
        <v>29</v>
      </c>
      <c r="B481" s="18" t="s">
        <v>67</v>
      </c>
      <c r="C481" s="19">
        <v>45564</v>
      </c>
      <c r="D481" s="18">
        <v>13431.83</v>
      </c>
    </row>
    <row r="482" spans="1:4">
      <c r="A482" s="18" t="s">
        <v>29</v>
      </c>
      <c r="B482" s="18" t="s">
        <v>68</v>
      </c>
      <c r="C482" s="19">
        <v>45625</v>
      </c>
      <c r="D482" s="18">
        <v>18147.03</v>
      </c>
    </row>
    <row r="483" spans="1:4">
      <c r="A483" s="18" t="s">
        <v>29</v>
      </c>
      <c r="B483" s="18" t="s">
        <v>68</v>
      </c>
      <c r="C483" s="19">
        <v>45402</v>
      </c>
      <c r="D483" s="18">
        <v>12886.97</v>
      </c>
    </row>
    <row r="484" spans="1:4">
      <c r="A484" s="18" t="s">
        <v>29</v>
      </c>
      <c r="B484" s="18" t="s">
        <v>68</v>
      </c>
      <c r="C484" s="19">
        <v>45371</v>
      </c>
      <c r="D484" s="18">
        <v>10330.11</v>
      </c>
    </row>
    <row r="485" spans="1:4">
      <c r="A485" s="18" t="s">
        <v>29</v>
      </c>
      <c r="B485" s="18" t="s">
        <v>68</v>
      </c>
      <c r="C485" s="19">
        <v>45436</v>
      </c>
      <c r="D485" s="18">
        <v>11158.71</v>
      </c>
    </row>
    <row r="486" spans="1:4">
      <c r="A486" s="18" t="s">
        <v>29</v>
      </c>
      <c r="B486" s="18" t="s">
        <v>68</v>
      </c>
      <c r="C486" s="19">
        <v>45637</v>
      </c>
      <c r="D486" s="18">
        <v>20264.38</v>
      </c>
    </row>
    <row r="487" spans="1:4">
      <c r="A487" s="18" t="s">
        <v>29</v>
      </c>
      <c r="B487" s="18" t="s">
        <v>68</v>
      </c>
      <c r="C487" s="19">
        <v>45348</v>
      </c>
      <c r="D487" s="18">
        <v>8754.2099999999991</v>
      </c>
    </row>
    <row r="488" spans="1:4">
      <c r="A488" s="18" t="s">
        <v>29</v>
      </c>
      <c r="B488" s="18" t="s">
        <v>68</v>
      </c>
      <c r="C488" s="19">
        <v>45338</v>
      </c>
      <c r="D488" s="18">
        <v>20089.37</v>
      </c>
    </row>
    <row r="489" spans="1:4">
      <c r="A489" s="18" t="s">
        <v>29</v>
      </c>
      <c r="B489" s="18" t="s">
        <v>68</v>
      </c>
      <c r="C489" s="19">
        <v>45593</v>
      </c>
      <c r="D489" s="18">
        <v>15633.05</v>
      </c>
    </row>
    <row r="490" spans="1:4">
      <c r="A490" s="18" t="s">
        <v>29</v>
      </c>
      <c r="B490" s="18" t="s">
        <v>68</v>
      </c>
      <c r="C490" s="19">
        <v>45423</v>
      </c>
      <c r="D490" s="18">
        <v>14709.86</v>
      </c>
    </row>
    <row r="491" spans="1:4">
      <c r="A491" s="18" t="s">
        <v>29</v>
      </c>
      <c r="B491" s="18" t="s">
        <v>68</v>
      </c>
      <c r="C491" s="19">
        <v>45339</v>
      </c>
      <c r="D491" s="18">
        <v>13365.24</v>
      </c>
    </row>
    <row r="492" spans="1:4">
      <c r="A492" s="18" t="s">
        <v>29</v>
      </c>
      <c r="B492" s="18" t="s">
        <v>68</v>
      </c>
      <c r="C492" s="19">
        <v>45447</v>
      </c>
      <c r="D492" s="18">
        <v>16197.41</v>
      </c>
    </row>
    <row r="493" spans="1:4">
      <c r="A493" s="18" t="s">
        <v>29</v>
      </c>
      <c r="B493" s="18" t="s">
        <v>68</v>
      </c>
      <c r="C493" s="19">
        <v>45363</v>
      </c>
      <c r="D493" s="18">
        <v>14887.1</v>
      </c>
    </row>
    <row r="494" spans="1:4">
      <c r="A494" s="18" t="s">
        <v>29</v>
      </c>
      <c r="B494" s="18" t="s">
        <v>69</v>
      </c>
      <c r="C494" s="19">
        <v>45387</v>
      </c>
      <c r="D494" s="18">
        <v>18309.91</v>
      </c>
    </row>
    <row r="495" spans="1:4">
      <c r="A495" s="18" t="s">
        <v>29</v>
      </c>
      <c r="B495" s="18" t="s">
        <v>69</v>
      </c>
      <c r="C495" s="19">
        <v>45618</v>
      </c>
      <c r="D495" s="18">
        <v>15342.68</v>
      </c>
    </row>
    <row r="496" spans="1:4">
      <c r="A496" s="18" t="s">
        <v>29</v>
      </c>
      <c r="B496" s="18" t="s">
        <v>69</v>
      </c>
      <c r="C496" s="19">
        <v>45535</v>
      </c>
      <c r="D496" s="18">
        <v>15450.91</v>
      </c>
    </row>
    <row r="497" spans="1:4">
      <c r="A497" s="18" t="s">
        <v>29</v>
      </c>
      <c r="B497" s="18" t="s">
        <v>69</v>
      </c>
      <c r="C497" s="19">
        <v>45380</v>
      </c>
      <c r="D497" s="18">
        <v>13909.16</v>
      </c>
    </row>
    <row r="498" spans="1:4">
      <c r="A498" s="18" t="s">
        <v>29</v>
      </c>
      <c r="B498" s="18" t="s">
        <v>69</v>
      </c>
      <c r="C498" s="19">
        <v>45331</v>
      </c>
      <c r="D498" s="18">
        <v>14829.16</v>
      </c>
    </row>
    <row r="499" spans="1:4">
      <c r="A499" s="18" t="s">
        <v>29</v>
      </c>
      <c r="B499" s="18" t="s">
        <v>69</v>
      </c>
      <c r="C499" s="19">
        <v>45497</v>
      </c>
      <c r="D499" s="18">
        <v>9869.49</v>
      </c>
    </row>
    <row r="500" spans="1:4">
      <c r="A500" s="18" t="s">
        <v>29</v>
      </c>
      <c r="B500" s="18" t="s">
        <v>69</v>
      </c>
      <c r="C500" s="19">
        <v>45404</v>
      </c>
      <c r="D500" s="18">
        <v>10955.44</v>
      </c>
    </row>
    <row r="501" spans="1:4">
      <c r="A501" s="18" t="s">
        <v>29</v>
      </c>
      <c r="B501" s="18" t="s">
        <v>69</v>
      </c>
      <c r="C501" s="19">
        <v>45636</v>
      </c>
      <c r="D501" s="18">
        <v>17229.79</v>
      </c>
    </row>
    <row r="502" spans="1:4">
      <c r="A502" s="18" t="s">
        <v>29</v>
      </c>
      <c r="B502" s="18" t="s">
        <v>69</v>
      </c>
      <c r="C502" s="19">
        <v>45367</v>
      </c>
      <c r="D502" s="18">
        <v>15512.6</v>
      </c>
    </row>
    <row r="503" spans="1:4">
      <c r="A503" s="18" t="s">
        <v>29</v>
      </c>
      <c r="B503" s="18" t="s">
        <v>69</v>
      </c>
      <c r="C503" s="19">
        <v>45443</v>
      </c>
      <c r="D503" s="18">
        <v>14448.05</v>
      </c>
    </row>
    <row r="504" spans="1:4">
      <c r="A504" s="18" t="s">
        <v>29</v>
      </c>
      <c r="B504" s="18" t="s">
        <v>69</v>
      </c>
      <c r="C504" s="19">
        <v>45393</v>
      </c>
      <c r="D504" s="18">
        <v>15055.3</v>
      </c>
    </row>
    <row r="505" spans="1:4">
      <c r="A505" s="18" t="s">
        <v>29</v>
      </c>
      <c r="B505" s="18" t="s">
        <v>69</v>
      </c>
      <c r="C505" s="19">
        <v>45405</v>
      </c>
      <c r="D505" s="18">
        <v>16042.75</v>
      </c>
    </row>
    <row r="506" spans="1:4">
      <c r="A506" s="18" t="s">
        <v>27</v>
      </c>
      <c r="B506" s="18" t="s">
        <v>70</v>
      </c>
      <c r="C506" s="19">
        <v>45656</v>
      </c>
      <c r="D506" s="18">
        <v>13380.72</v>
      </c>
    </row>
    <row r="507" spans="1:4">
      <c r="A507" s="18" t="s">
        <v>27</v>
      </c>
      <c r="B507" s="18" t="s">
        <v>70</v>
      </c>
      <c r="C507" s="19">
        <v>45456</v>
      </c>
      <c r="D507" s="18">
        <v>12665.09</v>
      </c>
    </row>
    <row r="508" spans="1:4">
      <c r="A508" s="18" t="s">
        <v>27</v>
      </c>
      <c r="B508" s="18" t="s">
        <v>70</v>
      </c>
      <c r="C508" s="19">
        <v>45369</v>
      </c>
      <c r="D508" s="18">
        <v>12064.88</v>
      </c>
    </row>
    <row r="509" spans="1:4">
      <c r="A509" s="18" t="s">
        <v>27</v>
      </c>
      <c r="B509" s="18" t="s">
        <v>70</v>
      </c>
      <c r="C509" s="19">
        <v>45422</v>
      </c>
      <c r="D509" s="18">
        <v>16224.76</v>
      </c>
    </row>
    <row r="510" spans="1:4">
      <c r="A510" s="18" t="s">
        <v>27</v>
      </c>
      <c r="B510" s="18" t="s">
        <v>70</v>
      </c>
      <c r="C510" s="19">
        <v>45407</v>
      </c>
      <c r="D510" s="18">
        <v>18087.47</v>
      </c>
    </row>
    <row r="511" spans="1:4">
      <c r="A511" s="18" t="s">
        <v>27</v>
      </c>
      <c r="B511" s="18" t="s">
        <v>70</v>
      </c>
      <c r="C511" s="19">
        <v>45295</v>
      </c>
      <c r="D511" s="18">
        <v>16417.79</v>
      </c>
    </row>
    <row r="512" spans="1:4">
      <c r="A512" s="18" t="s">
        <v>27</v>
      </c>
      <c r="B512" s="18" t="s">
        <v>70</v>
      </c>
      <c r="C512" s="19">
        <v>45488</v>
      </c>
      <c r="D512" s="18">
        <v>15768.09</v>
      </c>
    </row>
    <row r="513" spans="1:4">
      <c r="A513" s="18" t="s">
        <v>27</v>
      </c>
      <c r="B513" s="18" t="s">
        <v>70</v>
      </c>
      <c r="C513" s="19">
        <v>45395</v>
      </c>
      <c r="D513" s="18">
        <v>17948.07</v>
      </c>
    </row>
    <row r="514" spans="1:4">
      <c r="A514" s="18" t="s">
        <v>27</v>
      </c>
      <c r="B514" s="18" t="s">
        <v>70</v>
      </c>
      <c r="C514" s="19">
        <v>45604</v>
      </c>
      <c r="D514" s="18">
        <v>18043.11</v>
      </c>
    </row>
    <row r="515" spans="1:4">
      <c r="A515" s="18" t="s">
        <v>27</v>
      </c>
      <c r="B515" s="18" t="s">
        <v>70</v>
      </c>
      <c r="C515" s="19">
        <v>45554</v>
      </c>
      <c r="D515" s="18">
        <v>9477.3799999999992</v>
      </c>
    </row>
    <row r="516" spans="1:4">
      <c r="A516" s="18" t="s">
        <v>27</v>
      </c>
      <c r="B516" s="18" t="s">
        <v>70</v>
      </c>
      <c r="C516" s="19">
        <v>45385</v>
      </c>
      <c r="D516" s="18">
        <v>11161.27</v>
      </c>
    </row>
    <row r="517" spans="1:4">
      <c r="A517" s="18" t="s">
        <v>27</v>
      </c>
      <c r="B517" s="18" t="s">
        <v>70</v>
      </c>
      <c r="C517" s="19">
        <v>45386</v>
      </c>
      <c r="D517" s="18">
        <v>13125.54</v>
      </c>
    </row>
    <row r="518" spans="1:4">
      <c r="A518" s="18" t="s">
        <v>29</v>
      </c>
      <c r="B518" s="18" t="s">
        <v>71</v>
      </c>
      <c r="C518" s="19">
        <v>45497</v>
      </c>
      <c r="D518" s="18">
        <v>15078.27</v>
      </c>
    </row>
    <row r="519" spans="1:4">
      <c r="A519" s="18" t="s">
        <v>29</v>
      </c>
      <c r="B519" s="18" t="s">
        <v>71</v>
      </c>
      <c r="C519" s="19">
        <v>45600</v>
      </c>
      <c r="D519" s="18">
        <v>16552.98</v>
      </c>
    </row>
    <row r="520" spans="1:4">
      <c r="A520" s="18" t="s">
        <v>29</v>
      </c>
      <c r="B520" s="18" t="s">
        <v>71</v>
      </c>
      <c r="C520" s="19">
        <v>45575</v>
      </c>
      <c r="D520" s="18">
        <v>12822.77</v>
      </c>
    </row>
    <row r="521" spans="1:4">
      <c r="A521" s="18" t="s">
        <v>29</v>
      </c>
      <c r="B521" s="18" t="s">
        <v>71</v>
      </c>
      <c r="C521" s="19">
        <v>45612</v>
      </c>
      <c r="D521" s="18">
        <v>12733.85</v>
      </c>
    </row>
    <row r="522" spans="1:4">
      <c r="A522" s="18" t="s">
        <v>29</v>
      </c>
      <c r="B522" s="18" t="s">
        <v>71</v>
      </c>
      <c r="C522" s="19">
        <v>45504</v>
      </c>
      <c r="D522" s="18">
        <v>13165.45</v>
      </c>
    </row>
    <row r="523" spans="1:4">
      <c r="A523" s="18" t="s">
        <v>29</v>
      </c>
      <c r="B523" s="18" t="s">
        <v>71</v>
      </c>
      <c r="C523" s="19">
        <v>45323</v>
      </c>
      <c r="D523" s="18">
        <v>12230.3</v>
      </c>
    </row>
    <row r="524" spans="1:4">
      <c r="A524" s="18" t="s">
        <v>29</v>
      </c>
      <c r="B524" s="18" t="s">
        <v>71</v>
      </c>
      <c r="C524" s="19">
        <v>45362</v>
      </c>
      <c r="D524" s="18">
        <v>10944.95</v>
      </c>
    </row>
    <row r="525" spans="1:4">
      <c r="A525" s="18" t="s">
        <v>29</v>
      </c>
      <c r="B525" s="18" t="s">
        <v>71</v>
      </c>
      <c r="C525" s="19">
        <v>45467</v>
      </c>
      <c r="D525" s="18">
        <v>12072.38</v>
      </c>
    </row>
    <row r="526" spans="1:4">
      <c r="A526" s="18" t="s">
        <v>29</v>
      </c>
      <c r="B526" s="18" t="s">
        <v>71</v>
      </c>
      <c r="C526" s="19">
        <v>45412</v>
      </c>
      <c r="D526" s="18">
        <v>12151.8</v>
      </c>
    </row>
    <row r="527" spans="1:4">
      <c r="A527" s="18" t="s">
        <v>29</v>
      </c>
      <c r="B527" s="18" t="s">
        <v>71</v>
      </c>
      <c r="C527" s="19">
        <v>45544</v>
      </c>
      <c r="D527" s="18">
        <v>22897.15</v>
      </c>
    </row>
    <row r="528" spans="1:4">
      <c r="A528" s="18" t="s">
        <v>29</v>
      </c>
      <c r="B528" s="18" t="s">
        <v>71</v>
      </c>
      <c r="C528" s="19">
        <v>45445</v>
      </c>
      <c r="D528" s="18">
        <v>16479.95</v>
      </c>
    </row>
    <row r="529" spans="1:4">
      <c r="A529" s="18" t="s">
        <v>29</v>
      </c>
      <c r="B529" s="18" t="s">
        <v>71</v>
      </c>
      <c r="C529" s="19">
        <v>45514</v>
      </c>
      <c r="D529" s="18">
        <v>15554.51</v>
      </c>
    </row>
    <row r="530" spans="1:4">
      <c r="A530" s="18" t="s">
        <v>25</v>
      </c>
      <c r="B530" s="18" t="s">
        <v>72</v>
      </c>
      <c r="C530" s="19">
        <v>45550</v>
      </c>
      <c r="D530" s="18">
        <v>12424.93</v>
      </c>
    </row>
    <row r="531" spans="1:4">
      <c r="A531" s="18" t="s">
        <v>25</v>
      </c>
      <c r="B531" s="18" t="s">
        <v>72</v>
      </c>
      <c r="C531" s="19">
        <v>45310</v>
      </c>
      <c r="D531" s="18">
        <v>17100.93</v>
      </c>
    </row>
    <row r="532" spans="1:4">
      <c r="A532" s="18" t="s">
        <v>25</v>
      </c>
      <c r="B532" s="18" t="s">
        <v>72</v>
      </c>
      <c r="C532" s="19">
        <v>45350</v>
      </c>
      <c r="D532" s="18">
        <v>13273.09</v>
      </c>
    </row>
    <row r="533" spans="1:4">
      <c r="A533" s="18" t="s">
        <v>25</v>
      </c>
      <c r="B533" s="18" t="s">
        <v>72</v>
      </c>
      <c r="C533" s="19">
        <v>45652</v>
      </c>
      <c r="D533" s="18">
        <v>22680.25</v>
      </c>
    </row>
    <row r="534" spans="1:4">
      <c r="A534" s="18" t="s">
        <v>25</v>
      </c>
      <c r="B534" s="18" t="s">
        <v>72</v>
      </c>
      <c r="C534" s="19">
        <v>45443</v>
      </c>
      <c r="D534" s="18">
        <v>14711.82</v>
      </c>
    </row>
    <row r="535" spans="1:4">
      <c r="A535" s="18" t="s">
        <v>25</v>
      </c>
      <c r="B535" s="18" t="s">
        <v>72</v>
      </c>
      <c r="C535" s="19">
        <v>45506</v>
      </c>
      <c r="D535" s="18">
        <v>18447.82</v>
      </c>
    </row>
    <row r="536" spans="1:4">
      <c r="A536" s="18" t="s">
        <v>25</v>
      </c>
      <c r="B536" s="18" t="s">
        <v>72</v>
      </c>
      <c r="C536" s="19">
        <v>45527</v>
      </c>
      <c r="D536" s="18">
        <v>14895.03</v>
      </c>
    </row>
    <row r="537" spans="1:4">
      <c r="A537" s="18" t="s">
        <v>25</v>
      </c>
      <c r="B537" s="18" t="s">
        <v>72</v>
      </c>
      <c r="C537" s="19">
        <v>45344</v>
      </c>
      <c r="D537" s="18">
        <v>20312.400000000001</v>
      </c>
    </row>
    <row r="538" spans="1:4">
      <c r="A538" s="18" t="s">
        <v>25</v>
      </c>
      <c r="B538" s="18" t="s">
        <v>72</v>
      </c>
      <c r="C538" s="19">
        <v>45355</v>
      </c>
      <c r="D538" s="18">
        <v>13119.1</v>
      </c>
    </row>
    <row r="539" spans="1:4">
      <c r="A539" s="18" t="s">
        <v>25</v>
      </c>
      <c r="B539" s="18" t="s">
        <v>72</v>
      </c>
      <c r="C539" s="19">
        <v>45439</v>
      </c>
      <c r="D539" s="18">
        <v>20437.349999999999</v>
      </c>
    </row>
    <row r="540" spans="1:4">
      <c r="A540" s="18" t="s">
        <v>25</v>
      </c>
      <c r="B540" s="18" t="s">
        <v>72</v>
      </c>
      <c r="C540" s="19">
        <v>45466</v>
      </c>
      <c r="D540" s="18">
        <v>17123.259999999998</v>
      </c>
    </row>
    <row r="541" spans="1:4">
      <c r="A541" s="18" t="s">
        <v>25</v>
      </c>
      <c r="B541" s="18" t="s">
        <v>72</v>
      </c>
      <c r="C541" s="19">
        <v>45457</v>
      </c>
      <c r="D541" s="18">
        <v>13312.6</v>
      </c>
    </row>
    <row r="542" spans="1:4">
      <c r="A542" s="18" t="s">
        <v>27</v>
      </c>
      <c r="B542" s="18" t="s">
        <v>73</v>
      </c>
      <c r="C542" s="19">
        <v>45554</v>
      </c>
      <c r="D542" s="18">
        <v>16897.22</v>
      </c>
    </row>
    <row r="543" spans="1:4">
      <c r="A543" s="18" t="s">
        <v>27</v>
      </c>
      <c r="B543" s="18" t="s">
        <v>73</v>
      </c>
      <c r="C543" s="19">
        <v>45494</v>
      </c>
      <c r="D543" s="18">
        <v>17917.66</v>
      </c>
    </row>
    <row r="544" spans="1:4">
      <c r="A544" s="18" t="s">
        <v>27</v>
      </c>
      <c r="B544" s="18" t="s">
        <v>73</v>
      </c>
      <c r="C544" s="19">
        <v>45486</v>
      </c>
      <c r="D544" s="18">
        <v>16865.43</v>
      </c>
    </row>
    <row r="545" spans="1:4">
      <c r="A545" s="18" t="s">
        <v>27</v>
      </c>
      <c r="B545" s="18" t="s">
        <v>73</v>
      </c>
      <c r="C545" s="19">
        <v>45405</v>
      </c>
      <c r="D545" s="18">
        <v>10289.33</v>
      </c>
    </row>
    <row r="546" spans="1:4">
      <c r="A546" s="18" t="s">
        <v>27</v>
      </c>
      <c r="B546" s="18" t="s">
        <v>73</v>
      </c>
      <c r="C546" s="19">
        <v>45374</v>
      </c>
      <c r="D546" s="18">
        <v>12818.59</v>
      </c>
    </row>
    <row r="547" spans="1:4">
      <c r="A547" s="18" t="s">
        <v>27</v>
      </c>
      <c r="B547" s="18" t="s">
        <v>73</v>
      </c>
      <c r="C547" s="19">
        <v>45373</v>
      </c>
      <c r="D547" s="18">
        <v>14257.44</v>
      </c>
    </row>
    <row r="548" spans="1:4">
      <c r="A548" s="18" t="s">
        <v>27</v>
      </c>
      <c r="B548" s="18" t="s">
        <v>73</v>
      </c>
      <c r="C548" s="19">
        <v>45308</v>
      </c>
      <c r="D548" s="18">
        <v>14776.7</v>
      </c>
    </row>
    <row r="549" spans="1:4">
      <c r="A549" s="18" t="s">
        <v>27</v>
      </c>
      <c r="B549" s="18" t="s">
        <v>73</v>
      </c>
      <c r="C549" s="19">
        <v>45518</v>
      </c>
      <c r="D549" s="18">
        <v>15533.1</v>
      </c>
    </row>
    <row r="550" spans="1:4">
      <c r="A550" s="18" t="s">
        <v>27</v>
      </c>
      <c r="B550" s="18" t="s">
        <v>73</v>
      </c>
      <c r="C550" s="19">
        <v>45637</v>
      </c>
      <c r="D550" s="18">
        <v>10993.97</v>
      </c>
    </row>
    <row r="551" spans="1:4">
      <c r="A551" s="18" t="s">
        <v>27</v>
      </c>
      <c r="B551" s="18" t="s">
        <v>73</v>
      </c>
      <c r="C551" s="19">
        <v>45524</v>
      </c>
      <c r="D551" s="18">
        <v>16140.59</v>
      </c>
    </row>
    <row r="552" spans="1:4">
      <c r="A552" s="18" t="s">
        <v>27</v>
      </c>
      <c r="B552" s="18" t="s">
        <v>73</v>
      </c>
      <c r="C552" s="19">
        <v>45528</v>
      </c>
      <c r="D552" s="18">
        <v>16831.759999999998</v>
      </c>
    </row>
    <row r="553" spans="1:4">
      <c r="A553" s="18" t="s">
        <v>27</v>
      </c>
      <c r="B553" s="18" t="s">
        <v>73</v>
      </c>
      <c r="C553" s="19">
        <v>45293</v>
      </c>
      <c r="D553" s="18">
        <v>18242.34</v>
      </c>
    </row>
    <row r="554" spans="1:4">
      <c r="A554" s="18" t="s">
        <v>25</v>
      </c>
      <c r="B554" s="18" t="s">
        <v>74</v>
      </c>
      <c r="C554" s="19">
        <v>45439</v>
      </c>
      <c r="D554" s="18">
        <v>17501.77</v>
      </c>
    </row>
    <row r="555" spans="1:4">
      <c r="A555" s="18" t="s">
        <v>25</v>
      </c>
      <c r="B555" s="18" t="s">
        <v>74</v>
      </c>
      <c r="C555" s="19">
        <v>45378</v>
      </c>
      <c r="D555" s="18">
        <v>16377.54</v>
      </c>
    </row>
    <row r="556" spans="1:4">
      <c r="A556" s="18" t="s">
        <v>25</v>
      </c>
      <c r="B556" s="18" t="s">
        <v>74</v>
      </c>
      <c r="C556" s="19">
        <v>45613</v>
      </c>
      <c r="D556" s="18">
        <v>14789.5</v>
      </c>
    </row>
    <row r="557" spans="1:4">
      <c r="A557" s="18" t="s">
        <v>25</v>
      </c>
      <c r="B557" s="18" t="s">
        <v>74</v>
      </c>
      <c r="C557" s="19">
        <v>45521</v>
      </c>
      <c r="D557" s="18">
        <v>10017.120000000001</v>
      </c>
    </row>
    <row r="558" spans="1:4">
      <c r="A558" s="18" t="s">
        <v>25</v>
      </c>
      <c r="B558" s="18" t="s">
        <v>74</v>
      </c>
      <c r="C558" s="19">
        <v>45411</v>
      </c>
      <c r="D558" s="18">
        <v>15623.06</v>
      </c>
    </row>
    <row r="559" spans="1:4">
      <c r="A559" s="18" t="s">
        <v>25</v>
      </c>
      <c r="B559" s="18" t="s">
        <v>74</v>
      </c>
      <c r="C559" s="19">
        <v>45571</v>
      </c>
      <c r="D559" s="18">
        <v>15814.74</v>
      </c>
    </row>
    <row r="560" spans="1:4">
      <c r="A560" s="18" t="s">
        <v>25</v>
      </c>
      <c r="B560" s="18" t="s">
        <v>74</v>
      </c>
      <c r="C560" s="19">
        <v>45559</v>
      </c>
      <c r="D560" s="18">
        <v>11756.83</v>
      </c>
    </row>
    <row r="561" spans="1:4">
      <c r="A561" s="18" t="s">
        <v>25</v>
      </c>
      <c r="B561" s="18" t="s">
        <v>74</v>
      </c>
      <c r="C561" s="19">
        <v>45569</v>
      </c>
      <c r="D561" s="18">
        <v>18159.46</v>
      </c>
    </row>
    <row r="562" spans="1:4">
      <c r="A562" s="18" t="s">
        <v>25</v>
      </c>
      <c r="B562" s="18" t="s">
        <v>74</v>
      </c>
      <c r="C562" s="19">
        <v>45409</v>
      </c>
      <c r="D562" s="18">
        <v>17044.5</v>
      </c>
    </row>
    <row r="563" spans="1:4">
      <c r="A563" s="18" t="s">
        <v>25</v>
      </c>
      <c r="B563" s="18" t="s">
        <v>74</v>
      </c>
      <c r="C563" s="19">
        <v>45566</v>
      </c>
      <c r="D563" s="18">
        <v>15089.27</v>
      </c>
    </row>
    <row r="564" spans="1:4">
      <c r="A564" s="18" t="s">
        <v>25</v>
      </c>
      <c r="B564" s="18" t="s">
        <v>74</v>
      </c>
      <c r="C564" s="19">
        <v>45529</v>
      </c>
      <c r="D564" s="18">
        <v>17814.849999999999</v>
      </c>
    </row>
    <row r="565" spans="1:4">
      <c r="A565" s="18" t="s">
        <v>25</v>
      </c>
      <c r="B565" s="18" t="s">
        <v>74</v>
      </c>
      <c r="C565" s="19">
        <v>45502</v>
      </c>
      <c r="D565" s="18">
        <v>13451.87</v>
      </c>
    </row>
    <row r="566" spans="1:4">
      <c r="A566" s="18" t="s">
        <v>25</v>
      </c>
      <c r="B566" s="18" t="s">
        <v>75</v>
      </c>
      <c r="C566" s="19">
        <v>45534</v>
      </c>
      <c r="D566" s="18">
        <v>13613.17</v>
      </c>
    </row>
    <row r="567" spans="1:4">
      <c r="A567" s="18" t="s">
        <v>25</v>
      </c>
      <c r="B567" s="18" t="s">
        <v>75</v>
      </c>
      <c r="C567" s="19">
        <v>45518</v>
      </c>
      <c r="D567" s="18">
        <v>14072.48</v>
      </c>
    </row>
    <row r="568" spans="1:4">
      <c r="A568" s="18" t="s">
        <v>25</v>
      </c>
      <c r="B568" s="18" t="s">
        <v>75</v>
      </c>
      <c r="C568" s="19">
        <v>45512</v>
      </c>
      <c r="D568" s="18">
        <v>13563.75</v>
      </c>
    </row>
    <row r="569" spans="1:4">
      <c r="A569" s="18" t="s">
        <v>25</v>
      </c>
      <c r="B569" s="18" t="s">
        <v>75</v>
      </c>
      <c r="C569" s="19">
        <v>45435</v>
      </c>
      <c r="D569" s="18">
        <v>12316.18</v>
      </c>
    </row>
    <row r="570" spans="1:4">
      <c r="A570" s="18" t="s">
        <v>25</v>
      </c>
      <c r="B570" s="18" t="s">
        <v>75</v>
      </c>
      <c r="C570" s="19">
        <v>45650</v>
      </c>
      <c r="D570" s="18">
        <v>14439.39</v>
      </c>
    </row>
    <row r="571" spans="1:4">
      <c r="A571" s="18" t="s">
        <v>25</v>
      </c>
      <c r="B571" s="18" t="s">
        <v>75</v>
      </c>
      <c r="C571" s="19">
        <v>45487</v>
      </c>
      <c r="D571" s="18">
        <v>13680.81</v>
      </c>
    </row>
    <row r="572" spans="1:4">
      <c r="A572" s="18" t="s">
        <v>25</v>
      </c>
      <c r="B572" s="18" t="s">
        <v>75</v>
      </c>
      <c r="C572" s="19">
        <v>45476</v>
      </c>
      <c r="D572" s="18">
        <v>19340.93</v>
      </c>
    </row>
    <row r="573" spans="1:4">
      <c r="A573" s="18" t="s">
        <v>25</v>
      </c>
      <c r="B573" s="18" t="s">
        <v>75</v>
      </c>
      <c r="C573" s="19">
        <v>45432</v>
      </c>
      <c r="D573" s="18">
        <v>18095.53</v>
      </c>
    </row>
    <row r="574" spans="1:4">
      <c r="A574" s="18" t="s">
        <v>25</v>
      </c>
      <c r="B574" s="18" t="s">
        <v>75</v>
      </c>
      <c r="C574" s="19">
        <v>45294</v>
      </c>
      <c r="D574" s="18">
        <v>10543.32</v>
      </c>
    </row>
    <row r="575" spans="1:4">
      <c r="A575" s="18" t="s">
        <v>25</v>
      </c>
      <c r="B575" s="18" t="s">
        <v>75</v>
      </c>
      <c r="C575" s="19">
        <v>45314</v>
      </c>
      <c r="D575" s="18">
        <v>15801.15</v>
      </c>
    </row>
    <row r="576" spans="1:4">
      <c r="A576" s="18" t="s">
        <v>25</v>
      </c>
      <c r="B576" s="18" t="s">
        <v>75</v>
      </c>
      <c r="C576" s="19">
        <v>45582</v>
      </c>
      <c r="D576" s="18">
        <v>17668.89</v>
      </c>
    </row>
    <row r="577" spans="1:4">
      <c r="A577" s="18" t="s">
        <v>25</v>
      </c>
      <c r="B577" s="18" t="s">
        <v>75</v>
      </c>
      <c r="C577" s="19">
        <v>45560</v>
      </c>
      <c r="D577" s="18">
        <v>15246.85</v>
      </c>
    </row>
    <row r="578" spans="1:4">
      <c r="A578" s="18" t="s">
        <v>27</v>
      </c>
      <c r="B578" s="18" t="s">
        <v>76</v>
      </c>
      <c r="C578" s="19">
        <v>45378</v>
      </c>
      <c r="D578" s="18">
        <v>13448.13</v>
      </c>
    </row>
    <row r="579" spans="1:4">
      <c r="A579" s="18" t="s">
        <v>27</v>
      </c>
      <c r="B579" s="18" t="s">
        <v>76</v>
      </c>
      <c r="C579" s="19">
        <v>45385</v>
      </c>
      <c r="D579" s="18">
        <v>19228.04</v>
      </c>
    </row>
    <row r="580" spans="1:4">
      <c r="A580" s="18" t="s">
        <v>27</v>
      </c>
      <c r="B580" s="18" t="s">
        <v>76</v>
      </c>
      <c r="C580" s="19">
        <v>45625</v>
      </c>
      <c r="D580" s="18">
        <v>21896.69</v>
      </c>
    </row>
    <row r="581" spans="1:4">
      <c r="A581" s="18" t="s">
        <v>27</v>
      </c>
      <c r="B581" s="18" t="s">
        <v>76</v>
      </c>
      <c r="C581" s="19">
        <v>45443</v>
      </c>
      <c r="D581" s="18">
        <v>13911.48</v>
      </c>
    </row>
    <row r="582" spans="1:4">
      <c r="A582" s="18" t="s">
        <v>27</v>
      </c>
      <c r="B582" s="18" t="s">
        <v>76</v>
      </c>
      <c r="C582" s="19">
        <v>45496</v>
      </c>
      <c r="D582" s="18">
        <v>19360.150000000001</v>
      </c>
    </row>
    <row r="583" spans="1:4">
      <c r="A583" s="18" t="s">
        <v>27</v>
      </c>
      <c r="B583" s="18" t="s">
        <v>76</v>
      </c>
      <c r="C583" s="19">
        <v>45323</v>
      </c>
      <c r="D583" s="18">
        <v>13431.42</v>
      </c>
    </row>
    <row r="584" spans="1:4">
      <c r="A584" s="18" t="s">
        <v>27</v>
      </c>
      <c r="B584" s="18" t="s">
        <v>76</v>
      </c>
      <c r="C584" s="19">
        <v>45599</v>
      </c>
      <c r="D584" s="18">
        <v>13739.44</v>
      </c>
    </row>
    <row r="585" spans="1:4">
      <c r="A585" s="18" t="s">
        <v>27</v>
      </c>
      <c r="B585" s="18" t="s">
        <v>76</v>
      </c>
      <c r="C585" s="19">
        <v>45403</v>
      </c>
      <c r="D585" s="18">
        <v>14154.65</v>
      </c>
    </row>
    <row r="586" spans="1:4">
      <c r="A586" s="18" t="s">
        <v>27</v>
      </c>
      <c r="B586" s="18" t="s">
        <v>76</v>
      </c>
      <c r="C586" s="19">
        <v>45314</v>
      </c>
      <c r="D586" s="18">
        <v>10966.65</v>
      </c>
    </row>
    <row r="587" spans="1:4">
      <c r="A587" s="18" t="s">
        <v>27</v>
      </c>
      <c r="B587" s="18" t="s">
        <v>76</v>
      </c>
      <c r="C587" s="19">
        <v>45426</v>
      </c>
      <c r="D587" s="18">
        <v>12244.04</v>
      </c>
    </row>
    <row r="588" spans="1:4">
      <c r="A588" s="18" t="s">
        <v>27</v>
      </c>
      <c r="B588" s="18" t="s">
        <v>76</v>
      </c>
      <c r="C588" s="19">
        <v>45595</v>
      </c>
      <c r="D588" s="18">
        <v>11987.58</v>
      </c>
    </row>
    <row r="589" spans="1:4">
      <c r="A589" s="18" t="s">
        <v>27</v>
      </c>
      <c r="B589" s="18" t="s">
        <v>76</v>
      </c>
      <c r="C589" s="19">
        <v>45495</v>
      </c>
      <c r="D589" s="18">
        <v>12696.61</v>
      </c>
    </row>
    <row r="590" spans="1:4">
      <c r="A590" s="18" t="s">
        <v>29</v>
      </c>
      <c r="B590" s="18" t="s">
        <v>77</v>
      </c>
      <c r="C590" s="19">
        <v>45575</v>
      </c>
      <c r="D590" s="18">
        <v>14895.95</v>
      </c>
    </row>
    <row r="591" spans="1:4">
      <c r="A591" s="18" t="s">
        <v>29</v>
      </c>
      <c r="B591" s="18" t="s">
        <v>77</v>
      </c>
      <c r="C591" s="19">
        <v>45311</v>
      </c>
      <c r="D591" s="18">
        <v>15702.64</v>
      </c>
    </row>
    <row r="592" spans="1:4">
      <c r="A592" s="18" t="s">
        <v>29</v>
      </c>
      <c r="B592" s="18" t="s">
        <v>77</v>
      </c>
      <c r="C592" s="19">
        <v>45558</v>
      </c>
      <c r="D592" s="18">
        <v>19651.5</v>
      </c>
    </row>
    <row r="593" spans="1:4">
      <c r="A593" s="18" t="s">
        <v>29</v>
      </c>
      <c r="B593" s="18" t="s">
        <v>77</v>
      </c>
      <c r="C593" s="19">
        <v>45628</v>
      </c>
      <c r="D593" s="18">
        <v>12004.94</v>
      </c>
    </row>
    <row r="594" spans="1:4">
      <c r="A594" s="18" t="s">
        <v>29</v>
      </c>
      <c r="B594" s="18" t="s">
        <v>77</v>
      </c>
      <c r="C594" s="19">
        <v>45652</v>
      </c>
      <c r="D594" s="18">
        <v>17952.97</v>
      </c>
    </row>
    <row r="595" spans="1:4">
      <c r="A595" s="18" t="s">
        <v>29</v>
      </c>
      <c r="B595" s="18" t="s">
        <v>77</v>
      </c>
      <c r="C595" s="19">
        <v>45634</v>
      </c>
      <c r="D595" s="18">
        <v>14358.03</v>
      </c>
    </row>
    <row r="596" spans="1:4">
      <c r="A596" s="18" t="s">
        <v>29</v>
      </c>
      <c r="B596" s="18" t="s">
        <v>77</v>
      </c>
      <c r="C596" s="19">
        <v>45601</v>
      </c>
      <c r="D596" s="18">
        <v>17024.46</v>
      </c>
    </row>
    <row r="597" spans="1:4">
      <c r="A597" s="18" t="s">
        <v>29</v>
      </c>
      <c r="B597" s="18" t="s">
        <v>77</v>
      </c>
      <c r="C597" s="19">
        <v>45347</v>
      </c>
      <c r="D597" s="18">
        <v>16147.23</v>
      </c>
    </row>
    <row r="598" spans="1:4">
      <c r="A598" s="18" t="s">
        <v>29</v>
      </c>
      <c r="B598" s="18" t="s">
        <v>77</v>
      </c>
      <c r="C598" s="19">
        <v>45556</v>
      </c>
      <c r="D598" s="18">
        <v>15499.36</v>
      </c>
    </row>
    <row r="599" spans="1:4">
      <c r="A599" s="18" t="s">
        <v>29</v>
      </c>
      <c r="B599" s="18" t="s">
        <v>77</v>
      </c>
      <c r="C599" s="19">
        <v>45316</v>
      </c>
      <c r="D599" s="18">
        <v>16477.349999999999</v>
      </c>
    </row>
    <row r="600" spans="1:4">
      <c r="A600" s="18" t="s">
        <v>29</v>
      </c>
      <c r="B600" s="18" t="s">
        <v>77</v>
      </c>
      <c r="C600" s="19">
        <v>45570</v>
      </c>
      <c r="D600" s="18">
        <v>15867.51</v>
      </c>
    </row>
    <row r="601" spans="1:4">
      <c r="A601" s="18" t="s">
        <v>29</v>
      </c>
      <c r="B601" s="18" t="s">
        <v>77</v>
      </c>
      <c r="C601" s="19">
        <v>45349</v>
      </c>
      <c r="D601" s="18">
        <v>22365.9</v>
      </c>
    </row>
    <row r="602" spans="1:4">
      <c r="A602" s="18" t="s">
        <v>29</v>
      </c>
      <c r="B602" s="18" t="s">
        <v>78</v>
      </c>
      <c r="C602" s="19">
        <v>45314</v>
      </c>
      <c r="D602" s="18">
        <v>13086.78</v>
      </c>
    </row>
    <row r="603" spans="1:4">
      <c r="A603" s="18" t="s">
        <v>29</v>
      </c>
      <c r="B603" s="18" t="s">
        <v>78</v>
      </c>
      <c r="C603" s="19">
        <v>45407</v>
      </c>
      <c r="D603" s="18">
        <v>13407.01</v>
      </c>
    </row>
    <row r="604" spans="1:4">
      <c r="A604" s="18" t="s">
        <v>29</v>
      </c>
      <c r="B604" s="18" t="s">
        <v>78</v>
      </c>
      <c r="C604" s="19">
        <v>45456</v>
      </c>
      <c r="D604" s="18">
        <v>13130.58</v>
      </c>
    </row>
    <row r="605" spans="1:4">
      <c r="A605" s="18" t="s">
        <v>29</v>
      </c>
      <c r="B605" s="18" t="s">
        <v>78</v>
      </c>
      <c r="C605" s="19">
        <v>45601</v>
      </c>
      <c r="D605" s="18">
        <v>13333.57</v>
      </c>
    </row>
    <row r="606" spans="1:4">
      <c r="A606" s="18" t="s">
        <v>29</v>
      </c>
      <c r="B606" s="18" t="s">
        <v>78</v>
      </c>
      <c r="C606" s="19">
        <v>45629</v>
      </c>
      <c r="D606" s="18">
        <v>18567.05</v>
      </c>
    </row>
    <row r="607" spans="1:4">
      <c r="A607" s="18" t="s">
        <v>29</v>
      </c>
      <c r="B607" s="18" t="s">
        <v>78</v>
      </c>
      <c r="C607" s="19">
        <v>45657</v>
      </c>
      <c r="D607" s="18">
        <v>13287.76</v>
      </c>
    </row>
    <row r="608" spans="1:4">
      <c r="A608" s="18" t="s">
        <v>29</v>
      </c>
      <c r="B608" s="18" t="s">
        <v>78</v>
      </c>
      <c r="C608" s="19">
        <v>45406</v>
      </c>
      <c r="D608" s="18">
        <v>12502.93</v>
      </c>
    </row>
    <row r="609" spans="1:4">
      <c r="A609" s="18" t="s">
        <v>29</v>
      </c>
      <c r="B609" s="18" t="s">
        <v>78</v>
      </c>
      <c r="C609" s="19">
        <v>45397</v>
      </c>
      <c r="D609" s="18">
        <v>13343.33</v>
      </c>
    </row>
    <row r="610" spans="1:4">
      <c r="A610" s="18" t="s">
        <v>29</v>
      </c>
      <c r="B610" s="18" t="s">
        <v>78</v>
      </c>
      <c r="C610" s="19">
        <v>45629</v>
      </c>
      <c r="D610" s="18">
        <v>16898.8</v>
      </c>
    </row>
    <row r="611" spans="1:4">
      <c r="A611" s="18" t="s">
        <v>29</v>
      </c>
      <c r="B611" s="18" t="s">
        <v>78</v>
      </c>
      <c r="C611" s="19">
        <v>45603</v>
      </c>
      <c r="D611" s="18">
        <v>15608.77</v>
      </c>
    </row>
    <row r="612" spans="1:4">
      <c r="A612" s="18" t="s">
        <v>29</v>
      </c>
      <c r="B612" s="18" t="s">
        <v>78</v>
      </c>
      <c r="C612" s="19">
        <v>45624</v>
      </c>
      <c r="D612" s="18">
        <v>10452.77</v>
      </c>
    </row>
    <row r="613" spans="1:4">
      <c r="A613" s="18" t="s">
        <v>29</v>
      </c>
      <c r="B613" s="18" t="s">
        <v>78</v>
      </c>
      <c r="C613" s="19">
        <v>45634</v>
      </c>
      <c r="D613" s="18">
        <v>19642.52</v>
      </c>
    </row>
    <row r="614" spans="1:4">
      <c r="A614" s="18" t="s">
        <v>25</v>
      </c>
      <c r="B614" s="18" t="s">
        <v>79</v>
      </c>
      <c r="C614" s="19">
        <v>45443</v>
      </c>
      <c r="D614" s="18">
        <v>20387.63</v>
      </c>
    </row>
    <row r="615" spans="1:4">
      <c r="A615" s="18" t="s">
        <v>25</v>
      </c>
      <c r="B615" s="18" t="s">
        <v>79</v>
      </c>
      <c r="C615" s="19">
        <v>45410</v>
      </c>
      <c r="D615" s="18">
        <v>13161.63</v>
      </c>
    </row>
    <row r="616" spans="1:4">
      <c r="A616" s="18" t="s">
        <v>25</v>
      </c>
      <c r="B616" s="18" t="s">
        <v>79</v>
      </c>
      <c r="C616" s="19">
        <v>45436</v>
      </c>
      <c r="D616" s="18">
        <v>15857.6</v>
      </c>
    </row>
    <row r="617" spans="1:4">
      <c r="A617" s="18" t="s">
        <v>25</v>
      </c>
      <c r="B617" s="18" t="s">
        <v>79</v>
      </c>
      <c r="C617" s="19">
        <v>45346</v>
      </c>
      <c r="D617" s="18">
        <v>16003.37</v>
      </c>
    </row>
    <row r="618" spans="1:4">
      <c r="A618" s="18" t="s">
        <v>25</v>
      </c>
      <c r="B618" s="18" t="s">
        <v>79</v>
      </c>
      <c r="C618" s="19">
        <v>45406</v>
      </c>
      <c r="D618" s="18">
        <v>21030.61</v>
      </c>
    </row>
    <row r="619" spans="1:4">
      <c r="A619" s="18" t="s">
        <v>25</v>
      </c>
      <c r="B619" s="18" t="s">
        <v>79</v>
      </c>
      <c r="C619" s="19">
        <v>45566</v>
      </c>
      <c r="D619" s="18">
        <v>14469.16</v>
      </c>
    </row>
    <row r="620" spans="1:4">
      <c r="A620" s="18" t="s">
        <v>25</v>
      </c>
      <c r="B620" s="18" t="s">
        <v>79</v>
      </c>
      <c r="C620" s="19">
        <v>45350</v>
      </c>
      <c r="D620" s="18">
        <v>12605.11</v>
      </c>
    </row>
    <row r="621" spans="1:4">
      <c r="A621" s="18" t="s">
        <v>25</v>
      </c>
      <c r="B621" s="18" t="s">
        <v>79</v>
      </c>
      <c r="C621" s="19">
        <v>45592</v>
      </c>
      <c r="D621" s="18">
        <v>10862.04</v>
      </c>
    </row>
    <row r="622" spans="1:4">
      <c r="A622" s="18" t="s">
        <v>25</v>
      </c>
      <c r="B622" s="18" t="s">
        <v>79</v>
      </c>
      <c r="C622" s="19">
        <v>45381</v>
      </c>
      <c r="D622" s="18">
        <v>12807.21</v>
      </c>
    </row>
    <row r="623" spans="1:4">
      <c r="A623" s="18" t="s">
        <v>25</v>
      </c>
      <c r="B623" s="18" t="s">
        <v>79</v>
      </c>
      <c r="C623" s="19">
        <v>45366</v>
      </c>
      <c r="D623" s="18">
        <v>14900.62</v>
      </c>
    </row>
    <row r="624" spans="1:4">
      <c r="A624" s="18" t="s">
        <v>25</v>
      </c>
      <c r="B624" s="18" t="s">
        <v>79</v>
      </c>
      <c r="C624" s="19">
        <v>45353</v>
      </c>
      <c r="D624" s="18">
        <v>20383.669999999998</v>
      </c>
    </row>
    <row r="625" spans="1:4">
      <c r="A625" s="18" t="s">
        <v>25</v>
      </c>
      <c r="B625" s="18" t="s">
        <v>79</v>
      </c>
      <c r="C625" s="19">
        <v>45363</v>
      </c>
      <c r="D625" s="18">
        <v>13447.17</v>
      </c>
    </row>
    <row r="626" spans="1:4">
      <c r="A626" s="18" t="s">
        <v>27</v>
      </c>
      <c r="B626" s="18" t="s">
        <v>80</v>
      </c>
      <c r="C626" s="19">
        <v>45350</v>
      </c>
      <c r="D626" s="18">
        <v>15671.36</v>
      </c>
    </row>
    <row r="627" spans="1:4">
      <c r="A627" s="18" t="s">
        <v>27</v>
      </c>
      <c r="B627" s="18" t="s">
        <v>80</v>
      </c>
      <c r="C627" s="19">
        <v>45635</v>
      </c>
      <c r="D627" s="18">
        <v>14950.73</v>
      </c>
    </row>
    <row r="628" spans="1:4">
      <c r="A628" s="18" t="s">
        <v>27</v>
      </c>
      <c r="B628" s="18" t="s">
        <v>80</v>
      </c>
      <c r="C628" s="19">
        <v>45631</v>
      </c>
      <c r="D628" s="18">
        <v>18565.18</v>
      </c>
    </row>
    <row r="629" spans="1:4">
      <c r="A629" s="18" t="s">
        <v>27</v>
      </c>
      <c r="B629" s="18" t="s">
        <v>80</v>
      </c>
      <c r="C629" s="19">
        <v>45313</v>
      </c>
      <c r="D629" s="18">
        <v>13407.39</v>
      </c>
    </row>
    <row r="630" spans="1:4">
      <c r="A630" s="18" t="s">
        <v>27</v>
      </c>
      <c r="B630" s="18" t="s">
        <v>80</v>
      </c>
      <c r="C630" s="19">
        <v>45326</v>
      </c>
      <c r="D630" s="18">
        <v>18132.48</v>
      </c>
    </row>
    <row r="631" spans="1:4">
      <c r="A631" s="18" t="s">
        <v>27</v>
      </c>
      <c r="B631" s="18" t="s">
        <v>80</v>
      </c>
      <c r="C631" s="19">
        <v>45652</v>
      </c>
      <c r="D631" s="18">
        <v>17045.669999999998</v>
      </c>
    </row>
    <row r="632" spans="1:4">
      <c r="A632" s="18" t="s">
        <v>27</v>
      </c>
      <c r="B632" s="18" t="s">
        <v>80</v>
      </c>
      <c r="C632" s="19">
        <v>45565</v>
      </c>
      <c r="D632" s="18">
        <v>20540.12</v>
      </c>
    </row>
    <row r="633" spans="1:4">
      <c r="A633" s="18" t="s">
        <v>27</v>
      </c>
      <c r="B633" s="18" t="s">
        <v>80</v>
      </c>
      <c r="C633" s="19">
        <v>45579</v>
      </c>
      <c r="D633" s="18">
        <v>16751.78</v>
      </c>
    </row>
    <row r="634" spans="1:4">
      <c r="A634" s="18" t="s">
        <v>27</v>
      </c>
      <c r="B634" s="18" t="s">
        <v>80</v>
      </c>
      <c r="C634" s="19">
        <v>45592</v>
      </c>
      <c r="D634" s="18">
        <v>13922.12</v>
      </c>
    </row>
    <row r="635" spans="1:4">
      <c r="A635" s="18" t="s">
        <v>27</v>
      </c>
      <c r="B635" s="18" t="s">
        <v>80</v>
      </c>
      <c r="C635" s="19">
        <v>45315</v>
      </c>
      <c r="D635" s="18">
        <v>18326.11</v>
      </c>
    </row>
    <row r="636" spans="1:4">
      <c r="A636" s="18" t="s">
        <v>27</v>
      </c>
      <c r="B636" s="18" t="s">
        <v>80</v>
      </c>
      <c r="C636" s="19">
        <v>45339</v>
      </c>
      <c r="D636" s="18">
        <v>17461.45</v>
      </c>
    </row>
    <row r="637" spans="1:4">
      <c r="A637" s="18" t="s">
        <v>27</v>
      </c>
      <c r="B637" s="18" t="s">
        <v>80</v>
      </c>
      <c r="C637" s="19">
        <v>45572</v>
      </c>
      <c r="D637" s="18">
        <v>18200.02</v>
      </c>
    </row>
    <row r="638" spans="1:4">
      <c r="A638" s="18" t="s">
        <v>29</v>
      </c>
      <c r="B638" s="18" t="s">
        <v>81</v>
      </c>
      <c r="C638" s="19">
        <v>45299</v>
      </c>
      <c r="D638" s="18">
        <v>18507.89</v>
      </c>
    </row>
    <row r="639" spans="1:4">
      <c r="A639" s="18" t="s">
        <v>29</v>
      </c>
      <c r="B639" s="18" t="s">
        <v>81</v>
      </c>
      <c r="C639" s="19">
        <v>45309</v>
      </c>
      <c r="D639" s="18">
        <v>19146.48</v>
      </c>
    </row>
    <row r="640" spans="1:4">
      <c r="A640" s="18" t="s">
        <v>29</v>
      </c>
      <c r="B640" s="18" t="s">
        <v>81</v>
      </c>
      <c r="C640" s="19">
        <v>45624</v>
      </c>
      <c r="D640" s="18">
        <v>14498.65</v>
      </c>
    </row>
    <row r="641" spans="1:4">
      <c r="A641" s="18" t="s">
        <v>29</v>
      </c>
      <c r="B641" s="18" t="s">
        <v>81</v>
      </c>
      <c r="C641" s="19">
        <v>45540</v>
      </c>
      <c r="D641" s="18">
        <v>18619.53</v>
      </c>
    </row>
    <row r="642" spans="1:4">
      <c r="A642" s="18" t="s">
        <v>29</v>
      </c>
      <c r="B642" s="18" t="s">
        <v>81</v>
      </c>
      <c r="C642" s="19">
        <v>45568</v>
      </c>
      <c r="D642" s="18">
        <v>12549.19</v>
      </c>
    </row>
    <row r="643" spans="1:4">
      <c r="A643" s="18" t="s">
        <v>29</v>
      </c>
      <c r="B643" s="18" t="s">
        <v>81</v>
      </c>
      <c r="C643" s="19">
        <v>45647</v>
      </c>
      <c r="D643" s="18">
        <v>13819.98</v>
      </c>
    </row>
    <row r="644" spans="1:4">
      <c r="A644" s="18" t="s">
        <v>29</v>
      </c>
      <c r="B644" s="18" t="s">
        <v>81</v>
      </c>
      <c r="C644" s="19">
        <v>45353</v>
      </c>
      <c r="D644" s="18">
        <v>15086.23</v>
      </c>
    </row>
    <row r="645" spans="1:4">
      <c r="A645" s="18" t="s">
        <v>29</v>
      </c>
      <c r="B645" s="18" t="s">
        <v>81</v>
      </c>
      <c r="C645" s="19">
        <v>45297</v>
      </c>
      <c r="D645" s="18">
        <v>18835.36</v>
      </c>
    </row>
    <row r="646" spans="1:4">
      <c r="A646" s="18" t="s">
        <v>29</v>
      </c>
      <c r="B646" s="18" t="s">
        <v>81</v>
      </c>
      <c r="C646" s="19">
        <v>45366</v>
      </c>
      <c r="D646" s="18">
        <v>15139.31</v>
      </c>
    </row>
    <row r="647" spans="1:4">
      <c r="A647" s="18" t="s">
        <v>29</v>
      </c>
      <c r="B647" s="18" t="s">
        <v>81</v>
      </c>
      <c r="C647" s="19">
        <v>45397</v>
      </c>
      <c r="D647" s="18">
        <v>17238.759999999998</v>
      </c>
    </row>
    <row r="648" spans="1:4">
      <c r="A648" s="18" t="s">
        <v>29</v>
      </c>
      <c r="B648" s="18" t="s">
        <v>81</v>
      </c>
      <c r="C648" s="19">
        <v>45310</v>
      </c>
      <c r="D648" s="18">
        <v>16936.45</v>
      </c>
    </row>
    <row r="649" spans="1:4">
      <c r="A649" s="18" t="s">
        <v>29</v>
      </c>
      <c r="B649" s="18" t="s">
        <v>81</v>
      </c>
      <c r="C649" s="19">
        <v>45624</v>
      </c>
      <c r="D649" s="18">
        <v>21489.759999999998</v>
      </c>
    </row>
    <row r="650" spans="1:4">
      <c r="A650" s="18" t="s">
        <v>27</v>
      </c>
      <c r="B650" s="18" t="s">
        <v>82</v>
      </c>
      <c r="C650" s="19">
        <v>45637</v>
      </c>
      <c r="D650" s="18">
        <v>14076.67</v>
      </c>
    </row>
    <row r="651" spans="1:4">
      <c r="A651" s="18" t="s">
        <v>27</v>
      </c>
      <c r="B651" s="18" t="s">
        <v>82</v>
      </c>
      <c r="C651" s="19">
        <v>45657</v>
      </c>
      <c r="D651" s="18">
        <v>15657.45</v>
      </c>
    </row>
    <row r="652" spans="1:4">
      <c r="A652" s="18" t="s">
        <v>27</v>
      </c>
      <c r="B652" s="18" t="s">
        <v>82</v>
      </c>
      <c r="C652" s="19">
        <v>45463</v>
      </c>
      <c r="D652" s="18">
        <v>19732.36</v>
      </c>
    </row>
    <row r="653" spans="1:4">
      <c r="A653" s="18" t="s">
        <v>27</v>
      </c>
      <c r="B653" s="18" t="s">
        <v>82</v>
      </c>
      <c r="C653" s="19">
        <v>45425</v>
      </c>
      <c r="D653" s="18">
        <v>15837.06</v>
      </c>
    </row>
    <row r="654" spans="1:4">
      <c r="A654" s="18" t="s">
        <v>27</v>
      </c>
      <c r="B654" s="18" t="s">
        <v>82</v>
      </c>
      <c r="C654" s="19">
        <v>45352</v>
      </c>
      <c r="D654" s="18">
        <v>16823.689999999999</v>
      </c>
    </row>
    <row r="655" spans="1:4">
      <c r="A655" s="18" t="s">
        <v>27</v>
      </c>
      <c r="B655" s="18" t="s">
        <v>82</v>
      </c>
      <c r="C655" s="19">
        <v>45649</v>
      </c>
      <c r="D655" s="18">
        <v>15559.83</v>
      </c>
    </row>
    <row r="656" spans="1:4">
      <c r="A656" s="18" t="s">
        <v>27</v>
      </c>
      <c r="B656" s="18" t="s">
        <v>82</v>
      </c>
      <c r="C656" s="19">
        <v>45463</v>
      </c>
      <c r="D656" s="18">
        <v>13660.7</v>
      </c>
    </row>
    <row r="657" spans="1:4">
      <c r="A657" s="18" t="s">
        <v>27</v>
      </c>
      <c r="B657" s="18" t="s">
        <v>82</v>
      </c>
      <c r="C657" s="19">
        <v>45339</v>
      </c>
      <c r="D657" s="18">
        <v>18220.900000000001</v>
      </c>
    </row>
    <row r="658" spans="1:4">
      <c r="A658" s="18" t="s">
        <v>27</v>
      </c>
      <c r="B658" s="18" t="s">
        <v>82</v>
      </c>
      <c r="C658" s="19">
        <v>45532</v>
      </c>
      <c r="D658" s="18">
        <v>15398.91</v>
      </c>
    </row>
    <row r="659" spans="1:4">
      <c r="A659" s="18" t="s">
        <v>27</v>
      </c>
      <c r="B659" s="18" t="s">
        <v>82</v>
      </c>
      <c r="C659" s="19">
        <v>45596</v>
      </c>
      <c r="D659" s="18">
        <v>12899.64</v>
      </c>
    </row>
    <row r="660" spans="1:4">
      <c r="A660" s="18" t="s">
        <v>27</v>
      </c>
      <c r="B660" s="18" t="s">
        <v>82</v>
      </c>
      <c r="C660" s="19">
        <v>45637</v>
      </c>
      <c r="D660" s="18">
        <v>18585.14</v>
      </c>
    </row>
    <row r="661" spans="1:4">
      <c r="A661" s="18" t="s">
        <v>27</v>
      </c>
      <c r="B661" s="18" t="s">
        <v>82</v>
      </c>
      <c r="C661" s="19">
        <v>45565</v>
      </c>
      <c r="D661" s="18">
        <v>13323.23</v>
      </c>
    </row>
    <row r="662" spans="1:4">
      <c r="A662" s="18" t="s">
        <v>27</v>
      </c>
      <c r="B662" s="18" t="s">
        <v>83</v>
      </c>
      <c r="C662" s="19">
        <v>45606</v>
      </c>
      <c r="D662" s="18">
        <v>16131.64</v>
      </c>
    </row>
    <row r="663" spans="1:4">
      <c r="A663" s="18" t="s">
        <v>27</v>
      </c>
      <c r="B663" s="18" t="s">
        <v>83</v>
      </c>
      <c r="C663" s="19">
        <v>45543</v>
      </c>
      <c r="D663" s="18">
        <v>19696.57</v>
      </c>
    </row>
    <row r="664" spans="1:4">
      <c r="A664" s="18" t="s">
        <v>27</v>
      </c>
      <c r="B664" s="18" t="s">
        <v>83</v>
      </c>
      <c r="C664" s="19">
        <v>45461</v>
      </c>
      <c r="D664" s="18">
        <v>14802.75</v>
      </c>
    </row>
    <row r="665" spans="1:4">
      <c r="A665" s="18" t="s">
        <v>27</v>
      </c>
      <c r="B665" s="18" t="s">
        <v>83</v>
      </c>
      <c r="C665" s="19">
        <v>45412</v>
      </c>
      <c r="D665" s="18">
        <v>13334.4</v>
      </c>
    </row>
    <row r="666" spans="1:4">
      <c r="A666" s="18" t="s">
        <v>27</v>
      </c>
      <c r="B666" s="18" t="s">
        <v>83</v>
      </c>
      <c r="C666" s="19">
        <v>45502</v>
      </c>
      <c r="D666" s="18">
        <v>20643.47</v>
      </c>
    </row>
    <row r="667" spans="1:4">
      <c r="A667" s="18" t="s">
        <v>27</v>
      </c>
      <c r="B667" s="18" t="s">
        <v>83</v>
      </c>
      <c r="C667" s="19">
        <v>45656</v>
      </c>
      <c r="D667" s="18">
        <v>8403.58</v>
      </c>
    </row>
    <row r="668" spans="1:4">
      <c r="A668" s="18" t="s">
        <v>27</v>
      </c>
      <c r="B668" s="18" t="s">
        <v>83</v>
      </c>
      <c r="C668" s="19">
        <v>45311</v>
      </c>
      <c r="D668" s="18">
        <v>16320.04</v>
      </c>
    </row>
    <row r="669" spans="1:4">
      <c r="A669" s="18" t="s">
        <v>27</v>
      </c>
      <c r="B669" s="18" t="s">
        <v>83</v>
      </c>
      <c r="C669" s="19">
        <v>45452</v>
      </c>
      <c r="D669" s="18">
        <v>13493.84</v>
      </c>
    </row>
    <row r="670" spans="1:4">
      <c r="A670" s="18" t="s">
        <v>27</v>
      </c>
      <c r="B670" s="18" t="s">
        <v>83</v>
      </c>
      <c r="C670" s="19">
        <v>45297</v>
      </c>
      <c r="D670" s="18">
        <v>11936.3</v>
      </c>
    </row>
    <row r="671" spans="1:4">
      <c r="A671" s="18" t="s">
        <v>27</v>
      </c>
      <c r="B671" s="18" t="s">
        <v>83</v>
      </c>
      <c r="C671" s="19">
        <v>45449</v>
      </c>
      <c r="D671" s="18">
        <v>15731.4</v>
      </c>
    </row>
    <row r="672" spans="1:4">
      <c r="A672" s="18" t="s">
        <v>27</v>
      </c>
      <c r="B672" s="18" t="s">
        <v>83</v>
      </c>
      <c r="C672" s="19">
        <v>45514</v>
      </c>
      <c r="D672" s="18">
        <v>13307.76</v>
      </c>
    </row>
    <row r="673" spans="1:4">
      <c r="A673" s="18" t="s">
        <v>27</v>
      </c>
      <c r="B673" s="18" t="s">
        <v>83</v>
      </c>
      <c r="C673" s="19">
        <v>45323</v>
      </c>
      <c r="D673" s="18">
        <v>17617.37</v>
      </c>
    </row>
    <row r="674" spans="1:4">
      <c r="A674" s="18" t="s">
        <v>29</v>
      </c>
      <c r="B674" s="18" t="s">
        <v>84</v>
      </c>
      <c r="C674" s="19">
        <v>45302</v>
      </c>
      <c r="D674" s="18">
        <v>16950.599999999999</v>
      </c>
    </row>
    <row r="675" spans="1:4">
      <c r="A675" s="18" t="s">
        <v>29</v>
      </c>
      <c r="B675" s="18" t="s">
        <v>84</v>
      </c>
      <c r="C675" s="19">
        <v>45363</v>
      </c>
      <c r="D675" s="18">
        <v>14702.47</v>
      </c>
    </row>
    <row r="676" spans="1:4">
      <c r="A676" s="18" t="s">
        <v>29</v>
      </c>
      <c r="B676" s="18" t="s">
        <v>84</v>
      </c>
      <c r="C676" s="19">
        <v>45475</v>
      </c>
      <c r="D676" s="18">
        <v>20539.91</v>
      </c>
    </row>
    <row r="677" spans="1:4">
      <c r="A677" s="18" t="s">
        <v>29</v>
      </c>
      <c r="B677" s="18" t="s">
        <v>84</v>
      </c>
      <c r="C677" s="19">
        <v>45641</v>
      </c>
      <c r="D677" s="18">
        <v>11789.75</v>
      </c>
    </row>
    <row r="678" spans="1:4">
      <c r="A678" s="18" t="s">
        <v>29</v>
      </c>
      <c r="B678" s="18" t="s">
        <v>84</v>
      </c>
      <c r="C678" s="19">
        <v>45545</v>
      </c>
      <c r="D678" s="18">
        <v>10423.42</v>
      </c>
    </row>
    <row r="679" spans="1:4">
      <c r="A679" s="18" t="s">
        <v>29</v>
      </c>
      <c r="B679" s="18" t="s">
        <v>84</v>
      </c>
      <c r="C679" s="19">
        <v>45481</v>
      </c>
      <c r="D679" s="18">
        <v>12924.28</v>
      </c>
    </row>
    <row r="680" spans="1:4">
      <c r="A680" s="18" t="s">
        <v>29</v>
      </c>
      <c r="B680" s="18" t="s">
        <v>84</v>
      </c>
      <c r="C680" s="19">
        <v>45625</v>
      </c>
      <c r="D680" s="18">
        <v>14863.24</v>
      </c>
    </row>
    <row r="681" spans="1:4">
      <c r="A681" s="18" t="s">
        <v>29</v>
      </c>
      <c r="B681" s="18" t="s">
        <v>84</v>
      </c>
      <c r="C681" s="19">
        <v>45540</v>
      </c>
      <c r="D681" s="18">
        <v>15730.02</v>
      </c>
    </row>
    <row r="682" spans="1:4">
      <c r="A682" s="18" t="s">
        <v>29</v>
      </c>
      <c r="B682" s="18" t="s">
        <v>84</v>
      </c>
      <c r="C682" s="19">
        <v>45532</v>
      </c>
      <c r="D682" s="18">
        <v>16056.17</v>
      </c>
    </row>
    <row r="683" spans="1:4">
      <c r="A683" s="18" t="s">
        <v>29</v>
      </c>
      <c r="B683" s="18" t="s">
        <v>84</v>
      </c>
      <c r="C683" s="19">
        <v>45500</v>
      </c>
      <c r="D683" s="18">
        <v>11245.38</v>
      </c>
    </row>
    <row r="684" spans="1:4">
      <c r="A684" s="18" t="s">
        <v>29</v>
      </c>
      <c r="B684" s="18" t="s">
        <v>84</v>
      </c>
      <c r="C684" s="19">
        <v>45330</v>
      </c>
      <c r="D684" s="18">
        <v>19331.29</v>
      </c>
    </row>
    <row r="685" spans="1:4">
      <c r="A685" s="18" t="s">
        <v>29</v>
      </c>
      <c r="B685" s="18" t="s">
        <v>84</v>
      </c>
      <c r="C685" s="19">
        <v>45532</v>
      </c>
      <c r="D685" s="18">
        <v>14753.55</v>
      </c>
    </row>
    <row r="686" spans="1:4">
      <c r="A686" s="18" t="s">
        <v>27</v>
      </c>
      <c r="B686" s="18" t="s">
        <v>85</v>
      </c>
      <c r="C686" s="19">
        <v>45581</v>
      </c>
      <c r="D686" s="18">
        <v>18351.89</v>
      </c>
    </row>
    <row r="687" spans="1:4">
      <c r="A687" s="18" t="s">
        <v>27</v>
      </c>
      <c r="B687" s="18" t="s">
        <v>85</v>
      </c>
      <c r="C687" s="19">
        <v>45303</v>
      </c>
      <c r="D687" s="18">
        <v>16028.18</v>
      </c>
    </row>
    <row r="688" spans="1:4">
      <c r="A688" s="18" t="s">
        <v>27</v>
      </c>
      <c r="B688" s="18" t="s">
        <v>85</v>
      </c>
      <c r="C688" s="19">
        <v>45352</v>
      </c>
      <c r="D688" s="18">
        <v>16370.26</v>
      </c>
    </row>
    <row r="689" spans="1:4">
      <c r="A689" s="18" t="s">
        <v>27</v>
      </c>
      <c r="B689" s="18" t="s">
        <v>85</v>
      </c>
      <c r="C689" s="19">
        <v>45470</v>
      </c>
      <c r="D689" s="18">
        <v>16709.3</v>
      </c>
    </row>
    <row r="690" spans="1:4">
      <c r="A690" s="18" t="s">
        <v>27</v>
      </c>
      <c r="B690" s="18" t="s">
        <v>85</v>
      </c>
      <c r="C690" s="19">
        <v>45474</v>
      </c>
      <c r="D690" s="18">
        <v>16343.13</v>
      </c>
    </row>
    <row r="691" spans="1:4">
      <c r="A691" s="18" t="s">
        <v>27</v>
      </c>
      <c r="B691" s="18" t="s">
        <v>85</v>
      </c>
      <c r="C691" s="19">
        <v>45592</v>
      </c>
      <c r="D691" s="18">
        <v>16928.169999999998</v>
      </c>
    </row>
    <row r="692" spans="1:4">
      <c r="A692" s="18" t="s">
        <v>27</v>
      </c>
      <c r="B692" s="18" t="s">
        <v>85</v>
      </c>
      <c r="C692" s="19">
        <v>45343</v>
      </c>
      <c r="D692" s="18">
        <v>18987.46</v>
      </c>
    </row>
    <row r="693" spans="1:4">
      <c r="A693" s="18" t="s">
        <v>27</v>
      </c>
      <c r="B693" s="18" t="s">
        <v>85</v>
      </c>
      <c r="C693" s="19">
        <v>45364</v>
      </c>
      <c r="D693" s="18">
        <v>15589.56</v>
      </c>
    </row>
    <row r="694" spans="1:4">
      <c r="A694" s="18" t="s">
        <v>27</v>
      </c>
      <c r="B694" s="18" t="s">
        <v>85</v>
      </c>
      <c r="C694" s="19">
        <v>45639</v>
      </c>
      <c r="D694" s="18">
        <v>17127.009999999998</v>
      </c>
    </row>
    <row r="695" spans="1:4">
      <c r="A695" s="18" t="s">
        <v>27</v>
      </c>
      <c r="B695" s="18" t="s">
        <v>85</v>
      </c>
      <c r="C695" s="19">
        <v>45595</v>
      </c>
      <c r="D695" s="18">
        <v>14730.79</v>
      </c>
    </row>
    <row r="696" spans="1:4">
      <c r="A696" s="18" t="s">
        <v>27</v>
      </c>
      <c r="B696" s="18" t="s">
        <v>85</v>
      </c>
      <c r="C696" s="19">
        <v>45460</v>
      </c>
      <c r="D696" s="18">
        <v>19320.349999999999</v>
      </c>
    </row>
    <row r="697" spans="1:4">
      <c r="A697" s="18" t="s">
        <v>27</v>
      </c>
      <c r="B697" s="18" t="s">
        <v>85</v>
      </c>
      <c r="C697" s="19">
        <v>45494</v>
      </c>
      <c r="D697" s="18">
        <v>20402.82</v>
      </c>
    </row>
    <row r="698" spans="1:4">
      <c r="A698" s="18" t="s">
        <v>25</v>
      </c>
      <c r="B698" s="18" t="s">
        <v>86</v>
      </c>
      <c r="C698" s="19">
        <v>45416</v>
      </c>
      <c r="D698" s="18">
        <v>14879.53</v>
      </c>
    </row>
    <row r="699" spans="1:4">
      <c r="A699" s="18" t="s">
        <v>25</v>
      </c>
      <c r="B699" s="18" t="s">
        <v>86</v>
      </c>
      <c r="C699" s="19">
        <v>45532</v>
      </c>
      <c r="D699" s="18">
        <v>10707.67</v>
      </c>
    </row>
    <row r="700" spans="1:4">
      <c r="A700" s="18" t="s">
        <v>25</v>
      </c>
      <c r="B700" s="18" t="s">
        <v>86</v>
      </c>
      <c r="C700" s="19">
        <v>45522</v>
      </c>
      <c r="D700" s="18">
        <v>12956.85</v>
      </c>
    </row>
    <row r="701" spans="1:4">
      <c r="A701" s="18" t="s">
        <v>25</v>
      </c>
      <c r="B701" s="18" t="s">
        <v>86</v>
      </c>
      <c r="C701" s="19">
        <v>45609</v>
      </c>
      <c r="D701" s="18">
        <v>17521.93</v>
      </c>
    </row>
    <row r="702" spans="1:4">
      <c r="A702" s="18" t="s">
        <v>25</v>
      </c>
      <c r="B702" s="18" t="s">
        <v>86</v>
      </c>
      <c r="C702" s="19">
        <v>45297</v>
      </c>
      <c r="D702" s="18">
        <v>13042.13</v>
      </c>
    </row>
    <row r="703" spans="1:4">
      <c r="A703" s="18" t="s">
        <v>25</v>
      </c>
      <c r="B703" s="18" t="s">
        <v>86</v>
      </c>
      <c r="C703" s="19">
        <v>45524</v>
      </c>
      <c r="D703" s="18">
        <v>13661.45</v>
      </c>
    </row>
    <row r="704" spans="1:4">
      <c r="A704" s="18" t="s">
        <v>25</v>
      </c>
      <c r="B704" s="18" t="s">
        <v>86</v>
      </c>
      <c r="C704" s="19">
        <v>45565</v>
      </c>
      <c r="D704" s="18">
        <v>9331.3799999999992</v>
      </c>
    </row>
    <row r="705" spans="1:4">
      <c r="A705" s="18" t="s">
        <v>25</v>
      </c>
      <c r="B705" s="18" t="s">
        <v>86</v>
      </c>
      <c r="C705" s="19">
        <v>45390</v>
      </c>
      <c r="D705" s="18">
        <v>13643.08</v>
      </c>
    </row>
    <row r="706" spans="1:4">
      <c r="A706" s="18" t="s">
        <v>25</v>
      </c>
      <c r="B706" s="18" t="s">
        <v>86</v>
      </c>
      <c r="C706" s="19">
        <v>45601</v>
      </c>
      <c r="D706" s="18">
        <v>10248.290000000001</v>
      </c>
    </row>
    <row r="707" spans="1:4">
      <c r="A707" s="18" t="s">
        <v>25</v>
      </c>
      <c r="B707" s="18" t="s">
        <v>86</v>
      </c>
      <c r="C707" s="19">
        <v>45530</v>
      </c>
      <c r="D707" s="18">
        <v>17281.240000000002</v>
      </c>
    </row>
    <row r="708" spans="1:4">
      <c r="A708" s="18" t="s">
        <v>25</v>
      </c>
      <c r="B708" s="18" t="s">
        <v>86</v>
      </c>
      <c r="C708" s="19">
        <v>45588</v>
      </c>
      <c r="D708" s="18">
        <v>17357.400000000001</v>
      </c>
    </row>
    <row r="709" spans="1:4">
      <c r="A709" s="18" t="s">
        <v>25</v>
      </c>
      <c r="B709" s="18" t="s">
        <v>86</v>
      </c>
      <c r="C709" s="19">
        <v>45483</v>
      </c>
      <c r="D709" s="18">
        <v>12099.07</v>
      </c>
    </row>
    <row r="710" spans="1:4">
      <c r="A710" s="18" t="s">
        <v>29</v>
      </c>
      <c r="B710" s="18" t="s">
        <v>87</v>
      </c>
      <c r="C710" s="19">
        <v>45654</v>
      </c>
      <c r="D710" s="18">
        <v>14856.87</v>
      </c>
    </row>
    <row r="711" spans="1:4">
      <c r="A711" s="18" t="s">
        <v>29</v>
      </c>
      <c r="B711" s="18" t="s">
        <v>87</v>
      </c>
      <c r="C711" s="19">
        <v>45557</v>
      </c>
      <c r="D711" s="18">
        <v>11524.91</v>
      </c>
    </row>
    <row r="712" spans="1:4">
      <c r="A712" s="18" t="s">
        <v>29</v>
      </c>
      <c r="B712" s="18" t="s">
        <v>87</v>
      </c>
      <c r="C712" s="19">
        <v>45494</v>
      </c>
      <c r="D712" s="18">
        <v>17632.09</v>
      </c>
    </row>
    <row r="713" spans="1:4">
      <c r="A713" s="18" t="s">
        <v>29</v>
      </c>
      <c r="B713" s="18" t="s">
        <v>87</v>
      </c>
      <c r="C713" s="19">
        <v>45394</v>
      </c>
      <c r="D713" s="18">
        <v>14337.11</v>
      </c>
    </row>
    <row r="714" spans="1:4">
      <c r="A714" s="18" t="s">
        <v>29</v>
      </c>
      <c r="B714" s="18" t="s">
        <v>87</v>
      </c>
      <c r="C714" s="19">
        <v>45298</v>
      </c>
      <c r="D714" s="18">
        <v>15080.66</v>
      </c>
    </row>
    <row r="715" spans="1:4">
      <c r="A715" s="18" t="s">
        <v>29</v>
      </c>
      <c r="B715" s="18" t="s">
        <v>87</v>
      </c>
      <c r="C715" s="19">
        <v>45329</v>
      </c>
      <c r="D715" s="18">
        <v>15625.15</v>
      </c>
    </row>
    <row r="716" spans="1:4">
      <c r="A716" s="18" t="s">
        <v>29</v>
      </c>
      <c r="B716" s="18" t="s">
        <v>87</v>
      </c>
      <c r="C716" s="19">
        <v>45563</v>
      </c>
      <c r="D716" s="18">
        <v>8874.7999999999993</v>
      </c>
    </row>
    <row r="717" spans="1:4">
      <c r="A717" s="18" t="s">
        <v>29</v>
      </c>
      <c r="B717" s="18" t="s">
        <v>87</v>
      </c>
      <c r="C717" s="19">
        <v>45584</v>
      </c>
      <c r="D717" s="18">
        <v>14258.47</v>
      </c>
    </row>
    <row r="718" spans="1:4">
      <c r="A718" s="18" t="s">
        <v>29</v>
      </c>
      <c r="B718" s="18" t="s">
        <v>87</v>
      </c>
      <c r="C718" s="19">
        <v>45499</v>
      </c>
      <c r="D718" s="18">
        <v>12954.05</v>
      </c>
    </row>
    <row r="719" spans="1:4">
      <c r="A719" s="18" t="s">
        <v>29</v>
      </c>
      <c r="B719" s="18" t="s">
        <v>87</v>
      </c>
      <c r="C719" s="19">
        <v>45329</v>
      </c>
      <c r="D719" s="18">
        <v>11995.14</v>
      </c>
    </row>
    <row r="720" spans="1:4">
      <c r="A720" s="18" t="s">
        <v>29</v>
      </c>
      <c r="B720" s="18" t="s">
        <v>87</v>
      </c>
      <c r="C720" s="19">
        <v>45505</v>
      </c>
      <c r="D720" s="18">
        <v>20393.060000000001</v>
      </c>
    </row>
    <row r="721" spans="1:4">
      <c r="A721" s="18" t="s">
        <v>29</v>
      </c>
      <c r="B721" s="18" t="s">
        <v>87</v>
      </c>
      <c r="C721" s="19">
        <v>45496</v>
      </c>
      <c r="D721" s="18">
        <v>13286.46</v>
      </c>
    </row>
    <row r="722" spans="1:4">
      <c r="A722" s="18" t="s">
        <v>25</v>
      </c>
      <c r="B722" s="18" t="s">
        <v>88</v>
      </c>
      <c r="C722" s="19">
        <v>45591</v>
      </c>
      <c r="D722" s="18">
        <v>16717.75</v>
      </c>
    </row>
    <row r="723" spans="1:4">
      <c r="A723" s="18" t="s">
        <v>25</v>
      </c>
      <c r="B723" s="18" t="s">
        <v>88</v>
      </c>
      <c r="C723" s="19">
        <v>45559</v>
      </c>
      <c r="D723" s="18">
        <v>19198.07</v>
      </c>
    </row>
    <row r="724" spans="1:4">
      <c r="A724" s="18" t="s">
        <v>25</v>
      </c>
      <c r="B724" s="18" t="s">
        <v>88</v>
      </c>
      <c r="C724" s="19">
        <v>45312</v>
      </c>
      <c r="D724" s="18">
        <v>17773.900000000001</v>
      </c>
    </row>
    <row r="725" spans="1:4">
      <c r="A725" s="18" t="s">
        <v>25</v>
      </c>
      <c r="B725" s="18" t="s">
        <v>88</v>
      </c>
      <c r="C725" s="19">
        <v>45614</v>
      </c>
      <c r="D725" s="18">
        <v>15178.89</v>
      </c>
    </row>
    <row r="726" spans="1:4">
      <c r="A726" s="18" t="s">
        <v>25</v>
      </c>
      <c r="B726" s="18" t="s">
        <v>88</v>
      </c>
      <c r="C726" s="19">
        <v>45468</v>
      </c>
      <c r="D726" s="18">
        <v>13059.19</v>
      </c>
    </row>
    <row r="727" spans="1:4">
      <c r="A727" s="18" t="s">
        <v>25</v>
      </c>
      <c r="B727" s="18" t="s">
        <v>88</v>
      </c>
      <c r="C727" s="19">
        <v>45504</v>
      </c>
      <c r="D727" s="18">
        <v>16180.46</v>
      </c>
    </row>
    <row r="728" spans="1:4">
      <c r="A728" s="18" t="s">
        <v>25</v>
      </c>
      <c r="B728" s="18" t="s">
        <v>88</v>
      </c>
      <c r="C728" s="19">
        <v>45578</v>
      </c>
      <c r="D728" s="18">
        <v>17685.580000000002</v>
      </c>
    </row>
    <row r="729" spans="1:4">
      <c r="A729" s="18" t="s">
        <v>25</v>
      </c>
      <c r="B729" s="18" t="s">
        <v>88</v>
      </c>
      <c r="C729" s="19">
        <v>45300</v>
      </c>
      <c r="D729" s="18">
        <v>16905.52</v>
      </c>
    </row>
    <row r="730" spans="1:4">
      <c r="A730" s="18" t="s">
        <v>25</v>
      </c>
      <c r="B730" s="18" t="s">
        <v>88</v>
      </c>
      <c r="C730" s="19">
        <v>45429</v>
      </c>
      <c r="D730" s="18">
        <v>18148.66</v>
      </c>
    </row>
    <row r="731" spans="1:4">
      <c r="A731" s="18" t="s">
        <v>25</v>
      </c>
      <c r="B731" s="18" t="s">
        <v>88</v>
      </c>
      <c r="C731" s="19">
        <v>45472</v>
      </c>
      <c r="D731" s="18">
        <v>13394.29</v>
      </c>
    </row>
    <row r="732" spans="1:4">
      <c r="A732" s="18" t="s">
        <v>25</v>
      </c>
      <c r="B732" s="18" t="s">
        <v>88</v>
      </c>
      <c r="C732" s="19">
        <v>45318</v>
      </c>
      <c r="D732" s="18">
        <v>18952.18</v>
      </c>
    </row>
    <row r="733" spans="1:4">
      <c r="A733" s="18" t="s">
        <v>25</v>
      </c>
      <c r="B733" s="18" t="s">
        <v>88</v>
      </c>
      <c r="C733" s="19">
        <v>45473</v>
      </c>
      <c r="D733" s="18">
        <v>15592.8</v>
      </c>
    </row>
    <row r="734" spans="1:4">
      <c r="A734" s="18" t="s">
        <v>29</v>
      </c>
      <c r="B734" s="18" t="s">
        <v>89</v>
      </c>
      <c r="C734" s="19">
        <v>45488</v>
      </c>
      <c r="D734" s="18">
        <v>21225.78</v>
      </c>
    </row>
    <row r="735" spans="1:4">
      <c r="A735" s="18" t="s">
        <v>29</v>
      </c>
      <c r="B735" s="18" t="s">
        <v>89</v>
      </c>
      <c r="C735" s="19">
        <v>45511</v>
      </c>
      <c r="D735" s="18">
        <v>12932.44</v>
      </c>
    </row>
    <row r="736" spans="1:4">
      <c r="A736" s="18" t="s">
        <v>29</v>
      </c>
      <c r="B736" s="18" t="s">
        <v>89</v>
      </c>
      <c r="C736" s="19">
        <v>45552</v>
      </c>
      <c r="D736" s="18">
        <v>20207.89</v>
      </c>
    </row>
    <row r="737" spans="1:4">
      <c r="A737" s="18" t="s">
        <v>29</v>
      </c>
      <c r="B737" s="18" t="s">
        <v>89</v>
      </c>
      <c r="C737" s="19">
        <v>45603</v>
      </c>
      <c r="D737" s="18">
        <v>15593.73</v>
      </c>
    </row>
    <row r="738" spans="1:4">
      <c r="A738" s="18" t="s">
        <v>29</v>
      </c>
      <c r="B738" s="18" t="s">
        <v>89</v>
      </c>
      <c r="C738" s="19">
        <v>45363</v>
      </c>
      <c r="D738" s="18">
        <v>13548.34</v>
      </c>
    </row>
    <row r="739" spans="1:4">
      <c r="A739" s="18" t="s">
        <v>29</v>
      </c>
      <c r="B739" s="18" t="s">
        <v>89</v>
      </c>
      <c r="C739" s="19">
        <v>45613</v>
      </c>
      <c r="D739" s="18">
        <v>14038.96</v>
      </c>
    </row>
    <row r="740" spans="1:4">
      <c r="A740" s="18" t="s">
        <v>29</v>
      </c>
      <c r="B740" s="18" t="s">
        <v>89</v>
      </c>
      <c r="C740" s="19">
        <v>45549</v>
      </c>
      <c r="D740" s="18">
        <v>16272.5</v>
      </c>
    </row>
    <row r="741" spans="1:4">
      <c r="A741" s="18" t="s">
        <v>29</v>
      </c>
      <c r="B741" s="18" t="s">
        <v>89</v>
      </c>
      <c r="C741" s="19">
        <v>45359</v>
      </c>
      <c r="D741" s="18">
        <v>16568.509999999998</v>
      </c>
    </row>
    <row r="742" spans="1:4">
      <c r="A742" s="18" t="s">
        <v>29</v>
      </c>
      <c r="B742" s="18" t="s">
        <v>89</v>
      </c>
      <c r="C742" s="19">
        <v>45448</v>
      </c>
      <c r="D742" s="18">
        <v>14926.94</v>
      </c>
    </row>
    <row r="743" spans="1:4">
      <c r="A743" s="18" t="s">
        <v>29</v>
      </c>
      <c r="B743" s="18" t="s">
        <v>89</v>
      </c>
      <c r="C743" s="19">
        <v>45396</v>
      </c>
      <c r="D743" s="18">
        <v>20182.63</v>
      </c>
    </row>
    <row r="744" spans="1:4">
      <c r="A744" s="18" t="s">
        <v>29</v>
      </c>
      <c r="B744" s="18" t="s">
        <v>89</v>
      </c>
      <c r="C744" s="19">
        <v>45433</v>
      </c>
      <c r="D744" s="18">
        <v>16308.97</v>
      </c>
    </row>
    <row r="745" spans="1:4">
      <c r="A745" s="18" t="s">
        <v>29</v>
      </c>
      <c r="B745" s="18" t="s">
        <v>89</v>
      </c>
      <c r="C745" s="19">
        <v>45435</v>
      </c>
      <c r="D745" s="18">
        <v>15114.01</v>
      </c>
    </row>
    <row r="746" spans="1:4">
      <c r="A746" s="18" t="s">
        <v>29</v>
      </c>
      <c r="B746" s="18" t="s">
        <v>90</v>
      </c>
      <c r="C746" s="19">
        <v>45637</v>
      </c>
      <c r="D746" s="18">
        <v>15360.09</v>
      </c>
    </row>
    <row r="747" spans="1:4">
      <c r="A747" s="18" t="s">
        <v>29</v>
      </c>
      <c r="B747" s="18" t="s">
        <v>90</v>
      </c>
      <c r="C747" s="19">
        <v>45594</v>
      </c>
      <c r="D747" s="18">
        <v>16840.55</v>
      </c>
    </row>
    <row r="748" spans="1:4">
      <c r="A748" s="18" t="s">
        <v>29</v>
      </c>
      <c r="B748" s="18" t="s">
        <v>90</v>
      </c>
      <c r="C748" s="19">
        <v>45481</v>
      </c>
      <c r="D748" s="18">
        <v>11931.62</v>
      </c>
    </row>
    <row r="749" spans="1:4">
      <c r="A749" s="18" t="s">
        <v>29</v>
      </c>
      <c r="B749" s="18" t="s">
        <v>90</v>
      </c>
      <c r="C749" s="19">
        <v>45595</v>
      </c>
      <c r="D749" s="18">
        <v>14227.87</v>
      </c>
    </row>
    <row r="750" spans="1:4">
      <c r="A750" s="18" t="s">
        <v>29</v>
      </c>
      <c r="B750" s="18" t="s">
        <v>90</v>
      </c>
      <c r="C750" s="19">
        <v>45399</v>
      </c>
      <c r="D750" s="18">
        <v>9994.25</v>
      </c>
    </row>
    <row r="751" spans="1:4">
      <c r="A751" s="18" t="s">
        <v>29</v>
      </c>
      <c r="B751" s="18" t="s">
        <v>90</v>
      </c>
      <c r="C751" s="19">
        <v>45553</v>
      </c>
      <c r="D751" s="18">
        <v>16197.67</v>
      </c>
    </row>
    <row r="752" spans="1:4">
      <c r="A752" s="18" t="s">
        <v>29</v>
      </c>
      <c r="B752" s="18" t="s">
        <v>90</v>
      </c>
      <c r="C752" s="19">
        <v>45586</v>
      </c>
      <c r="D752" s="18">
        <v>16941.59</v>
      </c>
    </row>
    <row r="753" spans="1:4">
      <c r="A753" s="18" t="s">
        <v>29</v>
      </c>
      <c r="B753" s="18" t="s">
        <v>90</v>
      </c>
      <c r="C753" s="19">
        <v>45303</v>
      </c>
      <c r="D753" s="18">
        <v>13550.44</v>
      </c>
    </row>
    <row r="754" spans="1:4">
      <c r="A754" s="18" t="s">
        <v>29</v>
      </c>
      <c r="B754" s="18" t="s">
        <v>90</v>
      </c>
      <c r="C754" s="19">
        <v>45589</v>
      </c>
      <c r="D754" s="18">
        <v>19721.96</v>
      </c>
    </row>
    <row r="755" spans="1:4">
      <c r="A755" s="18" t="s">
        <v>29</v>
      </c>
      <c r="B755" s="18" t="s">
        <v>90</v>
      </c>
      <c r="C755" s="19">
        <v>45337</v>
      </c>
      <c r="D755" s="18">
        <v>10606.88</v>
      </c>
    </row>
    <row r="756" spans="1:4">
      <c r="A756" s="18" t="s">
        <v>29</v>
      </c>
      <c r="B756" s="18" t="s">
        <v>90</v>
      </c>
      <c r="C756" s="19">
        <v>45613</v>
      </c>
      <c r="D756" s="18">
        <v>15673.36</v>
      </c>
    </row>
    <row r="757" spans="1:4">
      <c r="A757" s="18" t="s">
        <v>29</v>
      </c>
      <c r="B757" s="18" t="s">
        <v>90</v>
      </c>
      <c r="C757" s="19">
        <v>45521</v>
      </c>
      <c r="D757" s="18">
        <v>18141.29</v>
      </c>
    </row>
    <row r="758" spans="1:4">
      <c r="A758" s="18" t="s">
        <v>29</v>
      </c>
      <c r="B758" s="18" t="s">
        <v>91</v>
      </c>
      <c r="C758" s="19">
        <v>45401</v>
      </c>
      <c r="D758" s="18">
        <v>20051.78</v>
      </c>
    </row>
    <row r="759" spans="1:4">
      <c r="A759" s="18" t="s">
        <v>29</v>
      </c>
      <c r="B759" s="18" t="s">
        <v>91</v>
      </c>
      <c r="C759" s="19">
        <v>45487</v>
      </c>
      <c r="D759" s="18">
        <v>13623.35</v>
      </c>
    </row>
    <row r="760" spans="1:4">
      <c r="A760" s="18" t="s">
        <v>29</v>
      </c>
      <c r="B760" s="18" t="s">
        <v>91</v>
      </c>
      <c r="C760" s="19">
        <v>45498</v>
      </c>
      <c r="D760" s="18">
        <v>14884.47</v>
      </c>
    </row>
    <row r="761" spans="1:4">
      <c r="A761" s="18" t="s">
        <v>29</v>
      </c>
      <c r="B761" s="18" t="s">
        <v>91</v>
      </c>
      <c r="C761" s="19">
        <v>45320</v>
      </c>
      <c r="D761" s="18">
        <v>14482.12</v>
      </c>
    </row>
    <row r="762" spans="1:4">
      <c r="A762" s="18" t="s">
        <v>29</v>
      </c>
      <c r="B762" s="18" t="s">
        <v>91</v>
      </c>
      <c r="C762" s="19">
        <v>45620</v>
      </c>
      <c r="D762" s="18">
        <v>17650.98</v>
      </c>
    </row>
    <row r="763" spans="1:4">
      <c r="A763" s="18" t="s">
        <v>29</v>
      </c>
      <c r="B763" s="18" t="s">
        <v>91</v>
      </c>
      <c r="C763" s="19">
        <v>45500</v>
      </c>
      <c r="D763" s="18">
        <v>16956.97</v>
      </c>
    </row>
    <row r="764" spans="1:4">
      <c r="A764" s="18" t="s">
        <v>29</v>
      </c>
      <c r="B764" s="18" t="s">
        <v>91</v>
      </c>
      <c r="C764" s="19">
        <v>45476</v>
      </c>
      <c r="D764" s="18">
        <v>19429.62</v>
      </c>
    </row>
    <row r="765" spans="1:4">
      <c r="A765" s="18" t="s">
        <v>29</v>
      </c>
      <c r="B765" s="18" t="s">
        <v>91</v>
      </c>
      <c r="C765" s="19">
        <v>45516</v>
      </c>
      <c r="D765" s="18">
        <v>13123.31</v>
      </c>
    </row>
    <row r="766" spans="1:4">
      <c r="A766" s="18" t="s">
        <v>29</v>
      </c>
      <c r="B766" s="18" t="s">
        <v>91</v>
      </c>
      <c r="C766" s="19">
        <v>45441</v>
      </c>
      <c r="D766" s="18">
        <v>16187.41</v>
      </c>
    </row>
    <row r="767" spans="1:4">
      <c r="A767" s="18" t="s">
        <v>29</v>
      </c>
      <c r="B767" s="18" t="s">
        <v>91</v>
      </c>
      <c r="C767" s="19">
        <v>45310</v>
      </c>
      <c r="D767" s="18">
        <v>16482.09</v>
      </c>
    </row>
    <row r="768" spans="1:4">
      <c r="A768" s="18" t="s">
        <v>29</v>
      </c>
      <c r="B768" s="18" t="s">
        <v>91</v>
      </c>
      <c r="C768" s="19">
        <v>45545</v>
      </c>
      <c r="D768" s="18">
        <v>13349.08</v>
      </c>
    </row>
    <row r="769" spans="1:4">
      <c r="A769" s="18" t="s">
        <v>29</v>
      </c>
      <c r="B769" s="18" t="s">
        <v>91</v>
      </c>
      <c r="C769" s="19">
        <v>45565</v>
      </c>
      <c r="D769" s="18">
        <v>12985.13</v>
      </c>
    </row>
    <row r="770" spans="1:4">
      <c r="A770" s="18" t="s">
        <v>27</v>
      </c>
      <c r="B770" s="18" t="s">
        <v>92</v>
      </c>
      <c r="C770" s="19">
        <v>45627</v>
      </c>
      <c r="D770" s="18">
        <v>14923.34</v>
      </c>
    </row>
    <row r="771" spans="1:4">
      <c r="A771" s="18" t="s">
        <v>27</v>
      </c>
      <c r="B771" s="18" t="s">
        <v>92</v>
      </c>
      <c r="C771" s="19">
        <v>45496</v>
      </c>
      <c r="D771" s="18">
        <v>16630.8</v>
      </c>
    </row>
    <row r="772" spans="1:4">
      <c r="A772" s="18" t="s">
        <v>27</v>
      </c>
      <c r="B772" s="18" t="s">
        <v>92</v>
      </c>
      <c r="C772" s="19">
        <v>45578</v>
      </c>
      <c r="D772" s="18">
        <v>13888.16</v>
      </c>
    </row>
    <row r="773" spans="1:4">
      <c r="A773" s="18" t="s">
        <v>27</v>
      </c>
      <c r="B773" s="18" t="s">
        <v>92</v>
      </c>
      <c r="C773" s="19">
        <v>45526</v>
      </c>
      <c r="D773" s="18">
        <v>17315.099999999999</v>
      </c>
    </row>
    <row r="774" spans="1:4">
      <c r="A774" s="18" t="s">
        <v>27</v>
      </c>
      <c r="B774" s="18" t="s">
        <v>92</v>
      </c>
      <c r="C774" s="19">
        <v>45404</v>
      </c>
      <c r="D774" s="18">
        <v>6454.37</v>
      </c>
    </row>
    <row r="775" spans="1:4">
      <c r="A775" s="18" t="s">
        <v>27</v>
      </c>
      <c r="B775" s="18" t="s">
        <v>92</v>
      </c>
      <c r="C775" s="19">
        <v>45438</v>
      </c>
      <c r="D775" s="18">
        <v>9780.86</v>
      </c>
    </row>
    <row r="776" spans="1:4">
      <c r="A776" s="18" t="s">
        <v>27</v>
      </c>
      <c r="B776" s="18" t="s">
        <v>92</v>
      </c>
      <c r="C776" s="19">
        <v>45400</v>
      </c>
      <c r="D776" s="18">
        <v>13912.68</v>
      </c>
    </row>
    <row r="777" spans="1:4">
      <c r="A777" s="18" t="s">
        <v>27</v>
      </c>
      <c r="B777" s="18" t="s">
        <v>92</v>
      </c>
      <c r="C777" s="19">
        <v>45525</v>
      </c>
      <c r="D777" s="18">
        <v>11115.96</v>
      </c>
    </row>
    <row r="778" spans="1:4">
      <c r="A778" s="18" t="s">
        <v>27</v>
      </c>
      <c r="B778" s="18" t="s">
        <v>92</v>
      </c>
      <c r="C778" s="19">
        <v>45416</v>
      </c>
      <c r="D778" s="18">
        <v>18482.48</v>
      </c>
    </row>
    <row r="779" spans="1:4">
      <c r="A779" s="18" t="s">
        <v>27</v>
      </c>
      <c r="B779" s="18" t="s">
        <v>92</v>
      </c>
      <c r="C779" s="19">
        <v>45520</v>
      </c>
      <c r="D779" s="18">
        <v>16039.51</v>
      </c>
    </row>
    <row r="780" spans="1:4">
      <c r="A780" s="18" t="s">
        <v>27</v>
      </c>
      <c r="B780" s="18" t="s">
        <v>92</v>
      </c>
      <c r="C780" s="19">
        <v>45508</v>
      </c>
      <c r="D780" s="18">
        <v>16431.12</v>
      </c>
    </row>
    <row r="781" spans="1:4">
      <c r="A781" s="18" t="s">
        <v>27</v>
      </c>
      <c r="B781" s="18" t="s">
        <v>92</v>
      </c>
      <c r="C781" s="19">
        <v>45595</v>
      </c>
      <c r="D781" s="18">
        <v>11151.02</v>
      </c>
    </row>
    <row r="782" spans="1:4">
      <c r="A782" s="18" t="s">
        <v>25</v>
      </c>
      <c r="B782" s="18" t="s">
        <v>93</v>
      </c>
      <c r="C782" s="19">
        <v>45650</v>
      </c>
      <c r="D782" s="18">
        <v>17988.8</v>
      </c>
    </row>
    <row r="783" spans="1:4">
      <c r="A783" s="18" t="s">
        <v>25</v>
      </c>
      <c r="B783" s="18" t="s">
        <v>93</v>
      </c>
      <c r="C783" s="19">
        <v>45593</v>
      </c>
      <c r="D783" s="18">
        <v>13518.73</v>
      </c>
    </row>
    <row r="784" spans="1:4">
      <c r="A784" s="18" t="s">
        <v>25</v>
      </c>
      <c r="B784" s="18" t="s">
        <v>93</v>
      </c>
      <c r="C784" s="19">
        <v>45345</v>
      </c>
      <c r="D784" s="18">
        <v>10330.25</v>
      </c>
    </row>
    <row r="785" spans="1:4">
      <c r="A785" s="18" t="s">
        <v>25</v>
      </c>
      <c r="B785" s="18" t="s">
        <v>93</v>
      </c>
      <c r="C785" s="19">
        <v>45342</v>
      </c>
      <c r="D785" s="18">
        <v>13715.65</v>
      </c>
    </row>
    <row r="786" spans="1:4">
      <c r="A786" s="18" t="s">
        <v>25</v>
      </c>
      <c r="B786" s="18" t="s">
        <v>93</v>
      </c>
      <c r="C786" s="19">
        <v>45388</v>
      </c>
      <c r="D786" s="18">
        <v>17550.669999999998</v>
      </c>
    </row>
    <row r="787" spans="1:4">
      <c r="A787" s="18" t="s">
        <v>25</v>
      </c>
      <c r="B787" s="18" t="s">
        <v>93</v>
      </c>
      <c r="C787" s="19">
        <v>45589</v>
      </c>
      <c r="D787" s="18">
        <v>13952.23</v>
      </c>
    </row>
    <row r="788" spans="1:4">
      <c r="A788" s="18" t="s">
        <v>25</v>
      </c>
      <c r="B788" s="18" t="s">
        <v>93</v>
      </c>
      <c r="C788" s="19">
        <v>45457</v>
      </c>
      <c r="D788" s="18">
        <v>14035.09</v>
      </c>
    </row>
    <row r="789" spans="1:4">
      <c r="A789" s="18" t="s">
        <v>25</v>
      </c>
      <c r="B789" s="18" t="s">
        <v>93</v>
      </c>
      <c r="C789" s="19">
        <v>45506</v>
      </c>
      <c r="D789" s="18">
        <v>21230.240000000002</v>
      </c>
    </row>
    <row r="790" spans="1:4">
      <c r="A790" s="18" t="s">
        <v>25</v>
      </c>
      <c r="B790" s="18" t="s">
        <v>93</v>
      </c>
      <c r="C790" s="19">
        <v>45656</v>
      </c>
      <c r="D790" s="18">
        <v>16145.81</v>
      </c>
    </row>
    <row r="791" spans="1:4">
      <c r="A791" s="18" t="s">
        <v>25</v>
      </c>
      <c r="B791" s="18" t="s">
        <v>93</v>
      </c>
      <c r="C791" s="19">
        <v>45378</v>
      </c>
      <c r="D791" s="18">
        <v>18090.849999999999</v>
      </c>
    </row>
    <row r="792" spans="1:4">
      <c r="A792" s="18" t="s">
        <v>25</v>
      </c>
      <c r="B792" s="18" t="s">
        <v>93</v>
      </c>
      <c r="C792" s="19">
        <v>45473</v>
      </c>
      <c r="D792" s="18">
        <v>14222.87</v>
      </c>
    </row>
    <row r="793" spans="1:4">
      <c r="A793" s="18" t="s">
        <v>25</v>
      </c>
      <c r="B793" s="18" t="s">
        <v>93</v>
      </c>
      <c r="C793" s="19">
        <v>45427</v>
      </c>
      <c r="D793" s="18">
        <v>14410.95</v>
      </c>
    </row>
    <row r="794" spans="1:4">
      <c r="A794" s="18" t="s">
        <v>29</v>
      </c>
      <c r="B794" s="18" t="s">
        <v>94</v>
      </c>
      <c r="C794" s="19">
        <v>45345</v>
      </c>
      <c r="D794" s="18">
        <v>14888.33</v>
      </c>
    </row>
    <row r="795" spans="1:4">
      <c r="A795" s="18" t="s">
        <v>29</v>
      </c>
      <c r="B795" s="18" t="s">
        <v>94</v>
      </c>
      <c r="C795" s="19">
        <v>45419</v>
      </c>
      <c r="D795" s="18">
        <v>17182.89</v>
      </c>
    </row>
    <row r="796" spans="1:4">
      <c r="A796" s="18" t="s">
        <v>29</v>
      </c>
      <c r="B796" s="18" t="s">
        <v>94</v>
      </c>
      <c r="C796" s="19">
        <v>45435</v>
      </c>
      <c r="D796" s="18">
        <v>15155.84</v>
      </c>
    </row>
    <row r="797" spans="1:4">
      <c r="A797" s="18" t="s">
        <v>29</v>
      </c>
      <c r="B797" s="18" t="s">
        <v>94</v>
      </c>
      <c r="C797" s="19">
        <v>45635</v>
      </c>
      <c r="D797" s="18">
        <v>17197.919999999998</v>
      </c>
    </row>
    <row r="798" spans="1:4">
      <c r="A798" s="18" t="s">
        <v>29</v>
      </c>
      <c r="B798" s="18" t="s">
        <v>94</v>
      </c>
      <c r="C798" s="19">
        <v>45351</v>
      </c>
      <c r="D798" s="18">
        <v>15235.91</v>
      </c>
    </row>
    <row r="799" spans="1:4">
      <c r="A799" s="18" t="s">
        <v>29</v>
      </c>
      <c r="B799" s="18" t="s">
        <v>94</v>
      </c>
      <c r="C799" s="19">
        <v>45300</v>
      </c>
      <c r="D799" s="18">
        <v>17748.98</v>
      </c>
    </row>
    <row r="800" spans="1:4">
      <c r="A800" s="18" t="s">
        <v>29</v>
      </c>
      <c r="B800" s="18" t="s">
        <v>94</v>
      </c>
      <c r="C800" s="19">
        <v>45632</v>
      </c>
      <c r="D800" s="18">
        <v>17994.03</v>
      </c>
    </row>
    <row r="801" spans="1:4">
      <c r="A801" s="18" t="s">
        <v>29</v>
      </c>
      <c r="B801" s="18" t="s">
        <v>94</v>
      </c>
      <c r="C801" s="19">
        <v>45342</v>
      </c>
      <c r="D801" s="18">
        <v>6311.23</v>
      </c>
    </row>
    <row r="802" spans="1:4">
      <c r="A802" s="18" t="s">
        <v>29</v>
      </c>
      <c r="B802" s="18" t="s">
        <v>94</v>
      </c>
      <c r="C802" s="19">
        <v>45409</v>
      </c>
      <c r="D802" s="18">
        <v>21265.119999999999</v>
      </c>
    </row>
    <row r="803" spans="1:4">
      <c r="A803" s="18" t="s">
        <v>29</v>
      </c>
      <c r="B803" s="18" t="s">
        <v>94</v>
      </c>
      <c r="C803" s="19">
        <v>45476</v>
      </c>
      <c r="D803" s="18">
        <v>14581.23</v>
      </c>
    </row>
    <row r="804" spans="1:4">
      <c r="A804" s="18" t="s">
        <v>29</v>
      </c>
      <c r="B804" s="18" t="s">
        <v>94</v>
      </c>
      <c r="C804" s="19">
        <v>45405</v>
      </c>
      <c r="D804" s="18">
        <v>18324.55</v>
      </c>
    </row>
    <row r="805" spans="1:4">
      <c r="A805" s="18" t="s">
        <v>29</v>
      </c>
      <c r="B805" s="18" t="s">
        <v>94</v>
      </c>
      <c r="C805" s="19">
        <v>45481</v>
      </c>
      <c r="D805" s="18">
        <v>16838.32</v>
      </c>
    </row>
    <row r="806" spans="1:4">
      <c r="A806" s="18" t="s">
        <v>25</v>
      </c>
      <c r="B806" s="18" t="s">
        <v>95</v>
      </c>
      <c r="C806" s="19">
        <v>45339</v>
      </c>
      <c r="D806" s="18">
        <v>11839.75</v>
      </c>
    </row>
    <row r="807" spans="1:4">
      <c r="A807" s="18" t="s">
        <v>25</v>
      </c>
      <c r="B807" s="18" t="s">
        <v>95</v>
      </c>
      <c r="C807" s="19">
        <v>45450</v>
      </c>
      <c r="D807" s="18">
        <v>13128.69</v>
      </c>
    </row>
    <row r="808" spans="1:4">
      <c r="A808" s="18" t="s">
        <v>25</v>
      </c>
      <c r="B808" s="18" t="s">
        <v>95</v>
      </c>
      <c r="C808" s="19">
        <v>45486</v>
      </c>
      <c r="D808" s="18">
        <v>14427.95</v>
      </c>
    </row>
    <row r="809" spans="1:4">
      <c r="A809" s="18" t="s">
        <v>25</v>
      </c>
      <c r="B809" s="18" t="s">
        <v>95</v>
      </c>
      <c r="C809" s="19">
        <v>45544</v>
      </c>
      <c r="D809" s="18">
        <v>15652.3</v>
      </c>
    </row>
    <row r="810" spans="1:4">
      <c r="A810" s="18" t="s">
        <v>25</v>
      </c>
      <c r="B810" s="18" t="s">
        <v>95</v>
      </c>
      <c r="C810" s="19">
        <v>45321</v>
      </c>
      <c r="D810" s="18">
        <v>16487.05</v>
      </c>
    </row>
    <row r="811" spans="1:4">
      <c r="A811" s="18" t="s">
        <v>25</v>
      </c>
      <c r="B811" s="18" t="s">
        <v>95</v>
      </c>
      <c r="C811" s="19">
        <v>45586</v>
      </c>
      <c r="D811" s="18">
        <v>15451.26</v>
      </c>
    </row>
    <row r="812" spans="1:4">
      <c r="A812" s="18" t="s">
        <v>25</v>
      </c>
      <c r="B812" s="18" t="s">
        <v>95</v>
      </c>
      <c r="C812" s="19">
        <v>45406</v>
      </c>
      <c r="D812" s="18">
        <v>22210.25</v>
      </c>
    </row>
    <row r="813" spans="1:4">
      <c r="A813" s="18" t="s">
        <v>25</v>
      </c>
      <c r="B813" s="18" t="s">
        <v>95</v>
      </c>
      <c r="C813" s="19">
        <v>45656</v>
      </c>
      <c r="D813" s="18">
        <v>15603.3</v>
      </c>
    </row>
    <row r="814" spans="1:4">
      <c r="A814" s="18" t="s">
        <v>25</v>
      </c>
      <c r="B814" s="18" t="s">
        <v>95</v>
      </c>
      <c r="C814" s="19">
        <v>45643</v>
      </c>
      <c r="D814" s="18">
        <v>18151.96</v>
      </c>
    </row>
    <row r="815" spans="1:4">
      <c r="A815" s="18" t="s">
        <v>25</v>
      </c>
      <c r="B815" s="18" t="s">
        <v>95</v>
      </c>
      <c r="C815" s="19">
        <v>45418</v>
      </c>
      <c r="D815" s="18">
        <v>18316.580000000002</v>
      </c>
    </row>
    <row r="816" spans="1:4">
      <c r="A816" s="18" t="s">
        <v>25</v>
      </c>
      <c r="B816" s="18" t="s">
        <v>95</v>
      </c>
      <c r="C816" s="19">
        <v>45526</v>
      </c>
      <c r="D816" s="18">
        <v>18561.09</v>
      </c>
    </row>
    <row r="817" spans="1:4">
      <c r="A817" s="18" t="s">
        <v>25</v>
      </c>
      <c r="B817" s="18" t="s">
        <v>95</v>
      </c>
      <c r="C817" s="19">
        <v>45629</v>
      </c>
      <c r="D817" s="18">
        <v>16916.189999999999</v>
      </c>
    </row>
    <row r="818" spans="1:4">
      <c r="A818" s="18" t="s">
        <v>25</v>
      </c>
      <c r="B818" s="18" t="s">
        <v>96</v>
      </c>
      <c r="C818" s="19">
        <v>45576</v>
      </c>
      <c r="D818" s="18">
        <v>19900.29</v>
      </c>
    </row>
    <row r="819" spans="1:4">
      <c r="A819" s="18" t="s">
        <v>25</v>
      </c>
      <c r="B819" s="18" t="s">
        <v>96</v>
      </c>
      <c r="C819" s="19">
        <v>45641</v>
      </c>
      <c r="D819" s="18">
        <v>11560.96</v>
      </c>
    </row>
    <row r="820" spans="1:4">
      <c r="A820" s="18" t="s">
        <v>25</v>
      </c>
      <c r="B820" s="18" t="s">
        <v>96</v>
      </c>
      <c r="C820" s="19">
        <v>45510</v>
      </c>
      <c r="D820" s="18">
        <v>12737.17</v>
      </c>
    </row>
    <row r="821" spans="1:4">
      <c r="A821" s="18" t="s">
        <v>25</v>
      </c>
      <c r="B821" s="18" t="s">
        <v>96</v>
      </c>
      <c r="C821" s="19">
        <v>45572</v>
      </c>
      <c r="D821" s="18">
        <v>15986.29</v>
      </c>
    </row>
    <row r="822" spans="1:4">
      <c r="A822" s="18" t="s">
        <v>25</v>
      </c>
      <c r="B822" s="18" t="s">
        <v>96</v>
      </c>
      <c r="C822" s="19">
        <v>45499</v>
      </c>
      <c r="D822" s="18">
        <v>15964.07</v>
      </c>
    </row>
    <row r="823" spans="1:4">
      <c r="A823" s="18" t="s">
        <v>25</v>
      </c>
      <c r="B823" s="18" t="s">
        <v>96</v>
      </c>
      <c r="C823" s="19">
        <v>45379</v>
      </c>
      <c r="D823" s="18">
        <v>16265.76</v>
      </c>
    </row>
    <row r="824" spans="1:4">
      <c r="A824" s="18" t="s">
        <v>25</v>
      </c>
      <c r="B824" s="18" t="s">
        <v>96</v>
      </c>
      <c r="C824" s="19">
        <v>45482</v>
      </c>
      <c r="D824" s="18">
        <v>19841.13</v>
      </c>
    </row>
    <row r="825" spans="1:4">
      <c r="A825" s="18" t="s">
        <v>25</v>
      </c>
      <c r="B825" s="18" t="s">
        <v>96</v>
      </c>
      <c r="C825" s="19">
        <v>45631</v>
      </c>
      <c r="D825" s="18">
        <v>14267.53</v>
      </c>
    </row>
    <row r="826" spans="1:4">
      <c r="A826" s="18" t="s">
        <v>25</v>
      </c>
      <c r="B826" s="18" t="s">
        <v>96</v>
      </c>
      <c r="C826" s="19">
        <v>45578</v>
      </c>
      <c r="D826" s="18">
        <v>17892.259999999998</v>
      </c>
    </row>
    <row r="827" spans="1:4">
      <c r="A827" s="18" t="s">
        <v>25</v>
      </c>
      <c r="B827" s="18" t="s">
        <v>96</v>
      </c>
      <c r="C827" s="19">
        <v>45486</v>
      </c>
      <c r="D827" s="18">
        <v>18568.41</v>
      </c>
    </row>
    <row r="828" spans="1:4">
      <c r="A828" s="18" t="s">
        <v>25</v>
      </c>
      <c r="B828" s="18" t="s">
        <v>96</v>
      </c>
      <c r="C828" s="19">
        <v>45470</v>
      </c>
      <c r="D828" s="18">
        <v>11317.18</v>
      </c>
    </row>
    <row r="829" spans="1:4">
      <c r="A829" s="18" t="s">
        <v>25</v>
      </c>
      <c r="B829" s="18" t="s">
        <v>96</v>
      </c>
      <c r="C829" s="19">
        <v>45523</v>
      </c>
      <c r="D829" s="18">
        <v>16792.2</v>
      </c>
    </row>
    <row r="830" spans="1:4">
      <c r="A830" s="18" t="s">
        <v>29</v>
      </c>
      <c r="B830" s="18" t="s">
        <v>97</v>
      </c>
      <c r="C830" s="19">
        <v>45531</v>
      </c>
      <c r="D830" s="18">
        <v>17103.52</v>
      </c>
    </row>
    <row r="831" spans="1:4">
      <c r="A831" s="18" t="s">
        <v>29</v>
      </c>
      <c r="B831" s="18" t="s">
        <v>97</v>
      </c>
      <c r="C831" s="19">
        <v>45310</v>
      </c>
      <c r="D831" s="18">
        <v>14107.31</v>
      </c>
    </row>
    <row r="832" spans="1:4">
      <c r="A832" s="18" t="s">
        <v>29</v>
      </c>
      <c r="B832" s="18" t="s">
        <v>97</v>
      </c>
      <c r="C832" s="19">
        <v>45588</v>
      </c>
      <c r="D832" s="18">
        <v>19127.12</v>
      </c>
    </row>
    <row r="833" spans="1:4">
      <c r="A833" s="18" t="s">
        <v>29</v>
      </c>
      <c r="B833" s="18" t="s">
        <v>97</v>
      </c>
      <c r="C833" s="19">
        <v>45418</v>
      </c>
      <c r="D833" s="18">
        <v>15376.73</v>
      </c>
    </row>
    <row r="834" spans="1:4">
      <c r="A834" s="18" t="s">
        <v>29</v>
      </c>
      <c r="B834" s="18" t="s">
        <v>97</v>
      </c>
      <c r="C834" s="19">
        <v>45486</v>
      </c>
      <c r="D834" s="18">
        <v>14480.78</v>
      </c>
    </row>
    <row r="835" spans="1:4">
      <c r="A835" s="18" t="s">
        <v>29</v>
      </c>
      <c r="B835" s="18" t="s">
        <v>97</v>
      </c>
      <c r="C835" s="19">
        <v>45547</v>
      </c>
      <c r="D835" s="18">
        <v>15046.74</v>
      </c>
    </row>
    <row r="836" spans="1:4">
      <c r="A836" s="18" t="s">
        <v>29</v>
      </c>
      <c r="B836" s="18" t="s">
        <v>97</v>
      </c>
      <c r="C836" s="19">
        <v>45450</v>
      </c>
      <c r="D836" s="18">
        <v>10679.85</v>
      </c>
    </row>
    <row r="837" spans="1:4">
      <c r="A837" s="18" t="s">
        <v>29</v>
      </c>
      <c r="B837" s="18" t="s">
        <v>97</v>
      </c>
      <c r="C837" s="19">
        <v>45567</v>
      </c>
      <c r="D837" s="18">
        <v>12459.12</v>
      </c>
    </row>
    <row r="838" spans="1:4">
      <c r="A838" s="18" t="s">
        <v>29</v>
      </c>
      <c r="B838" s="18" t="s">
        <v>97</v>
      </c>
      <c r="C838" s="19">
        <v>45561</v>
      </c>
      <c r="D838" s="18">
        <v>12025.82</v>
      </c>
    </row>
    <row r="839" spans="1:4">
      <c r="A839" s="18" t="s">
        <v>29</v>
      </c>
      <c r="B839" s="18" t="s">
        <v>97</v>
      </c>
      <c r="C839" s="19">
        <v>45326</v>
      </c>
      <c r="D839" s="18">
        <v>8539.83</v>
      </c>
    </row>
    <row r="840" spans="1:4">
      <c r="A840" s="18" t="s">
        <v>29</v>
      </c>
      <c r="B840" s="18" t="s">
        <v>97</v>
      </c>
      <c r="C840" s="19">
        <v>45517</v>
      </c>
      <c r="D840" s="18">
        <v>11030.73</v>
      </c>
    </row>
    <row r="841" spans="1:4">
      <c r="A841" s="18" t="s">
        <v>29</v>
      </c>
      <c r="B841" s="18" t="s">
        <v>97</v>
      </c>
      <c r="C841" s="19">
        <v>45449</v>
      </c>
      <c r="D841" s="18">
        <v>19926.05</v>
      </c>
    </row>
    <row r="842" spans="1:4">
      <c r="A842" s="18" t="s">
        <v>27</v>
      </c>
      <c r="B842" s="18" t="s">
        <v>98</v>
      </c>
      <c r="C842" s="19">
        <v>45527</v>
      </c>
      <c r="D842" s="18">
        <v>18029.45</v>
      </c>
    </row>
    <row r="843" spans="1:4">
      <c r="A843" s="18" t="s">
        <v>27</v>
      </c>
      <c r="B843" s="18" t="s">
        <v>98</v>
      </c>
      <c r="C843" s="19">
        <v>45656</v>
      </c>
      <c r="D843" s="18">
        <v>12935.55</v>
      </c>
    </row>
    <row r="844" spans="1:4">
      <c r="A844" s="18" t="s">
        <v>27</v>
      </c>
      <c r="B844" s="18" t="s">
        <v>98</v>
      </c>
      <c r="C844" s="19">
        <v>45453</v>
      </c>
      <c r="D844" s="18">
        <v>17945.3</v>
      </c>
    </row>
    <row r="845" spans="1:4">
      <c r="A845" s="18" t="s">
        <v>27</v>
      </c>
      <c r="B845" s="18" t="s">
        <v>98</v>
      </c>
      <c r="C845" s="19">
        <v>45536</v>
      </c>
      <c r="D845" s="18">
        <v>14025.51</v>
      </c>
    </row>
    <row r="846" spans="1:4">
      <c r="A846" s="18" t="s">
        <v>27</v>
      </c>
      <c r="B846" s="18" t="s">
        <v>98</v>
      </c>
      <c r="C846" s="19">
        <v>45594</v>
      </c>
      <c r="D846" s="18">
        <v>7501.78</v>
      </c>
    </row>
    <row r="847" spans="1:4">
      <c r="A847" s="18" t="s">
        <v>27</v>
      </c>
      <c r="B847" s="18" t="s">
        <v>98</v>
      </c>
      <c r="C847" s="19">
        <v>45537</v>
      </c>
      <c r="D847" s="18">
        <v>21872.83</v>
      </c>
    </row>
    <row r="848" spans="1:4">
      <c r="A848" s="18" t="s">
        <v>27</v>
      </c>
      <c r="B848" s="18" t="s">
        <v>98</v>
      </c>
      <c r="C848" s="19">
        <v>45626</v>
      </c>
      <c r="D848" s="18">
        <v>10831.28</v>
      </c>
    </row>
    <row r="849" spans="1:4">
      <c r="A849" s="18" t="s">
        <v>27</v>
      </c>
      <c r="B849" s="18" t="s">
        <v>98</v>
      </c>
      <c r="C849" s="19">
        <v>45422</v>
      </c>
      <c r="D849" s="18">
        <v>18067.71</v>
      </c>
    </row>
    <row r="850" spans="1:4">
      <c r="A850" s="18" t="s">
        <v>27</v>
      </c>
      <c r="B850" s="18" t="s">
        <v>98</v>
      </c>
      <c r="C850" s="19">
        <v>45331</v>
      </c>
      <c r="D850" s="18">
        <v>22319.26</v>
      </c>
    </row>
    <row r="851" spans="1:4">
      <c r="A851" s="18" t="s">
        <v>27</v>
      </c>
      <c r="B851" s="18" t="s">
        <v>98</v>
      </c>
      <c r="C851" s="19">
        <v>45491</v>
      </c>
      <c r="D851" s="18">
        <v>19152.82</v>
      </c>
    </row>
    <row r="852" spans="1:4">
      <c r="A852" s="18" t="s">
        <v>27</v>
      </c>
      <c r="B852" s="18" t="s">
        <v>98</v>
      </c>
      <c r="C852" s="19">
        <v>45577</v>
      </c>
      <c r="D852" s="18">
        <v>16691.73</v>
      </c>
    </row>
    <row r="853" spans="1:4">
      <c r="A853" s="18" t="s">
        <v>27</v>
      </c>
      <c r="B853" s="18" t="s">
        <v>98</v>
      </c>
      <c r="C853" s="19">
        <v>45445</v>
      </c>
      <c r="D853" s="18">
        <v>17560.25</v>
      </c>
    </row>
    <row r="854" spans="1:4">
      <c r="A854" s="18" t="s">
        <v>29</v>
      </c>
      <c r="B854" s="18" t="s">
        <v>99</v>
      </c>
      <c r="C854" s="19">
        <v>45344</v>
      </c>
      <c r="D854" s="18">
        <v>17276.79</v>
      </c>
    </row>
    <row r="855" spans="1:4">
      <c r="A855" s="18" t="s">
        <v>29</v>
      </c>
      <c r="B855" s="18" t="s">
        <v>99</v>
      </c>
      <c r="C855" s="19">
        <v>45399</v>
      </c>
      <c r="D855" s="18">
        <v>15843.57</v>
      </c>
    </row>
    <row r="856" spans="1:4">
      <c r="A856" s="18" t="s">
        <v>29</v>
      </c>
      <c r="B856" s="18" t="s">
        <v>99</v>
      </c>
      <c r="C856" s="19">
        <v>45476</v>
      </c>
      <c r="D856" s="18">
        <v>15312.6</v>
      </c>
    </row>
    <row r="857" spans="1:4">
      <c r="A857" s="18" t="s">
        <v>29</v>
      </c>
      <c r="B857" s="18" t="s">
        <v>99</v>
      </c>
      <c r="C857" s="19">
        <v>45409</v>
      </c>
      <c r="D857" s="18">
        <v>14812.22</v>
      </c>
    </row>
    <row r="858" spans="1:4">
      <c r="A858" s="18" t="s">
        <v>29</v>
      </c>
      <c r="B858" s="18" t="s">
        <v>99</v>
      </c>
      <c r="C858" s="19">
        <v>45508</v>
      </c>
      <c r="D858" s="18">
        <v>14157.97</v>
      </c>
    </row>
    <row r="859" spans="1:4">
      <c r="A859" s="18" t="s">
        <v>29</v>
      </c>
      <c r="B859" s="18" t="s">
        <v>99</v>
      </c>
      <c r="C859" s="19">
        <v>45563</v>
      </c>
      <c r="D859" s="18">
        <v>9921.1299999999992</v>
      </c>
    </row>
    <row r="860" spans="1:4">
      <c r="A860" s="18" t="s">
        <v>29</v>
      </c>
      <c r="B860" s="18" t="s">
        <v>99</v>
      </c>
      <c r="C860" s="19">
        <v>45407</v>
      </c>
      <c r="D860" s="18">
        <v>14704.98</v>
      </c>
    </row>
    <row r="861" spans="1:4">
      <c r="A861" s="18" t="s">
        <v>29</v>
      </c>
      <c r="B861" s="18" t="s">
        <v>99</v>
      </c>
      <c r="C861" s="19">
        <v>45407</v>
      </c>
      <c r="D861" s="18">
        <v>12034.23</v>
      </c>
    </row>
    <row r="862" spans="1:4">
      <c r="A862" s="18" t="s">
        <v>29</v>
      </c>
      <c r="B862" s="18" t="s">
        <v>99</v>
      </c>
      <c r="C862" s="19">
        <v>45638</v>
      </c>
      <c r="D862" s="18">
        <v>11689.23</v>
      </c>
    </row>
    <row r="863" spans="1:4">
      <c r="A863" s="18" t="s">
        <v>29</v>
      </c>
      <c r="B863" s="18" t="s">
        <v>99</v>
      </c>
      <c r="C863" s="19">
        <v>45635</v>
      </c>
      <c r="D863" s="18">
        <v>15539.68</v>
      </c>
    </row>
    <row r="864" spans="1:4">
      <c r="A864" s="18" t="s">
        <v>29</v>
      </c>
      <c r="B864" s="18" t="s">
        <v>99</v>
      </c>
      <c r="C864" s="19">
        <v>45376</v>
      </c>
      <c r="D864" s="18">
        <v>19176.009999999998</v>
      </c>
    </row>
    <row r="865" spans="1:4">
      <c r="A865" s="18" t="s">
        <v>29</v>
      </c>
      <c r="B865" s="18" t="s">
        <v>99</v>
      </c>
      <c r="C865" s="19">
        <v>45299</v>
      </c>
      <c r="D865" s="18">
        <v>17754.95</v>
      </c>
    </row>
    <row r="866" spans="1:4">
      <c r="A866" s="18" t="s">
        <v>27</v>
      </c>
      <c r="B866" s="18" t="s">
        <v>100</v>
      </c>
      <c r="C866" s="19">
        <v>45453</v>
      </c>
      <c r="D866" s="18">
        <v>12031.12</v>
      </c>
    </row>
    <row r="867" spans="1:4">
      <c r="A867" s="18" t="s">
        <v>27</v>
      </c>
      <c r="B867" s="18" t="s">
        <v>100</v>
      </c>
      <c r="C867" s="19">
        <v>45393</v>
      </c>
      <c r="D867" s="18">
        <v>17822.310000000001</v>
      </c>
    </row>
    <row r="868" spans="1:4">
      <c r="A868" s="18" t="s">
        <v>27</v>
      </c>
      <c r="B868" s="18" t="s">
        <v>100</v>
      </c>
      <c r="C868" s="19">
        <v>45652</v>
      </c>
      <c r="D868" s="18">
        <v>14326.1</v>
      </c>
    </row>
    <row r="869" spans="1:4">
      <c r="A869" s="18" t="s">
        <v>27</v>
      </c>
      <c r="B869" s="18" t="s">
        <v>100</v>
      </c>
      <c r="C869" s="19">
        <v>45373</v>
      </c>
      <c r="D869" s="18">
        <v>12094.97</v>
      </c>
    </row>
    <row r="870" spans="1:4">
      <c r="A870" s="18" t="s">
        <v>27</v>
      </c>
      <c r="B870" s="18" t="s">
        <v>100</v>
      </c>
      <c r="C870" s="19">
        <v>45354</v>
      </c>
      <c r="D870" s="18">
        <v>15316.13</v>
      </c>
    </row>
    <row r="871" spans="1:4">
      <c r="A871" s="18" t="s">
        <v>27</v>
      </c>
      <c r="B871" s="18" t="s">
        <v>100</v>
      </c>
      <c r="C871" s="19">
        <v>45351</v>
      </c>
      <c r="D871" s="18">
        <v>10997.92</v>
      </c>
    </row>
    <row r="872" spans="1:4">
      <c r="A872" s="18" t="s">
        <v>27</v>
      </c>
      <c r="B872" s="18" t="s">
        <v>100</v>
      </c>
      <c r="C872" s="19">
        <v>45322</v>
      </c>
      <c r="D872" s="18">
        <v>15959.35</v>
      </c>
    </row>
    <row r="873" spans="1:4">
      <c r="A873" s="18" t="s">
        <v>27</v>
      </c>
      <c r="B873" s="18" t="s">
        <v>100</v>
      </c>
      <c r="C873" s="19">
        <v>45405</v>
      </c>
      <c r="D873" s="18">
        <v>16321.42</v>
      </c>
    </row>
    <row r="874" spans="1:4">
      <c r="A874" s="18" t="s">
        <v>27</v>
      </c>
      <c r="B874" s="18" t="s">
        <v>100</v>
      </c>
      <c r="C874" s="19">
        <v>45622</v>
      </c>
      <c r="D874" s="18">
        <v>14941.09</v>
      </c>
    </row>
    <row r="875" spans="1:4">
      <c r="A875" s="18" t="s">
        <v>27</v>
      </c>
      <c r="B875" s="18" t="s">
        <v>100</v>
      </c>
      <c r="C875" s="19">
        <v>45649</v>
      </c>
      <c r="D875" s="18">
        <v>15671.74</v>
      </c>
    </row>
    <row r="876" spans="1:4">
      <c r="A876" s="18" t="s">
        <v>27</v>
      </c>
      <c r="B876" s="18" t="s">
        <v>100</v>
      </c>
      <c r="C876" s="19">
        <v>45526</v>
      </c>
      <c r="D876" s="18">
        <v>19092.419999999998</v>
      </c>
    </row>
    <row r="877" spans="1:4">
      <c r="A877" s="18" t="s">
        <v>27</v>
      </c>
      <c r="B877" s="18" t="s">
        <v>100</v>
      </c>
      <c r="C877" s="19">
        <v>45585</v>
      </c>
      <c r="D877" s="18">
        <v>13711.78</v>
      </c>
    </row>
    <row r="878" spans="1:4">
      <c r="A878" s="18" t="s">
        <v>27</v>
      </c>
      <c r="B878" s="18" t="s">
        <v>101</v>
      </c>
      <c r="C878" s="19">
        <v>45546</v>
      </c>
      <c r="D878" s="18">
        <v>16629.89</v>
      </c>
    </row>
    <row r="879" spans="1:4">
      <c r="A879" s="18" t="s">
        <v>27</v>
      </c>
      <c r="B879" s="18" t="s">
        <v>101</v>
      </c>
      <c r="C879" s="19">
        <v>45605</v>
      </c>
      <c r="D879" s="18">
        <v>15146.58</v>
      </c>
    </row>
    <row r="880" spans="1:4">
      <c r="A880" s="18" t="s">
        <v>27</v>
      </c>
      <c r="B880" s="18" t="s">
        <v>101</v>
      </c>
      <c r="C880" s="19">
        <v>45497</v>
      </c>
      <c r="D880" s="18">
        <v>12894.02</v>
      </c>
    </row>
    <row r="881" spans="1:4">
      <c r="A881" s="18" t="s">
        <v>27</v>
      </c>
      <c r="B881" s="18" t="s">
        <v>101</v>
      </c>
      <c r="C881" s="19">
        <v>45588</v>
      </c>
      <c r="D881" s="18">
        <v>13011.3</v>
      </c>
    </row>
    <row r="882" spans="1:4">
      <c r="A882" s="18" t="s">
        <v>27</v>
      </c>
      <c r="B882" s="18" t="s">
        <v>101</v>
      </c>
      <c r="C882" s="19">
        <v>45398</v>
      </c>
      <c r="D882" s="18">
        <v>10792.18</v>
      </c>
    </row>
    <row r="883" spans="1:4">
      <c r="A883" s="18" t="s">
        <v>27</v>
      </c>
      <c r="B883" s="18" t="s">
        <v>101</v>
      </c>
      <c r="C883" s="19">
        <v>45318</v>
      </c>
      <c r="D883" s="18">
        <v>20248.73</v>
      </c>
    </row>
    <row r="884" spans="1:4">
      <c r="A884" s="18" t="s">
        <v>27</v>
      </c>
      <c r="B884" s="18" t="s">
        <v>101</v>
      </c>
      <c r="C884" s="19">
        <v>45496</v>
      </c>
      <c r="D884" s="18">
        <v>12921.28</v>
      </c>
    </row>
    <row r="885" spans="1:4">
      <c r="A885" s="18" t="s">
        <v>27</v>
      </c>
      <c r="B885" s="18" t="s">
        <v>101</v>
      </c>
      <c r="C885" s="19">
        <v>45516</v>
      </c>
      <c r="D885" s="18">
        <v>17684.77</v>
      </c>
    </row>
    <row r="886" spans="1:4">
      <c r="A886" s="18" t="s">
        <v>27</v>
      </c>
      <c r="B886" s="18" t="s">
        <v>101</v>
      </c>
      <c r="C886" s="19">
        <v>45392</v>
      </c>
      <c r="D886" s="18">
        <v>14115.15</v>
      </c>
    </row>
    <row r="887" spans="1:4">
      <c r="A887" s="18" t="s">
        <v>27</v>
      </c>
      <c r="B887" s="18" t="s">
        <v>101</v>
      </c>
      <c r="C887" s="19">
        <v>45311</v>
      </c>
      <c r="D887" s="18">
        <v>18743.23</v>
      </c>
    </row>
    <row r="888" spans="1:4">
      <c r="A888" s="18" t="s">
        <v>27</v>
      </c>
      <c r="B888" s="18" t="s">
        <v>101</v>
      </c>
      <c r="C888" s="19">
        <v>45486</v>
      </c>
      <c r="D888" s="18">
        <v>15836.98</v>
      </c>
    </row>
    <row r="889" spans="1:4">
      <c r="A889" s="18" t="s">
        <v>27</v>
      </c>
      <c r="B889" s="18" t="s">
        <v>101</v>
      </c>
      <c r="C889" s="19">
        <v>45318</v>
      </c>
      <c r="D889" s="18">
        <v>12493.96</v>
      </c>
    </row>
    <row r="890" spans="1:4">
      <c r="A890" s="18" t="s">
        <v>27</v>
      </c>
      <c r="B890" s="18" t="s">
        <v>102</v>
      </c>
      <c r="C890" s="19">
        <v>45508</v>
      </c>
      <c r="D890" s="18">
        <v>21435.45</v>
      </c>
    </row>
    <row r="891" spans="1:4">
      <c r="A891" s="18" t="s">
        <v>27</v>
      </c>
      <c r="B891" s="18" t="s">
        <v>102</v>
      </c>
      <c r="C891" s="19">
        <v>45382</v>
      </c>
      <c r="D891" s="18">
        <v>11437.2</v>
      </c>
    </row>
    <row r="892" spans="1:4">
      <c r="A892" s="18" t="s">
        <v>27</v>
      </c>
      <c r="B892" s="18" t="s">
        <v>102</v>
      </c>
      <c r="C892" s="19">
        <v>45515</v>
      </c>
      <c r="D892" s="18">
        <v>16901.330000000002</v>
      </c>
    </row>
    <row r="893" spans="1:4">
      <c r="A893" s="18" t="s">
        <v>27</v>
      </c>
      <c r="B893" s="18" t="s">
        <v>102</v>
      </c>
      <c r="C893" s="19">
        <v>45563</v>
      </c>
      <c r="D893" s="18">
        <v>14444.14</v>
      </c>
    </row>
    <row r="894" spans="1:4">
      <c r="A894" s="18" t="s">
        <v>27</v>
      </c>
      <c r="B894" s="18" t="s">
        <v>102</v>
      </c>
      <c r="C894" s="19">
        <v>45394</v>
      </c>
      <c r="D894" s="18">
        <v>15131.43</v>
      </c>
    </row>
    <row r="895" spans="1:4">
      <c r="A895" s="18" t="s">
        <v>27</v>
      </c>
      <c r="B895" s="18" t="s">
        <v>102</v>
      </c>
      <c r="C895" s="19">
        <v>45537</v>
      </c>
      <c r="D895" s="18">
        <v>14558.99</v>
      </c>
    </row>
    <row r="896" spans="1:4">
      <c r="A896" s="18" t="s">
        <v>27</v>
      </c>
      <c r="B896" s="18" t="s">
        <v>102</v>
      </c>
      <c r="C896" s="19">
        <v>45329</v>
      </c>
      <c r="D896" s="18">
        <v>17891.64</v>
      </c>
    </row>
    <row r="897" spans="1:4">
      <c r="A897" s="18" t="s">
        <v>27</v>
      </c>
      <c r="B897" s="18" t="s">
        <v>102</v>
      </c>
      <c r="C897" s="19">
        <v>45549</v>
      </c>
      <c r="D897" s="18">
        <v>21631.57</v>
      </c>
    </row>
    <row r="898" spans="1:4">
      <c r="A898" s="18" t="s">
        <v>27</v>
      </c>
      <c r="B898" s="18" t="s">
        <v>102</v>
      </c>
      <c r="C898" s="19">
        <v>45529</v>
      </c>
      <c r="D898" s="18">
        <v>10890.59</v>
      </c>
    </row>
    <row r="899" spans="1:4">
      <c r="A899" s="18" t="s">
        <v>27</v>
      </c>
      <c r="B899" s="18" t="s">
        <v>102</v>
      </c>
      <c r="C899" s="19">
        <v>45544</v>
      </c>
      <c r="D899" s="18">
        <v>14735.15</v>
      </c>
    </row>
    <row r="900" spans="1:4">
      <c r="A900" s="18" t="s">
        <v>27</v>
      </c>
      <c r="B900" s="18" t="s">
        <v>102</v>
      </c>
      <c r="C900" s="19">
        <v>45427</v>
      </c>
      <c r="D900" s="18">
        <v>12588.98</v>
      </c>
    </row>
    <row r="901" spans="1:4">
      <c r="A901" s="18" t="s">
        <v>27</v>
      </c>
      <c r="B901" s="18" t="s">
        <v>102</v>
      </c>
      <c r="C901" s="19">
        <v>45575</v>
      </c>
      <c r="D901" s="18">
        <v>19917.349999999999</v>
      </c>
    </row>
    <row r="902" spans="1:4">
      <c r="A902" s="18" t="s">
        <v>25</v>
      </c>
      <c r="B902" s="18" t="s">
        <v>103</v>
      </c>
      <c r="C902" s="19">
        <v>45334</v>
      </c>
      <c r="D902" s="18">
        <v>13339.24</v>
      </c>
    </row>
    <row r="903" spans="1:4">
      <c r="A903" s="18" t="s">
        <v>25</v>
      </c>
      <c r="B903" s="18" t="s">
        <v>103</v>
      </c>
      <c r="C903" s="19">
        <v>45564</v>
      </c>
      <c r="D903" s="18">
        <v>16706.95</v>
      </c>
    </row>
    <row r="904" spans="1:4">
      <c r="A904" s="18" t="s">
        <v>25</v>
      </c>
      <c r="B904" s="18" t="s">
        <v>103</v>
      </c>
      <c r="C904" s="19">
        <v>45476</v>
      </c>
      <c r="D904" s="18">
        <v>13862.62</v>
      </c>
    </row>
    <row r="905" spans="1:4">
      <c r="A905" s="18" t="s">
        <v>25</v>
      </c>
      <c r="B905" s="18" t="s">
        <v>103</v>
      </c>
      <c r="C905" s="19">
        <v>45619</v>
      </c>
      <c r="D905" s="18">
        <v>13254.96</v>
      </c>
    </row>
    <row r="906" spans="1:4">
      <c r="A906" s="18" t="s">
        <v>25</v>
      </c>
      <c r="B906" s="18" t="s">
        <v>103</v>
      </c>
      <c r="C906" s="19">
        <v>45500</v>
      </c>
      <c r="D906" s="18">
        <v>11955.73</v>
      </c>
    </row>
    <row r="907" spans="1:4">
      <c r="A907" s="18" t="s">
        <v>25</v>
      </c>
      <c r="B907" s="18" t="s">
        <v>103</v>
      </c>
      <c r="C907" s="19">
        <v>45403</v>
      </c>
      <c r="D907" s="18">
        <v>11328.18</v>
      </c>
    </row>
    <row r="908" spans="1:4">
      <c r="A908" s="18" t="s">
        <v>25</v>
      </c>
      <c r="B908" s="18" t="s">
        <v>103</v>
      </c>
      <c r="C908" s="19">
        <v>45493</v>
      </c>
      <c r="D908" s="18">
        <v>15102.25</v>
      </c>
    </row>
    <row r="909" spans="1:4">
      <c r="A909" s="18" t="s">
        <v>25</v>
      </c>
      <c r="B909" s="18" t="s">
        <v>103</v>
      </c>
      <c r="C909" s="19">
        <v>45407</v>
      </c>
      <c r="D909" s="18">
        <v>12690.08</v>
      </c>
    </row>
    <row r="910" spans="1:4">
      <c r="A910" s="18" t="s">
        <v>25</v>
      </c>
      <c r="B910" s="18" t="s">
        <v>103</v>
      </c>
      <c r="C910" s="19">
        <v>45292</v>
      </c>
      <c r="D910" s="18">
        <v>15701.36</v>
      </c>
    </row>
    <row r="911" spans="1:4">
      <c r="A911" s="18" t="s">
        <v>25</v>
      </c>
      <c r="B911" s="18" t="s">
        <v>103</v>
      </c>
      <c r="C911" s="19">
        <v>45455</v>
      </c>
      <c r="D911" s="18">
        <v>10332.31</v>
      </c>
    </row>
    <row r="912" spans="1:4">
      <c r="A912" s="18" t="s">
        <v>25</v>
      </c>
      <c r="B912" s="18" t="s">
        <v>103</v>
      </c>
      <c r="C912" s="19">
        <v>45515</v>
      </c>
      <c r="D912" s="18">
        <v>17500.59</v>
      </c>
    </row>
    <row r="913" spans="1:4">
      <c r="A913" s="18" t="s">
        <v>25</v>
      </c>
      <c r="B913" s="18" t="s">
        <v>103</v>
      </c>
      <c r="C913" s="19">
        <v>45336</v>
      </c>
      <c r="D913" s="18">
        <v>9018.7900000000009</v>
      </c>
    </row>
    <row r="914" spans="1:4">
      <c r="A914" s="18" t="s">
        <v>25</v>
      </c>
      <c r="B914" s="18" t="s">
        <v>104</v>
      </c>
      <c r="C914" s="19">
        <v>45397</v>
      </c>
      <c r="D914" s="18">
        <v>16122.17</v>
      </c>
    </row>
    <row r="915" spans="1:4">
      <c r="A915" s="18" t="s">
        <v>25</v>
      </c>
      <c r="B915" s="18" t="s">
        <v>104</v>
      </c>
      <c r="C915" s="19">
        <v>45398</v>
      </c>
      <c r="D915" s="18">
        <v>18683.009999999998</v>
      </c>
    </row>
    <row r="916" spans="1:4">
      <c r="A916" s="18" t="s">
        <v>25</v>
      </c>
      <c r="B916" s="18" t="s">
        <v>104</v>
      </c>
      <c r="C916" s="19">
        <v>45632</v>
      </c>
      <c r="D916" s="18">
        <v>20017.72</v>
      </c>
    </row>
    <row r="917" spans="1:4">
      <c r="A917" s="18" t="s">
        <v>25</v>
      </c>
      <c r="B917" s="18" t="s">
        <v>104</v>
      </c>
      <c r="C917" s="19">
        <v>45619</v>
      </c>
      <c r="D917" s="18">
        <v>16257.06</v>
      </c>
    </row>
    <row r="918" spans="1:4">
      <c r="A918" s="18" t="s">
        <v>25</v>
      </c>
      <c r="B918" s="18" t="s">
        <v>104</v>
      </c>
      <c r="C918" s="19">
        <v>45372</v>
      </c>
      <c r="D918" s="18">
        <v>12884.96</v>
      </c>
    </row>
    <row r="919" spans="1:4">
      <c r="A919" s="18" t="s">
        <v>25</v>
      </c>
      <c r="B919" s="18" t="s">
        <v>104</v>
      </c>
      <c r="C919" s="19">
        <v>45648</v>
      </c>
      <c r="D919" s="18">
        <v>14832.69</v>
      </c>
    </row>
    <row r="920" spans="1:4">
      <c r="A920" s="18" t="s">
        <v>25</v>
      </c>
      <c r="B920" s="18" t="s">
        <v>104</v>
      </c>
      <c r="C920" s="19">
        <v>45484</v>
      </c>
      <c r="D920" s="18">
        <v>16674.98</v>
      </c>
    </row>
    <row r="921" spans="1:4">
      <c r="A921" s="18" t="s">
        <v>25</v>
      </c>
      <c r="B921" s="18" t="s">
        <v>104</v>
      </c>
      <c r="C921" s="19">
        <v>45457</v>
      </c>
      <c r="D921" s="18">
        <v>16616.27</v>
      </c>
    </row>
    <row r="922" spans="1:4">
      <c r="A922" s="18" t="s">
        <v>25</v>
      </c>
      <c r="B922" s="18" t="s">
        <v>104</v>
      </c>
      <c r="C922" s="19">
        <v>45524</v>
      </c>
      <c r="D922" s="18">
        <v>12237.98</v>
      </c>
    </row>
    <row r="923" spans="1:4">
      <c r="A923" s="18" t="s">
        <v>25</v>
      </c>
      <c r="B923" s="18" t="s">
        <v>104</v>
      </c>
      <c r="C923" s="19">
        <v>45619</v>
      </c>
      <c r="D923" s="18">
        <v>10758.86</v>
      </c>
    </row>
    <row r="924" spans="1:4">
      <c r="A924" s="18" t="s">
        <v>25</v>
      </c>
      <c r="B924" s="18" t="s">
        <v>104</v>
      </c>
      <c r="C924" s="19">
        <v>45625</v>
      </c>
      <c r="D924" s="18">
        <v>14666.32</v>
      </c>
    </row>
    <row r="925" spans="1:4">
      <c r="A925" s="18" t="s">
        <v>25</v>
      </c>
      <c r="B925" s="18" t="s">
        <v>104</v>
      </c>
      <c r="C925" s="19">
        <v>45310</v>
      </c>
      <c r="D925" s="18">
        <v>12288.28</v>
      </c>
    </row>
    <row r="926" spans="1:4">
      <c r="A926" s="18" t="s">
        <v>29</v>
      </c>
      <c r="B926" s="18" t="s">
        <v>105</v>
      </c>
      <c r="C926" s="19">
        <v>45543</v>
      </c>
      <c r="D926" s="18">
        <v>12793.41</v>
      </c>
    </row>
    <row r="927" spans="1:4">
      <c r="A927" s="18" t="s">
        <v>29</v>
      </c>
      <c r="B927" s="18" t="s">
        <v>105</v>
      </c>
      <c r="C927" s="19">
        <v>45405</v>
      </c>
      <c r="D927" s="18">
        <v>18708.28</v>
      </c>
    </row>
    <row r="928" spans="1:4">
      <c r="A928" s="18" t="s">
        <v>29</v>
      </c>
      <c r="B928" s="18" t="s">
        <v>105</v>
      </c>
      <c r="C928" s="19">
        <v>45348</v>
      </c>
      <c r="D928" s="18">
        <v>16827.41</v>
      </c>
    </row>
    <row r="929" spans="1:4">
      <c r="A929" s="18" t="s">
        <v>29</v>
      </c>
      <c r="B929" s="18" t="s">
        <v>105</v>
      </c>
      <c r="C929" s="19">
        <v>45484</v>
      </c>
      <c r="D929" s="18">
        <v>11723.06</v>
      </c>
    </row>
    <row r="930" spans="1:4">
      <c r="A930" s="18" t="s">
        <v>29</v>
      </c>
      <c r="B930" s="18" t="s">
        <v>105</v>
      </c>
      <c r="C930" s="19">
        <v>45476</v>
      </c>
      <c r="D930" s="18">
        <v>14050.77</v>
      </c>
    </row>
    <row r="931" spans="1:4">
      <c r="A931" s="18" t="s">
        <v>29</v>
      </c>
      <c r="B931" s="18" t="s">
        <v>105</v>
      </c>
      <c r="C931" s="19">
        <v>45613</v>
      </c>
      <c r="D931" s="18">
        <v>18639.29</v>
      </c>
    </row>
    <row r="932" spans="1:4">
      <c r="A932" s="18" t="s">
        <v>29</v>
      </c>
      <c r="B932" s="18" t="s">
        <v>105</v>
      </c>
      <c r="C932" s="19">
        <v>45340</v>
      </c>
      <c r="D932" s="18">
        <v>15425.15</v>
      </c>
    </row>
    <row r="933" spans="1:4">
      <c r="A933" s="18" t="s">
        <v>29</v>
      </c>
      <c r="B933" s="18" t="s">
        <v>105</v>
      </c>
      <c r="C933" s="19">
        <v>45529</v>
      </c>
      <c r="D933" s="18">
        <v>21957.99</v>
      </c>
    </row>
    <row r="934" spans="1:4">
      <c r="A934" s="18" t="s">
        <v>29</v>
      </c>
      <c r="B934" s="18" t="s">
        <v>105</v>
      </c>
      <c r="C934" s="19">
        <v>45475</v>
      </c>
      <c r="D934" s="18">
        <v>16179.95</v>
      </c>
    </row>
    <row r="935" spans="1:4">
      <c r="A935" s="18" t="s">
        <v>29</v>
      </c>
      <c r="B935" s="18" t="s">
        <v>105</v>
      </c>
      <c r="C935" s="19">
        <v>45614</v>
      </c>
      <c r="D935" s="18">
        <v>14072.65</v>
      </c>
    </row>
    <row r="936" spans="1:4">
      <c r="A936" s="18" t="s">
        <v>29</v>
      </c>
      <c r="B936" s="18" t="s">
        <v>105</v>
      </c>
      <c r="C936" s="19">
        <v>45302</v>
      </c>
      <c r="D936" s="18">
        <v>15400.62</v>
      </c>
    </row>
    <row r="937" spans="1:4">
      <c r="A937" s="18" t="s">
        <v>29</v>
      </c>
      <c r="B937" s="18" t="s">
        <v>105</v>
      </c>
      <c r="C937" s="19">
        <v>45603</v>
      </c>
      <c r="D937" s="18">
        <v>14542.59</v>
      </c>
    </row>
    <row r="938" spans="1:4">
      <c r="A938" s="18" t="s">
        <v>25</v>
      </c>
      <c r="B938" s="18" t="s">
        <v>106</v>
      </c>
      <c r="C938" s="19">
        <v>45332</v>
      </c>
      <c r="D938" s="18">
        <v>17870.11</v>
      </c>
    </row>
    <row r="939" spans="1:4">
      <c r="A939" s="18" t="s">
        <v>25</v>
      </c>
      <c r="B939" s="18" t="s">
        <v>106</v>
      </c>
      <c r="C939" s="19">
        <v>45565</v>
      </c>
      <c r="D939" s="18">
        <v>12642.03</v>
      </c>
    </row>
    <row r="940" spans="1:4">
      <c r="A940" s="18" t="s">
        <v>25</v>
      </c>
      <c r="B940" s="18" t="s">
        <v>106</v>
      </c>
      <c r="C940" s="19">
        <v>45600</v>
      </c>
      <c r="D940" s="18">
        <v>11006.3</v>
      </c>
    </row>
    <row r="941" spans="1:4">
      <c r="A941" s="18" t="s">
        <v>25</v>
      </c>
      <c r="B941" s="18" t="s">
        <v>106</v>
      </c>
      <c r="C941" s="19">
        <v>45472</v>
      </c>
      <c r="D941" s="18">
        <v>9491.3799999999992</v>
      </c>
    </row>
    <row r="942" spans="1:4">
      <c r="A942" s="18" t="s">
        <v>25</v>
      </c>
      <c r="B942" s="18" t="s">
        <v>106</v>
      </c>
      <c r="C942" s="19">
        <v>45633</v>
      </c>
      <c r="D942" s="18">
        <v>16523.97</v>
      </c>
    </row>
    <row r="943" spans="1:4">
      <c r="A943" s="18" t="s">
        <v>25</v>
      </c>
      <c r="B943" s="18" t="s">
        <v>106</v>
      </c>
      <c r="C943" s="19">
        <v>45327</v>
      </c>
      <c r="D943" s="18">
        <v>8541.33</v>
      </c>
    </row>
    <row r="944" spans="1:4">
      <c r="A944" s="18" t="s">
        <v>25</v>
      </c>
      <c r="B944" s="18" t="s">
        <v>106</v>
      </c>
      <c r="C944" s="19">
        <v>45510</v>
      </c>
      <c r="D944" s="18">
        <v>22479</v>
      </c>
    </row>
    <row r="945" spans="1:4">
      <c r="A945" s="18" t="s">
        <v>25</v>
      </c>
      <c r="B945" s="18" t="s">
        <v>106</v>
      </c>
      <c r="C945" s="19">
        <v>45394</v>
      </c>
      <c r="D945" s="18">
        <v>14981.79</v>
      </c>
    </row>
    <row r="946" spans="1:4">
      <c r="A946" s="18" t="s">
        <v>25</v>
      </c>
      <c r="B946" s="18" t="s">
        <v>106</v>
      </c>
      <c r="C946" s="19">
        <v>45614</v>
      </c>
      <c r="D946" s="18">
        <v>17515.47</v>
      </c>
    </row>
    <row r="947" spans="1:4">
      <c r="A947" s="18" t="s">
        <v>25</v>
      </c>
      <c r="B947" s="18" t="s">
        <v>106</v>
      </c>
      <c r="C947" s="19">
        <v>45583</v>
      </c>
      <c r="D947" s="18">
        <v>15245.49</v>
      </c>
    </row>
    <row r="948" spans="1:4">
      <c r="A948" s="18" t="s">
        <v>25</v>
      </c>
      <c r="B948" s="18" t="s">
        <v>106</v>
      </c>
      <c r="C948" s="19">
        <v>45427</v>
      </c>
      <c r="D948" s="18">
        <v>17757.23</v>
      </c>
    </row>
    <row r="949" spans="1:4">
      <c r="A949" s="18" t="s">
        <v>25</v>
      </c>
      <c r="B949" s="18" t="s">
        <v>106</v>
      </c>
      <c r="C949" s="19">
        <v>45593</v>
      </c>
      <c r="D949" s="18">
        <v>14129.18</v>
      </c>
    </row>
    <row r="950" spans="1:4">
      <c r="A950" s="18" t="s">
        <v>25</v>
      </c>
      <c r="B950" s="18" t="s">
        <v>107</v>
      </c>
      <c r="C950" s="19">
        <v>45566</v>
      </c>
      <c r="D950" s="18">
        <v>15802.18</v>
      </c>
    </row>
    <row r="951" spans="1:4">
      <c r="A951" s="18" t="s">
        <v>25</v>
      </c>
      <c r="B951" s="18" t="s">
        <v>107</v>
      </c>
      <c r="C951" s="19">
        <v>45321</v>
      </c>
      <c r="D951" s="18">
        <v>15965.09</v>
      </c>
    </row>
    <row r="952" spans="1:4">
      <c r="A952" s="18" t="s">
        <v>25</v>
      </c>
      <c r="B952" s="18" t="s">
        <v>107</v>
      </c>
      <c r="C952" s="19">
        <v>45447</v>
      </c>
      <c r="D952" s="18">
        <v>12995.73</v>
      </c>
    </row>
    <row r="953" spans="1:4">
      <c r="A953" s="18" t="s">
        <v>25</v>
      </c>
      <c r="B953" s="18" t="s">
        <v>107</v>
      </c>
      <c r="C953" s="19">
        <v>45404</v>
      </c>
      <c r="D953" s="18">
        <v>17976.13</v>
      </c>
    </row>
    <row r="954" spans="1:4">
      <c r="A954" s="18" t="s">
        <v>25</v>
      </c>
      <c r="B954" s="18" t="s">
        <v>107</v>
      </c>
      <c r="C954" s="19">
        <v>45414</v>
      </c>
      <c r="D954" s="18">
        <v>14475.12</v>
      </c>
    </row>
    <row r="955" spans="1:4">
      <c r="A955" s="18" t="s">
        <v>25</v>
      </c>
      <c r="B955" s="18" t="s">
        <v>107</v>
      </c>
      <c r="C955" s="19">
        <v>45499</v>
      </c>
      <c r="D955" s="18">
        <v>12732.76</v>
      </c>
    </row>
    <row r="956" spans="1:4">
      <c r="A956" s="18" t="s">
        <v>25</v>
      </c>
      <c r="B956" s="18" t="s">
        <v>107</v>
      </c>
      <c r="C956" s="19">
        <v>45394</v>
      </c>
      <c r="D956" s="18">
        <v>16609.53</v>
      </c>
    </row>
    <row r="957" spans="1:4">
      <c r="A957" s="18" t="s">
        <v>25</v>
      </c>
      <c r="B957" s="18" t="s">
        <v>107</v>
      </c>
      <c r="C957" s="19">
        <v>45314</v>
      </c>
      <c r="D957" s="18">
        <v>12304.6</v>
      </c>
    </row>
    <row r="958" spans="1:4">
      <c r="A958" s="18" t="s">
        <v>25</v>
      </c>
      <c r="B958" s="18" t="s">
        <v>107</v>
      </c>
      <c r="C958" s="19">
        <v>45567</v>
      </c>
      <c r="D958" s="18">
        <v>15084.54</v>
      </c>
    </row>
    <row r="959" spans="1:4">
      <c r="A959" s="18" t="s">
        <v>25</v>
      </c>
      <c r="B959" s="18" t="s">
        <v>107</v>
      </c>
      <c r="C959" s="19">
        <v>45328</v>
      </c>
      <c r="D959" s="18">
        <v>14972.64</v>
      </c>
    </row>
    <row r="960" spans="1:4">
      <c r="A960" s="18" t="s">
        <v>25</v>
      </c>
      <c r="B960" s="18" t="s">
        <v>107</v>
      </c>
      <c r="C960" s="19">
        <v>45424</v>
      </c>
      <c r="D960" s="18">
        <v>18257.689999999999</v>
      </c>
    </row>
    <row r="961" spans="1:4">
      <c r="A961" s="18" t="s">
        <v>25</v>
      </c>
      <c r="B961" s="18" t="s">
        <v>107</v>
      </c>
      <c r="C961" s="19">
        <v>45313</v>
      </c>
      <c r="D961" s="18">
        <v>16424.09</v>
      </c>
    </row>
    <row r="962" spans="1:4">
      <c r="A962" s="18" t="s">
        <v>25</v>
      </c>
      <c r="B962" s="18" t="s">
        <v>108</v>
      </c>
      <c r="C962" s="19">
        <v>45598</v>
      </c>
      <c r="D962" s="18">
        <v>14924.92</v>
      </c>
    </row>
    <row r="963" spans="1:4">
      <c r="A963" s="18" t="s">
        <v>25</v>
      </c>
      <c r="B963" s="18" t="s">
        <v>108</v>
      </c>
      <c r="C963" s="19">
        <v>45300</v>
      </c>
      <c r="D963" s="18">
        <v>17453.3</v>
      </c>
    </row>
    <row r="964" spans="1:4">
      <c r="A964" s="18" t="s">
        <v>25</v>
      </c>
      <c r="B964" s="18" t="s">
        <v>108</v>
      </c>
      <c r="C964" s="19">
        <v>45315</v>
      </c>
      <c r="D964" s="18">
        <v>19170.62</v>
      </c>
    </row>
    <row r="965" spans="1:4">
      <c r="A965" s="18" t="s">
        <v>25</v>
      </c>
      <c r="B965" s="18" t="s">
        <v>108</v>
      </c>
      <c r="C965" s="19">
        <v>45411</v>
      </c>
      <c r="D965" s="18">
        <v>16673.43</v>
      </c>
    </row>
    <row r="966" spans="1:4">
      <c r="A966" s="18" t="s">
        <v>25</v>
      </c>
      <c r="B966" s="18" t="s">
        <v>108</v>
      </c>
      <c r="C966" s="19">
        <v>45512</v>
      </c>
      <c r="D966" s="18">
        <v>11064.49</v>
      </c>
    </row>
    <row r="967" spans="1:4">
      <c r="A967" s="18" t="s">
        <v>25</v>
      </c>
      <c r="B967" s="18" t="s">
        <v>108</v>
      </c>
      <c r="C967" s="19">
        <v>45434</v>
      </c>
      <c r="D967" s="18">
        <v>11804.66</v>
      </c>
    </row>
    <row r="968" spans="1:4">
      <c r="A968" s="18" t="s">
        <v>25</v>
      </c>
      <c r="B968" s="18" t="s">
        <v>108</v>
      </c>
      <c r="C968" s="19">
        <v>45460</v>
      </c>
      <c r="D968" s="18">
        <v>13171.46</v>
      </c>
    </row>
    <row r="969" spans="1:4">
      <c r="A969" s="18" t="s">
        <v>25</v>
      </c>
      <c r="B969" s="18" t="s">
        <v>108</v>
      </c>
      <c r="C969" s="19">
        <v>45308</v>
      </c>
      <c r="D969" s="18">
        <v>15169.95</v>
      </c>
    </row>
    <row r="970" spans="1:4">
      <c r="A970" s="18" t="s">
        <v>25</v>
      </c>
      <c r="B970" s="18" t="s">
        <v>108</v>
      </c>
      <c r="C970" s="19">
        <v>45435</v>
      </c>
      <c r="D970" s="18">
        <v>16589.080000000002</v>
      </c>
    </row>
    <row r="971" spans="1:4">
      <c r="A971" s="18" t="s">
        <v>25</v>
      </c>
      <c r="B971" s="18" t="s">
        <v>108</v>
      </c>
      <c r="C971" s="19">
        <v>45364</v>
      </c>
      <c r="D971" s="18">
        <v>14788.5</v>
      </c>
    </row>
    <row r="972" spans="1:4">
      <c r="A972" s="18" t="s">
        <v>25</v>
      </c>
      <c r="B972" s="18" t="s">
        <v>108</v>
      </c>
      <c r="C972" s="19">
        <v>45461</v>
      </c>
      <c r="D972" s="18">
        <v>16459.5</v>
      </c>
    </row>
    <row r="973" spans="1:4">
      <c r="A973" s="18" t="s">
        <v>25</v>
      </c>
      <c r="B973" s="18" t="s">
        <v>108</v>
      </c>
      <c r="C973" s="19">
        <v>45295</v>
      </c>
      <c r="D973" s="18">
        <v>15193.42</v>
      </c>
    </row>
    <row r="974" spans="1:4">
      <c r="A974" s="18" t="s">
        <v>25</v>
      </c>
      <c r="B974" s="18" t="s">
        <v>109</v>
      </c>
      <c r="C974" s="19">
        <v>45505</v>
      </c>
      <c r="D974" s="18">
        <v>9073.6</v>
      </c>
    </row>
    <row r="975" spans="1:4">
      <c r="A975" s="18" t="s">
        <v>25</v>
      </c>
      <c r="B975" s="18" t="s">
        <v>109</v>
      </c>
      <c r="C975" s="19">
        <v>45331</v>
      </c>
      <c r="D975" s="18">
        <v>12181.99</v>
      </c>
    </row>
    <row r="976" spans="1:4">
      <c r="A976" s="18" t="s">
        <v>25</v>
      </c>
      <c r="B976" s="18" t="s">
        <v>109</v>
      </c>
      <c r="C976" s="19">
        <v>45335</v>
      </c>
      <c r="D976" s="18">
        <v>14567.74</v>
      </c>
    </row>
    <row r="977" spans="1:4">
      <c r="A977" s="18" t="s">
        <v>25</v>
      </c>
      <c r="B977" s="18" t="s">
        <v>109</v>
      </c>
      <c r="C977" s="19">
        <v>45617</v>
      </c>
      <c r="D977" s="18">
        <v>11370.92</v>
      </c>
    </row>
    <row r="978" spans="1:4">
      <c r="A978" s="18" t="s">
        <v>25</v>
      </c>
      <c r="B978" s="18" t="s">
        <v>109</v>
      </c>
      <c r="C978" s="19">
        <v>45469</v>
      </c>
      <c r="D978" s="18">
        <v>16799.79</v>
      </c>
    </row>
    <row r="979" spans="1:4">
      <c r="A979" s="18" t="s">
        <v>25</v>
      </c>
      <c r="B979" s="18" t="s">
        <v>109</v>
      </c>
      <c r="C979" s="19">
        <v>45307</v>
      </c>
      <c r="D979" s="18">
        <v>19592.25</v>
      </c>
    </row>
    <row r="980" spans="1:4">
      <c r="A980" s="18" t="s">
        <v>25</v>
      </c>
      <c r="B980" s="18" t="s">
        <v>109</v>
      </c>
      <c r="C980" s="19">
        <v>45380</v>
      </c>
      <c r="D980" s="18">
        <v>18656.29</v>
      </c>
    </row>
    <row r="981" spans="1:4">
      <c r="A981" s="18" t="s">
        <v>25</v>
      </c>
      <c r="B981" s="18" t="s">
        <v>109</v>
      </c>
      <c r="C981" s="19">
        <v>45515</v>
      </c>
      <c r="D981" s="18">
        <v>14359.67</v>
      </c>
    </row>
    <row r="982" spans="1:4">
      <c r="A982" s="18" t="s">
        <v>25</v>
      </c>
      <c r="B982" s="18" t="s">
        <v>109</v>
      </c>
      <c r="C982" s="19">
        <v>45540</v>
      </c>
      <c r="D982" s="18">
        <v>19472.18</v>
      </c>
    </row>
    <row r="983" spans="1:4">
      <c r="A983" s="18" t="s">
        <v>25</v>
      </c>
      <c r="B983" s="18" t="s">
        <v>109</v>
      </c>
      <c r="C983" s="19">
        <v>45541</v>
      </c>
      <c r="D983" s="18">
        <v>13988.74</v>
      </c>
    </row>
    <row r="984" spans="1:4">
      <c r="A984" s="18" t="s">
        <v>25</v>
      </c>
      <c r="B984" s="18" t="s">
        <v>109</v>
      </c>
      <c r="C984" s="19">
        <v>45440</v>
      </c>
      <c r="D984" s="18">
        <v>13159.79</v>
      </c>
    </row>
    <row r="985" spans="1:4">
      <c r="A985" s="18" t="s">
        <v>25</v>
      </c>
      <c r="B985" s="18" t="s">
        <v>109</v>
      </c>
      <c r="C985" s="19">
        <v>45615</v>
      </c>
      <c r="D985" s="18">
        <v>14092.59</v>
      </c>
    </row>
    <row r="986" spans="1:4">
      <c r="A986" s="18" t="s">
        <v>27</v>
      </c>
      <c r="B986" s="18" t="s">
        <v>110</v>
      </c>
      <c r="C986" s="19">
        <v>45312</v>
      </c>
      <c r="D986" s="18">
        <v>13835.47</v>
      </c>
    </row>
    <row r="987" spans="1:4">
      <c r="A987" s="18" t="s">
        <v>27</v>
      </c>
      <c r="B987" s="18" t="s">
        <v>110</v>
      </c>
      <c r="C987" s="19">
        <v>45350</v>
      </c>
      <c r="D987" s="18">
        <v>15511.25</v>
      </c>
    </row>
    <row r="988" spans="1:4">
      <c r="A988" s="18" t="s">
        <v>27</v>
      </c>
      <c r="B988" s="18" t="s">
        <v>110</v>
      </c>
      <c r="C988" s="19">
        <v>45448</v>
      </c>
      <c r="D988" s="18">
        <v>15009.14</v>
      </c>
    </row>
    <row r="989" spans="1:4">
      <c r="A989" s="18" t="s">
        <v>27</v>
      </c>
      <c r="B989" s="18" t="s">
        <v>110</v>
      </c>
      <c r="C989" s="19">
        <v>45427</v>
      </c>
      <c r="D989" s="18">
        <v>18571.939999999999</v>
      </c>
    </row>
    <row r="990" spans="1:4">
      <c r="A990" s="18" t="s">
        <v>27</v>
      </c>
      <c r="B990" s="18" t="s">
        <v>110</v>
      </c>
      <c r="C990" s="19">
        <v>45323</v>
      </c>
      <c r="D990" s="18">
        <v>17848.66</v>
      </c>
    </row>
    <row r="991" spans="1:4">
      <c r="A991" s="18" t="s">
        <v>27</v>
      </c>
      <c r="B991" s="18" t="s">
        <v>110</v>
      </c>
      <c r="C991" s="19">
        <v>45636</v>
      </c>
      <c r="D991" s="18">
        <v>10545.31</v>
      </c>
    </row>
    <row r="992" spans="1:4">
      <c r="A992" s="18" t="s">
        <v>27</v>
      </c>
      <c r="B992" s="18" t="s">
        <v>110</v>
      </c>
      <c r="C992" s="19">
        <v>45312</v>
      </c>
      <c r="D992" s="18">
        <v>7338.24</v>
      </c>
    </row>
    <row r="993" spans="1:4">
      <c r="A993" s="18" t="s">
        <v>27</v>
      </c>
      <c r="B993" s="18" t="s">
        <v>110</v>
      </c>
      <c r="C993" s="19">
        <v>45396</v>
      </c>
      <c r="D993" s="18">
        <v>17802.96</v>
      </c>
    </row>
    <row r="994" spans="1:4">
      <c r="A994" s="18" t="s">
        <v>27</v>
      </c>
      <c r="B994" s="18" t="s">
        <v>110</v>
      </c>
      <c r="C994" s="19">
        <v>45461</v>
      </c>
      <c r="D994" s="18">
        <v>10899.36</v>
      </c>
    </row>
    <row r="995" spans="1:4">
      <c r="A995" s="18" t="s">
        <v>27</v>
      </c>
      <c r="B995" s="18" t="s">
        <v>110</v>
      </c>
      <c r="C995" s="19">
        <v>45619</v>
      </c>
      <c r="D995" s="18">
        <v>14325.7</v>
      </c>
    </row>
    <row r="996" spans="1:4">
      <c r="A996" s="18" t="s">
        <v>27</v>
      </c>
      <c r="B996" s="18" t="s">
        <v>110</v>
      </c>
      <c r="C996" s="19">
        <v>45609</v>
      </c>
      <c r="D996" s="18">
        <v>11489.66</v>
      </c>
    </row>
    <row r="997" spans="1:4">
      <c r="A997" s="18" t="s">
        <v>27</v>
      </c>
      <c r="B997" s="18" t="s">
        <v>110</v>
      </c>
      <c r="C997" s="19">
        <v>45566</v>
      </c>
      <c r="D997" s="18">
        <v>9594.06</v>
      </c>
    </row>
    <row r="998" spans="1:4">
      <c r="A998" s="18" t="s">
        <v>25</v>
      </c>
      <c r="B998" s="18" t="s">
        <v>111</v>
      </c>
      <c r="C998" s="19">
        <v>45593</v>
      </c>
      <c r="D998" s="18">
        <v>16624.39</v>
      </c>
    </row>
    <row r="999" spans="1:4">
      <c r="A999" s="18" t="s">
        <v>25</v>
      </c>
      <c r="B999" s="18" t="s">
        <v>111</v>
      </c>
      <c r="C999" s="19">
        <v>45300</v>
      </c>
      <c r="D999" s="18">
        <v>13270.47</v>
      </c>
    </row>
    <row r="1000" spans="1:4">
      <c r="A1000" s="18" t="s">
        <v>25</v>
      </c>
      <c r="B1000" s="18" t="s">
        <v>111</v>
      </c>
      <c r="C1000" s="19">
        <v>45638</v>
      </c>
      <c r="D1000" s="18">
        <v>7226.87</v>
      </c>
    </row>
    <row r="1001" spans="1:4">
      <c r="A1001" s="18" t="s">
        <v>25</v>
      </c>
      <c r="B1001" s="18" t="s">
        <v>111</v>
      </c>
      <c r="C1001" s="19">
        <v>45490</v>
      </c>
      <c r="D1001" s="18">
        <v>16175.41</v>
      </c>
    </row>
    <row r="1002" spans="1:4">
      <c r="A1002" s="18" t="s">
        <v>25</v>
      </c>
      <c r="B1002" s="18" t="s">
        <v>111</v>
      </c>
      <c r="C1002" s="19">
        <v>45482</v>
      </c>
      <c r="D1002" s="18">
        <v>10563.27</v>
      </c>
    </row>
    <row r="1003" spans="1:4">
      <c r="A1003" s="18" t="s">
        <v>25</v>
      </c>
      <c r="B1003" s="18" t="s">
        <v>111</v>
      </c>
      <c r="C1003" s="19">
        <v>45435</v>
      </c>
      <c r="D1003" s="18">
        <v>15550.08</v>
      </c>
    </row>
    <row r="1004" spans="1:4">
      <c r="A1004" s="18" t="s">
        <v>25</v>
      </c>
      <c r="B1004" s="18" t="s">
        <v>111</v>
      </c>
      <c r="C1004" s="19">
        <v>45606</v>
      </c>
      <c r="D1004" s="18">
        <v>16737.87</v>
      </c>
    </row>
    <row r="1005" spans="1:4">
      <c r="A1005" s="18" t="s">
        <v>25</v>
      </c>
      <c r="B1005" s="18" t="s">
        <v>111</v>
      </c>
      <c r="C1005" s="19">
        <v>45517</v>
      </c>
      <c r="D1005" s="18">
        <v>15358.74</v>
      </c>
    </row>
    <row r="1006" spans="1:4">
      <c r="A1006" s="18" t="s">
        <v>25</v>
      </c>
      <c r="B1006" s="18" t="s">
        <v>111</v>
      </c>
      <c r="C1006" s="19">
        <v>45371</v>
      </c>
      <c r="D1006" s="18">
        <v>12080.79</v>
      </c>
    </row>
    <row r="1007" spans="1:4">
      <c r="A1007" s="18" t="s">
        <v>25</v>
      </c>
      <c r="B1007" s="18" t="s">
        <v>111</v>
      </c>
      <c r="C1007" s="19">
        <v>45429</v>
      </c>
      <c r="D1007" s="18">
        <v>18589.71</v>
      </c>
    </row>
    <row r="1008" spans="1:4">
      <c r="A1008" s="18" t="s">
        <v>25</v>
      </c>
      <c r="B1008" s="18" t="s">
        <v>111</v>
      </c>
      <c r="C1008" s="19">
        <v>45586</v>
      </c>
      <c r="D1008" s="18">
        <v>14524.41</v>
      </c>
    </row>
    <row r="1009" spans="1:4">
      <c r="A1009" s="18" t="s">
        <v>25</v>
      </c>
      <c r="B1009" s="18" t="s">
        <v>111</v>
      </c>
      <c r="C1009" s="19">
        <v>45632</v>
      </c>
      <c r="D1009" s="18">
        <v>14918.09</v>
      </c>
    </row>
    <row r="1010" spans="1:4">
      <c r="A1010" s="18" t="s">
        <v>29</v>
      </c>
      <c r="B1010" s="18" t="s">
        <v>112</v>
      </c>
      <c r="C1010" s="19">
        <v>45471</v>
      </c>
      <c r="D1010" s="18">
        <v>13670.15</v>
      </c>
    </row>
    <row r="1011" spans="1:4">
      <c r="A1011" s="18" t="s">
        <v>29</v>
      </c>
      <c r="B1011" s="18" t="s">
        <v>112</v>
      </c>
      <c r="C1011" s="19">
        <v>45634</v>
      </c>
      <c r="D1011" s="18">
        <v>12345.59</v>
      </c>
    </row>
    <row r="1012" spans="1:4">
      <c r="A1012" s="18" t="s">
        <v>29</v>
      </c>
      <c r="B1012" s="18" t="s">
        <v>112</v>
      </c>
      <c r="C1012" s="19">
        <v>45390</v>
      </c>
      <c r="D1012" s="18">
        <v>14481.16</v>
      </c>
    </row>
    <row r="1013" spans="1:4">
      <c r="A1013" s="18" t="s">
        <v>29</v>
      </c>
      <c r="B1013" s="18" t="s">
        <v>112</v>
      </c>
      <c r="C1013" s="19">
        <v>45409</v>
      </c>
      <c r="D1013" s="18">
        <v>20135.13</v>
      </c>
    </row>
    <row r="1014" spans="1:4">
      <c r="A1014" s="18" t="s">
        <v>29</v>
      </c>
      <c r="B1014" s="18" t="s">
        <v>112</v>
      </c>
      <c r="C1014" s="19">
        <v>45521</v>
      </c>
      <c r="D1014" s="18">
        <v>10159.32</v>
      </c>
    </row>
    <row r="1015" spans="1:4">
      <c r="A1015" s="18" t="s">
        <v>29</v>
      </c>
      <c r="B1015" s="18" t="s">
        <v>112</v>
      </c>
      <c r="C1015" s="19">
        <v>45617</v>
      </c>
      <c r="D1015" s="18">
        <v>19413.509999999998</v>
      </c>
    </row>
    <row r="1016" spans="1:4">
      <c r="A1016" s="18" t="s">
        <v>29</v>
      </c>
      <c r="B1016" s="18" t="s">
        <v>112</v>
      </c>
      <c r="C1016" s="19">
        <v>45534</v>
      </c>
      <c r="D1016" s="18">
        <v>14372.03</v>
      </c>
    </row>
    <row r="1017" spans="1:4">
      <c r="A1017" s="18" t="s">
        <v>29</v>
      </c>
      <c r="B1017" s="18" t="s">
        <v>112</v>
      </c>
      <c r="C1017" s="19">
        <v>45405</v>
      </c>
      <c r="D1017" s="18">
        <v>12992.78</v>
      </c>
    </row>
    <row r="1018" spans="1:4">
      <c r="A1018" s="18" t="s">
        <v>29</v>
      </c>
      <c r="B1018" s="18" t="s">
        <v>112</v>
      </c>
      <c r="C1018" s="19">
        <v>45295</v>
      </c>
      <c r="D1018" s="18">
        <v>18119.71</v>
      </c>
    </row>
    <row r="1019" spans="1:4">
      <c r="A1019" s="18" t="s">
        <v>29</v>
      </c>
      <c r="B1019" s="18" t="s">
        <v>112</v>
      </c>
      <c r="C1019" s="19">
        <v>45605</v>
      </c>
      <c r="D1019" s="18">
        <v>13183.15</v>
      </c>
    </row>
    <row r="1020" spans="1:4">
      <c r="A1020" s="18" t="s">
        <v>29</v>
      </c>
      <c r="B1020" s="18" t="s">
        <v>112</v>
      </c>
      <c r="C1020" s="19">
        <v>45584</v>
      </c>
      <c r="D1020" s="18">
        <v>20478.03</v>
      </c>
    </row>
    <row r="1021" spans="1:4">
      <c r="A1021" s="18" t="s">
        <v>29</v>
      </c>
      <c r="B1021" s="18" t="s">
        <v>112</v>
      </c>
      <c r="C1021" s="19">
        <v>45299</v>
      </c>
      <c r="D1021" s="18">
        <v>17033.78</v>
      </c>
    </row>
    <row r="1022" spans="1:4">
      <c r="A1022" s="18" t="s">
        <v>25</v>
      </c>
      <c r="B1022" s="18" t="s">
        <v>113</v>
      </c>
      <c r="C1022" s="19">
        <v>45294</v>
      </c>
      <c r="D1022" s="18">
        <v>13536.27</v>
      </c>
    </row>
    <row r="1023" spans="1:4">
      <c r="A1023" s="18" t="s">
        <v>25</v>
      </c>
      <c r="B1023" s="18" t="s">
        <v>113</v>
      </c>
      <c r="C1023" s="19">
        <v>45350</v>
      </c>
      <c r="D1023" s="18">
        <v>21471.919999999998</v>
      </c>
    </row>
    <row r="1024" spans="1:4">
      <c r="A1024" s="18" t="s">
        <v>25</v>
      </c>
      <c r="B1024" s="18" t="s">
        <v>113</v>
      </c>
      <c r="C1024" s="19">
        <v>45588</v>
      </c>
      <c r="D1024" s="18">
        <v>13182.86</v>
      </c>
    </row>
    <row r="1025" spans="1:4">
      <c r="A1025" s="18" t="s">
        <v>25</v>
      </c>
      <c r="B1025" s="18" t="s">
        <v>113</v>
      </c>
      <c r="C1025" s="19">
        <v>45317</v>
      </c>
      <c r="D1025" s="18">
        <v>17226.29</v>
      </c>
    </row>
    <row r="1026" spans="1:4">
      <c r="A1026" s="18" t="s">
        <v>25</v>
      </c>
      <c r="B1026" s="18" t="s">
        <v>113</v>
      </c>
      <c r="C1026" s="19">
        <v>45421</v>
      </c>
      <c r="D1026" s="18">
        <v>15897.88</v>
      </c>
    </row>
    <row r="1027" spans="1:4">
      <c r="A1027" s="18" t="s">
        <v>25</v>
      </c>
      <c r="B1027" s="18" t="s">
        <v>113</v>
      </c>
      <c r="C1027" s="19">
        <v>45314</v>
      </c>
      <c r="D1027" s="18">
        <v>18905.22</v>
      </c>
    </row>
    <row r="1028" spans="1:4">
      <c r="A1028" s="18" t="s">
        <v>25</v>
      </c>
      <c r="B1028" s="18" t="s">
        <v>113</v>
      </c>
      <c r="C1028" s="19">
        <v>45324</v>
      </c>
      <c r="D1028" s="18">
        <v>19684.53</v>
      </c>
    </row>
    <row r="1029" spans="1:4">
      <c r="A1029" s="18" t="s">
        <v>25</v>
      </c>
      <c r="B1029" s="18" t="s">
        <v>113</v>
      </c>
      <c r="C1029" s="19">
        <v>45561</v>
      </c>
      <c r="D1029" s="18">
        <v>12739.75</v>
      </c>
    </row>
    <row r="1030" spans="1:4">
      <c r="A1030" s="18" t="s">
        <v>25</v>
      </c>
      <c r="B1030" s="18" t="s">
        <v>113</v>
      </c>
      <c r="C1030" s="19">
        <v>45294</v>
      </c>
      <c r="D1030" s="18">
        <v>16379.92</v>
      </c>
    </row>
    <row r="1031" spans="1:4">
      <c r="A1031" s="18" t="s">
        <v>25</v>
      </c>
      <c r="B1031" s="18" t="s">
        <v>113</v>
      </c>
      <c r="C1031" s="19">
        <v>45541</v>
      </c>
      <c r="D1031" s="18">
        <v>12966.85</v>
      </c>
    </row>
    <row r="1032" spans="1:4">
      <c r="A1032" s="18" t="s">
        <v>25</v>
      </c>
      <c r="B1032" s="18" t="s">
        <v>113</v>
      </c>
      <c r="C1032" s="19">
        <v>45566</v>
      </c>
      <c r="D1032" s="18">
        <v>15409.61</v>
      </c>
    </row>
    <row r="1033" spans="1:4">
      <c r="A1033" s="18" t="s">
        <v>25</v>
      </c>
      <c r="B1033" s="18" t="s">
        <v>113</v>
      </c>
      <c r="C1033" s="19">
        <v>45342</v>
      </c>
      <c r="D1033" s="18">
        <v>15554.04</v>
      </c>
    </row>
    <row r="1034" spans="1:4">
      <c r="A1034" s="18" t="s">
        <v>27</v>
      </c>
      <c r="B1034" s="18" t="s">
        <v>114</v>
      </c>
      <c r="C1034" s="19">
        <v>45563</v>
      </c>
      <c r="D1034" s="18">
        <v>10958.62</v>
      </c>
    </row>
    <row r="1035" spans="1:4">
      <c r="A1035" s="18" t="s">
        <v>27</v>
      </c>
      <c r="B1035" s="18" t="s">
        <v>114</v>
      </c>
      <c r="C1035" s="19">
        <v>45609</v>
      </c>
      <c r="D1035" s="18">
        <v>18601.240000000002</v>
      </c>
    </row>
    <row r="1036" spans="1:4">
      <c r="A1036" s="18" t="s">
        <v>27</v>
      </c>
      <c r="B1036" s="18" t="s">
        <v>114</v>
      </c>
      <c r="C1036" s="19">
        <v>45349</v>
      </c>
      <c r="D1036" s="18">
        <v>13029.32</v>
      </c>
    </row>
    <row r="1037" spans="1:4">
      <c r="A1037" s="18" t="s">
        <v>27</v>
      </c>
      <c r="B1037" s="18" t="s">
        <v>114</v>
      </c>
      <c r="C1037" s="19">
        <v>45373</v>
      </c>
      <c r="D1037" s="18">
        <v>11859.27</v>
      </c>
    </row>
    <row r="1038" spans="1:4">
      <c r="A1038" s="18" t="s">
        <v>27</v>
      </c>
      <c r="B1038" s="18" t="s">
        <v>114</v>
      </c>
      <c r="C1038" s="19">
        <v>45528</v>
      </c>
      <c r="D1038" s="18">
        <v>16609.96</v>
      </c>
    </row>
    <row r="1039" spans="1:4">
      <c r="A1039" s="18" t="s">
        <v>27</v>
      </c>
      <c r="B1039" s="18" t="s">
        <v>114</v>
      </c>
      <c r="C1039" s="19">
        <v>45386</v>
      </c>
      <c r="D1039" s="18">
        <v>18557.11</v>
      </c>
    </row>
    <row r="1040" spans="1:4">
      <c r="A1040" s="18" t="s">
        <v>27</v>
      </c>
      <c r="B1040" s="18" t="s">
        <v>114</v>
      </c>
      <c r="C1040" s="19">
        <v>45600</v>
      </c>
      <c r="D1040" s="18">
        <v>17156.86</v>
      </c>
    </row>
    <row r="1041" spans="1:4">
      <c r="A1041" s="18" t="s">
        <v>27</v>
      </c>
      <c r="B1041" s="18" t="s">
        <v>114</v>
      </c>
      <c r="C1041" s="19">
        <v>45511</v>
      </c>
      <c r="D1041" s="18">
        <v>17988.14</v>
      </c>
    </row>
    <row r="1042" spans="1:4">
      <c r="A1042" s="18" t="s">
        <v>27</v>
      </c>
      <c r="B1042" s="18" t="s">
        <v>114</v>
      </c>
      <c r="C1042" s="19">
        <v>45434</v>
      </c>
      <c r="D1042" s="18">
        <v>12729.61</v>
      </c>
    </row>
    <row r="1043" spans="1:4">
      <c r="A1043" s="18" t="s">
        <v>27</v>
      </c>
      <c r="B1043" s="18" t="s">
        <v>114</v>
      </c>
      <c r="C1043" s="19">
        <v>45323</v>
      </c>
      <c r="D1043" s="18">
        <v>19504</v>
      </c>
    </row>
    <row r="1044" spans="1:4">
      <c r="A1044" s="18" t="s">
        <v>27</v>
      </c>
      <c r="B1044" s="18" t="s">
        <v>114</v>
      </c>
      <c r="C1044" s="19">
        <v>45596</v>
      </c>
      <c r="D1044" s="18">
        <v>14031.96</v>
      </c>
    </row>
    <row r="1045" spans="1:4">
      <c r="A1045" s="18" t="s">
        <v>27</v>
      </c>
      <c r="B1045" s="18" t="s">
        <v>114</v>
      </c>
      <c r="C1045" s="19">
        <v>45407</v>
      </c>
      <c r="D1045" s="18">
        <v>14247.5</v>
      </c>
    </row>
    <row r="1046" spans="1:4">
      <c r="A1046" s="18" t="s">
        <v>29</v>
      </c>
      <c r="B1046" s="18" t="s">
        <v>115</v>
      </c>
      <c r="C1046" s="19">
        <v>45333</v>
      </c>
      <c r="D1046" s="18">
        <v>18984.580000000002</v>
      </c>
    </row>
    <row r="1047" spans="1:4">
      <c r="A1047" s="18" t="s">
        <v>29</v>
      </c>
      <c r="B1047" s="18" t="s">
        <v>115</v>
      </c>
      <c r="C1047" s="19">
        <v>45500</v>
      </c>
      <c r="D1047" s="18">
        <v>16367.66</v>
      </c>
    </row>
    <row r="1048" spans="1:4">
      <c r="A1048" s="18" t="s">
        <v>29</v>
      </c>
      <c r="B1048" s="18" t="s">
        <v>115</v>
      </c>
      <c r="C1048" s="19">
        <v>45617</v>
      </c>
      <c r="D1048" s="18">
        <v>13069.45</v>
      </c>
    </row>
    <row r="1049" spans="1:4">
      <c r="A1049" s="18" t="s">
        <v>29</v>
      </c>
      <c r="B1049" s="18" t="s">
        <v>115</v>
      </c>
      <c r="C1049" s="19">
        <v>45415</v>
      </c>
      <c r="D1049" s="18">
        <v>17783.52</v>
      </c>
    </row>
    <row r="1050" spans="1:4">
      <c r="A1050" s="18" t="s">
        <v>29</v>
      </c>
      <c r="B1050" s="18" t="s">
        <v>115</v>
      </c>
      <c r="C1050" s="19">
        <v>45448</v>
      </c>
      <c r="D1050" s="18">
        <v>15805.78</v>
      </c>
    </row>
    <row r="1051" spans="1:4">
      <c r="A1051" s="18" t="s">
        <v>29</v>
      </c>
      <c r="B1051" s="18" t="s">
        <v>115</v>
      </c>
      <c r="C1051" s="19">
        <v>45588</v>
      </c>
      <c r="D1051" s="18">
        <v>19585.41</v>
      </c>
    </row>
    <row r="1052" spans="1:4">
      <c r="A1052" s="18" t="s">
        <v>29</v>
      </c>
      <c r="B1052" s="18" t="s">
        <v>115</v>
      </c>
      <c r="C1052" s="19">
        <v>45421</v>
      </c>
      <c r="D1052" s="18">
        <v>16523.509999999998</v>
      </c>
    </row>
    <row r="1053" spans="1:4">
      <c r="A1053" s="18" t="s">
        <v>29</v>
      </c>
      <c r="B1053" s="18" t="s">
        <v>115</v>
      </c>
      <c r="C1053" s="19">
        <v>45360</v>
      </c>
      <c r="D1053" s="18">
        <v>16614.89</v>
      </c>
    </row>
    <row r="1054" spans="1:4">
      <c r="A1054" s="18" t="s">
        <v>29</v>
      </c>
      <c r="B1054" s="18" t="s">
        <v>115</v>
      </c>
      <c r="C1054" s="19">
        <v>45489</v>
      </c>
      <c r="D1054" s="18">
        <v>13905.14</v>
      </c>
    </row>
    <row r="1055" spans="1:4">
      <c r="A1055" s="18" t="s">
        <v>29</v>
      </c>
      <c r="B1055" s="18" t="s">
        <v>115</v>
      </c>
      <c r="C1055" s="19">
        <v>45531</v>
      </c>
      <c r="D1055" s="18">
        <v>12482.37</v>
      </c>
    </row>
    <row r="1056" spans="1:4">
      <c r="A1056" s="18" t="s">
        <v>29</v>
      </c>
      <c r="B1056" s="18" t="s">
        <v>115</v>
      </c>
      <c r="C1056" s="19">
        <v>45653</v>
      </c>
      <c r="D1056" s="18">
        <v>11865.57</v>
      </c>
    </row>
    <row r="1057" spans="1:4">
      <c r="A1057" s="18" t="s">
        <v>29</v>
      </c>
      <c r="B1057" s="18" t="s">
        <v>115</v>
      </c>
      <c r="C1057" s="19">
        <v>45419</v>
      </c>
      <c r="D1057" s="18">
        <v>9100.93</v>
      </c>
    </row>
    <row r="1058" spans="1:4">
      <c r="A1058" s="18" t="s">
        <v>29</v>
      </c>
      <c r="B1058" s="18" t="s">
        <v>116</v>
      </c>
      <c r="C1058" s="19">
        <v>45504</v>
      </c>
      <c r="D1058" s="18">
        <v>21168.62</v>
      </c>
    </row>
    <row r="1059" spans="1:4">
      <c r="A1059" s="18" t="s">
        <v>29</v>
      </c>
      <c r="B1059" s="18" t="s">
        <v>116</v>
      </c>
      <c r="C1059" s="19">
        <v>45416</v>
      </c>
      <c r="D1059" s="18">
        <v>11690.37</v>
      </c>
    </row>
    <row r="1060" spans="1:4">
      <c r="A1060" s="18" t="s">
        <v>29</v>
      </c>
      <c r="B1060" s="18" t="s">
        <v>116</v>
      </c>
      <c r="C1060" s="19">
        <v>45538</v>
      </c>
      <c r="D1060" s="18">
        <v>14336.24</v>
      </c>
    </row>
    <row r="1061" spans="1:4">
      <c r="A1061" s="18" t="s">
        <v>29</v>
      </c>
      <c r="B1061" s="18" t="s">
        <v>116</v>
      </c>
      <c r="C1061" s="19">
        <v>45601</v>
      </c>
      <c r="D1061" s="18">
        <v>14169.56</v>
      </c>
    </row>
    <row r="1062" spans="1:4">
      <c r="A1062" s="18" t="s">
        <v>29</v>
      </c>
      <c r="B1062" s="18" t="s">
        <v>116</v>
      </c>
      <c r="C1062" s="19">
        <v>45600</v>
      </c>
      <c r="D1062" s="18">
        <v>15922.22</v>
      </c>
    </row>
    <row r="1063" spans="1:4">
      <c r="A1063" s="18" t="s">
        <v>29</v>
      </c>
      <c r="B1063" s="18" t="s">
        <v>116</v>
      </c>
      <c r="C1063" s="19">
        <v>45525</v>
      </c>
      <c r="D1063" s="18">
        <v>17581.419999999998</v>
      </c>
    </row>
    <row r="1064" spans="1:4">
      <c r="A1064" s="18" t="s">
        <v>29</v>
      </c>
      <c r="B1064" s="18" t="s">
        <v>116</v>
      </c>
      <c r="C1064" s="19">
        <v>45448</v>
      </c>
      <c r="D1064" s="18">
        <v>13250.77</v>
      </c>
    </row>
    <row r="1065" spans="1:4">
      <c r="A1065" s="18" t="s">
        <v>29</v>
      </c>
      <c r="B1065" s="18" t="s">
        <v>116</v>
      </c>
      <c r="C1065" s="19">
        <v>45554</v>
      </c>
      <c r="D1065" s="18">
        <v>14498.63</v>
      </c>
    </row>
    <row r="1066" spans="1:4">
      <c r="A1066" s="18" t="s">
        <v>29</v>
      </c>
      <c r="B1066" s="18" t="s">
        <v>116</v>
      </c>
      <c r="C1066" s="19">
        <v>45537</v>
      </c>
      <c r="D1066" s="18">
        <v>14253.93</v>
      </c>
    </row>
    <row r="1067" spans="1:4">
      <c r="A1067" s="18" t="s">
        <v>29</v>
      </c>
      <c r="B1067" s="18" t="s">
        <v>116</v>
      </c>
      <c r="C1067" s="19">
        <v>45326</v>
      </c>
      <c r="D1067" s="18">
        <v>19822.04</v>
      </c>
    </row>
    <row r="1068" spans="1:4">
      <c r="A1068" s="18" t="s">
        <v>29</v>
      </c>
      <c r="B1068" s="18" t="s">
        <v>116</v>
      </c>
      <c r="C1068" s="19">
        <v>45494</v>
      </c>
      <c r="D1068" s="18">
        <v>17204.63</v>
      </c>
    </row>
    <row r="1069" spans="1:4">
      <c r="A1069" s="18" t="s">
        <v>29</v>
      </c>
      <c r="B1069" s="18" t="s">
        <v>116</v>
      </c>
      <c r="C1069" s="19">
        <v>45617</v>
      </c>
      <c r="D1069" s="18">
        <v>18520.419999999998</v>
      </c>
    </row>
    <row r="1070" spans="1:4">
      <c r="A1070" s="18" t="s">
        <v>25</v>
      </c>
      <c r="B1070" s="18" t="s">
        <v>117</v>
      </c>
      <c r="C1070" s="19">
        <v>45384</v>
      </c>
      <c r="D1070" s="18">
        <v>15543.06</v>
      </c>
    </row>
    <row r="1071" spans="1:4">
      <c r="A1071" s="18" t="s">
        <v>25</v>
      </c>
      <c r="B1071" s="18" t="s">
        <v>117</v>
      </c>
      <c r="C1071" s="19">
        <v>45498</v>
      </c>
      <c r="D1071" s="18">
        <v>11109.5</v>
      </c>
    </row>
    <row r="1072" spans="1:4">
      <c r="A1072" s="18" t="s">
        <v>25</v>
      </c>
      <c r="B1072" s="18" t="s">
        <v>117</v>
      </c>
      <c r="C1072" s="19">
        <v>45391</v>
      </c>
      <c r="D1072" s="18">
        <v>13045.93</v>
      </c>
    </row>
    <row r="1073" spans="1:4">
      <c r="A1073" s="18" t="s">
        <v>25</v>
      </c>
      <c r="B1073" s="18" t="s">
        <v>117</v>
      </c>
      <c r="C1073" s="19">
        <v>45526</v>
      </c>
      <c r="D1073" s="18">
        <v>13414.15</v>
      </c>
    </row>
    <row r="1074" spans="1:4">
      <c r="A1074" s="18" t="s">
        <v>25</v>
      </c>
      <c r="B1074" s="18" t="s">
        <v>117</v>
      </c>
      <c r="C1074" s="19">
        <v>45376</v>
      </c>
      <c r="D1074" s="18">
        <v>18714.849999999999</v>
      </c>
    </row>
    <row r="1075" spans="1:4">
      <c r="A1075" s="18" t="s">
        <v>25</v>
      </c>
      <c r="B1075" s="18" t="s">
        <v>117</v>
      </c>
      <c r="C1075" s="19">
        <v>45652</v>
      </c>
      <c r="D1075" s="18">
        <v>15063.81</v>
      </c>
    </row>
    <row r="1076" spans="1:4">
      <c r="A1076" s="18" t="s">
        <v>25</v>
      </c>
      <c r="B1076" s="18" t="s">
        <v>117</v>
      </c>
      <c r="C1076" s="19">
        <v>45329</v>
      </c>
      <c r="D1076" s="18">
        <v>20106.64</v>
      </c>
    </row>
    <row r="1077" spans="1:4">
      <c r="A1077" s="18" t="s">
        <v>25</v>
      </c>
      <c r="B1077" s="18" t="s">
        <v>117</v>
      </c>
      <c r="C1077" s="19">
        <v>45445</v>
      </c>
      <c r="D1077" s="18">
        <v>22805.05</v>
      </c>
    </row>
    <row r="1078" spans="1:4">
      <c r="A1078" s="18" t="s">
        <v>25</v>
      </c>
      <c r="B1078" s="18" t="s">
        <v>117</v>
      </c>
      <c r="C1078" s="19">
        <v>45346</v>
      </c>
      <c r="D1078" s="18">
        <v>9717.7099999999991</v>
      </c>
    </row>
    <row r="1079" spans="1:4">
      <c r="A1079" s="18" t="s">
        <v>25</v>
      </c>
      <c r="B1079" s="18" t="s">
        <v>117</v>
      </c>
      <c r="C1079" s="19">
        <v>45484</v>
      </c>
      <c r="D1079" s="18">
        <v>17260.02</v>
      </c>
    </row>
    <row r="1080" spans="1:4">
      <c r="A1080" s="18" t="s">
        <v>25</v>
      </c>
      <c r="B1080" s="18" t="s">
        <v>117</v>
      </c>
      <c r="C1080" s="19">
        <v>45537</v>
      </c>
      <c r="D1080" s="18">
        <v>16143.48</v>
      </c>
    </row>
    <row r="1081" spans="1:4">
      <c r="A1081" s="18" t="s">
        <v>25</v>
      </c>
      <c r="B1081" s="18" t="s">
        <v>117</v>
      </c>
      <c r="C1081" s="19">
        <v>45357</v>
      </c>
      <c r="D1081" s="18">
        <v>18869.259999999998</v>
      </c>
    </row>
    <row r="1082" spans="1:4">
      <c r="A1082" s="18" t="s">
        <v>29</v>
      </c>
      <c r="B1082" s="18" t="s">
        <v>118</v>
      </c>
      <c r="C1082" s="19">
        <v>45604</v>
      </c>
      <c r="D1082" s="18">
        <v>17019.54</v>
      </c>
    </row>
    <row r="1083" spans="1:4">
      <c r="A1083" s="18" t="s">
        <v>29</v>
      </c>
      <c r="B1083" s="18" t="s">
        <v>118</v>
      </c>
      <c r="C1083" s="19">
        <v>45501</v>
      </c>
      <c r="D1083" s="18">
        <v>14584.63</v>
      </c>
    </row>
    <row r="1084" spans="1:4">
      <c r="A1084" s="18" t="s">
        <v>29</v>
      </c>
      <c r="B1084" s="18" t="s">
        <v>118</v>
      </c>
      <c r="C1084" s="19">
        <v>45361</v>
      </c>
      <c r="D1084" s="18">
        <v>11327.11</v>
      </c>
    </row>
    <row r="1085" spans="1:4">
      <c r="A1085" s="18" t="s">
        <v>29</v>
      </c>
      <c r="B1085" s="18" t="s">
        <v>118</v>
      </c>
      <c r="C1085" s="19">
        <v>45385</v>
      </c>
      <c r="D1085" s="18">
        <v>14372.93</v>
      </c>
    </row>
    <row r="1086" spans="1:4">
      <c r="A1086" s="18" t="s">
        <v>29</v>
      </c>
      <c r="B1086" s="18" t="s">
        <v>118</v>
      </c>
      <c r="C1086" s="19">
        <v>45341</v>
      </c>
      <c r="D1086" s="18">
        <v>13258.43</v>
      </c>
    </row>
    <row r="1087" spans="1:4">
      <c r="A1087" s="18" t="s">
        <v>29</v>
      </c>
      <c r="B1087" s="18" t="s">
        <v>118</v>
      </c>
      <c r="C1087" s="19">
        <v>45443</v>
      </c>
      <c r="D1087" s="18">
        <v>20009.71</v>
      </c>
    </row>
    <row r="1088" spans="1:4">
      <c r="A1088" s="18" t="s">
        <v>29</v>
      </c>
      <c r="B1088" s="18" t="s">
        <v>118</v>
      </c>
      <c r="C1088" s="19">
        <v>45318</v>
      </c>
      <c r="D1088" s="18">
        <v>16184.01</v>
      </c>
    </row>
    <row r="1089" spans="1:4">
      <c r="A1089" s="18" t="s">
        <v>29</v>
      </c>
      <c r="B1089" s="18" t="s">
        <v>118</v>
      </c>
      <c r="C1089" s="19">
        <v>45421</v>
      </c>
      <c r="D1089" s="18">
        <v>11412.35</v>
      </c>
    </row>
    <row r="1090" spans="1:4">
      <c r="A1090" s="18" t="s">
        <v>29</v>
      </c>
      <c r="B1090" s="18" t="s">
        <v>118</v>
      </c>
      <c r="C1090" s="19">
        <v>45361</v>
      </c>
      <c r="D1090" s="18">
        <v>16333.81</v>
      </c>
    </row>
    <row r="1091" spans="1:4">
      <c r="A1091" s="18" t="s">
        <v>29</v>
      </c>
      <c r="B1091" s="18" t="s">
        <v>118</v>
      </c>
      <c r="C1091" s="19">
        <v>45450</v>
      </c>
      <c r="D1091" s="18">
        <v>13170.65</v>
      </c>
    </row>
    <row r="1092" spans="1:4">
      <c r="A1092" s="18" t="s">
        <v>29</v>
      </c>
      <c r="B1092" s="18" t="s">
        <v>118</v>
      </c>
      <c r="C1092" s="19">
        <v>45631</v>
      </c>
      <c r="D1092" s="18">
        <v>14597.95</v>
      </c>
    </row>
    <row r="1093" spans="1:4">
      <c r="A1093" s="18" t="s">
        <v>29</v>
      </c>
      <c r="B1093" s="18" t="s">
        <v>118</v>
      </c>
      <c r="C1093" s="19">
        <v>45295</v>
      </c>
      <c r="D1093" s="18">
        <v>15044.06</v>
      </c>
    </row>
    <row r="1094" spans="1:4">
      <c r="A1094" s="18" t="s">
        <v>27</v>
      </c>
      <c r="B1094" s="18" t="s">
        <v>119</v>
      </c>
      <c r="C1094" s="19">
        <v>45545</v>
      </c>
      <c r="D1094" s="18">
        <v>12645.31</v>
      </c>
    </row>
    <row r="1095" spans="1:4">
      <c r="A1095" s="18" t="s">
        <v>27</v>
      </c>
      <c r="B1095" s="18" t="s">
        <v>119</v>
      </c>
      <c r="C1095" s="19">
        <v>45482</v>
      </c>
      <c r="D1095" s="18">
        <v>16944.84</v>
      </c>
    </row>
    <row r="1096" spans="1:4">
      <c r="A1096" s="18" t="s">
        <v>27</v>
      </c>
      <c r="B1096" s="18" t="s">
        <v>119</v>
      </c>
      <c r="C1096" s="19">
        <v>45397</v>
      </c>
      <c r="D1096" s="18">
        <v>14637.16</v>
      </c>
    </row>
    <row r="1097" spans="1:4">
      <c r="A1097" s="18" t="s">
        <v>27</v>
      </c>
      <c r="B1097" s="18" t="s">
        <v>119</v>
      </c>
      <c r="C1097" s="19">
        <v>45455</v>
      </c>
      <c r="D1097" s="18">
        <v>16258.6</v>
      </c>
    </row>
    <row r="1098" spans="1:4">
      <c r="A1098" s="18" t="s">
        <v>27</v>
      </c>
      <c r="B1098" s="18" t="s">
        <v>119</v>
      </c>
      <c r="C1098" s="19">
        <v>45536</v>
      </c>
      <c r="D1098" s="18">
        <v>12337.52</v>
      </c>
    </row>
    <row r="1099" spans="1:4">
      <c r="A1099" s="18" t="s">
        <v>27</v>
      </c>
      <c r="B1099" s="18" t="s">
        <v>119</v>
      </c>
      <c r="C1099" s="19">
        <v>45313</v>
      </c>
      <c r="D1099" s="18">
        <v>17167.14</v>
      </c>
    </row>
    <row r="1100" spans="1:4">
      <c r="A1100" s="18" t="s">
        <v>27</v>
      </c>
      <c r="B1100" s="18" t="s">
        <v>119</v>
      </c>
      <c r="C1100" s="19">
        <v>45345</v>
      </c>
      <c r="D1100" s="18">
        <v>13881.5</v>
      </c>
    </row>
    <row r="1101" spans="1:4">
      <c r="A1101" s="18" t="s">
        <v>27</v>
      </c>
      <c r="B1101" s="18" t="s">
        <v>119</v>
      </c>
      <c r="C1101" s="19">
        <v>45580</v>
      </c>
      <c r="D1101" s="18">
        <v>20180.89</v>
      </c>
    </row>
    <row r="1102" spans="1:4">
      <c r="A1102" s="18" t="s">
        <v>27</v>
      </c>
      <c r="B1102" s="18" t="s">
        <v>119</v>
      </c>
      <c r="C1102" s="19">
        <v>45648</v>
      </c>
      <c r="D1102" s="18">
        <v>13801.09</v>
      </c>
    </row>
    <row r="1103" spans="1:4">
      <c r="A1103" s="18" t="s">
        <v>27</v>
      </c>
      <c r="B1103" s="18" t="s">
        <v>119</v>
      </c>
      <c r="C1103" s="19">
        <v>45470</v>
      </c>
      <c r="D1103" s="18">
        <v>15674.05</v>
      </c>
    </row>
    <row r="1104" spans="1:4">
      <c r="A1104" s="18" t="s">
        <v>27</v>
      </c>
      <c r="B1104" s="18" t="s">
        <v>119</v>
      </c>
      <c r="C1104" s="19">
        <v>45459</v>
      </c>
      <c r="D1104" s="18">
        <v>10744.9</v>
      </c>
    </row>
    <row r="1105" spans="1:4">
      <c r="A1105" s="18" t="s">
        <v>27</v>
      </c>
      <c r="B1105" s="18" t="s">
        <v>119</v>
      </c>
      <c r="C1105" s="19">
        <v>45353</v>
      </c>
      <c r="D1105" s="18">
        <v>10423.030000000001</v>
      </c>
    </row>
    <row r="1106" spans="1:4">
      <c r="A1106" s="18" t="s">
        <v>27</v>
      </c>
      <c r="B1106" s="18" t="s">
        <v>120</v>
      </c>
      <c r="C1106" s="19">
        <v>45523</v>
      </c>
      <c r="D1106" s="18">
        <v>13344.43</v>
      </c>
    </row>
    <row r="1107" spans="1:4">
      <c r="A1107" s="18" t="s">
        <v>27</v>
      </c>
      <c r="B1107" s="18" t="s">
        <v>120</v>
      </c>
      <c r="C1107" s="19">
        <v>45553</v>
      </c>
      <c r="D1107" s="18">
        <v>22674.6</v>
      </c>
    </row>
    <row r="1108" spans="1:4">
      <c r="A1108" s="18" t="s">
        <v>27</v>
      </c>
      <c r="B1108" s="18" t="s">
        <v>120</v>
      </c>
      <c r="C1108" s="19">
        <v>45461</v>
      </c>
      <c r="D1108" s="18">
        <v>13307.26</v>
      </c>
    </row>
    <row r="1109" spans="1:4">
      <c r="A1109" s="18" t="s">
        <v>27</v>
      </c>
      <c r="B1109" s="18" t="s">
        <v>120</v>
      </c>
      <c r="C1109" s="19">
        <v>45533</v>
      </c>
      <c r="D1109" s="18">
        <v>19626.330000000002</v>
      </c>
    </row>
    <row r="1110" spans="1:4">
      <c r="A1110" s="18" t="s">
        <v>27</v>
      </c>
      <c r="B1110" s="18" t="s">
        <v>120</v>
      </c>
      <c r="C1110" s="19">
        <v>45523</v>
      </c>
      <c r="D1110" s="18">
        <v>21018.28</v>
      </c>
    </row>
    <row r="1111" spans="1:4">
      <c r="A1111" s="18" t="s">
        <v>27</v>
      </c>
      <c r="B1111" s="18" t="s">
        <v>120</v>
      </c>
      <c r="C1111" s="19">
        <v>45562</v>
      </c>
      <c r="D1111" s="18">
        <v>21184.51</v>
      </c>
    </row>
    <row r="1112" spans="1:4">
      <c r="A1112" s="18" t="s">
        <v>27</v>
      </c>
      <c r="B1112" s="18" t="s">
        <v>120</v>
      </c>
      <c r="C1112" s="19">
        <v>45496</v>
      </c>
      <c r="D1112" s="18">
        <v>18072.189999999999</v>
      </c>
    </row>
    <row r="1113" spans="1:4">
      <c r="A1113" s="18" t="s">
        <v>27</v>
      </c>
      <c r="B1113" s="18" t="s">
        <v>120</v>
      </c>
      <c r="C1113" s="19">
        <v>45335</v>
      </c>
      <c r="D1113" s="18">
        <v>16777.580000000002</v>
      </c>
    </row>
    <row r="1114" spans="1:4">
      <c r="A1114" s="18" t="s">
        <v>27</v>
      </c>
      <c r="B1114" s="18" t="s">
        <v>120</v>
      </c>
      <c r="C1114" s="19">
        <v>45516</v>
      </c>
      <c r="D1114" s="18">
        <v>17335.080000000002</v>
      </c>
    </row>
    <row r="1115" spans="1:4">
      <c r="A1115" s="18" t="s">
        <v>27</v>
      </c>
      <c r="B1115" s="18" t="s">
        <v>120</v>
      </c>
      <c r="C1115" s="19">
        <v>45410</v>
      </c>
      <c r="D1115" s="18">
        <v>12545.4</v>
      </c>
    </row>
    <row r="1116" spans="1:4">
      <c r="A1116" s="18" t="s">
        <v>27</v>
      </c>
      <c r="B1116" s="18" t="s">
        <v>120</v>
      </c>
      <c r="C1116" s="19">
        <v>45592</v>
      </c>
      <c r="D1116" s="18">
        <v>14989.88</v>
      </c>
    </row>
    <row r="1117" spans="1:4">
      <c r="A1117" s="18" t="s">
        <v>27</v>
      </c>
      <c r="B1117" s="18" t="s">
        <v>120</v>
      </c>
      <c r="C1117" s="19">
        <v>45573</v>
      </c>
      <c r="D1117" s="18">
        <v>13640.32</v>
      </c>
    </row>
    <row r="1118" spans="1:4">
      <c r="A1118" s="18" t="s">
        <v>29</v>
      </c>
      <c r="B1118" s="18" t="s">
        <v>121</v>
      </c>
      <c r="C1118" s="19">
        <v>45420</v>
      </c>
      <c r="D1118" s="18">
        <v>17865.919999999998</v>
      </c>
    </row>
    <row r="1119" spans="1:4">
      <c r="A1119" s="18" t="s">
        <v>29</v>
      </c>
      <c r="B1119" s="18" t="s">
        <v>121</v>
      </c>
      <c r="C1119" s="19">
        <v>45582</v>
      </c>
      <c r="D1119" s="18">
        <v>19432.59</v>
      </c>
    </row>
    <row r="1120" spans="1:4">
      <c r="A1120" s="18" t="s">
        <v>29</v>
      </c>
      <c r="B1120" s="18" t="s">
        <v>121</v>
      </c>
      <c r="C1120" s="19">
        <v>45588</v>
      </c>
      <c r="D1120" s="18">
        <v>14419.02</v>
      </c>
    </row>
    <row r="1121" spans="1:4">
      <c r="A1121" s="18" t="s">
        <v>29</v>
      </c>
      <c r="B1121" s="18" t="s">
        <v>121</v>
      </c>
      <c r="C1121" s="19">
        <v>45464</v>
      </c>
      <c r="D1121" s="18">
        <v>12849.53</v>
      </c>
    </row>
    <row r="1122" spans="1:4">
      <c r="A1122" s="18" t="s">
        <v>29</v>
      </c>
      <c r="B1122" s="18" t="s">
        <v>121</v>
      </c>
      <c r="C1122" s="19">
        <v>45553</v>
      </c>
      <c r="D1122" s="18">
        <v>9400.39</v>
      </c>
    </row>
    <row r="1123" spans="1:4">
      <c r="A1123" s="18" t="s">
        <v>29</v>
      </c>
      <c r="B1123" s="18" t="s">
        <v>121</v>
      </c>
      <c r="C1123" s="19">
        <v>45450</v>
      </c>
      <c r="D1123" s="18">
        <v>14751.96</v>
      </c>
    </row>
    <row r="1124" spans="1:4">
      <c r="A1124" s="18" t="s">
        <v>29</v>
      </c>
      <c r="B1124" s="18" t="s">
        <v>121</v>
      </c>
      <c r="C1124" s="19">
        <v>45599</v>
      </c>
      <c r="D1124" s="18">
        <v>19540.349999999999</v>
      </c>
    </row>
    <row r="1125" spans="1:4">
      <c r="A1125" s="18" t="s">
        <v>29</v>
      </c>
      <c r="B1125" s="18" t="s">
        <v>121</v>
      </c>
      <c r="C1125" s="19">
        <v>45555</v>
      </c>
      <c r="D1125" s="18">
        <v>16892.439999999999</v>
      </c>
    </row>
    <row r="1126" spans="1:4">
      <c r="A1126" s="18" t="s">
        <v>29</v>
      </c>
      <c r="B1126" s="18" t="s">
        <v>121</v>
      </c>
      <c r="C1126" s="19">
        <v>45584</v>
      </c>
      <c r="D1126" s="18">
        <v>11927.44</v>
      </c>
    </row>
    <row r="1127" spans="1:4">
      <c r="A1127" s="18" t="s">
        <v>29</v>
      </c>
      <c r="B1127" s="18" t="s">
        <v>121</v>
      </c>
      <c r="C1127" s="19">
        <v>45507</v>
      </c>
      <c r="D1127" s="18">
        <v>20562.28</v>
      </c>
    </row>
    <row r="1128" spans="1:4">
      <c r="A1128" s="18" t="s">
        <v>29</v>
      </c>
      <c r="B1128" s="18" t="s">
        <v>121</v>
      </c>
      <c r="C1128" s="19">
        <v>45514</v>
      </c>
      <c r="D1128" s="18">
        <v>16746.29</v>
      </c>
    </row>
    <row r="1129" spans="1:4">
      <c r="A1129" s="18" t="s">
        <v>29</v>
      </c>
      <c r="B1129" s="18" t="s">
        <v>121</v>
      </c>
      <c r="C1129" s="19">
        <v>45292</v>
      </c>
      <c r="D1129" s="18">
        <v>14320.55</v>
      </c>
    </row>
    <row r="1130" spans="1:4">
      <c r="A1130" s="18" t="s">
        <v>25</v>
      </c>
      <c r="B1130" s="18" t="s">
        <v>122</v>
      </c>
      <c r="C1130" s="19">
        <v>45318</v>
      </c>
      <c r="D1130" s="18">
        <v>13883.38</v>
      </c>
    </row>
    <row r="1131" spans="1:4">
      <c r="A1131" s="18" t="s">
        <v>25</v>
      </c>
      <c r="B1131" s="18" t="s">
        <v>122</v>
      </c>
      <c r="C1131" s="19">
        <v>45390</v>
      </c>
      <c r="D1131" s="18">
        <v>18266.25</v>
      </c>
    </row>
    <row r="1132" spans="1:4">
      <c r="A1132" s="18" t="s">
        <v>25</v>
      </c>
      <c r="B1132" s="18" t="s">
        <v>122</v>
      </c>
      <c r="C1132" s="19">
        <v>45296</v>
      </c>
      <c r="D1132" s="18">
        <v>20653.759999999998</v>
      </c>
    </row>
    <row r="1133" spans="1:4">
      <c r="A1133" s="18" t="s">
        <v>25</v>
      </c>
      <c r="B1133" s="18" t="s">
        <v>122</v>
      </c>
      <c r="C1133" s="19">
        <v>45402</v>
      </c>
      <c r="D1133" s="18">
        <v>19629.73</v>
      </c>
    </row>
    <row r="1134" spans="1:4">
      <c r="A1134" s="18" t="s">
        <v>25</v>
      </c>
      <c r="B1134" s="18" t="s">
        <v>122</v>
      </c>
      <c r="C1134" s="19">
        <v>45498</v>
      </c>
      <c r="D1134" s="18">
        <v>13533.45</v>
      </c>
    </row>
    <row r="1135" spans="1:4">
      <c r="A1135" s="18" t="s">
        <v>25</v>
      </c>
      <c r="B1135" s="18" t="s">
        <v>122</v>
      </c>
      <c r="C1135" s="19">
        <v>45456</v>
      </c>
      <c r="D1135" s="18">
        <v>11641.15</v>
      </c>
    </row>
    <row r="1136" spans="1:4">
      <c r="A1136" s="18" t="s">
        <v>25</v>
      </c>
      <c r="B1136" s="18" t="s">
        <v>122</v>
      </c>
      <c r="C1136" s="19">
        <v>45619</v>
      </c>
      <c r="D1136" s="18">
        <v>9694.68</v>
      </c>
    </row>
    <row r="1137" spans="1:4">
      <c r="A1137" s="18" t="s">
        <v>25</v>
      </c>
      <c r="B1137" s="18" t="s">
        <v>122</v>
      </c>
      <c r="C1137" s="19">
        <v>45335</v>
      </c>
      <c r="D1137" s="18">
        <v>15969.5</v>
      </c>
    </row>
    <row r="1138" spans="1:4">
      <c r="A1138" s="18" t="s">
        <v>25</v>
      </c>
      <c r="B1138" s="18" t="s">
        <v>122</v>
      </c>
      <c r="C1138" s="19">
        <v>45379</v>
      </c>
      <c r="D1138" s="18">
        <v>14557.19</v>
      </c>
    </row>
    <row r="1139" spans="1:4">
      <c r="A1139" s="18" t="s">
        <v>25</v>
      </c>
      <c r="B1139" s="18" t="s">
        <v>122</v>
      </c>
      <c r="C1139" s="19">
        <v>45634</v>
      </c>
      <c r="D1139" s="18">
        <v>13601.89</v>
      </c>
    </row>
    <row r="1140" spans="1:4">
      <c r="A1140" s="18" t="s">
        <v>25</v>
      </c>
      <c r="B1140" s="18" t="s">
        <v>122</v>
      </c>
      <c r="C1140" s="19">
        <v>45587</v>
      </c>
      <c r="D1140" s="18">
        <v>10215.89</v>
      </c>
    </row>
    <row r="1141" spans="1:4">
      <c r="A1141" s="18" t="s">
        <v>25</v>
      </c>
      <c r="B1141" s="18" t="s">
        <v>122</v>
      </c>
      <c r="C1141" s="19">
        <v>45471</v>
      </c>
      <c r="D1141" s="18">
        <v>16540.8</v>
      </c>
    </row>
    <row r="1142" spans="1:4">
      <c r="A1142" s="18" t="s">
        <v>27</v>
      </c>
      <c r="B1142" s="18" t="s">
        <v>123</v>
      </c>
      <c r="C1142" s="19">
        <v>45577</v>
      </c>
      <c r="D1142" s="18">
        <v>13401.9</v>
      </c>
    </row>
    <row r="1143" spans="1:4">
      <c r="A1143" s="18" t="s">
        <v>27</v>
      </c>
      <c r="B1143" s="18" t="s">
        <v>123</v>
      </c>
      <c r="C1143" s="19">
        <v>45425</v>
      </c>
      <c r="D1143" s="18">
        <v>6383.21</v>
      </c>
    </row>
    <row r="1144" spans="1:4">
      <c r="A1144" s="18" t="s">
        <v>27</v>
      </c>
      <c r="B1144" s="18" t="s">
        <v>123</v>
      </c>
      <c r="C1144" s="19">
        <v>45648</v>
      </c>
      <c r="D1144" s="18">
        <v>20316.75</v>
      </c>
    </row>
    <row r="1145" spans="1:4">
      <c r="A1145" s="18" t="s">
        <v>27</v>
      </c>
      <c r="B1145" s="18" t="s">
        <v>123</v>
      </c>
      <c r="C1145" s="19">
        <v>45455</v>
      </c>
      <c r="D1145" s="18">
        <v>19983.78</v>
      </c>
    </row>
    <row r="1146" spans="1:4">
      <c r="A1146" s="18" t="s">
        <v>27</v>
      </c>
      <c r="B1146" s="18" t="s">
        <v>123</v>
      </c>
      <c r="C1146" s="19">
        <v>45312</v>
      </c>
      <c r="D1146" s="18">
        <v>13193.36</v>
      </c>
    </row>
    <row r="1147" spans="1:4">
      <c r="A1147" s="18" t="s">
        <v>27</v>
      </c>
      <c r="B1147" s="18" t="s">
        <v>123</v>
      </c>
      <c r="C1147" s="19">
        <v>45476</v>
      </c>
      <c r="D1147" s="18">
        <v>12004.84</v>
      </c>
    </row>
    <row r="1148" spans="1:4">
      <c r="A1148" s="18" t="s">
        <v>27</v>
      </c>
      <c r="B1148" s="18" t="s">
        <v>123</v>
      </c>
      <c r="C1148" s="19">
        <v>45521</v>
      </c>
      <c r="D1148" s="18">
        <v>15905.38</v>
      </c>
    </row>
    <row r="1149" spans="1:4">
      <c r="A1149" s="18" t="s">
        <v>27</v>
      </c>
      <c r="B1149" s="18" t="s">
        <v>123</v>
      </c>
      <c r="C1149" s="19">
        <v>45454</v>
      </c>
      <c r="D1149" s="18">
        <v>17298.240000000002</v>
      </c>
    </row>
    <row r="1150" spans="1:4">
      <c r="A1150" s="18" t="s">
        <v>27</v>
      </c>
      <c r="B1150" s="18" t="s">
        <v>123</v>
      </c>
      <c r="C1150" s="19">
        <v>45494</v>
      </c>
      <c r="D1150" s="18">
        <v>18680.8</v>
      </c>
    </row>
    <row r="1151" spans="1:4">
      <c r="A1151" s="18" t="s">
        <v>27</v>
      </c>
      <c r="B1151" s="18" t="s">
        <v>123</v>
      </c>
      <c r="C1151" s="19">
        <v>45402</v>
      </c>
      <c r="D1151" s="18">
        <v>14699.54</v>
      </c>
    </row>
    <row r="1152" spans="1:4">
      <c r="A1152" s="18" t="s">
        <v>27</v>
      </c>
      <c r="B1152" s="18" t="s">
        <v>123</v>
      </c>
      <c r="C1152" s="19">
        <v>45639</v>
      </c>
      <c r="D1152" s="18">
        <v>14388.98</v>
      </c>
    </row>
    <row r="1153" spans="1:4">
      <c r="A1153" s="18" t="s">
        <v>27</v>
      </c>
      <c r="B1153" s="18" t="s">
        <v>123</v>
      </c>
      <c r="C1153" s="19">
        <v>45400</v>
      </c>
      <c r="D1153" s="18">
        <v>12366.05</v>
      </c>
    </row>
    <row r="1154" spans="1:4">
      <c r="A1154" s="18" t="s">
        <v>29</v>
      </c>
      <c r="B1154" s="18" t="s">
        <v>124</v>
      </c>
      <c r="C1154" s="19">
        <v>45349</v>
      </c>
      <c r="D1154" s="18">
        <v>14320.56</v>
      </c>
    </row>
    <row r="1155" spans="1:4">
      <c r="A1155" s="18" t="s">
        <v>29</v>
      </c>
      <c r="B1155" s="18" t="s">
        <v>124</v>
      </c>
      <c r="C1155" s="19">
        <v>45581</v>
      </c>
      <c r="D1155" s="18">
        <v>17740.75</v>
      </c>
    </row>
    <row r="1156" spans="1:4">
      <c r="A1156" s="18" t="s">
        <v>29</v>
      </c>
      <c r="B1156" s="18" t="s">
        <v>124</v>
      </c>
      <c r="C1156" s="19">
        <v>45396</v>
      </c>
      <c r="D1156" s="18">
        <v>12590.46</v>
      </c>
    </row>
    <row r="1157" spans="1:4">
      <c r="A1157" s="18" t="s">
        <v>29</v>
      </c>
      <c r="B1157" s="18" t="s">
        <v>124</v>
      </c>
      <c r="C1157" s="19">
        <v>45374</v>
      </c>
      <c r="D1157" s="18">
        <v>14186.63</v>
      </c>
    </row>
    <row r="1158" spans="1:4">
      <c r="A1158" s="18" t="s">
        <v>29</v>
      </c>
      <c r="B1158" s="18" t="s">
        <v>124</v>
      </c>
      <c r="C1158" s="19">
        <v>45627</v>
      </c>
      <c r="D1158" s="18">
        <v>14935.9</v>
      </c>
    </row>
    <row r="1159" spans="1:4">
      <c r="A1159" s="18" t="s">
        <v>29</v>
      </c>
      <c r="B1159" s="18" t="s">
        <v>124</v>
      </c>
      <c r="C1159" s="19">
        <v>45451</v>
      </c>
      <c r="D1159" s="18">
        <v>7727.28</v>
      </c>
    </row>
    <row r="1160" spans="1:4">
      <c r="A1160" s="18" t="s">
        <v>29</v>
      </c>
      <c r="B1160" s="18" t="s">
        <v>124</v>
      </c>
      <c r="C1160" s="19">
        <v>45368</v>
      </c>
      <c r="D1160" s="18">
        <v>17652.14</v>
      </c>
    </row>
    <row r="1161" spans="1:4">
      <c r="A1161" s="18" t="s">
        <v>29</v>
      </c>
      <c r="B1161" s="18" t="s">
        <v>124</v>
      </c>
      <c r="C1161" s="19">
        <v>45604</v>
      </c>
      <c r="D1161" s="18">
        <v>17210.53</v>
      </c>
    </row>
    <row r="1162" spans="1:4">
      <c r="A1162" s="18" t="s">
        <v>29</v>
      </c>
      <c r="B1162" s="18" t="s">
        <v>124</v>
      </c>
      <c r="C1162" s="19">
        <v>45387</v>
      </c>
      <c r="D1162" s="18">
        <v>14156.02</v>
      </c>
    </row>
    <row r="1163" spans="1:4">
      <c r="A1163" s="18" t="s">
        <v>29</v>
      </c>
      <c r="B1163" s="18" t="s">
        <v>124</v>
      </c>
      <c r="C1163" s="19">
        <v>45396</v>
      </c>
      <c r="D1163" s="18">
        <v>15200.97</v>
      </c>
    </row>
    <row r="1164" spans="1:4">
      <c r="A1164" s="18" t="s">
        <v>29</v>
      </c>
      <c r="B1164" s="18" t="s">
        <v>124</v>
      </c>
      <c r="C1164" s="19">
        <v>45317</v>
      </c>
      <c r="D1164" s="18">
        <v>16547.82</v>
      </c>
    </row>
    <row r="1165" spans="1:4">
      <c r="A1165" s="18" t="s">
        <v>29</v>
      </c>
      <c r="B1165" s="18" t="s">
        <v>124</v>
      </c>
      <c r="C1165" s="19">
        <v>45376</v>
      </c>
      <c r="D1165" s="18">
        <v>13412.84</v>
      </c>
    </row>
    <row r="1166" spans="1:4">
      <c r="A1166" s="18" t="s">
        <v>27</v>
      </c>
      <c r="B1166" s="18" t="s">
        <v>125</v>
      </c>
      <c r="C1166" s="19">
        <v>45298</v>
      </c>
      <c r="D1166" s="18">
        <v>17382.79</v>
      </c>
    </row>
    <row r="1167" spans="1:4">
      <c r="A1167" s="18" t="s">
        <v>27</v>
      </c>
      <c r="B1167" s="18" t="s">
        <v>125</v>
      </c>
      <c r="C1167" s="19">
        <v>45516</v>
      </c>
      <c r="D1167" s="18">
        <v>11237.13</v>
      </c>
    </row>
    <row r="1168" spans="1:4">
      <c r="A1168" s="18" t="s">
        <v>27</v>
      </c>
      <c r="B1168" s="18" t="s">
        <v>125</v>
      </c>
      <c r="C1168" s="19">
        <v>45642</v>
      </c>
      <c r="D1168" s="18">
        <v>15880.67</v>
      </c>
    </row>
    <row r="1169" spans="1:4">
      <c r="A1169" s="18" t="s">
        <v>27</v>
      </c>
      <c r="B1169" s="18" t="s">
        <v>125</v>
      </c>
      <c r="C1169" s="19">
        <v>45597</v>
      </c>
      <c r="D1169" s="18">
        <v>10930.25</v>
      </c>
    </row>
    <row r="1170" spans="1:4">
      <c r="A1170" s="18" t="s">
        <v>27</v>
      </c>
      <c r="B1170" s="18" t="s">
        <v>125</v>
      </c>
      <c r="C1170" s="19">
        <v>45294</v>
      </c>
      <c r="D1170" s="18">
        <v>16399.29</v>
      </c>
    </row>
    <row r="1171" spans="1:4">
      <c r="A1171" s="18" t="s">
        <v>27</v>
      </c>
      <c r="B1171" s="18" t="s">
        <v>125</v>
      </c>
      <c r="C1171" s="19">
        <v>45538</v>
      </c>
      <c r="D1171" s="18">
        <v>10154.6</v>
      </c>
    </row>
    <row r="1172" spans="1:4">
      <c r="A1172" s="18" t="s">
        <v>27</v>
      </c>
      <c r="B1172" s="18" t="s">
        <v>125</v>
      </c>
      <c r="C1172" s="19">
        <v>45417</v>
      </c>
      <c r="D1172" s="18">
        <v>18494.22</v>
      </c>
    </row>
    <row r="1173" spans="1:4">
      <c r="A1173" s="18" t="s">
        <v>27</v>
      </c>
      <c r="B1173" s="18" t="s">
        <v>125</v>
      </c>
      <c r="C1173" s="19">
        <v>45367</v>
      </c>
      <c r="D1173" s="18">
        <v>12569.24</v>
      </c>
    </row>
    <row r="1174" spans="1:4">
      <c r="A1174" s="18" t="s">
        <v>27</v>
      </c>
      <c r="B1174" s="18" t="s">
        <v>125</v>
      </c>
      <c r="C1174" s="19">
        <v>45544</v>
      </c>
      <c r="D1174" s="18">
        <v>15601.71</v>
      </c>
    </row>
    <row r="1175" spans="1:4">
      <c r="A1175" s="18" t="s">
        <v>27</v>
      </c>
      <c r="B1175" s="18" t="s">
        <v>125</v>
      </c>
      <c r="C1175" s="19">
        <v>45539</v>
      </c>
      <c r="D1175" s="18">
        <v>11952.53</v>
      </c>
    </row>
    <row r="1176" spans="1:4">
      <c r="A1176" s="18" t="s">
        <v>27</v>
      </c>
      <c r="B1176" s="18" t="s">
        <v>125</v>
      </c>
      <c r="C1176" s="19">
        <v>45375</v>
      </c>
      <c r="D1176" s="18">
        <v>16286.45</v>
      </c>
    </row>
    <row r="1177" spans="1:4">
      <c r="A1177" s="18" t="s">
        <v>27</v>
      </c>
      <c r="B1177" s="18" t="s">
        <v>125</v>
      </c>
      <c r="C1177" s="19">
        <v>45472</v>
      </c>
      <c r="D1177" s="18">
        <v>17079.32</v>
      </c>
    </row>
    <row r="1178" spans="1:4">
      <c r="A1178" s="18" t="s">
        <v>25</v>
      </c>
      <c r="B1178" s="18" t="s">
        <v>126</v>
      </c>
      <c r="C1178" s="19">
        <v>45635</v>
      </c>
      <c r="D1178" s="18">
        <v>15529.32</v>
      </c>
    </row>
    <row r="1179" spans="1:4">
      <c r="A1179" s="18" t="s">
        <v>25</v>
      </c>
      <c r="B1179" s="18" t="s">
        <v>126</v>
      </c>
      <c r="C1179" s="19">
        <v>45548</v>
      </c>
      <c r="D1179" s="18">
        <v>13898.92</v>
      </c>
    </row>
    <row r="1180" spans="1:4">
      <c r="A1180" s="18" t="s">
        <v>25</v>
      </c>
      <c r="B1180" s="18" t="s">
        <v>126</v>
      </c>
      <c r="C1180" s="19">
        <v>45650</v>
      </c>
      <c r="D1180" s="18">
        <v>12517.23</v>
      </c>
    </row>
    <row r="1181" spans="1:4">
      <c r="A1181" s="18" t="s">
        <v>25</v>
      </c>
      <c r="B1181" s="18" t="s">
        <v>126</v>
      </c>
      <c r="C1181" s="19">
        <v>45533</v>
      </c>
      <c r="D1181" s="18">
        <v>11783.58</v>
      </c>
    </row>
    <row r="1182" spans="1:4">
      <c r="A1182" s="18" t="s">
        <v>25</v>
      </c>
      <c r="B1182" s="18" t="s">
        <v>126</v>
      </c>
      <c r="C1182" s="19">
        <v>45365</v>
      </c>
      <c r="D1182" s="18">
        <v>6235.95</v>
      </c>
    </row>
    <row r="1183" spans="1:4">
      <c r="A1183" s="18" t="s">
        <v>25</v>
      </c>
      <c r="B1183" s="18" t="s">
        <v>126</v>
      </c>
      <c r="C1183" s="19">
        <v>45649</v>
      </c>
      <c r="D1183" s="18">
        <v>16309.68</v>
      </c>
    </row>
    <row r="1184" spans="1:4">
      <c r="A1184" s="18" t="s">
        <v>25</v>
      </c>
      <c r="B1184" s="18" t="s">
        <v>126</v>
      </c>
      <c r="C1184" s="19">
        <v>45527</v>
      </c>
      <c r="D1184" s="18">
        <v>17711.8</v>
      </c>
    </row>
    <row r="1185" spans="1:4">
      <c r="A1185" s="18" t="s">
        <v>25</v>
      </c>
      <c r="B1185" s="18" t="s">
        <v>126</v>
      </c>
      <c r="C1185" s="19">
        <v>45314</v>
      </c>
      <c r="D1185" s="18">
        <v>7911.2</v>
      </c>
    </row>
    <row r="1186" spans="1:4">
      <c r="A1186" s="18" t="s">
        <v>25</v>
      </c>
      <c r="B1186" s="18" t="s">
        <v>126</v>
      </c>
      <c r="C1186" s="19">
        <v>45327</v>
      </c>
      <c r="D1186" s="18">
        <v>11970.81</v>
      </c>
    </row>
    <row r="1187" spans="1:4">
      <c r="A1187" s="18" t="s">
        <v>25</v>
      </c>
      <c r="B1187" s="18" t="s">
        <v>126</v>
      </c>
      <c r="C1187" s="19">
        <v>45385</v>
      </c>
      <c r="D1187" s="18">
        <v>21172.49</v>
      </c>
    </row>
    <row r="1188" spans="1:4">
      <c r="A1188" s="18" t="s">
        <v>25</v>
      </c>
      <c r="B1188" s="18" t="s">
        <v>126</v>
      </c>
      <c r="C1188" s="19">
        <v>45493</v>
      </c>
      <c r="D1188" s="18">
        <v>15062.38</v>
      </c>
    </row>
    <row r="1189" spans="1:4">
      <c r="A1189" s="18" t="s">
        <v>25</v>
      </c>
      <c r="B1189" s="18" t="s">
        <v>126</v>
      </c>
      <c r="C1189" s="19">
        <v>45502</v>
      </c>
      <c r="D1189" s="18">
        <v>12815.99</v>
      </c>
    </row>
    <row r="1190" spans="1:4">
      <c r="A1190" s="18" t="s">
        <v>25</v>
      </c>
      <c r="B1190" s="18" t="s">
        <v>127</v>
      </c>
      <c r="C1190" s="19">
        <v>45519</v>
      </c>
      <c r="D1190" s="18">
        <v>14451.31</v>
      </c>
    </row>
    <row r="1191" spans="1:4">
      <c r="A1191" s="18" t="s">
        <v>25</v>
      </c>
      <c r="B1191" s="18" t="s">
        <v>127</v>
      </c>
      <c r="C1191" s="19">
        <v>45436</v>
      </c>
      <c r="D1191" s="18">
        <v>19124.63</v>
      </c>
    </row>
    <row r="1192" spans="1:4">
      <c r="A1192" s="18" t="s">
        <v>25</v>
      </c>
      <c r="B1192" s="18" t="s">
        <v>127</v>
      </c>
      <c r="C1192" s="19">
        <v>45526</v>
      </c>
      <c r="D1192" s="18">
        <v>13062.11</v>
      </c>
    </row>
    <row r="1193" spans="1:4">
      <c r="A1193" s="18" t="s">
        <v>25</v>
      </c>
      <c r="B1193" s="18" t="s">
        <v>127</v>
      </c>
      <c r="C1193" s="19">
        <v>45359</v>
      </c>
      <c r="D1193" s="18">
        <v>13551.77</v>
      </c>
    </row>
    <row r="1194" spans="1:4">
      <c r="A1194" s="18" t="s">
        <v>25</v>
      </c>
      <c r="B1194" s="18" t="s">
        <v>127</v>
      </c>
      <c r="C1194" s="19">
        <v>45575</v>
      </c>
      <c r="D1194" s="18">
        <v>12140.01</v>
      </c>
    </row>
    <row r="1195" spans="1:4">
      <c r="A1195" s="18" t="s">
        <v>25</v>
      </c>
      <c r="B1195" s="18" t="s">
        <v>127</v>
      </c>
      <c r="C1195" s="19">
        <v>45532</v>
      </c>
      <c r="D1195" s="18">
        <v>15368.01</v>
      </c>
    </row>
    <row r="1196" spans="1:4">
      <c r="A1196" s="18" t="s">
        <v>25</v>
      </c>
      <c r="B1196" s="18" t="s">
        <v>127</v>
      </c>
      <c r="C1196" s="19">
        <v>45498</v>
      </c>
      <c r="D1196" s="18">
        <v>15969.24</v>
      </c>
    </row>
    <row r="1197" spans="1:4">
      <c r="A1197" s="18" t="s">
        <v>25</v>
      </c>
      <c r="B1197" s="18" t="s">
        <v>127</v>
      </c>
      <c r="C1197" s="19">
        <v>45550</v>
      </c>
      <c r="D1197" s="18">
        <v>14242.94</v>
      </c>
    </row>
    <row r="1198" spans="1:4">
      <c r="A1198" s="18" t="s">
        <v>25</v>
      </c>
      <c r="B1198" s="18" t="s">
        <v>127</v>
      </c>
      <c r="C1198" s="19">
        <v>45503</v>
      </c>
      <c r="D1198" s="18">
        <v>14124.57</v>
      </c>
    </row>
    <row r="1199" spans="1:4">
      <c r="A1199" s="18" t="s">
        <v>25</v>
      </c>
      <c r="B1199" s="18" t="s">
        <v>127</v>
      </c>
      <c r="C1199" s="19">
        <v>45492</v>
      </c>
      <c r="D1199" s="18">
        <v>10310.43</v>
      </c>
    </row>
    <row r="1200" spans="1:4">
      <c r="A1200" s="18" t="s">
        <v>25</v>
      </c>
      <c r="B1200" s="18" t="s">
        <v>127</v>
      </c>
      <c r="C1200" s="19">
        <v>45657</v>
      </c>
      <c r="D1200" s="18">
        <v>17649.330000000002</v>
      </c>
    </row>
    <row r="1201" spans="1:4">
      <c r="A1201" s="18" t="s">
        <v>25</v>
      </c>
      <c r="B1201" s="18" t="s">
        <v>127</v>
      </c>
      <c r="C1201" s="19">
        <v>45632</v>
      </c>
      <c r="D1201" s="18">
        <v>14766.49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137A6"/>
  </sheetPr>
  <dimension ref="A1:D1201"/>
  <sheetViews>
    <sheetView showGridLines="0" topLeftCell="A1048545" workbookViewId="0">
      <selection activeCell="C29" sqref="C29"/>
    </sheetView>
  </sheetViews>
  <sheetFormatPr defaultColWidth="9" defaultRowHeight="14.25"/>
  <cols>
    <col min="1" max="1" width="19.7109375" style="18" customWidth="1"/>
    <col min="2" max="2" width="28.7109375" style="18" customWidth="1"/>
    <col min="3" max="3" width="20.7109375" style="18" customWidth="1"/>
    <col min="4" max="4" width="22.140625" style="18" bestFit="1" customWidth="1"/>
    <col min="5" max="16384" width="9" style="18"/>
  </cols>
  <sheetData>
    <row r="1" spans="1:4">
      <c r="A1" s="17" t="s">
        <v>21</v>
      </c>
      <c r="B1" s="17" t="s">
        <v>22</v>
      </c>
      <c r="C1" s="17" t="s">
        <v>23</v>
      </c>
      <c r="D1" s="17" t="s">
        <v>128</v>
      </c>
    </row>
    <row r="2" spans="1:4">
      <c r="A2" s="18" t="s">
        <v>27</v>
      </c>
      <c r="B2" s="18" t="s">
        <v>102</v>
      </c>
      <c r="C2" s="20">
        <v>45477</v>
      </c>
      <c r="D2" s="18">
        <v>18318.84</v>
      </c>
    </row>
    <row r="3" spans="1:4">
      <c r="A3" s="18" t="s">
        <v>27</v>
      </c>
      <c r="B3" s="18" t="s">
        <v>80</v>
      </c>
      <c r="C3" s="20">
        <v>45422</v>
      </c>
      <c r="D3" s="18">
        <v>18107.73</v>
      </c>
    </row>
    <row r="4" spans="1:4">
      <c r="A4" s="18" t="s">
        <v>27</v>
      </c>
      <c r="B4" s="18" t="s">
        <v>98</v>
      </c>
      <c r="C4" s="20">
        <v>45429</v>
      </c>
      <c r="D4" s="18">
        <v>17009.740000000002</v>
      </c>
    </row>
    <row r="5" spans="1:4">
      <c r="A5" s="18" t="s">
        <v>27</v>
      </c>
      <c r="B5" s="18" t="s">
        <v>46</v>
      </c>
      <c r="C5" s="20">
        <v>45340</v>
      </c>
      <c r="D5" s="18">
        <v>16759.21</v>
      </c>
    </row>
    <row r="6" spans="1:4">
      <c r="A6" s="18" t="s">
        <v>29</v>
      </c>
      <c r="B6" s="18" t="s">
        <v>115</v>
      </c>
      <c r="C6" s="20">
        <v>45422</v>
      </c>
      <c r="D6" s="18">
        <v>16660.009999999998</v>
      </c>
    </row>
    <row r="7" spans="1:4">
      <c r="A7" s="18" t="s">
        <v>29</v>
      </c>
      <c r="B7" s="18" t="s">
        <v>89</v>
      </c>
      <c r="C7" s="20">
        <v>45397</v>
      </c>
      <c r="D7" s="18">
        <v>16569.080000000002</v>
      </c>
    </row>
    <row r="8" spans="1:4">
      <c r="A8" s="18" t="s">
        <v>27</v>
      </c>
      <c r="B8" s="18" t="s">
        <v>38</v>
      </c>
      <c r="C8" s="20">
        <v>45363</v>
      </c>
      <c r="D8" s="18">
        <v>16488.62</v>
      </c>
    </row>
    <row r="9" spans="1:4">
      <c r="A9" s="18" t="s">
        <v>25</v>
      </c>
      <c r="B9" s="18" t="s">
        <v>113</v>
      </c>
      <c r="C9" s="20">
        <v>45508</v>
      </c>
      <c r="D9" s="18">
        <v>16053.55</v>
      </c>
    </row>
    <row r="10" spans="1:4">
      <c r="A10" s="18" t="s">
        <v>27</v>
      </c>
      <c r="B10" s="18" t="s">
        <v>52</v>
      </c>
      <c r="C10" s="20">
        <v>45461</v>
      </c>
      <c r="D10" s="18">
        <v>15858.9</v>
      </c>
    </row>
    <row r="11" spans="1:4">
      <c r="A11" s="18" t="s">
        <v>25</v>
      </c>
      <c r="B11" s="18" t="s">
        <v>95</v>
      </c>
      <c r="C11" s="20">
        <v>45320</v>
      </c>
      <c r="D11" s="18">
        <v>15656.13</v>
      </c>
    </row>
    <row r="12" spans="1:4">
      <c r="A12" s="18" t="s">
        <v>25</v>
      </c>
      <c r="B12" s="18" t="s">
        <v>55</v>
      </c>
      <c r="C12" s="20">
        <v>45597</v>
      </c>
      <c r="D12" s="18">
        <v>15637.67</v>
      </c>
    </row>
    <row r="13" spans="1:4">
      <c r="A13" s="18" t="s">
        <v>27</v>
      </c>
      <c r="B13" s="18" t="s">
        <v>38</v>
      </c>
      <c r="C13" s="20">
        <v>45523</v>
      </c>
      <c r="D13" s="18">
        <v>15061.82</v>
      </c>
    </row>
    <row r="14" spans="1:4">
      <c r="A14" s="18" t="s">
        <v>27</v>
      </c>
      <c r="B14" s="18" t="s">
        <v>102</v>
      </c>
      <c r="C14" s="20">
        <v>45516</v>
      </c>
      <c r="D14" s="18">
        <v>14710.8</v>
      </c>
    </row>
    <row r="15" spans="1:4">
      <c r="A15" s="18" t="s">
        <v>27</v>
      </c>
      <c r="B15" s="18" t="s">
        <v>70</v>
      </c>
      <c r="C15" s="20">
        <v>45567</v>
      </c>
      <c r="D15" s="18">
        <v>14661.9</v>
      </c>
    </row>
    <row r="16" spans="1:4">
      <c r="A16" s="18" t="s">
        <v>25</v>
      </c>
      <c r="B16" s="18" t="s">
        <v>39</v>
      </c>
      <c r="C16" s="20">
        <v>45321</v>
      </c>
      <c r="D16" s="18">
        <v>14529.65</v>
      </c>
    </row>
    <row r="17" spans="1:4">
      <c r="A17" s="18" t="s">
        <v>25</v>
      </c>
      <c r="B17" s="18" t="s">
        <v>103</v>
      </c>
      <c r="C17" s="20">
        <v>45519</v>
      </c>
      <c r="D17" s="18">
        <v>14513.59</v>
      </c>
    </row>
    <row r="18" spans="1:4">
      <c r="A18" s="18" t="s">
        <v>25</v>
      </c>
      <c r="B18" s="18" t="s">
        <v>127</v>
      </c>
      <c r="C18" s="20">
        <v>45441</v>
      </c>
      <c r="D18" s="18">
        <v>14498.71</v>
      </c>
    </row>
    <row r="19" spans="1:4">
      <c r="A19" s="18" t="s">
        <v>29</v>
      </c>
      <c r="B19" s="18" t="s">
        <v>97</v>
      </c>
      <c r="C19" s="20">
        <v>45472</v>
      </c>
      <c r="D19" s="18">
        <v>14378.02</v>
      </c>
    </row>
    <row r="20" spans="1:4">
      <c r="A20" s="18" t="s">
        <v>27</v>
      </c>
      <c r="B20" s="18" t="s">
        <v>76</v>
      </c>
      <c r="C20" s="20">
        <v>45457</v>
      </c>
      <c r="D20" s="18">
        <v>14318.29</v>
      </c>
    </row>
    <row r="21" spans="1:4">
      <c r="A21" s="18" t="s">
        <v>29</v>
      </c>
      <c r="B21" s="18" t="s">
        <v>45</v>
      </c>
      <c r="C21" s="20">
        <v>45544</v>
      </c>
      <c r="D21" s="18">
        <v>14130.96</v>
      </c>
    </row>
    <row r="22" spans="1:4">
      <c r="A22" s="18" t="s">
        <v>29</v>
      </c>
      <c r="B22" s="18" t="s">
        <v>87</v>
      </c>
      <c r="C22" s="20">
        <v>45626</v>
      </c>
      <c r="D22" s="18">
        <v>14013.59</v>
      </c>
    </row>
    <row r="23" spans="1:4">
      <c r="A23" s="18" t="s">
        <v>25</v>
      </c>
      <c r="B23" s="18" t="s">
        <v>93</v>
      </c>
      <c r="C23" s="20">
        <v>45539</v>
      </c>
      <c r="D23" s="18">
        <v>14003.04</v>
      </c>
    </row>
    <row r="24" spans="1:4">
      <c r="A24" s="18" t="s">
        <v>29</v>
      </c>
      <c r="B24" s="18" t="s">
        <v>124</v>
      </c>
      <c r="C24" s="20">
        <v>45405</v>
      </c>
      <c r="D24" s="18">
        <v>13970.75</v>
      </c>
    </row>
    <row r="25" spans="1:4">
      <c r="A25" s="18" t="s">
        <v>25</v>
      </c>
      <c r="B25" s="18" t="s">
        <v>39</v>
      </c>
      <c r="C25" s="20">
        <v>45324</v>
      </c>
      <c r="D25" s="18">
        <v>13765.09</v>
      </c>
    </row>
    <row r="26" spans="1:4">
      <c r="A26" s="18" t="s">
        <v>29</v>
      </c>
      <c r="B26" s="18" t="s">
        <v>78</v>
      </c>
      <c r="C26" s="20">
        <v>45502</v>
      </c>
      <c r="D26" s="18">
        <v>13682.02</v>
      </c>
    </row>
    <row r="27" spans="1:4">
      <c r="A27" s="18" t="s">
        <v>29</v>
      </c>
      <c r="B27" s="18" t="s">
        <v>30</v>
      </c>
      <c r="C27" s="20">
        <v>45464</v>
      </c>
      <c r="D27" s="18">
        <v>13611.18</v>
      </c>
    </row>
    <row r="28" spans="1:4">
      <c r="A28" s="18" t="s">
        <v>29</v>
      </c>
      <c r="B28" s="18" t="s">
        <v>91</v>
      </c>
      <c r="C28" s="20">
        <v>45516</v>
      </c>
      <c r="D28" s="18">
        <v>13520.37</v>
      </c>
    </row>
    <row r="29" spans="1:4">
      <c r="A29" s="18" t="s">
        <v>29</v>
      </c>
      <c r="B29" s="18" t="s">
        <v>50</v>
      </c>
      <c r="C29" s="20">
        <v>45555</v>
      </c>
      <c r="D29" s="18">
        <v>13474.53</v>
      </c>
    </row>
    <row r="30" spans="1:4">
      <c r="A30" s="18" t="s">
        <v>29</v>
      </c>
      <c r="B30" s="18" t="s">
        <v>53</v>
      </c>
      <c r="C30" s="20">
        <v>45606</v>
      </c>
      <c r="D30" s="18">
        <v>13467.5</v>
      </c>
    </row>
    <row r="31" spans="1:4">
      <c r="A31" s="18" t="s">
        <v>29</v>
      </c>
      <c r="B31" s="18" t="s">
        <v>48</v>
      </c>
      <c r="C31" s="20">
        <v>45476</v>
      </c>
      <c r="D31" s="18">
        <v>13415.49</v>
      </c>
    </row>
    <row r="32" spans="1:4">
      <c r="A32" s="18" t="s">
        <v>25</v>
      </c>
      <c r="B32" s="18" t="s">
        <v>32</v>
      </c>
      <c r="C32" s="20">
        <v>45471</v>
      </c>
      <c r="D32" s="18">
        <v>13228.57</v>
      </c>
    </row>
    <row r="33" spans="1:4">
      <c r="A33" s="18" t="s">
        <v>25</v>
      </c>
      <c r="B33" s="18" t="s">
        <v>42</v>
      </c>
      <c r="C33" s="20">
        <v>45397</v>
      </c>
      <c r="D33" s="18">
        <v>13221.92</v>
      </c>
    </row>
    <row r="34" spans="1:4">
      <c r="A34" s="18" t="s">
        <v>27</v>
      </c>
      <c r="B34" s="18" t="s">
        <v>49</v>
      </c>
      <c r="C34" s="20">
        <v>45458</v>
      </c>
      <c r="D34" s="18">
        <v>13110.71</v>
      </c>
    </row>
    <row r="35" spans="1:4">
      <c r="A35" s="18" t="s">
        <v>25</v>
      </c>
      <c r="B35" s="18" t="s">
        <v>39</v>
      </c>
      <c r="C35" s="20">
        <v>45500</v>
      </c>
      <c r="D35" s="18">
        <v>13067.64</v>
      </c>
    </row>
    <row r="36" spans="1:4">
      <c r="A36" s="18" t="s">
        <v>27</v>
      </c>
      <c r="B36" s="18" t="s">
        <v>119</v>
      </c>
      <c r="C36" s="20">
        <v>45503</v>
      </c>
      <c r="D36" s="18">
        <v>13050.34</v>
      </c>
    </row>
    <row r="37" spans="1:4">
      <c r="A37" s="18" t="s">
        <v>25</v>
      </c>
      <c r="B37" s="18" t="s">
        <v>75</v>
      </c>
      <c r="C37" s="20">
        <v>45638</v>
      </c>
      <c r="D37" s="18">
        <v>13023.02</v>
      </c>
    </row>
    <row r="38" spans="1:4">
      <c r="A38" s="18" t="s">
        <v>29</v>
      </c>
      <c r="B38" s="18" t="s">
        <v>48</v>
      </c>
      <c r="C38" s="20">
        <v>45619</v>
      </c>
      <c r="D38" s="18">
        <v>12951.27</v>
      </c>
    </row>
    <row r="39" spans="1:4">
      <c r="A39" s="18" t="s">
        <v>29</v>
      </c>
      <c r="B39" s="18" t="s">
        <v>121</v>
      </c>
      <c r="C39" s="20">
        <v>45473</v>
      </c>
      <c r="D39" s="18">
        <v>12884.13</v>
      </c>
    </row>
    <row r="40" spans="1:4">
      <c r="A40" s="18" t="s">
        <v>27</v>
      </c>
      <c r="B40" s="18" t="s">
        <v>120</v>
      </c>
      <c r="C40" s="20">
        <v>45451</v>
      </c>
      <c r="D40" s="18">
        <v>12833.46</v>
      </c>
    </row>
    <row r="41" spans="1:4">
      <c r="A41" s="18" t="s">
        <v>29</v>
      </c>
      <c r="B41" s="18" t="s">
        <v>118</v>
      </c>
      <c r="C41" s="20">
        <v>45424</v>
      </c>
      <c r="D41" s="18">
        <v>12786.53</v>
      </c>
    </row>
    <row r="42" spans="1:4">
      <c r="A42" s="18" t="s">
        <v>27</v>
      </c>
      <c r="B42" s="18" t="s">
        <v>49</v>
      </c>
      <c r="C42" s="20">
        <v>45643</v>
      </c>
      <c r="D42" s="18">
        <v>12717.19</v>
      </c>
    </row>
    <row r="43" spans="1:4">
      <c r="A43" s="18" t="s">
        <v>27</v>
      </c>
      <c r="B43" s="18" t="s">
        <v>92</v>
      </c>
      <c r="C43" s="20">
        <v>45652</v>
      </c>
      <c r="D43" s="18">
        <v>12690.92</v>
      </c>
    </row>
    <row r="44" spans="1:4">
      <c r="A44" s="18" t="s">
        <v>27</v>
      </c>
      <c r="B44" s="18" t="s">
        <v>92</v>
      </c>
      <c r="C44" s="20">
        <v>45417</v>
      </c>
      <c r="D44" s="18">
        <v>12595.06</v>
      </c>
    </row>
    <row r="45" spans="1:4">
      <c r="A45" s="18" t="s">
        <v>27</v>
      </c>
      <c r="B45" s="18" t="s">
        <v>125</v>
      </c>
      <c r="C45" s="20">
        <v>45300</v>
      </c>
      <c r="D45" s="18">
        <v>12594.55</v>
      </c>
    </row>
    <row r="46" spans="1:4">
      <c r="A46" s="18" t="s">
        <v>27</v>
      </c>
      <c r="B46" s="18" t="s">
        <v>36</v>
      </c>
      <c r="C46" s="20">
        <v>45420</v>
      </c>
      <c r="D46" s="18">
        <v>12542.26</v>
      </c>
    </row>
    <row r="47" spans="1:4">
      <c r="A47" s="18" t="s">
        <v>25</v>
      </c>
      <c r="B47" s="18" t="s">
        <v>63</v>
      </c>
      <c r="C47" s="20">
        <v>45325</v>
      </c>
      <c r="D47" s="18">
        <v>12376.77</v>
      </c>
    </row>
    <row r="48" spans="1:4">
      <c r="A48" s="18" t="s">
        <v>29</v>
      </c>
      <c r="B48" s="18" t="s">
        <v>105</v>
      </c>
      <c r="C48" s="20">
        <v>45645</v>
      </c>
      <c r="D48" s="18">
        <v>12365.24</v>
      </c>
    </row>
    <row r="49" spans="1:4">
      <c r="A49" s="18" t="s">
        <v>27</v>
      </c>
      <c r="B49" s="18" t="s">
        <v>37</v>
      </c>
      <c r="C49" s="20">
        <v>45554</v>
      </c>
      <c r="D49" s="18">
        <v>12355.8</v>
      </c>
    </row>
    <row r="50" spans="1:4">
      <c r="A50" s="18" t="s">
        <v>29</v>
      </c>
      <c r="B50" s="18" t="s">
        <v>91</v>
      </c>
      <c r="C50" s="20">
        <v>45634</v>
      </c>
      <c r="D50" s="18">
        <v>12314.72</v>
      </c>
    </row>
    <row r="51" spans="1:4">
      <c r="A51" s="18" t="s">
        <v>29</v>
      </c>
      <c r="B51" s="18" t="s">
        <v>115</v>
      </c>
      <c r="C51" s="20">
        <v>45554</v>
      </c>
      <c r="D51" s="18">
        <v>12290.03</v>
      </c>
    </row>
    <row r="52" spans="1:4">
      <c r="A52" s="18" t="s">
        <v>25</v>
      </c>
      <c r="B52" s="18" t="s">
        <v>75</v>
      </c>
      <c r="C52" s="20">
        <v>45563</v>
      </c>
      <c r="D52" s="18">
        <v>12261.92</v>
      </c>
    </row>
    <row r="53" spans="1:4">
      <c r="A53" s="18" t="s">
        <v>29</v>
      </c>
      <c r="B53" s="18" t="s">
        <v>71</v>
      </c>
      <c r="C53" s="20">
        <v>45489</v>
      </c>
      <c r="D53" s="18">
        <v>12214.57</v>
      </c>
    </row>
    <row r="54" spans="1:4">
      <c r="A54" s="18" t="s">
        <v>25</v>
      </c>
      <c r="B54" s="18" t="s">
        <v>26</v>
      </c>
      <c r="C54" s="20">
        <v>45294</v>
      </c>
      <c r="D54" s="18">
        <v>11874.58</v>
      </c>
    </row>
    <row r="55" spans="1:4">
      <c r="A55" s="18" t="s">
        <v>25</v>
      </c>
      <c r="B55" s="18" t="s">
        <v>33</v>
      </c>
      <c r="C55" s="20">
        <v>45556</v>
      </c>
      <c r="D55" s="18">
        <v>11853.5</v>
      </c>
    </row>
    <row r="56" spans="1:4">
      <c r="A56" s="18" t="s">
        <v>27</v>
      </c>
      <c r="B56" s="18" t="s">
        <v>51</v>
      </c>
      <c r="C56" s="20">
        <v>45654</v>
      </c>
      <c r="D56" s="18">
        <v>11820.57</v>
      </c>
    </row>
    <row r="57" spans="1:4">
      <c r="A57" s="18" t="s">
        <v>27</v>
      </c>
      <c r="B57" s="18" t="s">
        <v>119</v>
      </c>
      <c r="C57" s="20">
        <v>45525</v>
      </c>
      <c r="D57" s="18">
        <v>11730.36</v>
      </c>
    </row>
    <row r="58" spans="1:4">
      <c r="A58" s="18" t="s">
        <v>25</v>
      </c>
      <c r="B58" s="18" t="s">
        <v>26</v>
      </c>
      <c r="C58" s="20">
        <v>45606</v>
      </c>
      <c r="D58" s="18">
        <v>11661.61</v>
      </c>
    </row>
    <row r="59" spans="1:4">
      <c r="A59" s="18" t="s">
        <v>27</v>
      </c>
      <c r="B59" s="18" t="s">
        <v>46</v>
      </c>
      <c r="C59" s="20">
        <v>45303</v>
      </c>
      <c r="D59" s="18">
        <v>11489.28</v>
      </c>
    </row>
    <row r="60" spans="1:4">
      <c r="A60" s="18" t="s">
        <v>25</v>
      </c>
      <c r="B60" s="18" t="s">
        <v>95</v>
      </c>
      <c r="C60" s="20">
        <v>45459</v>
      </c>
      <c r="D60" s="18">
        <v>11480.27</v>
      </c>
    </row>
    <row r="61" spans="1:4">
      <c r="A61" s="18" t="s">
        <v>27</v>
      </c>
      <c r="B61" s="18" t="s">
        <v>38</v>
      </c>
      <c r="C61" s="20">
        <v>45406</v>
      </c>
      <c r="D61" s="18">
        <v>11463.02</v>
      </c>
    </row>
    <row r="62" spans="1:4">
      <c r="A62" s="18" t="s">
        <v>29</v>
      </c>
      <c r="B62" s="18" t="s">
        <v>57</v>
      </c>
      <c r="C62" s="20">
        <v>45631</v>
      </c>
      <c r="D62" s="18">
        <v>11342.77</v>
      </c>
    </row>
    <row r="63" spans="1:4">
      <c r="A63" s="18" t="s">
        <v>29</v>
      </c>
      <c r="B63" s="18" t="s">
        <v>60</v>
      </c>
      <c r="C63" s="20">
        <v>45551</v>
      </c>
      <c r="D63" s="18">
        <v>11321.34</v>
      </c>
    </row>
    <row r="64" spans="1:4">
      <c r="A64" s="18" t="s">
        <v>25</v>
      </c>
      <c r="B64" s="18" t="s">
        <v>34</v>
      </c>
      <c r="C64" s="20">
        <v>45402</v>
      </c>
      <c r="D64" s="18">
        <v>11308.73</v>
      </c>
    </row>
    <row r="65" spans="1:4">
      <c r="A65" s="18" t="s">
        <v>25</v>
      </c>
      <c r="B65" s="18" t="s">
        <v>42</v>
      </c>
      <c r="C65" s="20">
        <v>45315</v>
      </c>
      <c r="D65" s="18">
        <v>11301.67</v>
      </c>
    </row>
    <row r="66" spans="1:4">
      <c r="A66" s="18" t="s">
        <v>29</v>
      </c>
      <c r="B66" s="18" t="s">
        <v>116</v>
      </c>
      <c r="C66" s="20">
        <v>45357</v>
      </c>
      <c r="D66" s="18">
        <v>11262.95</v>
      </c>
    </row>
    <row r="67" spans="1:4">
      <c r="A67" s="18" t="s">
        <v>27</v>
      </c>
      <c r="B67" s="18" t="s">
        <v>31</v>
      </c>
      <c r="C67" s="20">
        <v>45516</v>
      </c>
      <c r="D67" s="18">
        <v>11254.07</v>
      </c>
    </row>
    <row r="68" spans="1:4">
      <c r="A68" s="18" t="s">
        <v>29</v>
      </c>
      <c r="B68" s="18" t="s">
        <v>43</v>
      </c>
      <c r="C68" s="20">
        <v>45297</v>
      </c>
      <c r="D68" s="18">
        <v>11166.65</v>
      </c>
    </row>
    <row r="69" spans="1:4">
      <c r="A69" s="18" t="s">
        <v>29</v>
      </c>
      <c r="B69" s="18" t="s">
        <v>30</v>
      </c>
      <c r="C69" s="20">
        <v>45495</v>
      </c>
      <c r="D69" s="18">
        <v>11164.13</v>
      </c>
    </row>
    <row r="70" spans="1:4">
      <c r="A70" s="18" t="s">
        <v>25</v>
      </c>
      <c r="B70" s="18" t="s">
        <v>32</v>
      </c>
      <c r="C70" s="20">
        <v>45502</v>
      </c>
      <c r="D70" s="18">
        <v>11127.29</v>
      </c>
    </row>
    <row r="71" spans="1:4">
      <c r="A71" s="18" t="s">
        <v>25</v>
      </c>
      <c r="B71" s="18" t="s">
        <v>111</v>
      </c>
      <c r="C71" s="20">
        <v>45387</v>
      </c>
      <c r="D71" s="18">
        <v>11036.62</v>
      </c>
    </row>
    <row r="72" spans="1:4">
      <c r="A72" s="18" t="s">
        <v>27</v>
      </c>
      <c r="B72" s="18" t="s">
        <v>83</v>
      </c>
      <c r="C72" s="20">
        <v>45401</v>
      </c>
      <c r="D72" s="18">
        <v>10833.43</v>
      </c>
    </row>
    <row r="73" spans="1:4">
      <c r="A73" s="18" t="s">
        <v>29</v>
      </c>
      <c r="B73" s="18" t="s">
        <v>105</v>
      </c>
      <c r="C73" s="20">
        <v>45495</v>
      </c>
      <c r="D73" s="18">
        <v>10832.43</v>
      </c>
    </row>
    <row r="74" spans="1:4">
      <c r="A74" s="18" t="s">
        <v>25</v>
      </c>
      <c r="B74" s="18" t="s">
        <v>88</v>
      </c>
      <c r="C74" s="20">
        <v>45506</v>
      </c>
      <c r="D74" s="18">
        <v>10792.89</v>
      </c>
    </row>
    <row r="75" spans="1:4">
      <c r="A75" s="18" t="s">
        <v>27</v>
      </c>
      <c r="B75" s="18" t="s">
        <v>120</v>
      </c>
      <c r="C75" s="20">
        <v>45438</v>
      </c>
      <c r="D75" s="18">
        <v>10785.55</v>
      </c>
    </row>
    <row r="76" spans="1:4">
      <c r="A76" s="18" t="s">
        <v>29</v>
      </c>
      <c r="B76" s="18" t="s">
        <v>116</v>
      </c>
      <c r="C76" s="20">
        <v>45419</v>
      </c>
      <c r="D76" s="18">
        <v>10651.53</v>
      </c>
    </row>
    <row r="77" spans="1:4">
      <c r="A77" s="18" t="s">
        <v>25</v>
      </c>
      <c r="B77" s="18" t="s">
        <v>79</v>
      </c>
      <c r="C77" s="20">
        <v>45381</v>
      </c>
      <c r="D77" s="18">
        <v>10634.18</v>
      </c>
    </row>
    <row r="78" spans="1:4">
      <c r="A78" s="18" t="s">
        <v>29</v>
      </c>
      <c r="B78" s="18" t="s">
        <v>81</v>
      </c>
      <c r="C78" s="20">
        <v>45637</v>
      </c>
      <c r="D78" s="18">
        <v>10594.84</v>
      </c>
    </row>
    <row r="79" spans="1:4">
      <c r="A79" s="18" t="s">
        <v>29</v>
      </c>
      <c r="B79" s="18" t="s">
        <v>87</v>
      </c>
      <c r="C79" s="20">
        <v>45488</v>
      </c>
      <c r="D79" s="18">
        <v>10563.37</v>
      </c>
    </row>
    <row r="80" spans="1:4">
      <c r="A80" s="18" t="s">
        <v>27</v>
      </c>
      <c r="B80" s="18" t="s">
        <v>73</v>
      </c>
      <c r="C80" s="20">
        <v>45324</v>
      </c>
      <c r="D80" s="18">
        <v>10482.69</v>
      </c>
    </row>
    <row r="81" spans="1:4">
      <c r="A81" s="18" t="s">
        <v>25</v>
      </c>
      <c r="B81" s="18" t="s">
        <v>126</v>
      </c>
      <c r="C81" s="20">
        <v>45355</v>
      </c>
      <c r="D81" s="18">
        <v>10476.620000000001</v>
      </c>
    </row>
    <row r="82" spans="1:4">
      <c r="A82" s="18" t="s">
        <v>29</v>
      </c>
      <c r="B82" s="18" t="s">
        <v>68</v>
      </c>
      <c r="C82" s="20">
        <v>45513</v>
      </c>
      <c r="D82" s="18">
        <v>10424.040000000001</v>
      </c>
    </row>
    <row r="83" spans="1:4">
      <c r="A83" s="18" t="s">
        <v>27</v>
      </c>
      <c r="B83" s="18" t="s">
        <v>98</v>
      </c>
      <c r="C83" s="20">
        <v>45507</v>
      </c>
      <c r="D83" s="18">
        <v>10379.02</v>
      </c>
    </row>
    <row r="84" spans="1:4">
      <c r="A84" s="18" t="s">
        <v>29</v>
      </c>
      <c r="B84" s="18" t="s">
        <v>67</v>
      </c>
      <c r="C84" s="20">
        <v>45489</v>
      </c>
      <c r="D84" s="18">
        <v>10372.41</v>
      </c>
    </row>
    <row r="85" spans="1:4">
      <c r="A85" s="18" t="s">
        <v>27</v>
      </c>
      <c r="B85" s="18" t="s">
        <v>80</v>
      </c>
      <c r="C85" s="20">
        <v>45562</v>
      </c>
      <c r="D85" s="18">
        <v>10362.620000000001</v>
      </c>
    </row>
    <row r="86" spans="1:4">
      <c r="A86" s="18" t="s">
        <v>29</v>
      </c>
      <c r="B86" s="18" t="s">
        <v>118</v>
      </c>
      <c r="C86" s="20">
        <v>45328</v>
      </c>
      <c r="D86" s="18">
        <v>10354.31</v>
      </c>
    </row>
    <row r="87" spans="1:4">
      <c r="A87" s="18" t="s">
        <v>27</v>
      </c>
      <c r="B87" s="18" t="s">
        <v>31</v>
      </c>
      <c r="C87" s="20">
        <v>45624</v>
      </c>
      <c r="D87" s="18">
        <v>10347.43</v>
      </c>
    </row>
    <row r="88" spans="1:4">
      <c r="A88" s="18" t="s">
        <v>25</v>
      </c>
      <c r="B88" s="18" t="s">
        <v>117</v>
      </c>
      <c r="C88" s="20">
        <v>45614</v>
      </c>
      <c r="D88" s="18">
        <v>10345.459999999999</v>
      </c>
    </row>
    <row r="89" spans="1:4">
      <c r="A89" s="18" t="s">
        <v>25</v>
      </c>
      <c r="B89" s="18" t="s">
        <v>117</v>
      </c>
      <c r="C89" s="20">
        <v>45599</v>
      </c>
      <c r="D89" s="18">
        <v>10262.040000000001</v>
      </c>
    </row>
    <row r="90" spans="1:4">
      <c r="A90" s="18" t="s">
        <v>25</v>
      </c>
      <c r="B90" s="18" t="s">
        <v>55</v>
      </c>
      <c r="C90" s="20">
        <v>45608</v>
      </c>
      <c r="D90" s="18">
        <v>10251.879999999999</v>
      </c>
    </row>
    <row r="91" spans="1:4">
      <c r="A91" s="18" t="s">
        <v>27</v>
      </c>
      <c r="B91" s="18" t="s">
        <v>73</v>
      </c>
      <c r="C91" s="20">
        <v>45391</v>
      </c>
      <c r="D91" s="18">
        <v>10239.16</v>
      </c>
    </row>
    <row r="92" spans="1:4">
      <c r="A92" s="18" t="s">
        <v>29</v>
      </c>
      <c r="B92" s="18" t="s">
        <v>115</v>
      </c>
      <c r="C92" s="20">
        <v>45496</v>
      </c>
      <c r="D92" s="18">
        <v>10224.92</v>
      </c>
    </row>
    <row r="93" spans="1:4">
      <c r="A93" s="18" t="s">
        <v>27</v>
      </c>
      <c r="B93" s="18" t="s">
        <v>100</v>
      </c>
      <c r="C93" s="20">
        <v>45514</v>
      </c>
      <c r="D93" s="18">
        <v>10209.959999999999</v>
      </c>
    </row>
    <row r="94" spans="1:4">
      <c r="A94" s="18" t="s">
        <v>27</v>
      </c>
      <c r="B94" s="18" t="s">
        <v>100</v>
      </c>
      <c r="C94" s="20">
        <v>45390</v>
      </c>
      <c r="D94" s="18">
        <v>10200.209999999999</v>
      </c>
    </row>
    <row r="95" spans="1:4">
      <c r="A95" s="18" t="s">
        <v>29</v>
      </c>
      <c r="B95" s="18" t="s">
        <v>57</v>
      </c>
      <c r="C95" s="20">
        <v>45354</v>
      </c>
      <c r="D95" s="18">
        <v>10119.219999999999</v>
      </c>
    </row>
    <row r="96" spans="1:4">
      <c r="A96" s="18" t="s">
        <v>27</v>
      </c>
      <c r="B96" s="18" t="s">
        <v>80</v>
      </c>
      <c r="C96" s="20">
        <v>45629</v>
      </c>
      <c r="D96" s="18">
        <v>10029.1</v>
      </c>
    </row>
    <row r="97" spans="1:4">
      <c r="A97" s="18" t="s">
        <v>25</v>
      </c>
      <c r="B97" s="18" t="s">
        <v>56</v>
      </c>
      <c r="C97" s="20">
        <v>45612</v>
      </c>
      <c r="D97" s="18">
        <v>10003.67</v>
      </c>
    </row>
    <row r="98" spans="1:4">
      <c r="A98" s="18" t="s">
        <v>29</v>
      </c>
      <c r="B98" s="18" t="s">
        <v>116</v>
      </c>
      <c r="C98" s="20">
        <v>45466</v>
      </c>
      <c r="D98" s="18">
        <v>9963.9</v>
      </c>
    </row>
    <row r="99" spans="1:4">
      <c r="A99" s="18" t="s">
        <v>25</v>
      </c>
      <c r="B99" s="18" t="s">
        <v>34</v>
      </c>
      <c r="C99" s="20">
        <v>45354</v>
      </c>
      <c r="D99" s="18">
        <v>9929.89</v>
      </c>
    </row>
    <row r="100" spans="1:4">
      <c r="A100" s="18" t="s">
        <v>29</v>
      </c>
      <c r="B100" s="18" t="s">
        <v>78</v>
      </c>
      <c r="C100" s="20">
        <v>45594</v>
      </c>
      <c r="D100" s="18">
        <v>9885.66</v>
      </c>
    </row>
    <row r="101" spans="1:4">
      <c r="A101" s="18" t="s">
        <v>27</v>
      </c>
      <c r="B101" s="18" t="s">
        <v>123</v>
      </c>
      <c r="C101" s="20">
        <v>45586</v>
      </c>
      <c r="D101" s="18">
        <v>9875.1</v>
      </c>
    </row>
    <row r="102" spans="1:4">
      <c r="A102" s="18" t="s">
        <v>25</v>
      </c>
      <c r="B102" s="18" t="s">
        <v>96</v>
      </c>
      <c r="C102" s="20">
        <v>45463</v>
      </c>
      <c r="D102" s="18">
        <v>9814.14</v>
      </c>
    </row>
    <row r="103" spans="1:4">
      <c r="A103" s="18" t="s">
        <v>25</v>
      </c>
      <c r="B103" s="18" t="s">
        <v>39</v>
      </c>
      <c r="C103" s="20">
        <v>45328</v>
      </c>
      <c r="D103" s="18">
        <v>9775.2800000000007</v>
      </c>
    </row>
    <row r="104" spans="1:4">
      <c r="A104" s="18" t="s">
        <v>27</v>
      </c>
      <c r="B104" s="18" t="s">
        <v>110</v>
      </c>
      <c r="C104" s="20">
        <v>45586</v>
      </c>
      <c r="D104" s="18">
        <v>9747.75</v>
      </c>
    </row>
    <row r="105" spans="1:4">
      <c r="A105" s="18" t="s">
        <v>25</v>
      </c>
      <c r="B105" s="18" t="s">
        <v>93</v>
      </c>
      <c r="C105" s="20">
        <v>45577</v>
      </c>
      <c r="D105" s="18">
        <v>9720.17</v>
      </c>
    </row>
    <row r="106" spans="1:4">
      <c r="A106" s="18" t="s">
        <v>25</v>
      </c>
      <c r="B106" s="18" t="s">
        <v>74</v>
      </c>
      <c r="C106" s="20">
        <v>45513</v>
      </c>
      <c r="D106" s="18">
        <v>9718.4699999999993</v>
      </c>
    </row>
    <row r="107" spans="1:4">
      <c r="A107" s="18" t="s">
        <v>25</v>
      </c>
      <c r="B107" s="18" t="s">
        <v>86</v>
      </c>
      <c r="C107" s="20">
        <v>45325</v>
      </c>
      <c r="D107" s="18">
        <v>9701.83</v>
      </c>
    </row>
    <row r="108" spans="1:4">
      <c r="A108" s="18" t="s">
        <v>27</v>
      </c>
      <c r="B108" s="18" t="s">
        <v>102</v>
      </c>
      <c r="C108" s="20">
        <v>45575</v>
      </c>
      <c r="D108" s="18">
        <v>9655.2000000000007</v>
      </c>
    </row>
    <row r="109" spans="1:4">
      <c r="A109" s="18" t="s">
        <v>27</v>
      </c>
      <c r="B109" s="18" t="s">
        <v>61</v>
      </c>
      <c r="C109" s="20">
        <v>45439</v>
      </c>
      <c r="D109" s="18">
        <v>9653.74</v>
      </c>
    </row>
    <row r="110" spans="1:4">
      <c r="A110" s="18" t="s">
        <v>25</v>
      </c>
      <c r="B110" s="18" t="s">
        <v>117</v>
      </c>
      <c r="C110" s="20">
        <v>45399</v>
      </c>
      <c r="D110" s="18">
        <v>9598.75</v>
      </c>
    </row>
    <row r="111" spans="1:4">
      <c r="A111" s="18" t="s">
        <v>25</v>
      </c>
      <c r="B111" s="18" t="s">
        <v>106</v>
      </c>
      <c r="C111" s="20">
        <v>45462</v>
      </c>
      <c r="D111" s="18">
        <v>9554.31</v>
      </c>
    </row>
    <row r="112" spans="1:4">
      <c r="A112" s="18" t="s">
        <v>25</v>
      </c>
      <c r="B112" s="18" t="s">
        <v>35</v>
      </c>
      <c r="C112" s="20">
        <v>45484</v>
      </c>
      <c r="D112" s="18">
        <v>9541.27</v>
      </c>
    </row>
    <row r="113" spans="1:4">
      <c r="A113" s="18" t="s">
        <v>29</v>
      </c>
      <c r="B113" s="18" t="s">
        <v>81</v>
      </c>
      <c r="C113" s="20">
        <v>45335</v>
      </c>
      <c r="D113" s="18">
        <v>9474.69</v>
      </c>
    </row>
    <row r="114" spans="1:4">
      <c r="A114" s="18" t="s">
        <v>29</v>
      </c>
      <c r="B114" s="18" t="s">
        <v>124</v>
      </c>
      <c r="C114" s="20">
        <v>45603</v>
      </c>
      <c r="D114" s="18">
        <v>9469.4599999999991</v>
      </c>
    </row>
    <row r="115" spans="1:4">
      <c r="A115" s="18" t="s">
        <v>25</v>
      </c>
      <c r="B115" s="18" t="s">
        <v>95</v>
      </c>
      <c r="C115" s="20">
        <v>45650</v>
      </c>
      <c r="D115" s="18">
        <v>9459.84</v>
      </c>
    </row>
    <row r="116" spans="1:4">
      <c r="A116" s="18" t="s">
        <v>25</v>
      </c>
      <c r="B116" s="18" t="s">
        <v>35</v>
      </c>
      <c r="C116" s="20">
        <v>45509</v>
      </c>
      <c r="D116" s="18">
        <v>9431.15</v>
      </c>
    </row>
    <row r="117" spans="1:4">
      <c r="A117" s="18" t="s">
        <v>29</v>
      </c>
      <c r="B117" s="18" t="s">
        <v>94</v>
      </c>
      <c r="C117" s="20">
        <v>45384</v>
      </c>
      <c r="D117" s="18">
        <v>9385.9500000000007</v>
      </c>
    </row>
    <row r="118" spans="1:4">
      <c r="A118" s="18" t="s">
        <v>25</v>
      </c>
      <c r="B118" s="18" t="s">
        <v>32</v>
      </c>
      <c r="C118" s="20">
        <v>45577</v>
      </c>
      <c r="D118" s="18">
        <v>9385.7900000000009</v>
      </c>
    </row>
    <row r="119" spans="1:4">
      <c r="A119" s="18" t="s">
        <v>25</v>
      </c>
      <c r="B119" s="18" t="s">
        <v>103</v>
      </c>
      <c r="C119" s="20">
        <v>45514</v>
      </c>
      <c r="D119" s="18">
        <v>9323.52</v>
      </c>
    </row>
    <row r="120" spans="1:4">
      <c r="A120" s="18" t="s">
        <v>29</v>
      </c>
      <c r="B120" s="18" t="s">
        <v>67</v>
      </c>
      <c r="C120" s="20">
        <v>45578</v>
      </c>
      <c r="D120" s="18">
        <v>9304.5300000000007</v>
      </c>
    </row>
    <row r="121" spans="1:4">
      <c r="A121" s="18" t="s">
        <v>27</v>
      </c>
      <c r="B121" s="18" t="s">
        <v>102</v>
      </c>
      <c r="C121" s="20">
        <v>45417</v>
      </c>
      <c r="D121" s="18">
        <v>9239.2800000000007</v>
      </c>
    </row>
    <row r="122" spans="1:4">
      <c r="A122" s="18" t="s">
        <v>25</v>
      </c>
      <c r="B122" s="18" t="s">
        <v>117</v>
      </c>
      <c r="C122" s="20">
        <v>45622</v>
      </c>
      <c r="D122" s="18">
        <v>9235.33</v>
      </c>
    </row>
    <row r="123" spans="1:4">
      <c r="A123" s="18" t="s">
        <v>29</v>
      </c>
      <c r="B123" s="18" t="s">
        <v>69</v>
      </c>
      <c r="C123" s="20">
        <v>45294</v>
      </c>
      <c r="D123" s="18">
        <v>9231.2099999999991</v>
      </c>
    </row>
    <row r="124" spans="1:4">
      <c r="A124" s="18" t="s">
        <v>25</v>
      </c>
      <c r="B124" s="18" t="s">
        <v>96</v>
      </c>
      <c r="C124" s="20">
        <v>45365</v>
      </c>
      <c r="D124" s="18">
        <v>9210.5400000000009</v>
      </c>
    </row>
    <row r="125" spans="1:4">
      <c r="A125" s="18" t="s">
        <v>25</v>
      </c>
      <c r="B125" s="18" t="s">
        <v>32</v>
      </c>
      <c r="C125" s="20">
        <v>45597</v>
      </c>
      <c r="D125" s="18">
        <v>9187.94</v>
      </c>
    </row>
    <row r="126" spans="1:4">
      <c r="A126" s="18" t="s">
        <v>25</v>
      </c>
      <c r="B126" s="18" t="s">
        <v>32</v>
      </c>
      <c r="C126" s="20">
        <v>45453</v>
      </c>
      <c r="D126" s="18">
        <v>9172.2900000000009</v>
      </c>
    </row>
    <row r="127" spans="1:4">
      <c r="A127" s="18" t="s">
        <v>25</v>
      </c>
      <c r="B127" s="18" t="s">
        <v>58</v>
      </c>
      <c r="C127" s="20">
        <v>45305</v>
      </c>
      <c r="D127" s="18">
        <v>9159.1</v>
      </c>
    </row>
    <row r="128" spans="1:4">
      <c r="A128" s="18" t="s">
        <v>29</v>
      </c>
      <c r="B128" s="18" t="s">
        <v>116</v>
      </c>
      <c r="C128" s="20">
        <v>45654</v>
      </c>
      <c r="D128" s="18">
        <v>9130.32</v>
      </c>
    </row>
    <row r="129" spans="1:4">
      <c r="A129" s="18" t="s">
        <v>25</v>
      </c>
      <c r="B129" s="18" t="s">
        <v>55</v>
      </c>
      <c r="C129" s="20">
        <v>45424</v>
      </c>
      <c r="D129" s="18">
        <v>9081.83</v>
      </c>
    </row>
    <row r="130" spans="1:4">
      <c r="A130" s="18" t="s">
        <v>29</v>
      </c>
      <c r="B130" s="18" t="s">
        <v>91</v>
      </c>
      <c r="C130" s="20">
        <v>45538</v>
      </c>
      <c r="D130" s="18">
        <v>9042.7000000000007</v>
      </c>
    </row>
    <row r="131" spans="1:4">
      <c r="A131" s="18" t="s">
        <v>29</v>
      </c>
      <c r="B131" s="18" t="s">
        <v>30</v>
      </c>
      <c r="C131" s="20">
        <v>45458</v>
      </c>
      <c r="D131" s="18">
        <v>9030.2000000000007</v>
      </c>
    </row>
    <row r="132" spans="1:4">
      <c r="A132" s="18" t="s">
        <v>25</v>
      </c>
      <c r="B132" s="18" t="s">
        <v>58</v>
      </c>
      <c r="C132" s="20">
        <v>45637</v>
      </c>
      <c r="D132" s="18">
        <v>9017.68</v>
      </c>
    </row>
    <row r="133" spans="1:4">
      <c r="A133" s="18" t="s">
        <v>27</v>
      </c>
      <c r="B133" s="18" t="s">
        <v>82</v>
      </c>
      <c r="C133" s="20">
        <v>45361</v>
      </c>
      <c r="D133" s="18">
        <v>8997.5300000000007</v>
      </c>
    </row>
    <row r="134" spans="1:4">
      <c r="A134" s="18" t="s">
        <v>25</v>
      </c>
      <c r="B134" s="18" t="s">
        <v>117</v>
      </c>
      <c r="C134" s="20">
        <v>45337</v>
      </c>
      <c r="D134" s="18">
        <v>8963.01</v>
      </c>
    </row>
    <row r="135" spans="1:4">
      <c r="A135" s="18" t="s">
        <v>25</v>
      </c>
      <c r="B135" s="18" t="s">
        <v>93</v>
      </c>
      <c r="C135" s="20">
        <v>45602</v>
      </c>
      <c r="D135" s="18">
        <v>8955.16</v>
      </c>
    </row>
    <row r="136" spans="1:4">
      <c r="A136" s="18" t="s">
        <v>25</v>
      </c>
      <c r="B136" s="18" t="s">
        <v>59</v>
      </c>
      <c r="C136" s="20">
        <v>45546</v>
      </c>
      <c r="D136" s="18">
        <v>8942.4599999999991</v>
      </c>
    </row>
    <row r="137" spans="1:4">
      <c r="A137" s="18" t="s">
        <v>25</v>
      </c>
      <c r="B137" s="18" t="s">
        <v>75</v>
      </c>
      <c r="C137" s="20">
        <v>45511</v>
      </c>
      <c r="D137" s="18">
        <v>8888.5400000000009</v>
      </c>
    </row>
    <row r="138" spans="1:4">
      <c r="A138" s="18" t="s">
        <v>29</v>
      </c>
      <c r="B138" s="18" t="s">
        <v>53</v>
      </c>
      <c r="C138" s="20">
        <v>45367</v>
      </c>
      <c r="D138" s="18">
        <v>8813.85</v>
      </c>
    </row>
    <row r="139" spans="1:4">
      <c r="A139" s="18" t="s">
        <v>25</v>
      </c>
      <c r="B139" s="18" t="s">
        <v>75</v>
      </c>
      <c r="C139" s="20">
        <v>45486</v>
      </c>
      <c r="D139" s="18">
        <v>8786.2199999999993</v>
      </c>
    </row>
    <row r="140" spans="1:4">
      <c r="A140" s="18" t="s">
        <v>27</v>
      </c>
      <c r="B140" s="18" t="s">
        <v>70</v>
      </c>
      <c r="C140" s="20">
        <v>45486</v>
      </c>
      <c r="D140" s="18">
        <v>8783.3799999999992</v>
      </c>
    </row>
    <row r="141" spans="1:4">
      <c r="A141" s="18" t="s">
        <v>27</v>
      </c>
      <c r="B141" s="18" t="s">
        <v>82</v>
      </c>
      <c r="C141" s="20">
        <v>45654</v>
      </c>
      <c r="D141" s="18">
        <v>8776.36</v>
      </c>
    </row>
    <row r="142" spans="1:4">
      <c r="A142" s="18" t="s">
        <v>29</v>
      </c>
      <c r="B142" s="18" t="s">
        <v>105</v>
      </c>
      <c r="C142" s="20">
        <v>45361</v>
      </c>
      <c r="D142" s="18">
        <v>8768.2000000000007</v>
      </c>
    </row>
    <row r="143" spans="1:4">
      <c r="A143" s="18" t="s">
        <v>29</v>
      </c>
      <c r="B143" s="18" t="s">
        <v>81</v>
      </c>
      <c r="C143" s="20">
        <v>45615</v>
      </c>
      <c r="D143" s="18">
        <v>8764.4</v>
      </c>
    </row>
    <row r="144" spans="1:4">
      <c r="A144" s="18" t="s">
        <v>29</v>
      </c>
      <c r="B144" s="18" t="s">
        <v>71</v>
      </c>
      <c r="C144" s="20">
        <v>45467</v>
      </c>
      <c r="D144" s="18">
        <v>8747.07</v>
      </c>
    </row>
    <row r="145" spans="1:4">
      <c r="A145" s="18" t="s">
        <v>27</v>
      </c>
      <c r="B145" s="18" t="s">
        <v>120</v>
      </c>
      <c r="C145" s="20">
        <v>45412</v>
      </c>
      <c r="D145" s="18">
        <v>8738.2099999999991</v>
      </c>
    </row>
    <row r="146" spans="1:4">
      <c r="A146" s="18" t="s">
        <v>29</v>
      </c>
      <c r="B146" s="18" t="s">
        <v>60</v>
      </c>
      <c r="C146" s="20">
        <v>45611</v>
      </c>
      <c r="D146" s="18">
        <v>8727.4699999999993</v>
      </c>
    </row>
    <row r="147" spans="1:4">
      <c r="A147" s="18" t="s">
        <v>25</v>
      </c>
      <c r="B147" s="18" t="s">
        <v>104</v>
      </c>
      <c r="C147" s="20">
        <v>45599</v>
      </c>
      <c r="D147" s="18">
        <v>8677.44</v>
      </c>
    </row>
    <row r="148" spans="1:4">
      <c r="A148" s="18" t="s">
        <v>27</v>
      </c>
      <c r="B148" s="18" t="s">
        <v>110</v>
      </c>
      <c r="C148" s="20">
        <v>45551</v>
      </c>
      <c r="D148" s="18">
        <v>8642.2999999999993</v>
      </c>
    </row>
    <row r="149" spans="1:4">
      <c r="A149" s="18" t="s">
        <v>25</v>
      </c>
      <c r="B149" s="18" t="s">
        <v>35</v>
      </c>
      <c r="C149" s="20">
        <v>45335</v>
      </c>
      <c r="D149" s="18">
        <v>8614.9</v>
      </c>
    </row>
    <row r="150" spans="1:4">
      <c r="A150" s="18" t="s">
        <v>25</v>
      </c>
      <c r="B150" s="18" t="s">
        <v>109</v>
      </c>
      <c r="C150" s="20">
        <v>45652</v>
      </c>
      <c r="D150" s="18">
        <v>8594.67</v>
      </c>
    </row>
    <row r="151" spans="1:4">
      <c r="A151" s="18" t="s">
        <v>29</v>
      </c>
      <c r="B151" s="18" t="s">
        <v>81</v>
      </c>
      <c r="C151" s="20">
        <v>45517</v>
      </c>
      <c r="D151" s="18">
        <v>8586.85</v>
      </c>
    </row>
    <row r="152" spans="1:4">
      <c r="A152" s="18" t="s">
        <v>25</v>
      </c>
      <c r="B152" s="18" t="s">
        <v>122</v>
      </c>
      <c r="C152" s="20">
        <v>45461</v>
      </c>
      <c r="D152" s="18">
        <v>8563.5400000000009</v>
      </c>
    </row>
    <row r="153" spans="1:4">
      <c r="A153" s="18" t="s">
        <v>25</v>
      </c>
      <c r="B153" s="18" t="s">
        <v>86</v>
      </c>
      <c r="C153" s="20">
        <v>45587</v>
      </c>
      <c r="D153" s="18">
        <v>8512.42</v>
      </c>
    </row>
    <row r="154" spans="1:4">
      <c r="A154" s="18" t="s">
        <v>27</v>
      </c>
      <c r="B154" s="18" t="s">
        <v>100</v>
      </c>
      <c r="C154" s="20">
        <v>45645</v>
      </c>
      <c r="D154" s="18">
        <v>8500.9</v>
      </c>
    </row>
    <row r="155" spans="1:4">
      <c r="A155" s="18" t="s">
        <v>27</v>
      </c>
      <c r="B155" s="18" t="s">
        <v>100</v>
      </c>
      <c r="C155" s="20">
        <v>45466</v>
      </c>
      <c r="D155" s="18">
        <v>8489.19</v>
      </c>
    </row>
    <row r="156" spans="1:4">
      <c r="A156" s="18" t="s">
        <v>25</v>
      </c>
      <c r="B156" s="18" t="s">
        <v>72</v>
      </c>
      <c r="C156" s="20">
        <v>45655</v>
      </c>
      <c r="D156" s="18">
        <v>8488.0400000000009</v>
      </c>
    </row>
    <row r="157" spans="1:4">
      <c r="A157" s="18" t="s">
        <v>25</v>
      </c>
      <c r="B157" s="18" t="s">
        <v>40</v>
      </c>
      <c r="C157" s="20">
        <v>45354</v>
      </c>
      <c r="D157" s="18">
        <v>8454.07</v>
      </c>
    </row>
    <row r="158" spans="1:4">
      <c r="A158" s="18" t="s">
        <v>27</v>
      </c>
      <c r="B158" s="18" t="s">
        <v>62</v>
      </c>
      <c r="C158" s="20">
        <v>45387</v>
      </c>
      <c r="D158" s="18">
        <v>8437.58</v>
      </c>
    </row>
    <row r="159" spans="1:4">
      <c r="A159" s="18" t="s">
        <v>25</v>
      </c>
      <c r="B159" s="18" t="s">
        <v>56</v>
      </c>
      <c r="C159" s="20">
        <v>45543</v>
      </c>
      <c r="D159" s="18">
        <v>8397.33</v>
      </c>
    </row>
    <row r="160" spans="1:4">
      <c r="A160" s="18" t="s">
        <v>27</v>
      </c>
      <c r="B160" s="18" t="s">
        <v>46</v>
      </c>
      <c r="C160" s="20">
        <v>45411</v>
      </c>
      <c r="D160" s="18">
        <v>8390.7000000000007</v>
      </c>
    </row>
    <row r="161" spans="1:4">
      <c r="A161" s="18" t="s">
        <v>29</v>
      </c>
      <c r="B161" s="18" t="s">
        <v>43</v>
      </c>
      <c r="C161" s="20">
        <v>45297</v>
      </c>
      <c r="D161" s="18">
        <v>8387.98</v>
      </c>
    </row>
    <row r="162" spans="1:4">
      <c r="A162" s="18" t="s">
        <v>25</v>
      </c>
      <c r="B162" s="18" t="s">
        <v>74</v>
      </c>
      <c r="C162" s="20">
        <v>45366</v>
      </c>
      <c r="D162" s="18">
        <v>8384.48</v>
      </c>
    </row>
    <row r="163" spans="1:4">
      <c r="A163" s="18" t="s">
        <v>25</v>
      </c>
      <c r="B163" s="18" t="s">
        <v>26</v>
      </c>
      <c r="C163" s="20">
        <v>45648</v>
      </c>
      <c r="D163" s="18">
        <v>8367.0400000000009</v>
      </c>
    </row>
    <row r="164" spans="1:4">
      <c r="A164" s="18" t="s">
        <v>29</v>
      </c>
      <c r="B164" s="18" t="s">
        <v>121</v>
      </c>
      <c r="C164" s="20">
        <v>45530</v>
      </c>
      <c r="D164" s="18">
        <v>8353.6299999999992</v>
      </c>
    </row>
    <row r="165" spans="1:4">
      <c r="A165" s="18" t="s">
        <v>25</v>
      </c>
      <c r="B165" s="18" t="s">
        <v>126</v>
      </c>
      <c r="C165" s="20">
        <v>45411</v>
      </c>
      <c r="D165" s="18">
        <v>8344.58</v>
      </c>
    </row>
    <row r="166" spans="1:4">
      <c r="A166" s="18" t="s">
        <v>27</v>
      </c>
      <c r="B166" s="18" t="s">
        <v>92</v>
      </c>
      <c r="C166" s="20">
        <v>45516</v>
      </c>
      <c r="D166" s="18">
        <v>8307.2900000000009</v>
      </c>
    </row>
    <row r="167" spans="1:4">
      <c r="A167" s="18" t="s">
        <v>25</v>
      </c>
      <c r="B167" s="18" t="s">
        <v>104</v>
      </c>
      <c r="C167" s="20">
        <v>45398</v>
      </c>
      <c r="D167" s="18">
        <v>8304.02</v>
      </c>
    </row>
    <row r="168" spans="1:4">
      <c r="A168" s="18" t="s">
        <v>25</v>
      </c>
      <c r="B168" s="18" t="s">
        <v>40</v>
      </c>
      <c r="C168" s="20">
        <v>45610</v>
      </c>
      <c r="D168" s="18">
        <v>8279.2099999999991</v>
      </c>
    </row>
    <row r="169" spans="1:4">
      <c r="A169" s="18" t="s">
        <v>27</v>
      </c>
      <c r="B169" s="18" t="s">
        <v>125</v>
      </c>
      <c r="C169" s="20">
        <v>45294</v>
      </c>
      <c r="D169" s="18">
        <v>8246.7199999999993</v>
      </c>
    </row>
    <row r="170" spans="1:4">
      <c r="A170" s="18" t="s">
        <v>29</v>
      </c>
      <c r="B170" s="18" t="s">
        <v>30</v>
      </c>
      <c r="C170" s="20">
        <v>45634</v>
      </c>
      <c r="D170" s="18">
        <v>8240.92</v>
      </c>
    </row>
    <row r="171" spans="1:4">
      <c r="A171" s="18" t="s">
        <v>29</v>
      </c>
      <c r="B171" s="18" t="s">
        <v>115</v>
      </c>
      <c r="C171" s="20">
        <v>45600</v>
      </c>
      <c r="D171" s="18">
        <v>8228.0499999999993</v>
      </c>
    </row>
    <row r="172" spans="1:4">
      <c r="A172" s="18" t="s">
        <v>25</v>
      </c>
      <c r="B172" s="18" t="s">
        <v>56</v>
      </c>
      <c r="C172" s="20">
        <v>45567</v>
      </c>
      <c r="D172" s="18">
        <v>8192.34</v>
      </c>
    </row>
    <row r="173" spans="1:4">
      <c r="A173" s="18" t="s">
        <v>29</v>
      </c>
      <c r="B173" s="18" t="s">
        <v>57</v>
      </c>
      <c r="C173" s="20">
        <v>45465</v>
      </c>
      <c r="D173" s="18">
        <v>8189.59</v>
      </c>
    </row>
    <row r="174" spans="1:4">
      <c r="A174" s="18" t="s">
        <v>27</v>
      </c>
      <c r="B174" s="18" t="s">
        <v>101</v>
      </c>
      <c r="C174" s="20">
        <v>45416</v>
      </c>
      <c r="D174" s="18">
        <v>8162.37</v>
      </c>
    </row>
    <row r="175" spans="1:4">
      <c r="A175" s="18" t="s">
        <v>25</v>
      </c>
      <c r="B175" s="18" t="s">
        <v>113</v>
      </c>
      <c r="C175" s="20">
        <v>45485</v>
      </c>
      <c r="D175" s="18">
        <v>8128.02</v>
      </c>
    </row>
    <row r="176" spans="1:4">
      <c r="A176" s="18" t="s">
        <v>25</v>
      </c>
      <c r="B176" s="18" t="s">
        <v>74</v>
      </c>
      <c r="C176" s="20">
        <v>45552</v>
      </c>
      <c r="D176" s="18">
        <v>8113.27</v>
      </c>
    </row>
    <row r="177" spans="1:4">
      <c r="A177" s="18" t="s">
        <v>27</v>
      </c>
      <c r="B177" s="18" t="s">
        <v>65</v>
      </c>
      <c r="C177" s="20">
        <v>45617</v>
      </c>
      <c r="D177" s="18">
        <v>8055.72</v>
      </c>
    </row>
    <row r="178" spans="1:4">
      <c r="A178" s="18" t="s">
        <v>25</v>
      </c>
      <c r="B178" s="18" t="s">
        <v>108</v>
      </c>
      <c r="C178" s="20">
        <v>45634</v>
      </c>
      <c r="D178" s="18">
        <v>8041.41</v>
      </c>
    </row>
    <row r="179" spans="1:4">
      <c r="A179" s="18" t="s">
        <v>29</v>
      </c>
      <c r="B179" s="18" t="s">
        <v>87</v>
      </c>
      <c r="C179" s="20">
        <v>45342</v>
      </c>
      <c r="D179" s="18">
        <v>7985.59</v>
      </c>
    </row>
    <row r="180" spans="1:4">
      <c r="A180" s="18" t="s">
        <v>25</v>
      </c>
      <c r="B180" s="18" t="s">
        <v>111</v>
      </c>
      <c r="C180" s="20">
        <v>45545</v>
      </c>
      <c r="D180" s="18">
        <v>7938.76</v>
      </c>
    </row>
    <row r="181" spans="1:4">
      <c r="A181" s="18" t="s">
        <v>29</v>
      </c>
      <c r="B181" s="18" t="s">
        <v>45</v>
      </c>
      <c r="C181" s="20">
        <v>45657</v>
      </c>
      <c r="D181" s="18">
        <v>7925.95</v>
      </c>
    </row>
    <row r="182" spans="1:4">
      <c r="A182" s="18" t="s">
        <v>29</v>
      </c>
      <c r="B182" s="18" t="s">
        <v>45</v>
      </c>
      <c r="C182" s="20">
        <v>45304</v>
      </c>
      <c r="D182" s="18">
        <v>7923.94</v>
      </c>
    </row>
    <row r="183" spans="1:4">
      <c r="A183" s="18" t="s">
        <v>27</v>
      </c>
      <c r="B183" s="18" t="s">
        <v>123</v>
      </c>
      <c r="C183" s="20">
        <v>45539</v>
      </c>
      <c r="D183" s="18">
        <v>7889.94</v>
      </c>
    </row>
    <row r="184" spans="1:4">
      <c r="A184" s="18" t="s">
        <v>27</v>
      </c>
      <c r="B184" s="18" t="s">
        <v>51</v>
      </c>
      <c r="C184" s="20">
        <v>45425</v>
      </c>
      <c r="D184" s="18">
        <v>7869.22</v>
      </c>
    </row>
    <row r="185" spans="1:4">
      <c r="A185" s="18" t="s">
        <v>27</v>
      </c>
      <c r="B185" s="18" t="s">
        <v>125</v>
      </c>
      <c r="C185" s="20">
        <v>45297</v>
      </c>
      <c r="D185" s="18">
        <v>7857.43</v>
      </c>
    </row>
    <row r="186" spans="1:4">
      <c r="A186" s="18" t="s">
        <v>25</v>
      </c>
      <c r="B186" s="18" t="s">
        <v>74</v>
      </c>
      <c r="C186" s="20">
        <v>45305</v>
      </c>
      <c r="D186" s="18">
        <v>7841.78</v>
      </c>
    </row>
    <row r="187" spans="1:4">
      <c r="A187" s="18" t="s">
        <v>27</v>
      </c>
      <c r="B187" s="18" t="s">
        <v>92</v>
      </c>
      <c r="C187" s="20">
        <v>45482</v>
      </c>
      <c r="D187" s="18">
        <v>7812.32</v>
      </c>
    </row>
    <row r="188" spans="1:4">
      <c r="A188" s="18" t="s">
        <v>29</v>
      </c>
      <c r="B188" s="18" t="s">
        <v>77</v>
      </c>
      <c r="C188" s="20">
        <v>45366</v>
      </c>
      <c r="D188" s="18">
        <v>7802.15</v>
      </c>
    </row>
    <row r="189" spans="1:4">
      <c r="A189" s="18" t="s">
        <v>25</v>
      </c>
      <c r="B189" s="18" t="s">
        <v>95</v>
      </c>
      <c r="C189" s="20">
        <v>45361</v>
      </c>
      <c r="D189" s="18">
        <v>7769.52</v>
      </c>
    </row>
    <row r="190" spans="1:4">
      <c r="A190" s="18" t="s">
        <v>25</v>
      </c>
      <c r="B190" s="18" t="s">
        <v>39</v>
      </c>
      <c r="C190" s="20">
        <v>45643</v>
      </c>
      <c r="D190" s="18">
        <v>7761.9</v>
      </c>
    </row>
    <row r="191" spans="1:4">
      <c r="A191" s="18" t="s">
        <v>25</v>
      </c>
      <c r="B191" s="18" t="s">
        <v>96</v>
      </c>
      <c r="C191" s="20">
        <v>45331</v>
      </c>
      <c r="D191" s="18">
        <v>7743.45</v>
      </c>
    </row>
    <row r="192" spans="1:4">
      <c r="A192" s="18" t="s">
        <v>25</v>
      </c>
      <c r="B192" s="18" t="s">
        <v>93</v>
      </c>
      <c r="C192" s="20">
        <v>45491</v>
      </c>
      <c r="D192" s="18">
        <v>7713.59</v>
      </c>
    </row>
    <row r="193" spans="1:4">
      <c r="A193" s="18" t="s">
        <v>25</v>
      </c>
      <c r="B193" s="18" t="s">
        <v>33</v>
      </c>
      <c r="C193" s="20">
        <v>45339</v>
      </c>
      <c r="D193" s="18">
        <v>7691.59</v>
      </c>
    </row>
    <row r="194" spans="1:4">
      <c r="A194" s="18" t="s">
        <v>29</v>
      </c>
      <c r="B194" s="18" t="s">
        <v>94</v>
      </c>
      <c r="C194" s="20">
        <v>45367</v>
      </c>
      <c r="D194" s="18">
        <v>7677.13</v>
      </c>
    </row>
    <row r="195" spans="1:4">
      <c r="A195" s="18" t="s">
        <v>27</v>
      </c>
      <c r="B195" s="18" t="s">
        <v>82</v>
      </c>
      <c r="C195" s="20">
        <v>45575</v>
      </c>
      <c r="D195" s="18">
        <v>7618.82</v>
      </c>
    </row>
    <row r="196" spans="1:4">
      <c r="A196" s="18" t="s">
        <v>25</v>
      </c>
      <c r="B196" s="18" t="s">
        <v>106</v>
      </c>
      <c r="C196" s="20">
        <v>45331</v>
      </c>
      <c r="D196" s="18">
        <v>7604.44</v>
      </c>
    </row>
    <row r="197" spans="1:4">
      <c r="A197" s="18" t="s">
        <v>27</v>
      </c>
      <c r="B197" s="18" t="s">
        <v>52</v>
      </c>
      <c r="C197" s="20">
        <v>45449</v>
      </c>
      <c r="D197" s="18">
        <v>7550.69</v>
      </c>
    </row>
    <row r="198" spans="1:4">
      <c r="A198" s="18" t="s">
        <v>29</v>
      </c>
      <c r="B198" s="18" t="s">
        <v>121</v>
      </c>
      <c r="C198" s="20">
        <v>45389</v>
      </c>
      <c r="D198" s="18">
        <v>7513.01</v>
      </c>
    </row>
    <row r="199" spans="1:4">
      <c r="A199" s="18" t="s">
        <v>25</v>
      </c>
      <c r="B199" s="18" t="s">
        <v>63</v>
      </c>
      <c r="C199" s="20">
        <v>45454</v>
      </c>
      <c r="D199" s="18">
        <v>7496.85</v>
      </c>
    </row>
    <row r="200" spans="1:4">
      <c r="A200" s="18" t="s">
        <v>27</v>
      </c>
      <c r="B200" s="18" t="s">
        <v>102</v>
      </c>
      <c r="C200" s="20">
        <v>45426</v>
      </c>
      <c r="D200" s="18">
        <v>7480.72</v>
      </c>
    </row>
    <row r="201" spans="1:4">
      <c r="A201" s="18" t="s">
        <v>29</v>
      </c>
      <c r="B201" s="18" t="s">
        <v>44</v>
      </c>
      <c r="C201" s="20">
        <v>45651</v>
      </c>
      <c r="D201" s="18">
        <v>7411.77</v>
      </c>
    </row>
    <row r="202" spans="1:4">
      <c r="A202" s="18" t="s">
        <v>29</v>
      </c>
      <c r="B202" s="18" t="s">
        <v>97</v>
      </c>
      <c r="C202" s="20">
        <v>45352</v>
      </c>
      <c r="D202" s="18">
        <v>7399.78</v>
      </c>
    </row>
    <row r="203" spans="1:4">
      <c r="A203" s="18" t="s">
        <v>25</v>
      </c>
      <c r="B203" s="18" t="s">
        <v>40</v>
      </c>
      <c r="C203" s="20">
        <v>45408</v>
      </c>
      <c r="D203" s="18">
        <v>7392.86</v>
      </c>
    </row>
    <row r="204" spans="1:4">
      <c r="A204" s="18" t="s">
        <v>27</v>
      </c>
      <c r="B204" s="18" t="s">
        <v>120</v>
      </c>
      <c r="C204" s="20">
        <v>45360</v>
      </c>
      <c r="D204" s="18">
        <v>7319.26</v>
      </c>
    </row>
    <row r="205" spans="1:4">
      <c r="A205" s="18" t="s">
        <v>29</v>
      </c>
      <c r="B205" s="18" t="s">
        <v>67</v>
      </c>
      <c r="C205" s="20">
        <v>45345</v>
      </c>
      <c r="D205" s="18">
        <v>7260.39</v>
      </c>
    </row>
    <row r="206" spans="1:4">
      <c r="A206" s="18" t="s">
        <v>25</v>
      </c>
      <c r="B206" s="18" t="s">
        <v>108</v>
      </c>
      <c r="C206" s="20">
        <v>45323</v>
      </c>
      <c r="D206" s="18">
        <v>7252.11</v>
      </c>
    </row>
    <row r="207" spans="1:4">
      <c r="A207" s="18" t="s">
        <v>29</v>
      </c>
      <c r="B207" s="18" t="s">
        <v>30</v>
      </c>
      <c r="C207" s="20">
        <v>45382</v>
      </c>
      <c r="D207" s="18">
        <v>7230.56</v>
      </c>
    </row>
    <row r="208" spans="1:4">
      <c r="A208" s="18" t="s">
        <v>25</v>
      </c>
      <c r="B208" s="18" t="s">
        <v>103</v>
      </c>
      <c r="C208" s="20">
        <v>45372</v>
      </c>
      <c r="D208" s="18">
        <v>7185.68</v>
      </c>
    </row>
    <row r="209" spans="1:4">
      <c r="A209" s="18" t="s">
        <v>25</v>
      </c>
      <c r="B209" s="18" t="s">
        <v>42</v>
      </c>
      <c r="C209" s="20">
        <v>45515</v>
      </c>
      <c r="D209" s="18">
        <v>7129.28</v>
      </c>
    </row>
    <row r="210" spans="1:4">
      <c r="A210" s="18" t="s">
        <v>29</v>
      </c>
      <c r="B210" s="18" t="s">
        <v>64</v>
      </c>
      <c r="C210" s="20">
        <v>45615</v>
      </c>
      <c r="D210" s="18">
        <v>7076.26</v>
      </c>
    </row>
    <row r="211" spans="1:4">
      <c r="A211" s="18" t="s">
        <v>27</v>
      </c>
      <c r="B211" s="18" t="s">
        <v>36</v>
      </c>
      <c r="C211" s="20">
        <v>45428</v>
      </c>
      <c r="D211" s="18">
        <v>7052.73</v>
      </c>
    </row>
    <row r="212" spans="1:4">
      <c r="A212" s="18" t="s">
        <v>29</v>
      </c>
      <c r="B212" s="18" t="s">
        <v>84</v>
      </c>
      <c r="C212" s="20">
        <v>45584</v>
      </c>
      <c r="D212" s="18">
        <v>7035.06</v>
      </c>
    </row>
    <row r="213" spans="1:4">
      <c r="A213" s="18" t="s">
        <v>27</v>
      </c>
      <c r="B213" s="18" t="s">
        <v>49</v>
      </c>
      <c r="C213" s="20">
        <v>45611</v>
      </c>
      <c r="D213" s="18">
        <v>7004.14</v>
      </c>
    </row>
    <row r="214" spans="1:4">
      <c r="A214" s="18" t="s">
        <v>29</v>
      </c>
      <c r="B214" s="18" t="s">
        <v>53</v>
      </c>
      <c r="C214" s="20">
        <v>45358</v>
      </c>
      <c r="D214" s="18">
        <v>7003.86</v>
      </c>
    </row>
    <row r="215" spans="1:4">
      <c r="A215" s="18" t="s">
        <v>25</v>
      </c>
      <c r="B215" s="18" t="s">
        <v>39</v>
      </c>
      <c r="C215" s="20">
        <v>45571</v>
      </c>
      <c r="D215" s="18">
        <v>6989.73</v>
      </c>
    </row>
    <row r="216" spans="1:4">
      <c r="A216" s="18" t="s">
        <v>29</v>
      </c>
      <c r="B216" s="18" t="s">
        <v>64</v>
      </c>
      <c r="C216" s="20">
        <v>45431</v>
      </c>
      <c r="D216" s="18">
        <v>6909.11</v>
      </c>
    </row>
    <row r="217" spans="1:4">
      <c r="A217" s="18" t="s">
        <v>29</v>
      </c>
      <c r="B217" s="18" t="s">
        <v>87</v>
      </c>
      <c r="C217" s="20">
        <v>45378</v>
      </c>
      <c r="D217" s="18">
        <v>6875.6</v>
      </c>
    </row>
    <row r="218" spans="1:4">
      <c r="A218" s="18" t="s">
        <v>25</v>
      </c>
      <c r="B218" s="18" t="s">
        <v>108</v>
      </c>
      <c r="C218" s="20">
        <v>45549</v>
      </c>
      <c r="D218" s="18">
        <v>6779.1</v>
      </c>
    </row>
    <row r="219" spans="1:4">
      <c r="A219" s="18" t="s">
        <v>27</v>
      </c>
      <c r="B219" s="18" t="s">
        <v>36</v>
      </c>
      <c r="C219" s="20">
        <v>45449</v>
      </c>
      <c r="D219" s="18">
        <v>6738.92</v>
      </c>
    </row>
    <row r="220" spans="1:4">
      <c r="A220" s="18" t="s">
        <v>29</v>
      </c>
      <c r="B220" s="18" t="s">
        <v>44</v>
      </c>
      <c r="C220" s="20">
        <v>45361</v>
      </c>
      <c r="D220" s="18">
        <v>6714.46</v>
      </c>
    </row>
    <row r="221" spans="1:4">
      <c r="A221" s="18" t="s">
        <v>27</v>
      </c>
      <c r="B221" s="18" t="s">
        <v>38</v>
      </c>
      <c r="C221" s="20">
        <v>45477</v>
      </c>
      <c r="D221" s="18">
        <v>6662</v>
      </c>
    </row>
    <row r="222" spans="1:4">
      <c r="A222" s="18" t="s">
        <v>29</v>
      </c>
      <c r="B222" s="18" t="s">
        <v>64</v>
      </c>
      <c r="C222" s="20">
        <v>45633</v>
      </c>
      <c r="D222" s="18">
        <v>6656.86</v>
      </c>
    </row>
    <row r="223" spans="1:4">
      <c r="A223" s="18" t="s">
        <v>25</v>
      </c>
      <c r="B223" s="18" t="s">
        <v>93</v>
      </c>
      <c r="C223" s="20">
        <v>45397</v>
      </c>
      <c r="D223" s="18">
        <v>6605.39</v>
      </c>
    </row>
    <row r="224" spans="1:4">
      <c r="A224" s="18" t="s">
        <v>25</v>
      </c>
      <c r="B224" s="18" t="s">
        <v>113</v>
      </c>
      <c r="C224" s="20">
        <v>45381</v>
      </c>
      <c r="D224" s="18">
        <v>6538.71</v>
      </c>
    </row>
    <row r="225" spans="1:4">
      <c r="A225" s="18" t="s">
        <v>25</v>
      </c>
      <c r="B225" s="18" t="s">
        <v>79</v>
      </c>
      <c r="C225" s="20">
        <v>45595</v>
      </c>
      <c r="D225" s="18">
        <v>6449.19</v>
      </c>
    </row>
    <row r="226" spans="1:4">
      <c r="A226" s="18" t="s">
        <v>25</v>
      </c>
      <c r="B226" s="18" t="s">
        <v>75</v>
      </c>
      <c r="C226" s="20">
        <v>45596</v>
      </c>
      <c r="D226" s="18">
        <v>6262.02</v>
      </c>
    </row>
    <row r="227" spans="1:4">
      <c r="A227" s="18" t="s">
        <v>27</v>
      </c>
      <c r="B227" s="18" t="s">
        <v>119</v>
      </c>
      <c r="C227" s="20">
        <v>45591</v>
      </c>
      <c r="D227" s="18">
        <v>6250.17</v>
      </c>
    </row>
    <row r="228" spans="1:4">
      <c r="A228" s="18" t="s">
        <v>27</v>
      </c>
      <c r="B228" s="18" t="s">
        <v>76</v>
      </c>
      <c r="C228" s="20">
        <v>45546</v>
      </c>
      <c r="D228" s="18">
        <v>6217.99</v>
      </c>
    </row>
    <row r="229" spans="1:4">
      <c r="A229" s="18" t="s">
        <v>27</v>
      </c>
      <c r="B229" s="18" t="s">
        <v>123</v>
      </c>
      <c r="C229" s="20">
        <v>45472</v>
      </c>
      <c r="D229" s="18">
        <v>6171.61</v>
      </c>
    </row>
    <row r="230" spans="1:4">
      <c r="A230" s="18" t="s">
        <v>29</v>
      </c>
      <c r="B230" s="18" t="s">
        <v>60</v>
      </c>
      <c r="C230" s="20">
        <v>45612</v>
      </c>
      <c r="D230" s="18">
        <v>6162.56</v>
      </c>
    </row>
    <row r="231" spans="1:4">
      <c r="A231" s="18" t="s">
        <v>27</v>
      </c>
      <c r="B231" s="18" t="s">
        <v>92</v>
      </c>
      <c r="C231" s="20">
        <v>45295</v>
      </c>
      <c r="D231" s="18">
        <v>6129.2</v>
      </c>
    </row>
    <row r="232" spans="1:4">
      <c r="A232" s="18" t="s">
        <v>27</v>
      </c>
      <c r="B232" s="18" t="s">
        <v>80</v>
      </c>
      <c r="C232" s="20">
        <v>45375</v>
      </c>
      <c r="D232" s="18">
        <v>6042.24</v>
      </c>
    </row>
    <row r="233" spans="1:4">
      <c r="A233" s="18" t="s">
        <v>27</v>
      </c>
      <c r="B233" s="18" t="s">
        <v>31</v>
      </c>
      <c r="C233" s="20">
        <v>45429</v>
      </c>
      <c r="D233" s="18">
        <v>5986.1</v>
      </c>
    </row>
    <row r="234" spans="1:4">
      <c r="A234" s="18" t="s">
        <v>25</v>
      </c>
      <c r="B234" s="18" t="s">
        <v>63</v>
      </c>
      <c r="C234" s="20">
        <v>45397</v>
      </c>
      <c r="D234" s="18">
        <v>5955.14</v>
      </c>
    </row>
    <row r="235" spans="1:4">
      <c r="A235" s="18" t="s">
        <v>27</v>
      </c>
      <c r="B235" s="18" t="s">
        <v>51</v>
      </c>
      <c r="C235" s="20">
        <v>45528</v>
      </c>
      <c r="D235" s="18">
        <v>5944.53</v>
      </c>
    </row>
    <row r="236" spans="1:4">
      <c r="A236" s="18" t="s">
        <v>25</v>
      </c>
      <c r="B236" s="18" t="s">
        <v>26</v>
      </c>
      <c r="C236" s="20">
        <v>45453</v>
      </c>
      <c r="D236" s="18">
        <v>5926.92</v>
      </c>
    </row>
    <row r="237" spans="1:4">
      <c r="A237" s="18" t="s">
        <v>27</v>
      </c>
      <c r="B237" s="18" t="s">
        <v>65</v>
      </c>
      <c r="C237" s="20">
        <v>45349</v>
      </c>
      <c r="D237" s="18">
        <v>5826.3</v>
      </c>
    </row>
    <row r="238" spans="1:4">
      <c r="A238" s="18" t="s">
        <v>25</v>
      </c>
      <c r="B238" s="18" t="s">
        <v>111</v>
      </c>
      <c r="C238" s="20">
        <v>45569</v>
      </c>
      <c r="D238" s="18">
        <v>5815.02</v>
      </c>
    </row>
    <row r="239" spans="1:4">
      <c r="A239" s="18" t="s">
        <v>27</v>
      </c>
      <c r="B239" s="18" t="s">
        <v>65</v>
      </c>
      <c r="C239" s="20">
        <v>45512</v>
      </c>
      <c r="D239" s="18">
        <v>5812.56</v>
      </c>
    </row>
    <row r="240" spans="1:4">
      <c r="A240" s="18" t="s">
        <v>27</v>
      </c>
      <c r="B240" s="18" t="s">
        <v>120</v>
      </c>
      <c r="C240" s="20">
        <v>45535</v>
      </c>
      <c r="D240" s="18">
        <v>5795.26</v>
      </c>
    </row>
    <row r="241" spans="1:4">
      <c r="A241" s="18" t="s">
        <v>27</v>
      </c>
      <c r="B241" s="18" t="s">
        <v>52</v>
      </c>
      <c r="C241" s="20">
        <v>45446</v>
      </c>
      <c r="D241" s="18">
        <v>5785.4</v>
      </c>
    </row>
    <row r="242" spans="1:4">
      <c r="A242" s="18" t="s">
        <v>27</v>
      </c>
      <c r="B242" s="18" t="s">
        <v>102</v>
      </c>
      <c r="C242" s="20">
        <v>45417</v>
      </c>
      <c r="D242" s="18">
        <v>5770.03</v>
      </c>
    </row>
    <row r="243" spans="1:4">
      <c r="A243" s="18" t="s">
        <v>29</v>
      </c>
      <c r="B243" s="18" t="s">
        <v>89</v>
      </c>
      <c r="C243" s="20">
        <v>45393</v>
      </c>
      <c r="D243" s="18">
        <v>5705.2</v>
      </c>
    </row>
    <row r="244" spans="1:4">
      <c r="A244" s="18" t="s">
        <v>25</v>
      </c>
      <c r="B244" s="18" t="s">
        <v>42</v>
      </c>
      <c r="C244" s="20">
        <v>45423</v>
      </c>
      <c r="D244" s="18">
        <v>5633.71</v>
      </c>
    </row>
    <row r="245" spans="1:4">
      <c r="A245" s="18" t="s">
        <v>25</v>
      </c>
      <c r="B245" s="18" t="s">
        <v>55</v>
      </c>
      <c r="C245" s="20">
        <v>45415</v>
      </c>
      <c r="D245" s="18">
        <v>5630.42</v>
      </c>
    </row>
    <row r="246" spans="1:4">
      <c r="A246" s="18" t="s">
        <v>29</v>
      </c>
      <c r="B246" s="18" t="s">
        <v>48</v>
      </c>
      <c r="C246" s="20">
        <v>45404</v>
      </c>
      <c r="D246" s="18">
        <v>5602.5</v>
      </c>
    </row>
    <row r="247" spans="1:4">
      <c r="A247" s="18" t="s">
        <v>27</v>
      </c>
      <c r="B247" s="18" t="s">
        <v>100</v>
      </c>
      <c r="C247" s="20">
        <v>45474</v>
      </c>
      <c r="D247" s="18">
        <v>5594.53</v>
      </c>
    </row>
    <row r="248" spans="1:4">
      <c r="A248" s="18" t="s">
        <v>25</v>
      </c>
      <c r="B248" s="18" t="s">
        <v>58</v>
      </c>
      <c r="C248" s="20">
        <v>45300</v>
      </c>
      <c r="D248" s="18">
        <v>5584.06</v>
      </c>
    </row>
    <row r="249" spans="1:4">
      <c r="A249" s="18" t="s">
        <v>29</v>
      </c>
      <c r="B249" s="18" t="s">
        <v>78</v>
      </c>
      <c r="C249" s="20">
        <v>45583</v>
      </c>
      <c r="D249" s="18">
        <v>5450.45</v>
      </c>
    </row>
    <row r="250" spans="1:4">
      <c r="A250" s="18" t="s">
        <v>29</v>
      </c>
      <c r="B250" s="18" t="s">
        <v>97</v>
      </c>
      <c r="C250" s="20">
        <v>45396</v>
      </c>
      <c r="D250" s="18">
        <v>5444.15</v>
      </c>
    </row>
    <row r="251" spans="1:4">
      <c r="A251" s="18" t="s">
        <v>25</v>
      </c>
      <c r="B251" s="18" t="s">
        <v>103</v>
      </c>
      <c r="C251" s="20">
        <v>45648</v>
      </c>
      <c r="D251" s="18">
        <v>5402.89</v>
      </c>
    </row>
    <row r="252" spans="1:4">
      <c r="A252" s="18" t="s">
        <v>29</v>
      </c>
      <c r="B252" s="18" t="s">
        <v>89</v>
      </c>
      <c r="C252" s="20">
        <v>45544</v>
      </c>
      <c r="D252" s="18">
        <v>5394.33</v>
      </c>
    </row>
    <row r="253" spans="1:4">
      <c r="A253" s="18" t="s">
        <v>27</v>
      </c>
      <c r="B253" s="18" t="s">
        <v>37</v>
      </c>
      <c r="C253" s="20">
        <v>45344</v>
      </c>
      <c r="D253" s="18">
        <v>5393.6</v>
      </c>
    </row>
    <row r="254" spans="1:4">
      <c r="A254" s="18" t="s">
        <v>27</v>
      </c>
      <c r="B254" s="18" t="s">
        <v>101</v>
      </c>
      <c r="C254" s="20">
        <v>45482</v>
      </c>
      <c r="D254" s="18">
        <v>5306.04</v>
      </c>
    </row>
    <row r="255" spans="1:4">
      <c r="A255" s="18" t="s">
        <v>27</v>
      </c>
      <c r="B255" s="18" t="s">
        <v>85</v>
      </c>
      <c r="C255" s="20">
        <v>45386</v>
      </c>
      <c r="D255" s="18">
        <v>5294.43</v>
      </c>
    </row>
    <row r="256" spans="1:4">
      <c r="A256" s="18" t="s">
        <v>29</v>
      </c>
      <c r="B256" s="18" t="s">
        <v>43</v>
      </c>
      <c r="C256" s="20">
        <v>45482</v>
      </c>
      <c r="D256" s="18">
        <v>5291.35</v>
      </c>
    </row>
    <row r="257" spans="1:4">
      <c r="A257" s="18" t="s">
        <v>25</v>
      </c>
      <c r="B257" s="18" t="s">
        <v>41</v>
      </c>
      <c r="C257" s="20">
        <v>45576</v>
      </c>
      <c r="D257" s="18">
        <v>5228.3599999999997</v>
      </c>
    </row>
    <row r="258" spans="1:4">
      <c r="A258" s="18" t="s">
        <v>25</v>
      </c>
      <c r="B258" s="18" t="s">
        <v>72</v>
      </c>
      <c r="C258" s="20">
        <v>45404</v>
      </c>
      <c r="D258" s="18">
        <v>5187.29</v>
      </c>
    </row>
    <row r="259" spans="1:4">
      <c r="A259" s="18" t="s">
        <v>27</v>
      </c>
      <c r="B259" s="18" t="s">
        <v>37</v>
      </c>
      <c r="C259" s="20">
        <v>45321</v>
      </c>
      <c r="D259" s="18">
        <v>5138.79</v>
      </c>
    </row>
    <row r="260" spans="1:4">
      <c r="A260" s="18" t="s">
        <v>27</v>
      </c>
      <c r="B260" s="18" t="s">
        <v>101</v>
      </c>
      <c r="C260" s="20">
        <v>45479</v>
      </c>
      <c r="D260" s="18">
        <v>5126.37</v>
      </c>
    </row>
    <row r="261" spans="1:4">
      <c r="A261" s="18" t="s">
        <v>27</v>
      </c>
      <c r="B261" s="18" t="s">
        <v>125</v>
      </c>
      <c r="C261" s="20">
        <v>45623</v>
      </c>
      <c r="D261" s="18">
        <v>5061.63</v>
      </c>
    </row>
    <row r="262" spans="1:4">
      <c r="A262" s="18" t="s">
        <v>29</v>
      </c>
      <c r="B262" s="18" t="s">
        <v>124</v>
      </c>
      <c r="C262" s="20">
        <v>45657</v>
      </c>
      <c r="D262" s="18">
        <v>5011.1499999999996</v>
      </c>
    </row>
    <row r="263" spans="1:4">
      <c r="A263" s="18" t="s">
        <v>25</v>
      </c>
      <c r="B263" s="18" t="s">
        <v>33</v>
      </c>
      <c r="C263" s="20">
        <v>45307</v>
      </c>
      <c r="D263" s="18">
        <v>4985.0600000000004</v>
      </c>
    </row>
    <row r="264" spans="1:4">
      <c r="A264" s="18" t="s">
        <v>29</v>
      </c>
      <c r="B264" s="18" t="s">
        <v>99</v>
      </c>
      <c r="C264" s="20">
        <v>45469</v>
      </c>
      <c r="D264" s="18">
        <v>4984.1400000000003</v>
      </c>
    </row>
    <row r="265" spans="1:4">
      <c r="A265" s="18" t="s">
        <v>29</v>
      </c>
      <c r="B265" s="18" t="s">
        <v>47</v>
      </c>
      <c r="C265" s="20">
        <v>45360</v>
      </c>
      <c r="D265" s="18">
        <v>4963.47</v>
      </c>
    </row>
    <row r="266" spans="1:4">
      <c r="A266" s="18" t="s">
        <v>25</v>
      </c>
      <c r="B266" s="18" t="s">
        <v>56</v>
      </c>
      <c r="C266" s="20">
        <v>45626</v>
      </c>
      <c r="D266" s="18">
        <v>4946.96</v>
      </c>
    </row>
    <row r="267" spans="1:4">
      <c r="A267" s="18" t="s">
        <v>27</v>
      </c>
      <c r="B267" s="18" t="s">
        <v>52</v>
      </c>
      <c r="C267" s="20">
        <v>45409</v>
      </c>
      <c r="D267" s="18">
        <v>4828.51</v>
      </c>
    </row>
    <row r="268" spans="1:4">
      <c r="A268" s="18" t="s">
        <v>25</v>
      </c>
      <c r="B268" s="18" t="s">
        <v>127</v>
      </c>
      <c r="C268" s="20">
        <v>45368</v>
      </c>
      <c r="D268" s="18">
        <v>4803.2299999999996</v>
      </c>
    </row>
    <row r="269" spans="1:4">
      <c r="A269" s="18" t="s">
        <v>29</v>
      </c>
      <c r="B269" s="18" t="s">
        <v>43</v>
      </c>
      <c r="C269" s="20">
        <v>45531</v>
      </c>
      <c r="D269" s="18">
        <v>4727.12</v>
      </c>
    </row>
    <row r="270" spans="1:4">
      <c r="A270" s="18" t="s">
        <v>27</v>
      </c>
      <c r="B270" s="18" t="s">
        <v>123</v>
      </c>
      <c r="C270" s="20">
        <v>45524</v>
      </c>
      <c r="D270" s="18">
        <v>4692.4799999999996</v>
      </c>
    </row>
    <row r="271" spans="1:4">
      <c r="A271" s="18" t="s">
        <v>25</v>
      </c>
      <c r="B271" s="18" t="s">
        <v>41</v>
      </c>
      <c r="C271" s="20">
        <v>45319</v>
      </c>
      <c r="D271" s="18">
        <v>4684.0200000000004</v>
      </c>
    </row>
    <row r="272" spans="1:4">
      <c r="A272" s="18" t="s">
        <v>25</v>
      </c>
      <c r="B272" s="18" t="s">
        <v>34</v>
      </c>
      <c r="C272" s="20">
        <v>45407</v>
      </c>
      <c r="D272" s="18">
        <v>4612.83</v>
      </c>
    </row>
    <row r="273" spans="1:4">
      <c r="A273" s="18" t="s">
        <v>29</v>
      </c>
      <c r="B273" s="18" t="s">
        <v>118</v>
      </c>
      <c r="C273" s="20">
        <v>45344</v>
      </c>
      <c r="D273" s="18">
        <v>4597.92</v>
      </c>
    </row>
    <row r="274" spans="1:4">
      <c r="A274" s="18" t="s">
        <v>25</v>
      </c>
      <c r="B274" s="18" t="s">
        <v>34</v>
      </c>
      <c r="C274" s="20">
        <v>45618</v>
      </c>
      <c r="D274" s="18">
        <v>4571.37</v>
      </c>
    </row>
    <row r="275" spans="1:4">
      <c r="A275" s="18" t="s">
        <v>29</v>
      </c>
      <c r="B275" s="18" t="s">
        <v>47</v>
      </c>
      <c r="C275" s="20">
        <v>45654</v>
      </c>
      <c r="D275" s="18">
        <v>4406.34</v>
      </c>
    </row>
    <row r="276" spans="1:4">
      <c r="A276" s="18" t="s">
        <v>27</v>
      </c>
      <c r="B276" s="18" t="s">
        <v>61</v>
      </c>
      <c r="C276" s="20">
        <v>45574</v>
      </c>
      <c r="D276" s="18">
        <v>4311.34</v>
      </c>
    </row>
    <row r="277" spans="1:4">
      <c r="A277" s="18" t="s">
        <v>25</v>
      </c>
      <c r="B277" s="18" t="s">
        <v>111</v>
      </c>
      <c r="C277" s="20">
        <v>45300</v>
      </c>
      <c r="D277" s="18">
        <v>4266.93</v>
      </c>
    </row>
    <row r="278" spans="1:4">
      <c r="A278" s="18" t="s">
        <v>25</v>
      </c>
      <c r="B278" s="18" t="s">
        <v>35</v>
      </c>
      <c r="C278" s="20">
        <v>45366</v>
      </c>
      <c r="D278" s="18">
        <v>4248.7</v>
      </c>
    </row>
    <row r="279" spans="1:4">
      <c r="A279" s="18" t="s">
        <v>29</v>
      </c>
      <c r="B279" s="18" t="s">
        <v>121</v>
      </c>
      <c r="C279" s="20">
        <v>45517</v>
      </c>
      <c r="D279" s="18">
        <v>4162.24</v>
      </c>
    </row>
    <row r="280" spans="1:4">
      <c r="A280" s="18" t="s">
        <v>27</v>
      </c>
      <c r="B280" s="18" t="s">
        <v>114</v>
      </c>
      <c r="C280" s="20">
        <v>45522</v>
      </c>
      <c r="D280" s="18">
        <v>4113.54</v>
      </c>
    </row>
    <row r="281" spans="1:4">
      <c r="A281" s="18" t="s">
        <v>27</v>
      </c>
      <c r="B281" s="18" t="s">
        <v>61</v>
      </c>
      <c r="C281" s="20">
        <v>45308</v>
      </c>
      <c r="D281" s="18">
        <v>4084.95</v>
      </c>
    </row>
    <row r="282" spans="1:4">
      <c r="A282" s="18" t="s">
        <v>25</v>
      </c>
      <c r="B282" s="18" t="s">
        <v>40</v>
      </c>
      <c r="C282" s="20">
        <v>45395</v>
      </c>
      <c r="D282" s="18">
        <v>4073.97</v>
      </c>
    </row>
    <row r="283" spans="1:4">
      <c r="A283" s="18" t="s">
        <v>27</v>
      </c>
      <c r="B283" s="18" t="s">
        <v>100</v>
      </c>
      <c r="C283" s="20">
        <v>45486</v>
      </c>
      <c r="D283" s="18">
        <v>4070.05</v>
      </c>
    </row>
    <row r="284" spans="1:4">
      <c r="A284" s="18" t="s">
        <v>29</v>
      </c>
      <c r="B284" s="18" t="s">
        <v>43</v>
      </c>
      <c r="C284" s="20">
        <v>45347</v>
      </c>
      <c r="D284" s="18">
        <v>3975.93</v>
      </c>
    </row>
    <row r="285" spans="1:4">
      <c r="A285" s="18" t="s">
        <v>25</v>
      </c>
      <c r="B285" s="18" t="s">
        <v>63</v>
      </c>
      <c r="C285" s="20">
        <v>45432</v>
      </c>
      <c r="D285" s="18">
        <v>3951.58</v>
      </c>
    </row>
    <row r="286" spans="1:4">
      <c r="A286" s="18" t="s">
        <v>27</v>
      </c>
      <c r="B286" s="18" t="s">
        <v>82</v>
      </c>
      <c r="C286" s="20">
        <v>45313</v>
      </c>
      <c r="D286" s="18">
        <v>3893.94</v>
      </c>
    </row>
    <row r="287" spans="1:4">
      <c r="A287" s="18" t="s">
        <v>29</v>
      </c>
      <c r="B287" s="18" t="s">
        <v>94</v>
      </c>
      <c r="C287" s="20">
        <v>45326</v>
      </c>
      <c r="D287" s="18">
        <v>3840.38</v>
      </c>
    </row>
    <row r="288" spans="1:4">
      <c r="A288" s="18" t="s">
        <v>27</v>
      </c>
      <c r="B288" s="18" t="s">
        <v>31</v>
      </c>
      <c r="C288" s="20">
        <v>45444</v>
      </c>
      <c r="D288" s="18">
        <v>3750.79</v>
      </c>
    </row>
    <row r="289" spans="1:4">
      <c r="A289" s="18" t="s">
        <v>29</v>
      </c>
      <c r="B289" s="18" t="s">
        <v>67</v>
      </c>
      <c r="C289" s="20">
        <v>45510</v>
      </c>
      <c r="D289" s="18">
        <v>3675.75</v>
      </c>
    </row>
    <row r="290" spans="1:4">
      <c r="A290" s="18" t="s">
        <v>29</v>
      </c>
      <c r="B290" s="18" t="s">
        <v>54</v>
      </c>
      <c r="C290" s="20">
        <v>45472</v>
      </c>
      <c r="D290" s="18">
        <v>3673.81</v>
      </c>
    </row>
    <row r="291" spans="1:4">
      <c r="A291" s="18" t="s">
        <v>29</v>
      </c>
      <c r="B291" s="18" t="s">
        <v>97</v>
      </c>
      <c r="C291" s="20">
        <v>45646</v>
      </c>
      <c r="D291" s="18">
        <v>3614.9</v>
      </c>
    </row>
    <row r="292" spans="1:4">
      <c r="A292" s="18" t="s">
        <v>25</v>
      </c>
      <c r="B292" s="18" t="s">
        <v>106</v>
      </c>
      <c r="C292" s="20">
        <v>45308</v>
      </c>
      <c r="D292" s="18">
        <v>3586.53</v>
      </c>
    </row>
    <row r="293" spans="1:4">
      <c r="A293" s="18" t="s">
        <v>29</v>
      </c>
      <c r="B293" s="18" t="s">
        <v>64</v>
      </c>
      <c r="C293" s="20">
        <v>45509</v>
      </c>
      <c r="D293" s="18">
        <v>3573.9</v>
      </c>
    </row>
    <row r="294" spans="1:4">
      <c r="A294" s="18" t="s">
        <v>29</v>
      </c>
      <c r="B294" s="18" t="s">
        <v>66</v>
      </c>
      <c r="C294" s="20">
        <v>45533</v>
      </c>
      <c r="D294" s="18">
        <v>3557.7</v>
      </c>
    </row>
    <row r="295" spans="1:4">
      <c r="A295" s="18" t="s">
        <v>27</v>
      </c>
      <c r="B295" s="18" t="s">
        <v>92</v>
      </c>
      <c r="C295" s="20">
        <v>45580</v>
      </c>
      <c r="D295" s="18">
        <v>3521.32</v>
      </c>
    </row>
    <row r="296" spans="1:4">
      <c r="A296" s="18" t="s">
        <v>29</v>
      </c>
      <c r="B296" s="18" t="s">
        <v>77</v>
      </c>
      <c r="C296" s="20">
        <v>45654</v>
      </c>
      <c r="D296" s="18">
        <v>3509.11</v>
      </c>
    </row>
    <row r="297" spans="1:4">
      <c r="A297" s="18" t="s">
        <v>27</v>
      </c>
      <c r="B297" s="18" t="s">
        <v>49</v>
      </c>
      <c r="C297" s="20">
        <v>45418</v>
      </c>
      <c r="D297" s="18">
        <v>3501.43</v>
      </c>
    </row>
    <row r="298" spans="1:4">
      <c r="A298" s="18" t="s">
        <v>27</v>
      </c>
      <c r="B298" s="18" t="s">
        <v>62</v>
      </c>
      <c r="C298" s="20">
        <v>45550</v>
      </c>
      <c r="D298" s="18">
        <v>3498.04</v>
      </c>
    </row>
    <row r="299" spans="1:4">
      <c r="A299" s="18" t="s">
        <v>29</v>
      </c>
      <c r="B299" s="18" t="s">
        <v>121</v>
      </c>
      <c r="C299" s="20">
        <v>45444</v>
      </c>
      <c r="D299" s="18">
        <v>3433.24</v>
      </c>
    </row>
    <row r="300" spans="1:4">
      <c r="A300" s="18" t="s">
        <v>25</v>
      </c>
      <c r="B300" s="18" t="s">
        <v>95</v>
      </c>
      <c r="C300" s="20">
        <v>45310</v>
      </c>
      <c r="D300" s="18">
        <v>3427.98</v>
      </c>
    </row>
    <row r="301" spans="1:4">
      <c r="A301" s="18" t="s">
        <v>29</v>
      </c>
      <c r="B301" s="18" t="s">
        <v>30</v>
      </c>
      <c r="C301" s="20">
        <v>45630</v>
      </c>
      <c r="D301" s="18">
        <v>3325.29</v>
      </c>
    </row>
    <row r="302" spans="1:4">
      <c r="A302" s="18" t="s">
        <v>27</v>
      </c>
      <c r="B302" s="18" t="s">
        <v>123</v>
      </c>
      <c r="C302" s="20">
        <v>45423</v>
      </c>
      <c r="D302" s="18">
        <v>3320.33</v>
      </c>
    </row>
    <row r="303" spans="1:4">
      <c r="A303" s="18" t="s">
        <v>25</v>
      </c>
      <c r="B303" s="18" t="s">
        <v>33</v>
      </c>
      <c r="C303" s="20">
        <v>45333</v>
      </c>
      <c r="D303" s="18">
        <v>3234.79</v>
      </c>
    </row>
    <row r="304" spans="1:4">
      <c r="A304" s="18" t="s">
        <v>25</v>
      </c>
      <c r="B304" s="18" t="s">
        <v>104</v>
      </c>
      <c r="C304" s="20">
        <v>45546</v>
      </c>
      <c r="D304" s="18">
        <v>3161.44</v>
      </c>
    </row>
    <row r="305" spans="1:4">
      <c r="A305" s="18" t="s">
        <v>29</v>
      </c>
      <c r="B305" s="18" t="s">
        <v>57</v>
      </c>
      <c r="C305" s="20">
        <v>45591</v>
      </c>
      <c r="D305" s="18">
        <v>3155.94</v>
      </c>
    </row>
    <row r="306" spans="1:4">
      <c r="A306" s="18" t="s">
        <v>29</v>
      </c>
      <c r="B306" s="18" t="s">
        <v>66</v>
      </c>
      <c r="C306" s="20">
        <v>45418</v>
      </c>
      <c r="D306" s="18">
        <v>3111.49</v>
      </c>
    </row>
    <row r="307" spans="1:4">
      <c r="A307" s="18" t="s">
        <v>29</v>
      </c>
      <c r="B307" s="18" t="s">
        <v>90</v>
      </c>
      <c r="C307" s="20">
        <v>45593</v>
      </c>
      <c r="D307" s="18">
        <v>3096.94</v>
      </c>
    </row>
    <row r="308" spans="1:4">
      <c r="A308" s="18" t="s">
        <v>27</v>
      </c>
      <c r="B308" s="18" t="s">
        <v>101</v>
      </c>
      <c r="C308" s="20">
        <v>45320</v>
      </c>
      <c r="D308" s="18">
        <v>3024.55</v>
      </c>
    </row>
    <row r="309" spans="1:4">
      <c r="A309" s="18" t="s">
        <v>25</v>
      </c>
      <c r="B309" s="18" t="s">
        <v>35</v>
      </c>
      <c r="C309" s="20">
        <v>45403</v>
      </c>
      <c r="D309" s="18">
        <v>3017.04</v>
      </c>
    </row>
    <row r="310" spans="1:4">
      <c r="A310" s="18" t="s">
        <v>25</v>
      </c>
      <c r="B310" s="18" t="s">
        <v>74</v>
      </c>
      <c r="C310" s="20">
        <v>45549</v>
      </c>
      <c r="D310" s="18">
        <v>2893.01</v>
      </c>
    </row>
    <row r="311" spans="1:4">
      <c r="A311" s="18" t="s">
        <v>27</v>
      </c>
      <c r="B311" s="18" t="s">
        <v>83</v>
      </c>
      <c r="C311" s="20">
        <v>45491</v>
      </c>
      <c r="D311" s="18">
        <v>2878.78</v>
      </c>
    </row>
    <row r="312" spans="1:4">
      <c r="A312" s="18" t="s">
        <v>27</v>
      </c>
      <c r="B312" s="18" t="s">
        <v>51</v>
      </c>
      <c r="C312" s="20">
        <v>45437</v>
      </c>
      <c r="D312" s="18">
        <v>2782.12</v>
      </c>
    </row>
    <row r="313" spans="1:4">
      <c r="A313" s="18" t="s">
        <v>25</v>
      </c>
      <c r="B313" s="18" t="s">
        <v>32</v>
      </c>
      <c r="C313" s="20">
        <v>45630</v>
      </c>
      <c r="D313" s="18">
        <v>2718.17</v>
      </c>
    </row>
    <row r="314" spans="1:4">
      <c r="A314" s="18" t="s">
        <v>29</v>
      </c>
      <c r="B314" s="18" t="s">
        <v>81</v>
      </c>
      <c r="C314" s="20">
        <v>45575</v>
      </c>
      <c r="D314" s="18">
        <v>2560.58</v>
      </c>
    </row>
    <row r="315" spans="1:4">
      <c r="A315" s="18" t="s">
        <v>29</v>
      </c>
      <c r="B315" s="18" t="s">
        <v>112</v>
      </c>
      <c r="C315" s="20">
        <v>45493</v>
      </c>
      <c r="D315" s="18">
        <v>2512.4</v>
      </c>
    </row>
    <row r="316" spans="1:4">
      <c r="A316" s="18" t="s">
        <v>25</v>
      </c>
      <c r="B316" s="18" t="s">
        <v>55</v>
      </c>
      <c r="C316" s="20">
        <v>45447</v>
      </c>
      <c r="D316" s="18">
        <v>2468.8000000000002</v>
      </c>
    </row>
    <row r="317" spans="1:4">
      <c r="A317" s="18" t="s">
        <v>29</v>
      </c>
      <c r="B317" s="18" t="s">
        <v>71</v>
      </c>
      <c r="C317" s="20">
        <v>45295</v>
      </c>
      <c r="D317" s="18">
        <v>2373.36</v>
      </c>
    </row>
    <row r="318" spans="1:4">
      <c r="A318" s="18" t="s">
        <v>29</v>
      </c>
      <c r="B318" s="18" t="s">
        <v>68</v>
      </c>
      <c r="C318" s="20">
        <v>45646</v>
      </c>
      <c r="D318" s="18">
        <v>2366.15</v>
      </c>
    </row>
    <row r="319" spans="1:4">
      <c r="A319" s="18" t="s">
        <v>27</v>
      </c>
      <c r="B319" s="18" t="s">
        <v>114</v>
      </c>
      <c r="C319" s="20">
        <v>45547</v>
      </c>
      <c r="D319" s="18">
        <v>2312.7600000000002</v>
      </c>
    </row>
    <row r="320" spans="1:4">
      <c r="A320" s="18" t="s">
        <v>29</v>
      </c>
      <c r="B320" s="18" t="s">
        <v>54</v>
      </c>
      <c r="C320" s="20">
        <v>45541</v>
      </c>
      <c r="D320" s="18">
        <v>2310.9899999999998</v>
      </c>
    </row>
    <row r="321" spans="1:4">
      <c r="A321" s="18" t="s">
        <v>27</v>
      </c>
      <c r="B321" s="18" t="s">
        <v>83</v>
      </c>
      <c r="C321" s="20">
        <v>45321</v>
      </c>
      <c r="D321" s="18">
        <v>2207.94</v>
      </c>
    </row>
    <row r="322" spans="1:4">
      <c r="A322" s="18" t="s">
        <v>29</v>
      </c>
      <c r="B322" s="18" t="s">
        <v>44</v>
      </c>
      <c r="C322" s="20">
        <v>45539</v>
      </c>
      <c r="D322" s="18">
        <v>2207.66</v>
      </c>
    </row>
    <row r="323" spans="1:4">
      <c r="A323" s="18" t="s">
        <v>27</v>
      </c>
      <c r="B323" s="18" t="s">
        <v>28</v>
      </c>
      <c r="C323" s="20">
        <v>45354</v>
      </c>
      <c r="D323" s="18">
        <v>2145.94</v>
      </c>
    </row>
    <row r="324" spans="1:4">
      <c r="A324" s="18" t="s">
        <v>29</v>
      </c>
      <c r="B324" s="18" t="s">
        <v>64</v>
      </c>
      <c r="C324" s="20">
        <v>45613</v>
      </c>
      <c r="D324" s="18">
        <v>1987.43</v>
      </c>
    </row>
    <row r="325" spans="1:4">
      <c r="A325" s="18" t="s">
        <v>27</v>
      </c>
      <c r="B325" s="18" t="s">
        <v>82</v>
      </c>
      <c r="C325" s="20">
        <v>45619</v>
      </c>
      <c r="D325" s="18">
        <v>1907.25</v>
      </c>
    </row>
    <row r="326" spans="1:4">
      <c r="A326" s="18" t="s">
        <v>29</v>
      </c>
      <c r="B326" s="18" t="s">
        <v>124</v>
      </c>
      <c r="C326" s="20">
        <v>45549</v>
      </c>
      <c r="D326" s="18">
        <v>1749.82</v>
      </c>
    </row>
    <row r="327" spans="1:4">
      <c r="A327" s="18" t="s">
        <v>29</v>
      </c>
      <c r="B327" s="18" t="s">
        <v>99</v>
      </c>
      <c r="C327" s="20">
        <v>45622</v>
      </c>
      <c r="D327" s="18">
        <v>1718</v>
      </c>
    </row>
    <row r="328" spans="1:4">
      <c r="A328" s="18" t="s">
        <v>29</v>
      </c>
      <c r="B328" s="18" t="s">
        <v>91</v>
      </c>
      <c r="C328" s="20">
        <v>45383</v>
      </c>
      <c r="D328" s="18">
        <v>1694.43</v>
      </c>
    </row>
    <row r="329" spans="1:4">
      <c r="A329" s="18" t="s">
        <v>27</v>
      </c>
      <c r="B329" s="18" t="s">
        <v>100</v>
      </c>
      <c r="C329" s="20">
        <v>45547</v>
      </c>
      <c r="D329" s="18">
        <v>1628.03</v>
      </c>
    </row>
    <row r="330" spans="1:4">
      <c r="A330" s="18" t="s">
        <v>27</v>
      </c>
      <c r="B330" s="18" t="s">
        <v>98</v>
      </c>
      <c r="C330" s="20">
        <v>45600</v>
      </c>
      <c r="D330" s="18">
        <v>1418.41</v>
      </c>
    </row>
    <row r="331" spans="1:4">
      <c r="A331" s="18" t="s">
        <v>25</v>
      </c>
      <c r="B331" s="18" t="s">
        <v>56</v>
      </c>
      <c r="C331" s="20">
        <v>45469</v>
      </c>
      <c r="D331" s="18">
        <v>1353.92</v>
      </c>
    </row>
    <row r="332" spans="1:4">
      <c r="A332" s="18" t="s">
        <v>27</v>
      </c>
      <c r="B332" s="18" t="s">
        <v>70</v>
      </c>
      <c r="C332" s="20">
        <v>45511</v>
      </c>
      <c r="D332" s="18">
        <v>1189.67</v>
      </c>
    </row>
    <row r="333" spans="1:4">
      <c r="A333" s="18" t="s">
        <v>27</v>
      </c>
      <c r="B333" s="18" t="s">
        <v>119</v>
      </c>
      <c r="C333" s="20">
        <v>45653</v>
      </c>
      <c r="D333" s="18">
        <v>956.76</v>
      </c>
    </row>
    <row r="334" spans="1:4">
      <c r="A334" s="18" t="s">
        <v>27</v>
      </c>
      <c r="B334" s="18" t="s">
        <v>36</v>
      </c>
      <c r="C334" s="20">
        <v>45466</v>
      </c>
      <c r="D334" s="18">
        <v>530.94000000000005</v>
      </c>
    </row>
    <row r="335" spans="1:4">
      <c r="A335" s="18" t="s">
        <v>25</v>
      </c>
      <c r="B335" s="18" t="s">
        <v>59</v>
      </c>
      <c r="C335" s="20">
        <v>45572</v>
      </c>
      <c r="D335" s="18">
        <v>516.83000000000004</v>
      </c>
    </row>
    <row r="336" spans="1:4">
      <c r="A336" s="18" t="s">
        <v>29</v>
      </c>
      <c r="B336" s="18" t="s">
        <v>94</v>
      </c>
      <c r="C336" s="20">
        <v>45605</v>
      </c>
      <c r="D336" s="21">
        <v>20222</v>
      </c>
    </row>
    <row r="337" spans="1:4">
      <c r="A337" s="18" t="s">
        <v>25</v>
      </c>
      <c r="B337" s="18" t="s">
        <v>26</v>
      </c>
      <c r="C337" s="20">
        <v>45571</v>
      </c>
      <c r="D337" s="21">
        <v>4696</v>
      </c>
    </row>
    <row r="338" spans="1:4">
      <c r="A338" s="18" t="s">
        <v>25</v>
      </c>
      <c r="B338" s="18" t="s">
        <v>26</v>
      </c>
      <c r="C338" s="20">
        <v>45297</v>
      </c>
      <c r="D338" s="21">
        <v>10162</v>
      </c>
    </row>
    <row r="339" spans="1:4">
      <c r="A339" s="18" t="s">
        <v>25</v>
      </c>
      <c r="B339" s="18" t="s">
        <v>26</v>
      </c>
      <c r="C339" s="20">
        <v>45584</v>
      </c>
      <c r="D339" s="21">
        <v>1553</v>
      </c>
    </row>
    <row r="340" spans="1:4">
      <c r="A340" s="18" t="s">
        <v>25</v>
      </c>
      <c r="B340" s="18" t="s">
        <v>26</v>
      </c>
      <c r="C340" s="20">
        <v>45451</v>
      </c>
      <c r="D340" s="21">
        <v>1692</v>
      </c>
    </row>
    <row r="341" spans="1:4">
      <c r="A341" s="18" t="s">
        <v>25</v>
      </c>
      <c r="B341" s="18" t="s">
        <v>26</v>
      </c>
      <c r="C341" s="20">
        <v>45462</v>
      </c>
      <c r="D341" s="21">
        <v>4878</v>
      </c>
    </row>
    <row r="342" spans="1:4">
      <c r="A342" s="18" t="s">
        <v>25</v>
      </c>
      <c r="B342" s="18" t="s">
        <v>26</v>
      </c>
      <c r="C342" s="20">
        <v>45432</v>
      </c>
      <c r="D342" s="21">
        <v>5691</v>
      </c>
    </row>
    <row r="343" spans="1:4">
      <c r="A343" s="18" t="s">
        <v>25</v>
      </c>
      <c r="B343" s="18" t="s">
        <v>26</v>
      </c>
      <c r="C343" s="20">
        <v>45340</v>
      </c>
      <c r="D343" s="21">
        <v>8974</v>
      </c>
    </row>
    <row r="344" spans="1:4">
      <c r="A344" s="18" t="s">
        <v>25</v>
      </c>
      <c r="B344" s="18" t="s">
        <v>26</v>
      </c>
      <c r="C344" s="20">
        <v>45647</v>
      </c>
      <c r="D344" s="21">
        <v>10529</v>
      </c>
    </row>
    <row r="345" spans="1:4">
      <c r="A345" s="18" t="s">
        <v>27</v>
      </c>
      <c r="B345" s="18" t="s">
        <v>28</v>
      </c>
      <c r="C345" s="20">
        <v>45488</v>
      </c>
      <c r="D345" s="21">
        <v>21456</v>
      </c>
    </row>
    <row r="346" spans="1:4">
      <c r="A346" s="18" t="s">
        <v>27</v>
      </c>
      <c r="B346" s="18" t="s">
        <v>28</v>
      </c>
      <c r="C346" s="20">
        <v>45431</v>
      </c>
      <c r="D346" s="21">
        <v>19552</v>
      </c>
    </row>
    <row r="347" spans="1:4">
      <c r="A347" s="18" t="s">
        <v>27</v>
      </c>
      <c r="B347" s="18" t="s">
        <v>28</v>
      </c>
      <c r="C347" s="20">
        <v>45450</v>
      </c>
      <c r="D347" s="21">
        <v>14324</v>
      </c>
    </row>
    <row r="348" spans="1:4">
      <c r="A348" s="18" t="s">
        <v>27</v>
      </c>
      <c r="B348" s="18" t="s">
        <v>28</v>
      </c>
      <c r="C348" s="20">
        <v>45496</v>
      </c>
      <c r="D348" s="21">
        <v>16187</v>
      </c>
    </row>
    <row r="349" spans="1:4">
      <c r="A349" s="18" t="s">
        <v>27</v>
      </c>
      <c r="B349" s="18" t="s">
        <v>28</v>
      </c>
      <c r="C349" s="20">
        <v>45560</v>
      </c>
      <c r="D349" s="21">
        <v>9239</v>
      </c>
    </row>
    <row r="350" spans="1:4">
      <c r="A350" s="18" t="s">
        <v>27</v>
      </c>
      <c r="B350" s="18" t="s">
        <v>28</v>
      </c>
      <c r="C350" s="20">
        <v>45354</v>
      </c>
      <c r="D350" s="21">
        <v>13490</v>
      </c>
    </row>
    <row r="351" spans="1:4">
      <c r="A351" s="18" t="s">
        <v>27</v>
      </c>
      <c r="B351" s="18" t="s">
        <v>28</v>
      </c>
      <c r="C351" s="20">
        <v>45502</v>
      </c>
      <c r="D351" s="21">
        <v>12529</v>
      </c>
    </row>
    <row r="352" spans="1:4">
      <c r="A352" s="18" t="s">
        <v>27</v>
      </c>
      <c r="B352" s="18" t="s">
        <v>28</v>
      </c>
      <c r="C352" s="20">
        <v>45643</v>
      </c>
      <c r="D352" s="21">
        <v>10607</v>
      </c>
    </row>
    <row r="353" spans="1:4">
      <c r="A353" s="18" t="s">
        <v>27</v>
      </c>
      <c r="B353" s="18" t="s">
        <v>28</v>
      </c>
      <c r="C353" s="20">
        <v>45624</v>
      </c>
      <c r="D353" s="21">
        <v>10870</v>
      </c>
    </row>
    <row r="354" spans="1:4">
      <c r="A354" s="18" t="s">
        <v>27</v>
      </c>
      <c r="B354" s="18" t="s">
        <v>28</v>
      </c>
      <c r="C354" s="20">
        <v>45374</v>
      </c>
      <c r="D354" s="21">
        <v>2311</v>
      </c>
    </row>
    <row r="355" spans="1:4">
      <c r="A355" s="18" t="s">
        <v>27</v>
      </c>
      <c r="B355" s="18" t="s">
        <v>28</v>
      </c>
      <c r="C355" s="20">
        <v>45417</v>
      </c>
      <c r="D355" s="21">
        <v>8283</v>
      </c>
    </row>
    <row r="356" spans="1:4">
      <c r="A356" s="18" t="s">
        <v>29</v>
      </c>
      <c r="B356" s="18" t="s">
        <v>30</v>
      </c>
      <c r="C356" s="20">
        <v>45618</v>
      </c>
      <c r="D356" s="21">
        <v>6325</v>
      </c>
    </row>
    <row r="357" spans="1:4">
      <c r="A357" s="18" t="s">
        <v>29</v>
      </c>
      <c r="B357" s="18" t="s">
        <v>30</v>
      </c>
      <c r="C357" s="20">
        <v>45338</v>
      </c>
      <c r="D357" s="21">
        <v>21517</v>
      </c>
    </row>
    <row r="358" spans="1:4">
      <c r="A358" s="18" t="s">
        <v>29</v>
      </c>
      <c r="B358" s="18" t="s">
        <v>30</v>
      </c>
      <c r="C358" s="20">
        <v>45583</v>
      </c>
      <c r="D358" s="21">
        <v>7126</v>
      </c>
    </row>
    <row r="359" spans="1:4">
      <c r="A359" s="18" t="s">
        <v>29</v>
      </c>
      <c r="B359" s="18" t="s">
        <v>30</v>
      </c>
      <c r="C359" s="20">
        <v>45388</v>
      </c>
      <c r="D359" s="21">
        <v>10245</v>
      </c>
    </row>
    <row r="360" spans="1:4">
      <c r="A360" s="18" t="s">
        <v>29</v>
      </c>
      <c r="B360" s="18" t="s">
        <v>30</v>
      </c>
      <c r="C360" s="20">
        <v>45309</v>
      </c>
      <c r="D360" s="21">
        <v>15245</v>
      </c>
    </row>
    <row r="361" spans="1:4">
      <c r="A361" s="18" t="s">
        <v>29</v>
      </c>
      <c r="B361" s="18" t="s">
        <v>30</v>
      </c>
      <c r="C361" s="20">
        <v>45307</v>
      </c>
      <c r="D361" s="21">
        <v>1879</v>
      </c>
    </row>
    <row r="362" spans="1:4">
      <c r="A362" s="18" t="s">
        <v>27</v>
      </c>
      <c r="B362" s="18" t="s">
        <v>31</v>
      </c>
      <c r="C362" s="20">
        <v>45308</v>
      </c>
      <c r="D362" s="21">
        <v>13181</v>
      </c>
    </row>
    <row r="363" spans="1:4">
      <c r="A363" s="18" t="s">
        <v>27</v>
      </c>
      <c r="B363" s="18" t="s">
        <v>31</v>
      </c>
      <c r="C363" s="20">
        <v>45622</v>
      </c>
      <c r="D363" s="21">
        <v>6210</v>
      </c>
    </row>
    <row r="364" spans="1:4">
      <c r="A364" s="18" t="s">
        <v>27</v>
      </c>
      <c r="B364" s="18" t="s">
        <v>31</v>
      </c>
      <c r="C364" s="20">
        <v>45331</v>
      </c>
      <c r="D364" s="21">
        <v>4259</v>
      </c>
    </row>
    <row r="365" spans="1:4">
      <c r="A365" s="18" t="s">
        <v>27</v>
      </c>
      <c r="B365" s="18" t="s">
        <v>31</v>
      </c>
      <c r="C365" s="20">
        <v>45323</v>
      </c>
      <c r="D365" s="21">
        <v>12669</v>
      </c>
    </row>
    <row r="366" spans="1:4">
      <c r="A366" s="18" t="s">
        <v>27</v>
      </c>
      <c r="B366" s="18" t="s">
        <v>31</v>
      </c>
      <c r="C366" s="20">
        <v>45377</v>
      </c>
      <c r="D366" s="21">
        <v>2141</v>
      </c>
    </row>
    <row r="367" spans="1:4">
      <c r="A367" s="18" t="s">
        <v>27</v>
      </c>
      <c r="B367" s="18" t="s">
        <v>31</v>
      </c>
      <c r="C367" s="20">
        <v>45448</v>
      </c>
      <c r="D367" s="21">
        <v>3620</v>
      </c>
    </row>
    <row r="368" spans="1:4">
      <c r="A368" s="18" t="s">
        <v>27</v>
      </c>
      <c r="B368" s="18" t="s">
        <v>31</v>
      </c>
      <c r="C368" s="20">
        <v>45369</v>
      </c>
      <c r="D368" s="21">
        <v>19177</v>
      </c>
    </row>
    <row r="369" spans="1:4">
      <c r="A369" s="18" t="s">
        <v>27</v>
      </c>
      <c r="B369" s="18" t="s">
        <v>31</v>
      </c>
      <c r="C369" s="20">
        <v>45501</v>
      </c>
      <c r="D369" s="21">
        <v>9021</v>
      </c>
    </row>
    <row r="370" spans="1:4">
      <c r="A370" s="18" t="s">
        <v>25</v>
      </c>
      <c r="B370" s="18" t="s">
        <v>32</v>
      </c>
      <c r="C370" s="20">
        <v>45553</v>
      </c>
      <c r="D370" s="21">
        <v>21509</v>
      </c>
    </row>
    <row r="371" spans="1:4">
      <c r="A371" s="18" t="s">
        <v>25</v>
      </c>
      <c r="B371" s="18" t="s">
        <v>32</v>
      </c>
      <c r="C371" s="20">
        <v>45655</v>
      </c>
      <c r="D371" s="21">
        <v>19397</v>
      </c>
    </row>
    <row r="372" spans="1:4">
      <c r="A372" s="18" t="s">
        <v>25</v>
      </c>
      <c r="B372" s="18" t="s">
        <v>32</v>
      </c>
      <c r="C372" s="20">
        <v>45324</v>
      </c>
      <c r="D372" s="21">
        <v>5612</v>
      </c>
    </row>
    <row r="373" spans="1:4">
      <c r="A373" s="18" t="s">
        <v>25</v>
      </c>
      <c r="B373" s="18" t="s">
        <v>32</v>
      </c>
      <c r="C373" s="20">
        <v>45449</v>
      </c>
      <c r="D373" s="21">
        <v>9432</v>
      </c>
    </row>
    <row r="374" spans="1:4">
      <c r="A374" s="18" t="s">
        <v>25</v>
      </c>
      <c r="B374" s="18" t="s">
        <v>32</v>
      </c>
      <c r="C374" s="20">
        <v>45367</v>
      </c>
      <c r="D374" s="21">
        <v>9761</v>
      </c>
    </row>
    <row r="375" spans="1:4">
      <c r="A375" s="18" t="s">
        <v>25</v>
      </c>
      <c r="B375" s="18" t="s">
        <v>32</v>
      </c>
      <c r="C375" s="20">
        <v>45531</v>
      </c>
      <c r="D375" s="21">
        <v>18537</v>
      </c>
    </row>
    <row r="376" spans="1:4">
      <c r="A376" s="18" t="s">
        <v>25</v>
      </c>
      <c r="B376" s="18" t="s">
        <v>33</v>
      </c>
      <c r="C376" s="20">
        <v>45365</v>
      </c>
      <c r="D376" s="21">
        <v>7086</v>
      </c>
    </row>
    <row r="377" spans="1:4">
      <c r="A377" s="18" t="s">
        <v>25</v>
      </c>
      <c r="B377" s="18" t="s">
        <v>33</v>
      </c>
      <c r="C377" s="20">
        <v>45451</v>
      </c>
      <c r="D377" s="21">
        <v>21480</v>
      </c>
    </row>
    <row r="378" spans="1:4">
      <c r="A378" s="18" t="s">
        <v>25</v>
      </c>
      <c r="B378" s="18" t="s">
        <v>33</v>
      </c>
      <c r="C378" s="20">
        <v>45596</v>
      </c>
      <c r="D378" s="21">
        <v>20552</v>
      </c>
    </row>
    <row r="379" spans="1:4">
      <c r="A379" s="18" t="s">
        <v>25</v>
      </c>
      <c r="B379" s="18" t="s">
        <v>33</v>
      </c>
      <c r="C379" s="20">
        <v>45618</v>
      </c>
      <c r="D379" s="21">
        <v>13477</v>
      </c>
    </row>
    <row r="380" spans="1:4">
      <c r="A380" s="18" t="s">
        <v>25</v>
      </c>
      <c r="B380" s="18" t="s">
        <v>33</v>
      </c>
      <c r="C380" s="20">
        <v>45444</v>
      </c>
      <c r="D380" s="21">
        <v>1374</v>
      </c>
    </row>
    <row r="381" spans="1:4">
      <c r="A381" s="18" t="s">
        <v>25</v>
      </c>
      <c r="B381" s="18" t="s">
        <v>33</v>
      </c>
      <c r="C381" s="20">
        <v>45575</v>
      </c>
      <c r="D381" s="21">
        <v>2440</v>
      </c>
    </row>
    <row r="382" spans="1:4">
      <c r="A382" s="18" t="s">
        <v>25</v>
      </c>
      <c r="B382" s="18" t="s">
        <v>33</v>
      </c>
      <c r="C382" s="20">
        <v>45345</v>
      </c>
      <c r="D382" s="21">
        <v>7951</v>
      </c>
    </row>
    <row r="383" spans="1:4">
      <c r="A383" s="18" t="s">
        <v>25</v>
      </c>
      <c r="B383" s="18" t="s">
        <v>33</v>
      </c>
      <c r="C383" s="20">
        <v>45311</v>
      </c>
      <c r="D383" s="21">
        <v>2110</v>
      </c>
    </row>
    <row r="384" spans="1:4">
      <c r="A384" s="18" t="s">
        <v>25</v>
      </c>
      <c r="B384" s="18" t="s">
        <v>34</v>
      </c>
      <c r="C384" s="20">
        <v>45582</v>
      </c>
      <c r="D384" s="21">
        <v>16620</v>
      </c>
    </row>
    <row r="385" spans="1:4">
      <c r="A385" s="18" t="s">
        <v>25</v>
      </c>
      <c r="B385" s="18" t="s">
        <v>34</v>
      </c>
      <c r="C385" s="20">
        <v>45635</v>
      </c>
      <c r="D385" s="21">
        <v>16516</v>
      </c>
    </row>
    <row r="386" spans="1:4">
      <c r="A386" s="18" t="s">
        <v>25</v>
      </c>
      <c r="B386" s="18" t="s">
        <v>34</v>
      </c>
      <c r="C386" s="20">
        <v>45382</v>
      </c>
      <c r="D386" s="21">
        <v>11026</v>
      </c>
    </row>
    <row r="387" spans="1:4">
      <c r="A387" s="18" t="s">
        <v>25</v>
      </c>
      <c r="B387" s="18" t="s">
        <v>34</v>
      </c>
      <c r="C387" s="20">
        <v>45353</v>
      </c>
      <c r="D387" s="21">
        <v>18166</v>
      </c>
    </row>
    <row r="388" spans="1:4">
      <c r="A388" s="18" t="s">
        <v>25</v>
      </c>
      <c r="B388" s="18" t="s">
        <v>34</v>
      </c>
      <c r="C388" s="20">
        <v>45387</v>
      </c>
      <c r="D388" s="21">
        <v>13916</v>
      </c>
    </row>
    <row r="389" spans="1:4">
      <c r="A389" s="18" t="s">
        <v>25</v>
      </c>
      <c r="B389" s="18" t="s">
        <v>34</v>
      </c>
      <c r="C389" s="20">
        <v>45402</v>
      </c>
      <c r="D389" s="21">
        <v>11335</v>
      </c>
    </row>
    <row r="390" spans="1:4">
      <c r="A390" s="18" t="s">
        <v>25</v>
      </c>
      <c r="B390" s="18" t="s">
        <v>34</v>
      </c>
      <c r="C390" s="20">
        <v>45530</v>
      </c>
      <c r="D390" s="21">
        <v>19002</v>
      </c>
    </row>
    <row r="391" spans="1:4">
      <c r="A391" s="18" t="s">
        <v>25</v>
      </c>
      <c r="B391" s="18" t="s">
        <v>34</v>
      </c>
      <c r="C391" s="20">
        <v>45504</v>
      </c>
      <c r="D391" s="21">
        <v>16243</v>
      </c>
    </row>
    <row r="392" spans="1:4">
      <c r="A392" s="18" t="s">
        <v>25</v>
      </c>
      <c r="B392" s="18" t="s">
        <v>35</v>
      </c>
      <c r="C392" s="20">
        <v>45532</v>
      </c>
      <c r="D392" s="21">
        <v>16922</v>
      </c>
    </row>
    <row r="393" spans="1:4">
      <c r="A393" s="18" t="s">
        <v>25</v>
      </c>
      <c r="B393" s="18" t="s">
        <v>35</v>
      </c>
      <c r="C393" s="20">
        <v>45607</v>
      </c>
      <c r="D393" s="21">
        <v>4027</v>
      </c>
    </row>
    <row r="394" spans="1:4">
      <c r="A394" s="18" t="s">
        <v>25</v>
      </c>
      <c r="B394" s="18" t="s">
        <v>35</v>
      </c>
      <c r="C394" s="20">
        <v>45536</v>
      </c>
      <c r="D394" s="21">
        <v>17274</v>
      </c>
    </row>
    <row r="395" spans="1:4">
      <c r="A395" s="18" t="s">
        <v>25</v>
      </c>
      <c r="B395" s="18" t="s">
        <v>35</v>
      </c>
      <c r="C395" s="20">
        <v>45514</v>
      </c>
      <c r="D395" s="21">
        <v>2699</v>
      </c>
    </row>
    <row r="396" spans="1:4">
      <c r="A396" s="18" t="s">
        <v>25</v>
      </c>
      <c r="B396" s="18" t="s">
        <v>35</v>
      </c>
      <c r="C396" s="20">
        <v>45406</v>
      </c>
      <c r="D396" s="21">
        <v>19480</v>
      </c>
    </row>
    <row r="397" spans="1:4">
      <c r="A397" s="18" t="s">
        <v>25</v>
      </c>
      <c r="B397" s="18" t="s">
        <v>35</v>
      </c>
      <c r="C397" s="20">
        <v>45297</v>
      </c>
      <c r="D397" s="21">
        <v>5138</v>
      </c>
    </row>
    <row r="398" spans="1:4">
      <c r="A398" s="18" t="s">
        <v>25</v>
      </c>
      <c r="B398" s="18" t="s">
        <v>35</v>
      </c>
      <c r="C398" s="20">
        <v>45518</v>
      </c>
      <c r="D398" s="21">
        <v>16853</v>
      </c>
    </row>
    <row r="399" spans="1:4">
      <c r="A399" s="18" t="s">
        <v>27</v>
      </c>
      <c r="B399" s="18" t="s">
        <v>36</v>
      </c>
      <c r="C399" s="20">
        <v>45323</v>
      </c>
      <c r="D399" s="21">
        <v>16079</v>
      </c>
    </row>
    <row r="400" spans="1:4">
      <c r="A400" s="18" t="s">
        <v>27</v>
      </c>
      <c r="B400" s="18" t="s">
        <v>36</v>
      </c>
      <c r="C400" s="20">
        <v>45305</v>
      </c>
      <c r="D400" s="21">
        <v>12827</v>
      </c>
    </row>
    <row r="401" spans="1:4">
      <c r="A401" s="18" t="s">
        <v>27</v>
      </c>
      <c r="B401" s="18" t="s">
        <v>36</v>
      </c>
      <c r="C401" s="20">
        <v>45474</v>
      </c>
      <c r="D401" s="21">
        <v>9975</v>
      </c>
    </row>
    <row r="402" spans="1:4">
      <c r="A402" s="18" t="s">
        <v>27</v>
      </c>
      <c r="B402" s="18" t="s">
        <v>36</v>
      </c>
      <c r="C402" s="20">
        <v>45506</v>
      </c>
      <c r="D402" s="21">
        <v>20039</v>
      </c>
    </row>
    <row r="403" spans="1:4">
      <c r="A403" s="18" t="s">
        <v>27</v>
      </c>
      <c r="B403" s="18" t="s">
        <v>36</v>
      </c>
      <c r="C403" s="20">
        <v>45372</v>
      </c>
      <c r="D403" s="21">
        <v>2512</v>
      </c>
    </row>
    <row r="404" spans="1:4">
      <c r="A404" s="18" t="s">
        <v>27</v>
      </c>
      <c r="B404" s="18" t="s">
        <v>36</v>
      </c>
      <c r="C404" s="20">
        <v>45490</v>
      </c>
      <c r="D404" s="21">
        <v>8867</v>
      </c>
    </row>
    <row r="405" spans="1:4">
      <c r="A405" s="18" t="s">
        <v>27</v>
      </c>
      <c r="B405" s="18" t="s">
        <v>36</v>
      </c>
      <c r="C405" s="20">
        <v>45473</v>
      </c>
      <c r="D405" s="21">
        <v>5998</v>
      </c>
    </row>
    <row r="406" spans="1:4">
      <c r="A406" s="18" t="s">
        <v>27</v>
      </c>
      <c r="B406" s="18" t="s">
        <v>36</v>
      </c>
      <c r="C406" s="20">
        <v>45294</v>
      </c>
      <c r="D406" s="21">
        <v>13820</v>
      </c>
    </row>
    <row r="407" spans="1:4">
      <c r="A407" s="18" t="s">
        <v>27</v>
      </c>
      <c r="B407" s="18" t="s">
        <v>37</v>
      </c>
      <c r="C407" s="20">
        <v>45363</v>
      </c>
      <c r="D407" s="21">
        <v>1862</v>
      </c>
    </row>
    <row r="408" spans="1:4">
      <c r="A408" s="18" t="s">
        <v>27</v>
      </c>
      <c r="B408" s="18" t="s">
        <v>37</v>
      </c>
      <c r="C408" s="20">
        <v>45298</v>
      </c>
      <c r="D408" s="21">
        <v>18456</v>
      </c>
    </row>
    <row r="409" spans="1:4">
      <c r="A409" s="18" t="s">
        <v>27</v>
      </c>
      <c r="B409" s="18" t="s">
        <v>37</v>
      </c>
      <c r="C409" s="20">
        <v>45529</v>
      </c>
      <c r="D409" s="21">
        <v>18837</v>
      </c>
    </row>
    <row r="410" spans="1:4">
      <c r="A410" s="18" t="s">
        <v>27</v>
      </c>
      <c r="B410" s="18" t="s">
        <v>37</v>
      </c>
      <c r="C410" s="20">
        <v>45516</v>
      </c>
      <c r="D410" s="21">
        <v>13206</v>
      </c>
    </row>
    <row r="411" spans="1:4">
      <c r="A411" s="18" t="s">
        <v>27</v>
      </c>
      <c r="B411" s="18" t="s">
        <v>37</v>
      </c>
      <c r="C411" s="20">
        <v>45381</v>
      </c>
      <c r="D411" s="21">
        <v>16410</v>
      </c>
    </row>
    <row r="412" spans="1:4">
      <c r="A412" s="18" t="s">
        <v>27</v>
      </c>
      <c r="B412" s="18" t="s">
        <v>37</v>
      </c>
      <c r="C412" s="20">
        <v>45445</v>
      </c>
      <c r="D412" s="21">
        <v>4487</v>
      </c>
    </row>
    <row r="413" spans="1:4">
      <c r="A413" s="18" t="s">
        <v>27</v>
      </c>
      <c r="B413" s="18" t="s">
        <v>37</v>
      </c>
      <c r="C413" s="20">
        <v>45523</v>
      </c>
      <c r="D413" s="21">
        <v>1927</v>
      </c>
    </row>
    <row r="414" spans="1:4">
      <c r="A414" s="18" t="s">
        <v>27</v>
      </c>
      <c r="B414" s="18" t="s">
        <v>37</v>
      </c>
      <c r="C414" s="20">
        <v>45629</v>
      </c>
      <c r="D414" s="21">
        <v>8032</v>
      </c>
    </row>
    <row r="415" spans="1:4">
      <c r="A415" s="18" t="s">
        <v>27</v>
      </c>
      <c r="B415" s="18" t="s">
        <v>37</v>
      </c>
      <c r="C415" s="20">
        <v>45456</v>
      </c>
      <c r="D415" s="21">
        <v>3290</v>
      </c>
    </row>
    <row r="416" spans="1:4">
      <c r="A416" s="18" t="s">
        <v>27</v>
      </c>
      <c r="B416" s="18" t="s">
        <v>38</v>
      </c>
      <c r="C416" s="20">
        <v>45350</v>
      </c>
      <c r="D416" s="21">
        <v>1434</v>
      </c>
    </row>
    <row r="417" spans="1:4">
      <c r="A417" s="18" t="s">
        <v>27</v>
      </c>
      <c r="B417" s="18" t="s">
        <v>38</v>
      </c>
      <c r="C417" s="20">
        <v>45397</v>
      </c>
      <c r="D417" s="21">
        <v>20381</v>
      </c>
    </row>
    <row r="418" spans="1:4">
      <c r="A418" s="18" t="s">
        <v>27</v>
      </c>
      <c r="B418" s="18" t="s">
        <v>38</v>
      </c>
      <c r="C418" s="20">
        <v>45427</v>
      </c>
      <c r="D418" s="21">
        <v>4651</v>
      </c>
    </row>
    <row r="419" spans="1:4">
      <c r="A419" s="18" t="s">
        <v>27</v>
      </c>
      <c r="B419" s="18" t="s">
        <v>38</v>
      </c>
      <c r="C419" s="20">
        <v>45294</v>
      </c>
      <c r="D419" s="21">
        <v>15636</v>
      </c>
    </row>
    <row r="420" spans="1:4">
      <c r="A420" s="18" t="s">
        <v>27</v>
      </c>
      <c r="B420" s="18" t="s">
        <v>38</v>
      </c>
      <c r="C420" s="20">
        <v>45495</v>
      </c>
      <c r="D420" s="21">
        <v>3941</v>
      </c>
    </row>
    <row r="421" spans="1:4">
      <c r="A421" s="18" t="s">
        <v>27</v>
      </c>
      <c r="B421" s="18" t="s">
        <v>38</v>
      </c>
      <c r="C421" s="20">
        <v>45563</v>
      </c>
      <c r="D421" s="21">
        <v>4629</v>
      </c>
    </row>
    <row r="422" spans="1:4">
      <c r="A422" s="18" t="s">
        <v>27</v>
      </c>
      <c r="B422" s="18" t="s">
        <v>38</v>
      </c>
      <c r="C422" s="20">
        <v>45596</v>
      </c>
      <c r="D422" s="21">
        <v>14565</v>
      </c>
    </row>
    <row r="423" spans="1:4">
      <c r="A423" s="18" t="s">
        <v>27</v>
      </c>
      <c r="B423" s="18" t="s">
        <v>38</v>
      </c>
      <c r="C423" s="20">
        <v>45381</v>
      </c>
      <c r="D423" s="21">
        <v>13840</v>
      </c>
    </row>
    <row r="424" spans="1:4">
      <c r="A424" s="18" t="s">
        <v>25</v>
      </c>
      <c r="B424" s="18" t="s">
        <v>39</v>
      </c>
      <c r="C424" s="20">
        <v>45298</v>
      </c>
      <c r="D424" s="21">
        <v>11880</v>
      </c>
    </row>
    <row r="425" spans="1:4">
      <c r="A425" s="18" t="s">
        <v>25</v>
      </c>
      <c r="B425" s="18" t="s">
        <v>39</v>
      </c>
      <c r="C425" s="20">
        <v>45382</v>
      </c>
      <c r="D425" s="21">
        <v>10644</v>
      </c>
    </row>
    <row r="426" spans="1:4">
      <c r="A426" s="18" t="s">
        <v>25</v>
      </c>
      <c r="B426" s="18" t="s">
        <v>39</v>
      </c>
      <c r="C426" s="20">
        <v>45642</v>
      </c>
      <c r="D426" s="21">
        <v>13985</v>
      </c>
    </row>
    <row r="427" spans="1:4">
      <c r="A427" s="18" t="s">
        <v>25</v>
      </c>
      <c r="B427" s="18" t="s">
        <v>39</v>
      </c>
      <c r="C427" s="20">
        <v>45366</v>
      </c>
      <c r="D427" s="21">
        <v>13348</v>
      </c>
    </row>
    <row r="428" spans="1:4">
      <c r="A428" s="18" t="s">
        <v>25</v>
      </c>
      <c r="B428" s="18" t="s">
        <v>39</v>
      </c>
      <c r="C428" s="20">
        <v>45595</v>
      </c>
      <c r="D428" s="21">
        <v>11821</v>
      </c>
    </row>
    <row r="429" spans="1:4">
      <c r="A429" s="18" t="s">
        <v>25</v>
      </c>
      <c r="B429" s="18" t="s">
        <v>39</v>
      </c>
      <c r="C429" s="20">
        <v>45574</v>
      </c>
      <c r="D429" s="21">
        <v>13472</v>
      </c>
    </row>
    <row r="430" spans="1:4">
      <c r="A430" s="18" t="s">
        <v>25</v>
      </c>
      <c r="B430" s="18" t="s">
        <v>40</v>
      </c>
      <c r="C430" s="20">
        <v>45491</v>
      </c>
      <c r="D430" s="21">
        <v>7413</v>
      </c>
    </row>
    <row r="431" spans="1:4">
      <c r="A431" s="18" t="s">
        <v>25</v>
      </c>
      <c r="B431" s="18" t="s">
        <v>40</v>
      </c>
      <c r="C431" s="20">
        <v>45594</v>
      </c>
      <c r="D431" s="21">
        <v>12005</v>
      </c>
    </row>
    <row r="432" spans="1:4">
      <c r="A432" s="18" t="s">
        <v>25</v>
      </c>
      <c r="B432" s="18" t="s">
        <v>40</v>
      </c>
      <c r="C432" s="20">
        <v>45621</v>
      </c>
      <c r="D432" s="21">
        <v>14445</v>
      </c>
    </row>
    <row r="433" spans="1:4">
      <c r="A433" s="18" t="s">
        <v>25</v>
      </c>
      <c r="B433" s="18" t="s">
        <v>40</v>
      </c>
      <c r="C433" s="20">
        <v>45652</v>
      </c>
      <c r="D433" s="21">
        <v>12737</v>
      </c>
    </row>
    <row r="434" spans="1:4">
      <c r="A434" s="18" t="s">
        <v>25</v>
      </c>
      <c r="B434" s="18" t="s">
        <v>40</v>
      </c>
      <c r="C434" s="20">
        <v>45630</v>
      </c>
      <c r="D434" s="21">
        <v>7445</v>
      </c>
    </row>
    <row r="435" spans="1:4">
      <c r="A435" s="18" t="s">
        <v>25</v>
      </c>
      <c r="B435" s="18" t="s">
        <v>40</v>
      </c>
      <c r="C435" s="20">
        <v>45478</v>
      </c>
      <c r="D435" s="21">
        <v>4954</v>
      </c>
    </row>
    <row r="436" spans="1:4">
      <c r="A436" s="18" t="s">
        <v>25</v>
      </c>
      <c r="B436" s="18" t="s">
        <v>40</v>
      </c>
      <c r="C436" s="20">
        <v>45629</v>
      </c>
      <c r="D436" s="21">
        <v>7271</v>
      </c>
    </row>
    <row r="437" spans="1:4">
      <c r="A437" s="18" t="s">
        <v>25</v>
      </c>
      <c r="B437" s="18" t="s">
        <v>40</v>
      </c>
      <c r="C437" s="20">
        <v>45478</v>
      </c>
      <c r="D437" s="21">
        <v>16224</v>
      </c>
    </row>
    <row r="438" spans="1:4">
      <c r="A438" s="18" t="s">
        <v>25</v>
      </c>
      <c r="B438" s="18" t="s">
        <v>41</v>
      </c>
      <c r="C438" s="20">
        <v>45459</v>
      </c>
      <c r="D438" s="21">
        <v>3788</v>
      </c>
    </row>
    <row r="439" spans="1:4">
      <c r="A439" s="18" t="s">
        <v>25</v>
      </c>
      <c r="B439" s="18" t="s">
        <v>41</v>
      </c>
      <c r="C439" s="20">
        <v>45494</v>
      </c>
      <c r="D439" s="21">
        <v>13772</v>
      </c>
    </row>
    <row r="440" spans="1:4">
      <c r="A440" s="18" t="s">
        <v>25</v>
      </c>
      <c r="B440" s="18" t="s">
        <v>41</v>
      </c>
      <c r="C440" s="20">
        <v>45577</v>
      </c>
      <c r="D440" s="21">
        <v>10135</v>
      </c>
    </row>
    <row r="441" spans="1:4">
      <c r="A441" s="18" t="s">
        <v>25</v>
      </c>
      <c r="B441" s="18" t="s">
        <v>41</v>
      </c>
      <c r="C441" s="20">
        <v>45434</v>
      </c>
      <c r="D441" s="21">
        <v>16448</v>
      </c>
    </row>
    <row r="442" spans="1:4">
      <c r="A442" s="18" t="s">
        <v>25</v>
      </c>
      <c r="B442" s="18" t="s">
        <v>41</v>
      </c>
      <c r="C442" s="20">
        <v>45498</v>
      </c>
      <c r="D442" s="21">
        <v>11365</v>
      </c>
    </row>
    <row r="443" spans="1:4">
      <c r="A443" s="18" t="s">
        <v>25</v>
      </c>
      <c r="B443" s="18" t="s">
        <v>41</v>
      </c>
      <c r="C443" s="20">
        <v>45589</v>
      </c>
      <c r="D443" s="21">
        <v>16232</v>
      </c>
    </row>
    <row r="444" spans="1:4">
      <c r="A444" s="18" t="s">
        <v>25</v>
      </c>
      <c r="B444" s="18" t="s">
        <v>41</v>
      </c>
      <c r="C444" s="20">
        <v>45453</v>
      </c>
      <c r="D444" s="21">
        <v>16185</v>
      </c>
    </row>
    <row r="445" spans="1:4">
      <c r="A445" s="18" t="s">
        <v>25</v>
      </c>
      <c r="B445" s="18" t="s">
        <v>41</v>
      </c>
      <c r="C445" s="20">
        <v>45512</v>
      </c>
      <c r="D445" s="21">
        <v>21469</v>
      </c>
    </row>
    <row r="446" spans="1:4">
      <c r="A446" s="18" t="s">
        <v>25</v>
      </c>
      <c r="B446" s="18" t="s">
        <v>41</v>
      </c>
      <c r="C446" s="20">
        <v>45593</v>
      </c>
      <c r="D446" s="21">
        <v>11900</v>
      </c>
    </row>
    <row r="447" spans="1:4">
      <c r="A447" s="18" t="s">
        <v>25</v>
      </c>
      <c r="B447" s="18" t="s">
        <v>41</v>
      </c>
      <c r="C447" s="20">
        <v>45292</v>
      </c>
      <c r="D447" s="21">
        <v>4643</v>
      </c>
    </row>
    <row r="448" spans="1:4">
      <c r="A448" s="18" t="s">
        <v>25</v>
      </c>
      <c r="B448" s="18" t="s">
        <v>42</v>
      </c>
      <c r="C448" s="20">
        <v>45411</v>
      </c>
      <c r="D448" s="21">
        <v>10959</v>
      </c>
    </row>
    <row r="449" spans="1:4">
      <c r="A449" s="18" t="s">
        <v>25</v>
      </c>
      <c r="B449" s="18" t="s">
        <v>42</v>
      </c>
      <c r="C449" s="20">
        <v>45349</v>
      </c>
      <c r="D449" s="21">
        <v>15903</v>
      </c>
    </row>
    <row r="450" spans="1:4">
      <c r="A450" s="18" t="s">
        <v>25</v>
      </c>
      <c r="B450" s="18" t="s">
        <v>42</v>
      </c>
      <c r="C450" s="20">
        <v>45352</v>
      </c>
      <c r="D450" s="21">
        <v>4628</v>
      </c>
    </row>
    <row r="451" spans="1:4">
      <c r="A451" s="18" t="s">
        <v>25</v>
      </c>
      <c r="B451" s="18" t="s">
        <v>42</v>
      </c>
      <c r="C451" s="20">
        <v>45486</v>
      </c>
      <c r="D451" s="21">
        <v>18437</v>
      </c>
    </row>
    <row r="452" spans="1:4">
      <c r="A452" s="18" t="s">
        <v>25</v>
      </c>
      <c r="B452" s="18" t="s">
        <v>42</v>
      </c>
      <c r="C452" s="20">
        <v>45415</v>
      </c>
      <c r="D452" s="21">
        <v>15370</v>
      </c>
    </row>
    <row r="453" spans="1:4">
      <c r="A453" s="18" t="s">
        <v>25</v>
      </c>
      <c r="B453" s="18" t="s">
        <v>42</v>
      </c>
      <c r="C453" s="20">
        <v>45383</v>
      </c>
      <c r="D453" s="21">
        <v>18654</v>
      </c>
    </row>
    <row r="454" spans="1:4">
      <c r="A454" s="18" t="s">
        <v>25</v>
      </c>
      <c r="B454" s="18" t="s">
        <v>42</v>
      </c>
      <c r="C454" s="20">
        <v>45292</v>
      </c>
      <c r="D454" s="21">
        <v>3334</v>
      </c>
    </row>
    <row r="455" spans="1:4">
      <c r="A455" s="18" t="s">
        <v>25</v>
      </c>
      <c r="B455" s="18" t="s">
        <v>42</v>
      </c>
      <c r="C455" s="20">
        <v>45359</v>
      </c>
      <c r="D455" s="21">
        <v>7589</v>
      </c>
    </row>
    <row r="456" spans="1:4">
      <c r="A456" s="18" t="s">
        <v>29</v>
      </c>
      <c r="B456" s="18" t="s">
        <v>43</v>
      </c>
      <c r="C456" s="20">
        <v>45521</v>
      </c>
      <c r="D456" s="21">
        <v>2958</v>
      </c>
    </row>
    <row r="457" spans="1:4">
      <c r="A457" s="18" t="s">
        <v>29</v>
      </c>
      <c r="B457" s="18" t="s">
        <v>43</v>
      </c>
      <c r="C457" s="20">
        <v>45475</v>
      </c>
      <c r="D457" s="21">
        <v>13668</v>
      </c>
    </row>
    <row r="458" spans="1:4">
      <c r="A458" s="18" t="s">
        <v>29</v>
      </c>
      <c r="B458" s="18" t="s">
        <v>43</v>
      </c>
      <c r="C458" s="20">
        <v>45441</v>
      </c>
      <c r="D458" s="21">
        <v>20621</v>
      </c>
    </row>
    <row r="459" spans="1:4">
      <c r="A459" s="18" t="s">
        <v>29</v>
      </c>
      <c r="B459" s="18" t="s">
        <v>43</v>
      </c>
      <c r="C459" s="20">
        <v>45422</v>
      </c>
      <c r="D459" s="21">
        <v>2269</v>
      </c>
    </row>
    <row r="460" spans="1:4">
      <c r="A460" s="18" t="s">
        <v>29</v>
      </c>
      <c r="B460" s="18" t="s">
        <v>43</v>
      </c>
      <c r="C460" s="20">
        <v>45574</v>
      </c>
      <c r="D460" s="21">
        <v>10809</v>
      </c>
    </row>
    <row r="461" spans="1:4">
      <c r="A461" s="18" t="s">
        <v>29</v>
      </c>
      <c r="B461" s="18" t="s">
        <v>43</v>
      </c>
      <c r="C461" s="20">
        <v>45448</v>
      </c>
      <c r="D461" s="21">
        <v>19256</v>
      </c>
    </row>
    <row r="462" spans="1:4">
      <c r="A462" s="18" t="s">
        <v>29</v>
      </c>
      <c r="B462" s="18" t="s">
        <v>43</v>
      </c>
      <c r="C462" s="20">
        <v>45421</v>
      </c>
      <c r="D462" s="21">
        <v>16280</v>
      </c>
    </row>
    <row r="463" spans="1:4">
      <c r="A463" s="18" t="s">
        <v>29</v>
      </c>
      <c r="B463" s="18" t="s">
        <v>44</v>
      </c>
      <c r="C463" s="20">
        <v>45501</v>
      </c>
      <c r="D463" s="21">
        <v>7357</v>
      </c>
    </row>
    <row r="464" spans="1:4">
      <c r="A464" s="18" t="s">
        <v>29</v>
      </c>
      <c r="B464" s="18" t="s">
        <v>44</v>
      </c>
      <c r="C464" s="20">
        <v>45499</v>
      </c>
      <c r="D464" s="21">
        <v>6250</v>
      </c>
    </row>
    <row r="465" spans="1:4">
      <c r="A465" s="18" t="s">
        <v>29</v>
      </c>
      <c r="B465" s="18" t="s">
        <v>44</v>
      </c>
      <c r="C465" s="20">
        <v>45307</v>
      </c>
      <c r="D465" s="21">
        <v>4861</v>
      </c>
    </row>
    <row r="466" spans="1:4">
      <c r="A466" s="18" t="s">
        <v>29</v>
      </c>
      <c r="B466" s="18" t="s">
        <v>44</v>
      </c>
      <c r="C466" s="20">
        <v>45296</v>
      </c>
      <c r="D466" s="21">
        <v>6425</v>
      </c>
    </row>
    <row r="467" spans="1:4">
      <c r="A467" s="18" t="s">
        <v>29</v>
      </c>
      <c r="B467" s="18" t="s">
        <v>44</v>
      </c>
      <c r="C467" s="20">
        <v>45390</v>
      </c>
      <c r="D467" s="21">
        <v>8591</v>
      </c>
    </row>
    <row r="468" spans="1:4">
      <c r="A468" s="18" t="s">
        <v>29</v>
      </c>
      <c r="B468" s="18" t="s">
        <v>44</v>
      </c>
      <c r="C468" s="20">
        <v>45328</v>
      </c>
      <c r="D468" s="21">
        <v>21265</v>
      </c>
    </row>
    <row r="469" spans="1:4">
      <c r="A469" s="18" t="s">
        <v>29</v>
      </c>
      <c r="B469" s="18" t="s">
        <v>44</v>
      </c>
      <c r="C469" s="20">
        <v>45487</v>
      </c>
      <c r="D469" s="21">
        <v>7719</v>
      </c>
    </row>
    <row r="470" spans="1:4">
      <c r="A470" s="18" t="s">
        <v>29</v>
      </c>
      <c r="B470" s="18" t="s">
        <v>44</v>
      </c>
      <c r="C470" s="20">
        <v>45413</v>
      </c>
      <c r="D470" s="21">
        <v>6114</v>
      </c>
    </row>
    <row r="471" spans="1:4">
      <c r="A471" s="18" t="s">
        <v>29</v>
      </c>
      <c r="B471" s="18" t="s">
        <v>44</v>
      </c>
      <c r="C471" s="20">
        <v>45303</v>
      </c>
      <c r="D471" s="21">
        <v>8552</v>
      </c>
    </row>
    <row r="472" spans="1:4">
      <c r="A472" s="18" t="s">
        <v>29</v>
      </c>
      <c r="B472" s="18" t="s">
        <v>45</v>
      </c>
      <c r="C472" s="20">
        <v>45319</v>
      </c>
      <c r="D472" s="21">
        <v>4437</v>
      </c>
    </row>
    <row r="473" spans="1:4">
      <c r="A473" s="18" t="s">
        <v>29</v>
      </c>
      <c r="B473" s="18" t="s">
        <v>45</v>
      </c>
      <c r="C473" s="20">
        <v>45358</v>
      </c>
      <c r="D473" s="21">
        <v>15897</v>
      </c>
    </row>
    <row r="474" spans="1:4">
      <c r="A474" s="18" t="s">
        <v>29</v>
      </c>
      <c r="B474" s="18" t="s">
        <v>45</v>
      </c>
      <c r="C474" s="20">
        <v>45593</v>
      </c>
      <c r="D474" s="21">
        <v>4292</v>
      </c>
    </row>
    <row r="475" spans="1:4">
      <c r="A475" s="18" t="s">
        <v>29</v>
      </c>
      <c r="B475" s="18" t="s">
        <v>45</v>
      </c>
      <c r="C475" s="20">
        <v>45451</v>
      </c>
      <c r="D475" s="21">
        <v>8255</v>
      </c>
    </row>
    <row r="476" spans="1:4">
      <c r="A476" s="18" t="s">
        <v>29</v>
      </c>
      <c r="B476" s="18" t="s">
        <v>45</v>
      </c>
      <c r="C476" s="20">
        <v>45521</v>
      </c>
      <c r="D476" s="21">
        <v>8616</v>
      </c>
    </row>
    <row r="477" spans="1:4">
      <c r="A477" s="18" t="s">
        <v>29</v>
      </c>
      <c r="B477" s="18" t="s">
        <v>45</v>
      </c>
      <c r="C477" s="20">
        <v>45328</v>
      </c>
      <c r="D477" s="21">
        <v>21045</v>
      </c>
    </row>
    <row r="478" spans="1:4">
      <c r="A478" s="18" t="s">
        <v>29</v>
      </c>
      <c r="B478" s="18" t="s">
        <v>45</v>
      </c>
      <c r="C478" s="20">
        <v>45651</v>
      </c>
      <c r="D478" s="21">
        <v>12055</v>
      </c>
    </row>
    <row r="479" spans="1:4">
      <c r="A479" s="18" t="s">
        <v>29</v>
      </c>
      <c r="B479" s="18" t="s">
        <v>45</v>
      </c>
      <c r="C479" s="20">
        <v>45376</v>
      </c>
      <c r="D479" s="21">
        <v>1853</v>
      </c>
    </row>
    <row r="480" spans="1:4">
      <c r="A480" s="18" t="s">
        <v>29</v>
      </c>
      <c r="B480" s="18" t="s">
        <v>45</v>
      </c>
      <c r="C480" s="20">
        <v>45297</v>
      </c>
      <c r="D480" s="21">
        <v>4946</v>
      </c>
    </row>
    <row r="481" spans="1:4">
      <c r="A481" s="18" t="s">
        <v>27</v>
      </c>
      <c r="B481" s="18" t="s">
        <v>46</v>
      </c>
      <c r="C481" s="20">
        <v>45437</v>
      </c>
      <c r="D481" s="21">
        <v>11074</v>
      </c>
    </row>
    <row r="482" spans="1:4">
      <c r="A482" s="18" t="s">
        <v>27</v>
      </c>
      <c r="B482" s="18" t="s">
        <v>46</v>
      </c>
      <c r="C482" s="20">
        <v>45512</v>
      </c>
      <c r="D482" s="21">
        <v>9911</v>
      </c>
    </row>
    <row r="483" spans="1:4">
      <c r="A483" s="18" t="s">
        <v>27</v>
      </c>
      <c r="B483" s="18" t="s">
        <v>46</v>
      </c>
      <c r="C483" s="20">
        <v>45547</v>
      </c>
      <c r="D483" s="21">
        <v>5507</v>
      </c>
    </row>
    <row r="484" spans="1:4">
      <c r="A484" s="18" t="s">
        <v>27</v>
      </c>
      <c r="B484" s="18" t="s">
        <v>46</v>
      </c>
      <c r="C484" s="20">
        <v>45415</v>
      </c>
      <c r="D484" s="21">
        <v>11258</v>
      </c>
    </row>
    <row r="485" spans="1:4">
      <c r="A485" s="18" t="s">
        <v>27</v>
      </c>
      <c r="B485" s="18" t="s">
        <v>46</v>
      </c>
      <c r="C485" s="20">
        <v>45406</v>
      </c>
      <c r="D485" s="21">
        <v>11583</v>
      </c>
    </row>
    <row r="486" spans="1:4">
      <c r="A486" s="18" t="s">
        <v>27</v>
      </c>
      <c r="B486" s="18" t="s">
        <v>46</v>
      </c>
      <c r="C486" s="20">
        <v>45618</v>
      </c>
      <c r="D486" s="21">
        <v>14082</v>
      </c>
    </row>
    <row r="487" spans="1:4">
      <c r="A487" s="18" t="s">
        <v>27</v>
      </c>
      <c r="B487" s="18" t="s">
        <v>46</v>
      </c>
      <c r="C487" s="20">
        <v>45578</v>
      </c>
      <c r="D487" s="21">
        <v>1941</v>
      </c>
    </row>
    <row r="488" spans="1:4">
      <c r="A488" s="18" t="s">
        <v>27</v>
      </c>
      <c r="B488" s="18" t="s">
        <v>46</v>
      </c>
      <c r="C488" s="20">
        <v>45645</v>
      </c>
      <c r="D488" s="21">
        <v>14928</v>
      </c>
    </row>
    <row r="489" spans="1:4">
      <c r="A489" s="18" t="s">
        <v>27</v>
      </c>
      <c r="B489" s="18" t="s">
        <v>46</v>
      </c>
      <c r="C489" s="20">
        <v>45622</v>
      </c>
      <c r="D489" s="21">
        <v>14910</v>
      </c>
    </row>
    <row r="490" spans="1:4">
      <c r="A490" s="18" t="s">
        <v>29</v>
      </c>
      <c r="B490" s="18" t="s">
        <v>47</v>
      </c>
      <c r="C490" s="20">
        <v>45432</v>
      </c>
      <c r="D490" s="21">
        <v>21423</v>
      </c>
    </row>
    <row r="491" spans="1:4">
      <c r="A491" s="18" t="s">
        <v>29</v>
      </c>
      <c r="B491" s="18" t="s">
        <v>47</v>
      </c>
      <c r="C491" s="20">
        <v>45599</v>
      </c>
      <c r="D491" s="21">
        <v>16786</v>
      </c>
    </row>
    <row r="492" spans="1:4">
      <c r="A492" s="18" t="s">
        <v>29</v>
      </c>
      <c r="B492" s="18" t="s">
        <v>47</v>
      </c>
      <c r="C492" s="20">
        <v>45333</v>
      </c>
      <c r="D492" s="21">
        <v>11346</v>
      </c>
    </row>
    <row r="493" spans="1:4">
      <c r="A493" s="18" t="s">
        <v>29</v>
      </c>
      <c r="B493" s="18" t="s">
        <v>47</v>
      </c>
      <c r="C493" s="20">
        <v>45640</v>
      </c>
      <c r="D493" s="21">
        <v>5031</v>
      </c>
    </row>
    <row r="494" spans="1:4">
      <c r="A494" s="18" t="s">
        <v>29</v>
      </c>
      <c r="B494" s="18" t="s">
        <v>47</v>
      </c>
      <c r="C494" s="20">
        <v>45461</v>
      </c>
      <c r="D494" s="21">
        <v>19587</v>
      </c>
    </row>
    <row r="495" spans="1:4">
      <c r="A495" s="18" t="s">
        <v>29</v>
      </c>
      <c r="B495" s="18" t="s">
        <v>47</v>
      </c>
      <c r="C495" s="20">
        <v>45521</v>
      </c>
      <c r="D495" s="21">
        <v>13539</v>
      </c>
    </row>
    <row r="496" spans="1:4">
      <c r="A496" s="18" t="s">
        <v>29</v>
      </c>
      <c r="B496" s="18" t="s">
        <v>47</v>
      </c>
      <c r="C496" s="20">
        <v>45496</v>
      </c>
      <c r="D496" s="21">
        <v>13319</v>
      </c>
    </row>
    <row r="497" spans="1:4">
      <c r="A497" s="18" t="s">
        <v>29</v>
      </c>
      <c r="B497" s="18" t="s">
        <v>47</v>
      </c>
      <c r="C497" s="20">
        <v>45612</v>
      </c>
      <c r="D497" s="21">
        <v>17176</v>
      </c>
    </row>
    <row r="498" spans="1:4">
      <c r="A498" s="18" t="s">
        <v>29</v>
      </c>
      <c r="B498" s="18" t="s">
        <v>47</v>
      </c>
      <c r="C498" s="20">
        <v>45330</v>
      </c>
      <c r="D498" s="21">
        <v>9181</v>
      </c>
    </row>
    <row r="499" spans="1:4">
      <c r="A499" s="18" t="s">
        <v>29</v>
      </c>
      <c r="B499" s="18" t="s">
        <v>47</v>
      </c>
      <c r="C499" s="20">
        <v>45557</v>
      </c>
      <c r="D499" s="21">
        <v>6357</v>
      </c>
    </row>
    <row r="500" spans="1:4">
      <c r="A500" s="18" t="s">
        <v>29</v>
      </c>
      <c r="B500" s="18" t="s">
        <v>48</v>
      </c>
      <c r="C500" s="20">
        <v>45475</v>
      </c>
      <c r="D500" s="21">
        <v>9295</v>
      </c>
    </row>
    <row r="501" spans="1:4">
      <c r="A501" s="18" t="s">
        <v>29</v>
      </c>
      <c r="B501" s="18" t="s">
        <v>48</v>
      </c>
      <c r="C501" s="20">
        <v>45396</v>
      </c>
      <c r="D501" s="21">
        <v>6888</v>
      </c>
    </row>
    <row r="502" spans="1:4">
      <c r="A502" s="18" t="s">
        <v>29</v>
      </c>
      <c r="B502" s="18" t="s">
        <v>48</v>
      </c>
      <c r="C502" s="20">
        <v>45590</v>
      </c>
      <c r="D502" s="21">
        <v>12956</v>
      </c>
    </row>
    <row r="503" spans="1:4">
      <c r="A503" s="18" t="s">
        <v>29</v>
      </c>
      <c r="B503" s="18" t="s">
        <v>48</v>
      </c>
      <c r="C503" s="20">
        <v>45330</v>
      </c>
      <c r="D503" s="21">
        <v>12299</v>
      </c>
    </row>
    <row r="504" spans="1:4">
      <c r="A504" s="18" t="s">
        <v>29</v>
      </c>
      <c r="B504" s="18" t="s">
        <v>48</v>
      </c>
      <c r="C504" s="20">
        <v>45390</v>
      </c>
      <c r="D504" s="21">
        <v>17660</v>
      </c>
    </row>
    <row r="505" spans="1:4">
      <c r="A505" s="18" t="s">
        <v>29</v>
      </c>
      <c r="B505" s="18" t="s">
        <v>48</v>
      </c>
      <c r="C505" s="20">
        <v>45584</v>
      </c>
      <c r="D505" s="21">
        <v>6171</v>
      </c>
    </row>
    <row r="506" spans="1:4">
      <c r="A506" s="18" t="s">
        <v>29</v>
      </c>
      <c r="B506" s="18" t="s">
        <v>48</v>
      </c>
      <c r="C506" s="20">
        <v>45367</v>
      </c>
      <c r="D506" s="21">
        <v>15298</v>
      </c>
    </row>
    <row r="507" spans="1:4">
      <c r="A507" s="18" t="s">
        <v>29</v>
      </c>
      <c r="B507" s="18" t="s">
        <v>48</v>
      </c>
      <c r="C507" s="20">
        <v>45501</v>
      </c>
      <c r="D507" s="21">
        <v>2626</v>
      </c>
    </row>
    <row r="508" spans="1:4">
      <c r="A508" s="18" t="s">
        <v>29</v>
      </c>
      <c r="B508" s="18" t="s">
        <v>48</v>
      </c>
      <c r="C508" s="20">
        <v>45382</v>
      </c>
      <c r="D508" s="21">
        <v>13933</v>
      </c>
    </row>
    <row r="509" spans="1:4">
      <c r="A509" s="18" t="s">
        <v>27</v>
      </c>
      <c r="B509" s="18" t="s">
        <v>49</v>
      </c>
      <c r="C509" s="20">
        <v>45524</v>
      </c>
      <c r="D509" s="21">
        <v>18813</v>
      </c>
    </row>
    <row r="510" spans="1:4">
      <c r="A510" s="18" t="s">
        <v>27</v>
      </c>
      <c r="B510" s="18" t="s">
        <v>49</v>
      </c>
      <c r="C510" s="20">
        <v>45442</v>
      </c>
      <c r="D510" s="21">
        <v>4010</v>
      </c>
    </row>
    <row r="511" spans="1:4">
      <c r="A511" s="18" t="s">
        <v>27</v>
      </c>
      <c r="B511" s="18" t="s">
        <v>49</v>
      </c>
      <c r="C511" s="20">
        <v>45302</v>
      </c>
      <c r="D511" s="21">
        <v>4177</v>
      </c>
    </row>
    <row r="512" spans="1:4">
      <c r="A512" s="18" t="s">
        <v>27</v>
      </c>
      <c r="B512" s="18" t="s">
        <v>49</v>
      </c>
      <c r="C512" s="20">
        <v>45461</v>
      </c>
      <c r="D512" s="21">
        <v>12540</v>
      </c>
    </row>
    <row r="513" spans="1:4">
      <c r="A513" s="18" t="s">
        <v>27</v>
      </c>
      <c r="B513" s="18" t="s">
        <v>49</v>
      </c>
      <c r="C513" s="20">
        <v>45596</v>
      </c>
      <c r="D513" s="21">
        <v>17020</v>
      </c>
    </row>
    <row r="514" spans="1:4">
      <c r="A514" s="18" t="s">
        <v>27</v>
      </c>
      <c r="B514" s="18" t="s">
        <v>49</v>
      </c>
      <c r="C514" s="20">
        <v>45627</v>
      </c>
      <c r="D514" s="21">
        <v>13258</v>
      </c>
    </row>
    <row r="515" spans="1:4">
      <c r="A515" s="18" t="s">
        <v>27</v>
      </c>
      <c r="B515" s="18" t="s">
        <v>49</v>
      </c>
      <c r="C515" s="20">
        <v>45525</v>
      </c>
      <c r="D515" s="21">
        <v>21052</v>
      </c>
    </row>
    <row r="516" spans="1:4">
      <c r="A516" s="18" t="s">
        <v>27</v>
      </c>
      <c r="B516" s="18" t="s">
        <v>49</v>
      </c>
      <c r="C516" s="20">
        <v>45309</v>
      </c>
      <c r="D516" s="21">
        <v>8843</v>
      </c>
    </row>
    <row r="517" spans="1:4">
      <c r="A517" s="18" t="s">
        <v>29</v>
      </c>
      <c r="B517" s="18" t="s">
        <v>50</v>
      </c>
      <c r="C517" s="20">
        <v>45458</v>
      </c>
      <c r="D517" s="21">
        <v>18337</v>
      </c>
    </row>
    <row r="518" spans="1:4">
      <c r="A518" s="18" t="s">
        <v>29</v>
      </c>
      <c r="B518" s="18" t="s">
        <v>50</v>
      </c>
      <c r="C518" s="20">
        <v>45362</v>
      </c>
      <c r="D518" s="21">
        <v>20333</v>
      </c>
    </row>
    <row r="519" spans="1:4">
      <c r="A519" s="18" t="s">
        <v>29</v>
      </c>
      <c r="B519" s="18" t="s">
        <v>50</v>
      </c>
      <c r="C519" s="20">
        <v>45628</v>
      </c>
      <c r="D519" s="21">
        <v>4178</v>
      </c>
    </row>
    <row r="520" spans="1:4">
      <c r="A520" s="18" t="s">
        <v>29</v>
      </c>
      <c r="B520" s="18" t="s">
        <v>50</v>
      </c>
      <c r="C520" s="20">
        <v>45338</v>
      </c>
      <c r="D520" s="21">
        <v>6114</v>
      </c>
    </row>
    <row r="521" spans="1:4">
      <c r="A521" s="18" t="s">
        <v>29</v>
      </c>
      <c r="B521" s="18" t="s">
        <v>50</v>
      </c>
      <c r="C521" s="20">
        <v>45426</v>
      </c>
      <c r="D521" s="21">
        <v>2548</v>
      </c>
    </row>
    <row r="522" spans="1:4">
      <c r="A522" s="18" t="s">
        <v>29</v>
      </c>
      <c r="B522" s="18" t="s">
        <v>50</v>
      </c>
      <c r="C522" s="20">
        <v>45576</v>
      </c>
      <c r="D522" s="21">
        <v>5992</v>
      </c>
    </row>
    <row r="523" spans="1:4">
      <c r="A523" s="18" t="s">
        <v>29</v>
      </c>
      <c r="B523" s="18" t="s">
        <v>50</v>
      </c>
      <c r="C523" s="20">
        <v>45579</v>
      </c>
      <c r="D523" s="21">
        <v>7904</v>
      </c>
    </row>
    <row r="524" spans="1:4">
      <c r="A524" s="18" t="s">
        <v>29</v>
      </c>
      <c r="B524" s="18" t="s">
        <v>50</v>
      </c>
      <c r="C524" s="20">
        <v>45487</v>
      </c>
      <c r="D524" s="21">
        <v>16761</v>
      </c>
    </row>
    <row r="525" spans="1:4">
      <c r="A525" s="18" t="s">
        <v>29</v>
      </c>
      <c r="B525" s="18" t="s">
        <v>50</v>
      </c>
      <c r="C525" s="20">
        <v>45443</v>
      </c>
      <c r="D525" s="21">
        <v>10563</v>
      </c>
    </row>
    <row r="526" spans="1:4">
      <c r="A526" s="18" t="s">
        <v>29</v>
      </c>
      <c r="B526" s="18" t="s">
        <v>50</v>
      </c>
      <c r="C526" s="20">
        <v>45627</v>
      </c>
      <c r="D526" s="21">
        <v>12936</v>
      </c>
    </row>
    <row r="527" spans="1:4">
      <c r="A527" s="18" t="s">
        <v>29</v>
      </c>
      <c r="B527" s="18" t="s">
        <v>50</v>
      </c>
      <c r="C527" s="20">
        <v>45553</v>
      </c>
      <c r="D527" s="21">
        <v>8712</v>
      </c>
    </row>
    <row r="528" spans="1:4">
      <c r="A528" s="18" t="s">
        <v>27</v>
      </c>
      <c r="B528" s="18" t="s">
        <v>51</v>
      </c>
      <c r="C528" s="20">
        <v>45446</v>
      </c>
      <c r="D528" s="21">
        <v>7472</v>
      </c>
    </row>
    <row r="529" spans="1:4">
      <c r="A529" s="18" t="s">
        <v>27</v>
      </c>
      <c r="B529" s="18" t="s">
        <v>51</v>
      </c>
      <c r="C529" s="20">
        <v>45594</v>
      </c>
      <c r="D529" s="21">
        <v>16410</v>
      </c>
    </row>
    <row r="530" spans="1:4">
      <c r="A530" s="18" t="s">
        <v>27</v>
      </c>
      <c r="B530" s="18" t="s">
        <v>51</v>
      </c>
      <c r="C530" s="20">
        <v>45556</v>
      </c>
      <c r="D530" s="21">
        <v>8035</v>
      </c>
    </row>
    <row r="531" spans="1:4">
      <c r="A531" s="18" t="s">
        <v>27</v>
      </c>
      <c r="B531" s="18" t="s">
        <v>51</v>
      </c>
      <c r="C531" s="20">
        <v>45538</v>
      </c>
      <c r="D531" s="21">
        <v>16641</v>
      </c>
    </row>
    <row r="532" spans="1:4">
      <c r="A532" s="18" t="s">
        <v>27</v>
      </c>
      <c r="B532" s="18" t="s">
        <v>51</v>
      </c>
      <c r="C532" s="20">
        <v>45358</v>
      </c>
      <c r="D532" s="21">
        <v>11331</v>
      </c>
    </row>
    <row r="533" spans="1:4">
      <c r="A533" s="18" t="s">
        <v>27</v>
      </c>
      <c r="B533" s="18" t="s">
        <v>51</v>
      </c>
      <c r="C533" s="20">
        <v>45570</v>
      </c>
      <c r="D533" s="21">
        <v>17934</v>
      </c>
    </row>
    <row r="534" spans="1:4">
      <c r="A534" s="18" t="s">
        <v>27</v>
      </c>
      <c r="B534" s="18" t="s">
        <v>51</v>
      </c>
      <c r="C534" s="20">
        <v>45488</v>
      </c>
      <c r="D534" s="21">
        <v>10013</v>
      </c>
    </row>
    <row r="535" spans="1:4">
      <c r="A535" s="18" t="s">
        <v>27</v>
      </c>
      <c r="B535" s="18" t="s">
        <v>51</v>
      </c>
      <c r="C535" s="20">
        <v>45557</v>
      </c>
      <c r="D535" s="21">
        <v>19156</v>
      </c>
    </row>
    <row r="536" spans="1:4">
      <c r="A536" s="18" t="s">
        <v>27</v>
      </c>
      <c r="B536" s="18" t="s">
        <v>52</v>
      </c>
      <c r="C536" s="20">
        <v>45540</v>
      </c>
      <c r="D536" s="21">
        <v>15120</v>
      </c>
    </row>
    <row r="537" spans="1:4">
      <c r="A537" s="18" t="s">
        <v>27</v>
      </c>
      <c r="B537" s="18" t="s">
        <v>52</v>
      </c>
      <c r="C537" s="20">
        <v>45316</v>
      </c>
      <c r="D537" s="21">
        <v>18546</v>
      </c>
    </row>
    <row r="538" spans="1:4">
      <c r="A538" s="18" t="s">
        <v>27</v>
      </c>
      <c r="B538" s="18" t="s">
        <v>52</v>
      </c>
      <c r="C538" s="20">
        <v>45459</v>
      </c>
      <c r="D538" s="21">
        <v>1456</v>
      </c>
    </row>
    <row r="539" spans="1:4">
      <c r="A539" s="18" t="s">
        <v>27</v>
      </c>
      <c r="B539" s="18" t="s">
        <v>52</v>
      </c>
      <c r="C539" s="20">
        <v>45637</v>
      </c>
      <c r="D539" s="21">
        <v>21614</v>
      </c>
    </row>
    <row r="540" spans="1:4">
      <c r="A540" s="18" t="s">
        <v>27</v>
      </c>
      <c r="B540" s="18" t="s">
        <v>52</v>
      </c>
      <c r="C540" s="20">
        <v>45514</v>
      </c>
      <c r="D540" s="21">
        <v>12524</v>
      </c>
    </row>
    <row r="541" spans="1:4">
      <c r="A541" s="18" t="s">
        <v>27</v>
      </c>
      <c r="B541" s="18" t="s">
        <v>52</v>
      </c>
      <c r="C541" s="20">
        <v>45574</v>
      </c>
      <c r="D541" s="21">
        <v>16403</v>
      </c>
    </row>
    <row r="542" spans="1:4">
      <c r="A542" s="18" t="s">
        <v>27</v>
      </c>
      <c r="B542" s="18" t="s">
        <v>52</v>
      </c>
      <c r="C542" s="20">
        <v>45635</v>
      </c>
      <c r="D542" s="21">
        <v>19670</v>
      </c>
    </row>
    <row r="543" spans="1:4">
      <c r="A543" s="18" t="s">
        <v>27</v>
      </c>
      <c r="B543" s="18" t="s">
        <v>52</v>
      </c>
      <c r="C543" s="20">
        <v>45633</v>
      </c>
      <c r="D543" s="21">
        <v>18443</v>
      </c>
    </row>
    <row r="544" spans="1:4">
      <c r="A544" s="18" t="s">
        <v>29</v>
      </c>
      <c r="B544" s="18" t="s">
        <v>53</v>
      </c>
      <c r="C544" s="20">
        <v>45359</v>
      </c>
      <c r="D544" s="21">
        <v>3303</v>
      </c>
    </row>
    <row r="545" spans="1:4">
      <c r="A545" s="18" t="s">
        <v>29</v>
      </c>
      <c r="B545" s="18" t="s">
        <v>53</v>
      </c>
      <c r="C545" s="20">
        <v>45413</v>
      </c>
      <c r="D545" s="21">
        <v>5553</v>
      </c>
    </row>
    <row r="546" spans="1:4">
      <c r="A546" s="18" t="s">
        <v>29</v>
      </c>
      <c r="B546" s="18" t="s">
        <v>53</v>
      </c>
      <c r="C546" s="20">
        <v>45648</v>
      </c>
      <c r="D546" s="21">
        <v>10739</v>
      </c>
    </row>
    <row r="547" spans="1:4">
      <c r="A547" s="18" t="s">
        <v>29</v>
      </c>
      <c r="B547" s="18" t="s">
        <v>53</v>
      </c>
      <c r="C547" s="20">
        <v>45382</v>
      </c>
      <c r="D547" s="21">
        <v>5055</v>
      </c>
    </row>
    <row r="548" spans="1:4">
      <c r="A548" s="18" t="s">
        <v>29</v>
      </c>
      <c r="B548" s="18" t="s">
        <v>53</v>
      </c>
      <c r="C548" s="20">
        <v>45336</v>
      </c>
      <c r="D548" s="21">
        <v>10523</v>
      </c>
    </row>
    <row r="549" spans="1:4">
      <c r="A549" s="18" t="s">
        <v>29</v>
      </c>
      <c r="B549" s="18" t="s">
        <v>53</v>
      </c>
      <c r="C549" s="20">
        <v>45654</v>
      </c>
      <c r="D549" s="21">
        <v>8990</v>
      </c>
    </row>
    <row r="550" spans="1:4">
      <c r="A550" s="18" t="s">
        <v>29</v>
      </c>
      <c r="B550" s="18" t="s">
        <v>53</v>
      </c>
      <c r="C550" s="20">
        <v>45629</v>
      </c>
      <c r="D550" s="21">
        <v>13550</v>
      </c>
    </row>
    <row r="551" spans="1:4">
      <c r="A551" s="18" t="s">
        <v>29</v>
      </c>
      <c r="B551" s="18" t="s">
        <v>53</v>
      </c>
      <c r="C551" s="20">
        <v>45375</v>
      </c>
      <c r="D551" s="21">
        <v>13435</v>
      </c>
    </row>
    <row r="552" spans="1:4">
      <c r="A552" s="18" t="s">
        <v>29</v>
      </c>
      <c r="B552" s="18" t="s">
        <v>53</v>
      </c>
      <c r="C552" s="20">
        <v>45480</v>
      </c>
      <c r="D552" s="21">
        <v>7047</v>
      </c>
    </row>
    <row r="553" spans="1:4">
      <c r="A553" s="18" t="s">
        <v>29</v>
      </c>
      <c r="B553" s="18" t="s">
        <v>54</v>
      </c>
      <c r="C553" s="20">
        <v>45421</v>
      </c>
      <c r="D553" s="21">
        <v>8494</v>
      </c>
    </row>
    <row r="554" spans="1:4">
      <c r="A554" s="18" t="s">
        <v>29</v>
      </c>
      <c r="B554" s="18" t="s">
        <v>54</v>
      </c>
      <c r="C554" s="20">
        <v>45412</v>
      </c>
      <c r="D554" s="21">
        <v>10411</v>
      </c>
    </row>
    <row r="555" spans="1:4">
      <c r="A555" s="18" t="s">
        <v>29</v>
      </c>
      <c r="B555" s="18" t="s">
        <v>54</v>
      </c>
      <c r="C555" s="20">
        <v>45639</v>
      </c>
      <c r="D555" s="21">
        <v>20395</v>
      </c>
    </row>
    <row r="556" spans="1:4">
      <c r="A556" s="18" t="s">
        <v>29</v>
      </c>
      <c r="B556" s="18" t="s">
        <v>54</v>
      </c>
      <c r="C556" s="20">
        <v>45310</v>
      </c>
      <c r="D556" s="21">
        <v>13591</v>
      </c>
    </row>
    <row r="557" spans="1:4">
      <c r="A557" s="18" t="s">
        <v>29</v>
      </c>
      <c r="B557" s="18" t="s">
        <v>54</v>
      </c>
      <c r="C557" s="20">
        <v>45449</v>
      </c>
      <c r="D557" s="21">
        <v>3554</v>
      </c>
    </row>
    <row r="558" spans="1:4">
      <c r="A558" s="18" t="s">
        <v>29</v>
      </c>
      <c r="B558" s="18" t="s">
        <v>54</v>
      </c>
      <c r="C558" s="20">
        <v>45366</v>
      </c>
      <c r="D558" s="21">
        <v>5776</v>
      </c>
    </row>
    <row r="559" spans="1:4">
      <c r="A559" s="18" t="s">
        <v>29</v>
      </c>
      <c r="B559" s="18" t="s">
        <v>54</v>
      </c>
      <c r="C559" s="20">
        <v>45359</v>
      </c>
      <c r="D559" s="21">
        <v>17279</v>
      </c>
    </row>
    <row r="560" spans="1:4">
      <c r="A560" s="18" t="s">
        <v>29</v>
      </c>
      <c r="B560" s="18" t="s">
        <v>54</v>
      </c>
      <c r="C560" s="20">
        <v>45401</v>
      </c>
      <c r="D560" s="21">
        <v>16378</v>
      </c>
    </row>
    <row r="561" spans="1:4">
      <c r="A561" s="18" t="s">
        <v>29</v>
      </c>
      <c r="B561" s="18" t="s">
        <v>54</v>
      </c>
      <c r="C561" s="20">
        <v>45588</v>
      </c>
      <c r="D561" s="21">
        <v>9827</v>
      </c>
    </row>
    <row r="562" spans="1:4">
      <c r="A562" s="18" t="s">
        <v>29</v>
      </c>
      <c r="B562" s="18" t="s">
        <v>54</v>
      </c>
      <c r="C562" s="20">
        <v>45623</v>
      </c>
      <c r="D562" s="21">
        <v>7201</v>
      </c>
    </row>
    <row r="563" spans="1:4">
      <c r="A563" s="18" t="s">
        <v>25</v>
      </c>
      <c r="B563" s="18" t="s">
        <v>55</v>
      </c>
      <c r="C563" s="20">
        <v>45481</v>
      </c>
      <c r="D563" s="21">
        <v>19140</v>
      </c>
    </row>
    <row r="564" spans="1:4">
      <c r="A564" s="18" t="s">
        <v>25</v>
      </c>
      <c r="B564" s="18" t="s">
        <v>55</v>
      </c>
      <c r="C564" s="20">
        <v>45334</v>
      </c>
      <c r="D564" s="21">
        <v>17150</v>
      </c>
    </row>
    <row r="565" spans="1:4">
      <c r="A565" s="18" t="s">
        <v>25</v>
      </c>
      <c r="B565" s="18" t="s">
        <v>55</v>
      </c>
      <c r="C565" s="20">
        <v>45359</v>
      </c>
      <c r="D565" s="21">
        <v>10546</v>
      </c>
    </row>
    <row r="566" spans="1:4">
      <c r="A566" s="18" t="s">
        <v>25</v>
      </c>
      <c r="B566" s="18" t="s">
        <v>55</v>
      </c>
      <c r="C566" s="20">
        <v>45604</v>
      </c>
      <c r="D566" s="21">
        <v>14103</v>
      </c>
    </row>
    <row r="567" spans="1:4">
      <c r="A567" s="18" t="s">
        <v>25</v>
      </c>
      <c r="B567" s="18" t="s">
        <v>55</v>
      </c>
      <c r="C567" s="20">
        <v>45306</v>
      </c>
      <c r="D567" s="21">
        <v>6334</v>
      </c>
    </row>
    <row r="568" spans="1:4">
      <c r="A568" s="18" t="s">
        <v>25</v>
      </c>
      <c r="B568" s="18" t="s">
        <v>55</v>
      </c>
      <c r="C568" s="20">
        <v>45384</v>
      </c>
      <c r="D568" s="21">
        <v>14858</v>
      </c>
    </row>
    <row r="569" spans="1:4">
      <c r="A569" s="18" t="s">
        <v>25</v>
      </c>
      <c r="B569" s="18" t="s">
        <v>55</v>
      </c>
      <c r="C569" s="20">
        <v>45500</v>
      </c>
      <c r="D569" s="21">
        <v>6641</v>
      </c>
    </row>
    <row r="570" spans="1:4">
      <c r="A570" s="18" t="s">
        <v>25</v>
      </c>
      <c r="B570" s="18" t="s">
        <v>56</v>
      </c>
      <c r="C570" s="20">
        <v>45559</v>
      </c>
      <c r="D570" s="21">
        <v>3424</v>
      </c>
    </row>
    <row r="571" spans="1:4">
      <c r="A571" s="18" t="s">
        <v>25</v>
      </c>
      <c r="B571" s="18" t="s">
        <v>56</v>
      </c>
      <c r="C571" s="20">
        <v>45340</v>
      </c>
      <c r="D571" s="21">
        <v>16601</v>
      </c>
    </row>
    <row r="572" spans="1:4">
      <c r="A572" s="18" t="s">
        <v>25</v>
      </c>
      <c r="B572" s="18" t="s">
        <v>56</v>
      </c>
      <c r="C572" s="20">
        <v>45467</v>
      </c>
      <c r="D572" s="21">
        <v>7668</v>
      </c>
    </row>
    <row r="573" spans="1:4">
      <c r="A573" s="18" t="s">
        <v>25</v>
      </c>
      <c r="B573" s="18" t="s">
        <v>56</v>
      </c>
      <c r="C573" s="20">
        <v>45346</v>
      </c>
      <c r="D573" s="21">
        <v>3766</v>
      </c>
    </row>
    <row r="574" spans="1:4">
      <c r="A574" s="18" t="s">
        <v>25</v>
      </c>
      <c r="B574" s="18" t="s">
        <v>56</v>
      </c>
      <c r="C574" s="20">
        <v>45530</v>
      </c>
      <c r="D574" s="21">
        <v>12203</v>
      </c>
    </row>
    <row r="575" spans="1:4">
      <c r="A575" s="18" t="s">
        <v>25</v>
      </c>
      <c r="B575" s="18" t="s">
        <v>56</v>
      </c>
      <c r="C575" s="20">
        <v>45388</v>
      </c>
      <c r="D575" s="21">
        <v>1670</v>
      </c>
    </row>
    <row r="576" spans="1:4">
      <c r="A576" s="18" t="s">
        <v>25</v>
      </c>
      <c r="B576" s="18" t="s">
        <v>56</v>
      </c>
      <c r="C576" s="20">
        <v>45331</v>
      </c>
      <c r="D576" s="21">
        <v>17347</v>
      </c>
    </row>
    <row r="577" spans="1:4">
      <c r="A577" s="18" t="s">
        <v>29</v>
      </c>
      <c r="B577" s="18" t="s">
        <v>57</v>
      </c>
      <c r="C577" s="20">
        <v>45478</v>
      </c>
      <c r="D577" s="21">
        <v>3207</v>
      </c>
    </row>
    <row r="578" spans="1:4">
      <c r="A578" s="18" t="s">
        <v>29</v>
      </c>
      <c r="B578" s="18" t="s">
        <v>57</v>
      </c>
      <c r="C578" s="20">
        <v>45574</v>
      </c>
      <c r="D578" s="21">
        <v>1523</v>
      </c>
    </row>
    <row r="579" spans="1:4">
      <c r="A579" s="18" t="s">
        <v>29</v>
      </c>
      <c r="B579" s="18" t="s">
        <v>57</v>
      </c>
      <c r="C579" s="20">
        <v>45635</v>
      </c>
      <c r="D579" s="21">
        <v>4150</v>
      </c>
    </row>
    <row r="580" spans="1:4">
      <c r="A580" s="18" t="s">
        <v>29</v>
      </c>
      <c r="B580" s="18" t="s">
        <v>57</v>
      </c>
      <c r="C580" s="20">
        <v>45353</v>
      </c>
      <c r="D580" s="21">
        <v>19531</v>
      </c>
    </row>
    <row r="581" spans="1:4">
      <c r="A581" s="18" t="s">
        <v>29</v>
      </c>
      <c r="B581" s="18" t="s">
        <v>57</v>
      </c>
      <c r="C581" s="20">
        <v>45326</v>
      </c>
      <c r="D581" s="21">
        <v>12197</v>
      </c>
    </row>
    <row r="582" spans="1:4">
      <c r="A582" s="18" t="s">
        <v>29</v>
      </c>
      <c r="B582" s="18" t="s">
        <v>57</v>
      </c>
      <c r="C582" s="20">
        <v>45337</v>
      </c>
      <c r="D582" s="21">
        <v>7973</v>
      </c>
    </row>
    <row r="583" spans="1:4">
      <c r="A583" s="18" t="s">
        <v>29</v>
      </c>
      <c r="B583" s="18" t="s">
        <v>57</v>
      </c>
      <c r="C583" s="20">
        <v>45556</v>
      </c>
      <c r="D583" s="21">
        <v>13763</v>
      </c>
    </row>
    <row r="584" spans="1:4">
      <c r="A584" s="18" t="s">
        <v>29</v>
      </c>
      <c r="B584" s="18" t="s">
        <v>57</v>
      </c>
      <c r="C584" s="20">
        <v>45306</v>
      </c>
      <c r="D584" s="21">
        <v>12410</v>
      </c>
    </row>
    <row r="585" spans="1:4">
      <c r="A585" s="18" t="s">
        <v>25</v>
      </c>
      <c r="B585" s="18" t="s">
        <v>58</v>
      </c>
      <c r="C585" s="20">
        <v>45407</v>
      </c>
      <c r="D585" s="21">
        <v>2999</v>
      </c>
    </row>
    <row r="586" spans="1:4">
      <c r="A586" s="18" t="s">
        <v>25</v>
      </c>
      <c r="B586" s="18" t="s">
        <v>58</v>
      </c>
      <c r="C586" s="20">
        <v>45369</v>
      </c>
      <c r="D586" s="21">
        <v>7435</v>
      </c>
    </row>
    <row r="587" spans="1:4">
      <c r="A587" s="18" t="s">
        <v>25</v>
      </c>
      <c r="B587" s="18" t="s">
        <v>58</v>
      </c>
      <c r="C587" s="20">
        <v>45539</v>
      </c>
      <c r="D587" s="21">
        <v>10672</v>
      </c>
    </row>
    <row r="588" spans="1:4">
      <c r="A588" s="18" t="s">
        <v>25</v>
      </c>
      <c r="B588" s="18" t="s">
        <v>58</v>
      </c>
      <c r="C588" s="20">
        <v>45446</v>
      </c>
      <c r="D588" s="21">
        <v>2187</v>
      </c>
    </row>
    <row r="589" spans="1:4">
      <c r="A589" s="18" t="s">
        <v>25</v>
      </c>
      <c r="B589" s="18" t="s">
        <v>58</v>
      </c>
      <c r="C589" s="20">
        <v>45582</v>
      </c>
      <c r="D589" s="21">
        <v>3670</v>
      </c>
    </row>
    <row r="590" spans="1:4">
      <c r="A590" s="18" t="s">
        <v>25</v>
      </c>
      <c r="B590" s="18" t="s">
        <v>58</v>
      </c>
      <c r="C590" s="20">
        <v>45491</v>
      </c>
      <c r="D590" s="21">
        <v>9890</v>
      </c>
    </row>
    <row r="591" spans="1:4">
      <c r="A591" s="18" t="s">
        <v>25</v>
      </c>
      <c r="B591" s="18" t="s">
        <v>58</v>
      </c>
      <c r="C591" s="20">
        <v>45305</v>
      </c>
      <c r="D591" s="21">
        <v>17443</v>
      </c>
    </row>
    <row r="592" spans="1:4">
      <c r="A592" s="18" t="s">
        <v>25</v>
      </c>
      <c r="B592" s="18" t="s">
        <v>58</v>
      </c>
      <c r="C592" s="20">
        <v>45492</v>
      </c>
      <c r="D592" s="21">
        <v>10524</v>
      </c>
    </row>
    <row r="593" spans="1:4">
      <c r="A593" s="18" t="s">
        <v>25</v>
      </c>
      <c r="B593" s="18" t="s">
        <v>58</v>
      </c>
      <c r="C593" s="20">
        <v>45308</v>
      </c>
      <c r="D593" s="21">
        <v>16084</v>
      </c>
    </row>
    <row r="594" spans="1:4">
      <c r="A594" s="18" t="s">
        <v>25</v>
      </c>
      <c r="B594" s="18" t="s">
        <v>59</v>
      </c>
      <c r="C594" s="20">
        <v>45573</v>
      </c>
      <c r="D594" s="21">
        <v>11985</v>
      </c>
    </row>
    <row r="595" spans="1:4">
      <c r="A595" s="18" t="s">
        <v>25</v>
      </c>
      <c r="B595" s="18" t="s">
        <v>59</v>
      </c>
      <c r="C595" s="20">
        <v>45515</v>
      </c>
      <c r="D595" s="21">
        <v>12244</v>
      </c>
    </row>
    <row r="596" spans="1:4">
      <c r="A596" s="18" t="s">
        <v>25</v>
      </c>
      <c r="B596" s="18" t="s">
        <v>59</v>
      </c>
      <c r="C596" s="20">
        <v>45459</v>
      </c>
      <c r="D596" s="21">
        <v>9792</v>
      </c>
    </row>
    <row r="597" spans="1:4">
      <c r="A597" s="18" t="s">
        <v>25</v>
      </c>
      <c r="B597" s="18" t="s">
        <v>59</v>
      </c>
      <c r="C597" s="20">
        <v>45425</v>
      </c>
      <c r="D597" s="21">
        <v>8169</v>
      </c>
    </row>
    <row r="598" spans="1:4">
      <c r="A598" s="18" t="s">
        <v>25</v>
      </c>
      <c r="B598" s="18" t="s">
        <v>59</v>
      </c>
      <c r="C598" s="20">
        <v>45556</v>
      </c>
      <c r="D598" s="21">
        <v>15206</v>
      </c>
    </row>
    <row r="599" spans="1:4">
      <c r="A599" s="18" t="s">
        <v>25</v>
      </c>
      <c r="B599" s="18" t="s">
        <v>59</v>
      </c>
      <c r="C599" s="20">
        <v>45513</v>
      </c>
      <c r="D599" s="21">
        <v>4004</v>
      </c>
    </row>
    <row r="600" spans="1:4">
      <c r="A600" s="18" t="s">
        <v>25</v>
      </c>
      <c r="B600" s="18" t="s">
        <v>59</v>
      </c>
      <c r="C600" s="20">
        <v>45308</v>
      </c>
      <c r="D600" s="21">
        <v>10579</v>
      </c>
    </row>
    <row r="601" spans="1:4">
      <c r="A601" s="18" t="s">
        <v>25</v>
      </c>
      <c r="B601" s="18" t="s">
        <v>59</v>
      </c>
      <c r="C601" s="20">
        <v>45379</v>
      </c>
      <c r="D601" s="21">
        <v>20828</v>
      </c>
    </row>
    <row r="602" spans="1:4">
      <c r="A602" s="18" t="s">
        <v>25</v>
      </c>
      <c r="B602" s="18" t="s">
        <v>59</v>
      </c>
      <c r="C602" s="20">
        <v>45645</v>
      </c>
      <c r="D602" s="21">
        <v>4559</v>
      </c>
    </row>
    <row r="603" spans="1:4">
      <c r="A603" s="18" t="s">
        <v>25</v>
      </c>
      <c r="B603" s="18" t="s">
        <v>59</v>
      </c>
      <c r="C603" s="20">
        <v>45565</v>
      </c>
      <c r="D603" s="21">
        <v>16077</v>
      </c>
    </row>
    <row r="604" spans="1:4">
      <c r="A604" s="18" t="s">
        <v>29</v>
      </c>
      <c r="B604" s="18" t="s">
        <v>60</v>
      </c>
      <c r="C604" s="20">
        <v>45565</v>
      </c>
      <c r="D604" s="21">
        <v>15293</v>
      </c>
    </row>
    <row r="605" spans="1:4">
      <c r="A605" s="18" t="s">
        <v>29</v>
      </c>
      <c r="B605" s="18" t="s">
        <v>60</v>
      </c>
      <c r="C605" s="20">
        <v>45307</v>
      </c>
      <c r="D605" s="21">
        <v>14349</v>
      </c>
    </row>
    <row r="606" spans="1:4">
      <c r="A606" s="18" t="s">
        <v>29</v>
      </c>
      <c r="B606" s="18" t="s">
        <v>60</v>
      </c>
      <c r="C606" s="20">
        <v>45557</v>
      </c>
      <c r="D606" s="21">
        <v>13602</v>
      </c>
    </row>
    <row r="607" spans="1:4">
      <c r="A607" s="18" t="s">
        <v>29</v>
      </c>
      <c r="B607" s="18" t="s">
        <v>60</v>
      </c>
      <c r="C607" s="20">
        <v>45373</v>
      </c>
      <c r="D607" s="21">
        <v>4439</v>
      </c>
    </row>
    <row r="608" spans="1:4">
      <c r="A608" s="18" t="s">
        <v>29</v>
      </c>
      <c r="B608" s="18" t="s">
        <v>60</v>
      </c>
      <c r="C608" s="20">
        <v>45314</v>
      </c>
      <c r="D608" s="21">
        <v>6441</v>
      </c>
    </row>
    <row r="609" spans="1:4">
      <c r="A609" s="18" t="s">
        <v>29</v>
      </c>
      <c r="B609" s="18" t="s">
        <v>60</v>
      </c>
      <c r="C609" s="20">
        <v>45526</v>
      </c>
      <c r="D609" s="21">
        <v>2683</v>
      </c>
    </row>
    <row r="610" spans="1:4">
      <c r="A610" s="18" t="s">
        <v>29</v>
      </c>
      <c r="B610" s="18" t="s">
        <v>60</v>
      </c>
      <c r="C610" s="20">
        <v>45509</v>
      </c>
      <c r="D610" s="21">
        <v>13840</v>
      </c>
    </row>
    <row r="611" spans="1:4">
      <c r="A611" s="18" t="s">
        <v>29</v>
      </c>
      <c r="B611" s="18" t="s">
        <v>60</v>
      </c>
      <c r="C611" s="20">
        <v>45610</v>
      </c>
      <c r="D611" s="21">
        <v>12859</v>
      </c>
    </row>
    <row r="612" spans="1:4">
      <c r="A612" s="18" t="s">
        <v>29</v>
      </c>
      <c r="B612" s="18" t="s">
        <v>60</v>
      </c>
      <c r="C612" s="20">
        <v>45411</v>
      </c>
      <c r="D612" s="21">
        <v>3070</v>
      </c>
    </row>
    <row r="613" spans="1:4">
      <c r="A613" s="18" t="s">
        <v>27</v>
      </c>
      <c r="B613" s="18" t="s">
        <v>61</v>
      </c>
      <c r="C613" s="20">
        <v>45488</v>
      </c>
      <c r="D613" s="21">
        <v>12380</v>
      </c>
    </row>
    <row r="614" spans="1:4">
      <c r="A614" s="18" t="s">
        <v>27</v>
      </c>
      <c r="B614" s="18" t="s">
        <v>61</v>
      </c>
      <c r="C614" s="20">
        <v>45563</v>
      </c>
      <c r="D614" s="21">
        <v>7530</v>
      </c>
    </row>
    <row r="615" spans="1:4">
      <c r="A615" s="18" t="s">
        <v>27</v>
      </c>
      <c r="B615" s="18" t="s">
        <v>61</v>
      </c>
      <c r="C615" s="20">
        <v>45636</v>
      </c>
      <c r="D615" s="21">
        <v>14623</v>
      </c>
    </row>
    <row r="616" spans="1:4">
      <c r="A616" s="18" t="s">
        <v>27</v>
      </c>
      <c r="B616" s="18" t="s">
        <v>61</v>
      </c>
      <c r="C616" s="20">
        <v>45403</v>
      </c>
      <c r="D616" s="21">
        <v>8659</v>
      </c>
    </row>
    <row r="617" spans="1:4">
      <c r="A617" s="18" t="s">
        <v>27</v>
      </c>
      <c r="B617" s="18" t="s">
        <v>61</v>
      </c>
      <c r="C617" s="20">
        <v>45634</v>
      </c>
      <c r="D617" s="21">
        <v>13091</v>
      </c>
    </row>
    <row r="618" spans="1:4">
      <c r="A618" s="18" t="s">
        <v>27</v>
      </c>
      <c r="B618" s="18" t="s">
        <v>61</v>
      </c>
      <c r="C618" s="20">
        <v>45295</v>
      </c>
      <c r="D618" s="21">
        <v>2317</v>
      </c>
    </row>
    <row r="619" spans="1:4">
      <c r="A619" s="18" t="s">
        <v>27</v>
      </c>
      <c r="B619" s="18" t="s">
        <v>61</v>
      </c>
      <c r="C619" s="20">
        <v>45487</v>
      </c>
      <c r="D619" s="21">
        <v>14597</v>
      </c>
    </row>
    <row r="620" spans="1:4">
      <c r="A620" s="18" t="s">
        <v>27</v>
      </c>
      <c r="B620" s="18" t="s">
        <v>61</v>
      </c>
      <c r="C620" s="20">
        <v>45585</v>
      </c>
      <c r="D620" s="21">
        <v>11810</v>
      </c>
    </row>
    <row r="621" spans="1:4">
      <c r="A621" s="18" t="s">
        <v>27</v>
      </c>
      <c r="B621" s="18" t="s">
        <v>61</v>
      </c>
      <c r="C621" s="20">
        <v>45469</v>
      </c>
      <c r="D621" s="21">
        <v>2284</v>
      </c>
    </row>
    <row r="622" spans="1:4">
      <c r="A622" s="18" t="s">
        <v>27</v>
      </c>
      <c r="B622" s="18" t="s">
        <v>62</v>
      </c>
      <c r="C622" s="20">
        <v>45545</v>
      </c>
      <c r="D622" s="21">
        <v>3315</v>
      </c>
    </row>
    <row r="623" spans="1:4">
      <c r="A623" s="18" t="s">
        <v>27</v>
      </c>
      <c r="B623" s="18" t="s">
        <v>62</v>
      </c>
      <c r="C623" s="20">
        <v>45609</v>
      </c>
      <c r="D623" s="21">
        <v>13630</v>
      </c>
    </row>
    <row r="624" spans="1:4">
      <c r="A624" s="18" t="s">
        <v>27</v>
      </c>
      <c r="B624" s="18" t="s">
        <v>62</v>
      </c>
      <c r="C624" s="20">
        <v>45361</v>
      </c>
      <c r="D624" s="21">
        <v>1834</v>
      </c>
    </row>
    <row r="625" spans="1:4">
      <c r="A625" s="18" t="s">
        <v>27</v>
      </c>
      <c r="B625" s="18" t="s">
        <v>62</v>
      </c>
      <c r="C625" s="20">
        <v>45484</v>
      </c>
      <c r="D625" s="21">
        <v>3598</v>
      </c>
    </row>
    <row r="626" spans="1:4">
      <c r="A626" s="18" t="s">
        <v>27</v>
      </c>
      <c r="B626" s="18" t="s">
        <v>62</v>
      </c>
      <c r="C626" s="20">
        <v>45455</v>
      </c>
      <c r="D626" s="21">
        <v>11619</v>
      </c>
    </row>
    <row r="627" spans="1:4">
      <c r="A627" s="18" t="s">
        <v>27</v>
      </c>
      <c r="B627" s="18" t="s">
        <v>62</v>
      </c>
      <c r="C627" s="20">
        <v>45499</v>
      </c>
      <c r="D627" s="21">
        <v>12370</v>
      </c>
    </row>
    <row r="628" spans="1:4">
      <c r="A628" s="18" t="s">
        <v>27</v>
      </c>
      <c r="B628" s="18" t="s">
        <v>62</v>
      </c>
      <c r="C628" s="20">
        <v>45382</v>
      </c>
      <c r="D628" s="21">
        <v>6434</v>
      </c>
    </row>
    <row r="629" spans="1:4">
      <c r="A629" s="18" t="s">
        <v>27</v>
      </c>
      <c r="B629" s="18" t="s">
        <v>62</v>
      </c>
      <c r="C629" s="20">
        <v>45498</v>
      </c>
      <c r="D629" s="21">
        <v>19021</v>
      </c>
    </row>
    <row r="630" spans="1:4">
      <c r="A630" s="18" t="s">
        <v>27</v>
      </c>
      <c r="B630" s="18" t="s">
        <v>62</v>
      </c>
      <c r="C630" s="20">
        <v>45642</v>
      </c>
      <c r="D630" s="21">
        <v>2130</v>
      </c>
    </row>
    <row r="631" spans="1:4">
      <c r="A631" s="18" t="s">
        <v>27</v>
      </c>
      <c r="B631" s="18" t="s">
        <v>62</v>
      </c>
      <c r="C631" s="20">
        <v>45491</v>
      </c>
      <c r="D631" s="21">
        <v>12128</v>
      </c>
    </row>
    <row r="632" spans="1:4">
      <c r="A632" s="18" t="s">
        <v>25</v>
      </c>
      <c r="B632" s="18" t="s">
        <v>63</v>
      </c>
      <c r="C632" s="20">
        <v>45525</v>
      </c>
      <c r="D632" s="21">
        <v>7261</v>
      </c>
    </row>
    <row r="633" spans="1:4">
      <c r="A633" s="18" t="s">
        <v>25</v>
      </c>
      <c r="B633" s="18" t="s">
        <v>63</v>
      </c>
      <c r="C633" s="20">
        <v>45441</v>
      </c>
      <c r="D633" s="21">
        <v>3432</v>
      </c>
    </row>
    <row r="634" spans="1:4">
      <c r="A634" s="18" t="s">
        <v>25</v>
      </c>
      <c r="B634" s="18" t="s">
        <v>63</v>
      </c>
      <c r="C634" s="20">
        <v>45527</v>
      </c>
      <c r="D634" s="21">
        <v>8173</v>
      </c>
    </row>
    <row r="635" spans="1:4">
      <c r="A635" s="18" t="s">
        <v>25</v>
      </c>
      <c r="B635" s="18" t="s">
        <v>63</v>
      </c>
      <c r="C635" s="20">
        <v>45503</v>
      </c>
      <c r="D635" s="21">
        <v>2411</v>
      </c>
    </row>
    <row r="636" spans="1:4">
      <c r="A636" s="18" t="s">
        <v>25</v>
      </c>
      <c r="B636" s="18" t="s">
        <v>63</v>
      </c>
      <c r="C636" s="20">
        <v>45411</v>
      </c>
      <c r="D636" s="21">
        <v>16009</v>
      </c>
    </row>
    <row r="637" spans="1:4">
      <c r="A637" s="18" t="s">
        <v>25</v>
      </c>
      <c r="B637" s="18" t="s">
        <v>63</v>
      </c>
      <c r="C637" s="20">
        <v>45599</v>
      </c>
      <c r="D637" s="21">
        <v>13085</v>
      </c>
    </row>
    <row r="638" spans="1:4">
      <c r="A638" s="18" t="s">
        <v>25</v>
      </c>
      <c r="B638" s="18" t="s">
        <v>63</v>
      </c>
      <c r="C638" s="20">
        <v>45502</v>
      </c>
      <c r="D638" s="21">
        <v>3694</v>
      </c>
    </row>
    <row r="639" spans="1:4">
      <c r="A639" s="18" t="s">
        <v>25</v>
      </c>
      <c r="B639" s="18" t="s">
        <v>63</v>
      </c>
      <c r="C639" s="20">
        <v>45585</v>
      </c>
      <c r="D639" s="21">
        <v>3615</v>
      </c>
    </row>
    <row r="640" spans="1:4">
      <c r="A640" s="18" t="s">
        <v>29</v>
      </c>
      <c r="B640" s="18" t="s">
        <v>64</v>
      </c>
      <c r="C640" s="20">
        <v>45611</v>
      </c>
      <c r="D640" s="21">
        <v>20127</v>
      </c>
    </row>
    <row r="641" spans="1:4">
      <c r="A641" s="18" t="s">
        <v>29</v>
      </c>
      <c r="B641" s="18" t="s">
        <v>64</v>
      </c>
      <c r="C641" s="20">
        <v>45452</v>
      </c>
      <c r="D641" s="21">
        <v>13379</v>
      </c>
    </row>
    <row r="642" spans="1:4">
      <c r="A642" s="18" t="s">
        <v>29</v>
      </c>
      <c r="B642" s="18" t="s">
        <v>64</v>
      </c>
      <c r="C642" s="20">
        <v>45370</v>
      </c>
      <c r="D642" s="21">
        <v>19793</v>
      </c>
    </row>
    <row r="643" spans="1:4">
      <c r="A643" s="18" t="s">
        <v>29</v>
      </c>
      <c r="B643" s="18" t="s">
        <v>64</v>
      </c>
      <c r="C643" s="20">
        <v>45489</v>
      </c>
      <c r="D643" s="21">
        <v>11481</v>
      </c>
    </row>
    <row r="644" spans="1:4">
      <c r="A644" s="18" t="s">
        <v>29</v>
      </c>
      <c r="B644" s="18" t="s">
        <v>64</v>
      </c>
      <c r="C644" s="20">
        <v>45466</v>
      </c>
      <c r="D644" s="21">
        <v>5511</v>
      </c>
    </row>
    <row r="645" spans="1:4">
      <c r="A645" s="18" t="s">
        <v>29</v>
      </c>
      <c r="B645" s="18" t="s">
        <v>64</v>
      </c>
      <c r="C645" s="20">
        <v>45352</v>
      </c>
      <c r="D645" s="21">
        <v>6747</v>
      </c>
    </row>
    <row r="646" spans="1:4">
      <c r="A646" s="18" t="s">
        <v>29</v>
      </c>
      <c r="B646" s="18" t="s">
        <v>64</v>
      </c>
      <c r="C646" s="20">
        <v>45461</v>
      </c>
      <c r="D646" s="21">
        <v>16835</v>
      </c>
    </row>
    <row r="647" spans="1:4">
      <c r="A647" s="18" t="s">
        <v>27</v>
      </c>
      <c r="B647" s="18" t="s">
        <v>65</v>
      </c>
      <c r="C647" s="20">
        <v>45382</v>
      </c>
      <c r="D647" s="21">
        <v>13323</v>
      </c>
    </row>
    <row r="648" spans="1:4">
      <c r="A648" s="18" t="s">
        <v>27</v>
      </c>
      <c r="B648" s="18" t="s">
        <v>65</v>
      </c>
      <c r="C648" s="20">
        <v>45295</v>
      </c>
      <c r="D648" s="21">
        <v>7390</v>
      </c>
    </row>
    <row r="649" spans="1:4">
      <c r="A649" s="18" t="s">
        <v>27</v>
      </c>
      <c r="B649" s="18" t="s">
        <v>65</v>
      </c>
      <c r="C649" s="20">
        <v>45595</v>
      </c>
      <c r="D649" s="21">
        <v>20254</v>
      </c>
    </row>
    <row r="650" spans="1:4">
      <c r="A650" s="18" t="s">
        <v>27</v>
      </c>
      <c r="B650" s="18" t="s">
        <v>65</v>
      </c>
      <c r="C650" s="20">
        <v>45596</v>
      </c>
      <c r="D650" s="21">
        <v>17909</v>
      </c>
    </row>
    <row r="651" spans="1:4">
      <c r="A651" s="18" t="s">
        <v>27</v>
      </c>
      <c r="B651" s="18" t="s">
        <v>65</v>
      </c>
      <c r="C651" s="20">
        <v>45515</v>
      </c>
      <c r="D651" s="21">
        <v>13738</v>
      </c>
    </row>
    <row r="652" spans="1:4">
      <c r="A652" s="18" t="s">
        <v>27</v>
      </c>
      <c r="B652" s="18" t="s">
        <v>65</v>
      </c>
      <c r="C652" s="20">
        <v>45424</v>
      </c>
      <c r="D652" s="21">
        <v>18948</v>
      </c>
    </row>
    <row r="653" spans="1:4">
      <c r="A653" s="18" t="s">
        <v>27</v>
      </c>
      <c r="B653" s="18" t="s">
        <v>65</v>
      </c>
      <c r="C653" s="20">
        <v>45370</v>
      </c>
      <c r="D653" s="21">
        <v>12692</v>
      </c>
    </row>
    <row r="654" spans="1:4">
      <c r="A654" s="18" t="s">
        <v>27</v>
      </c>
      <c r="B654" s="18" t="s">
        <v>65</v>
      </c>
      <c r="C654" s="20">
        <v>45534</v>
      </c>
      <c r="D654" s="21">
        <v>14530</v>
      </c>
    </row>
    <row r="655" spans="1:4">
      <c r="A655" s="18" t="s">
        <v>27</v>
      </c>
      <c r="B655" s="18" t="s">
        <v>65</v>
      </c>
      <c r="C655" s="20">
        <v>45656</v>
      </c>
      <c r="D655" s="21">
        <v>11387</v>
      </c>
    </row>
    <row r="656" spans="1:4">
      <c r="A656" s="18" t="s">
        <v>29</v>
      </c>
      <c r="B656" s="18" t="s">
        <v>66</v>
      </c>
      <c r="C656" s="20">
        <v>45473</v>
      </c>
      <c r="D656" s="21">
        <v>19108</v>
      </c>
    </row>
    <row r="657" spans="1:4">
      <c r="A657" s="18" t="s">
        <v>29</v>
      </c>
      <c r="B657" s="18" t="s">
        <v>66</v>
      </c>
      <c r="C657" s="20">
        <v>45484</v>
      </c>
      <c r="D657" s="21">
        <v>16771</v>
      </c>
    </row>
    <row r="658" spans="1:4">
      <c r="A658" s="18" t="s">
        <v>29</v>
      </c>
      <c r="B658" s="18" t="s">
        <v>66</v>
      </c>
      <c r="C658" s="20">
        <v>45371</v>
      </c>
      <c r="D658" s="21">
        <v>7223</v>
      </c>
    </row>
    <row r="659" spans="1:4">
      <c r="A659" s="18" t="s">
        <v>29</v>
      </c>
      <c r="B659" s="18" t="s">
        <v>66</v>
      </c>
      <c r="C659" s="20">
        <v>45448</v>
      </c>
      <c r="D659" s="21">
        <v>14351</v>
      </c>
    </row>
    <row r="660" spans="1:4">
      <c r="A660" s="18" t="s">
        <v>29</v>
      </c>
      <c r="B660" s="18" t="s">
        <v>66</v>
      </c>
      <c r="C660" s="20">
        <v>45379</v>
      </c>
      <c r="D660" s="21">
        <v>18398</v>
      </c>
    </row>
    <row r="661" spans="1:4">
      <c r="A661" s="18" t="s">
        <v>29</v>
      </c>
      <c r="B661" s="18" t="s">
        <v>66</v>
      </c>
      <c r="C661" s="20">
        <v>45324</v>
      </c>
      <c r="D661" s="21">
        <v>7209</v>
      </c>
    </row>
    <row r="662" spans="1:4">
      <c r="A662" s="18" t="s">
        <v>29</v>
      </c>
      <c r="B662" s="18" t="s">
        <v>66</v>
      </c>
      <c r="C662" s="20">
        <v>45412</v>
      </c>
      <c r="D662" s="21">
        <v>5359</v>
      </c>
    </row>
    <row r="663" spans="1:4">
      <c r="A663" s="18" t="s">
        <v>29</v>
      </c>
      <c r="B663" s="18" t="s">
        <v>66</v>
      </c>
      <c r="C663" s="20">
        <v>45581</v>
      </c>
      <c r="D663" s="21">
        <v>13110</v>
      </c>
    </row>
    <row r="664" spans="1:4">
      <c r="A664" s="18" t="s">
        <v>29</v>
      </c>
      <c r="B664" s="18" t="s">
        <v>66</v>
      </c>
      <c r="C664" s="20">
        <v>45406</v>
      </c>
      <c r="D664" s="21">
        <v>18025</v>
      </c>
    </row>
    <row r="665" spans="1:4">
      <c r="A665" s="18" t="s">
        <v>29</v>
      </c>
      <c r="B665" s="18" t="s">
        <v>66</v>
      </c>
      <c r="C665" s="20">
        <v>45422</v>
      </c>
      <c r="D665" s="21">
        <v>14848</v>
      </c>
    </row>
    <row r="666" spans="1:4">
      <c r="A666" s="18" t="s">
        <v>29</v>
      </c>
      <c r="B666" s="18" t="s">
        <v>67</v>
      </c>
      <c r="C666" s="20">
        <v>45375</v>
      </c>
      <c r="D666" s="21">
        <v>2904</v>
      </c>
    </row>
    <row r="667" spans="1:4">
      <c r="A667" s="18" t="s">
        <v>29</v>
      </c>
      <c r="B667" s="18" t="s">
        <v>67</v>
      </c>
      <c r="C667" s="20">
        <v>45321</v>
      </c>
      <c r="D667" s="21">
        <v>13107</v>
      </c>
    </row>
    <row r="668" spans="1:4">
      <c r="A668" s="18" t="s">
        <v>29</v>
      </c>
      <c r="B668" s="18" t="s">
        <v>67</v>
      </c>
      <c r="C668" s="20">
        <v>45423</v>
      </c>
      <c r="D668" s="21">
        <v>2796</v>
      </c>
    </row>
    <row r="669" spans="1:4">
      <c r="A669" s="18" t="s">
        <v>29</v>
      </c>
      <c r="B669" s="18" t="s">
        <v>67</v>
      </c>
      <c r="C669" s="20">
        <v>45359</v>
      </c>
      <c r="D669" s="21">
        <v>17139</v>
      </c>
    </row>
    <row r="670" spans="1:4">
      <c r="A670" s="18" t="s">
        <v>29</v>
      </c>
      <c r="B670" s="18" t="s">
        <v>67</v>
      </c>
      <c r="C670" s="20">
        <v>45537</v>
      </c>
      <c r="D670" s="21">
        <v>4665</v>
      </c>
    </row>
    <row r="671" spans="1:4">
      <c r="A671" s="18" t="s">
        <v>29</v>
      </c>
      <c r="B671" s="18" t="s">
        <v>67</v>
      </c>
      <c r="C671" s="20">
        <v>45421</v>
      </c>
      <c r="D671" s="21">
        <v>6395</v>
      </c>
    </row>
    <row r="672" spans="1:4">
      <c r="A672" s="18" t="s">
        <v>29</v>
      </c>
      <c r="B672" s="18" t="s">
        <v>67</v>
      </c>
      <c r="C672" s="20">
        <v>45403</v>
      </c>
      <c r="D672" s="21">
        <v>5358</v>
      </c>
    </row>
    <row r="673" spans="1:4">
      <c r="A673" s="18" t="s">
        <v>29</v>
      </c>
      <c r="B673" s="18" t="s">
        <v>67</v>
      </c>
      <c r="C673" s="20">
        <v>45474</v>
      </c>
      <c r="D673" s="21">
        <v>21258</v>
      </c>
    </row>
    <row r="674" spans="1:4">
      <c r="A674" s="18" t="s">
        <v>29</v>
      </c>
      <c r="B674" s="18" t="s">
        <v>68</v>
      </c>
      <c r="C674" s="20">
        <v>45477</v>
      </c>
      <c r="D674" s="21">
        <v>9290</v>
      </c>
    </row>
    <row r="675" spans="1:4">
      <c r="A675" s="18" t="s">
        <v>29</v>
      </c>
      <c r="B675" s="18" t="s">
        <v>68</v>
      </c>
      <c r="C675" s="20">
        <v>45348</v>
      </c>
      <c r="D675" s="21">
        <v>16061</v>
      </c>
    </row>
    <row r="676" spans="1:4">
      <c r="A676" s="18" t="s">
        <v>29</v>
      </c>
      <c r="B676" s="18" t="s">
        <v>68</v>
      </c>
      <c r="C676" s="20">
        <v>45432</v>
      </c>
      <c r="D676" s="21">
        <v>16997</v>
      </c>
    </row>
    <row r="677" spans="1:4">
      <c r="A677" s="18" t="s">
        <v>29</v>
      </c>
      <c r="B677" s="18" t="s">
        <v>68</v>
      </c>
      <c r="C677" s="20">
        <v>45495</v>
      </c>
      <c r="D677" s="21">
        <v>21270</v>
      </c>
    </row>
    <row r="678" spans="1:4">
      <c r="A678" s="18" t="s">
        <v>29</v>
      </c>
      <c r="B678" s="18" t="s">
        <v>68</v>
      </c>
      <c r="C678" s="20">
        <v>45407</v>
      </c>
      <c r="D678" s="21">
        <v>15327</v>
      </c>
    </row>
    <row r="679" spans="1:4">
      <c r="A679" s="18" t="s">
        <v>29</v>
      </c>
      <c r="B679" s="18" t="s">
        <v>68</v>
      </c>
      <c r="C679" s="20">
        <v>45400</v>
      </c>
      <c r="D679" s="21">
        <v>17796</v>
      </c>
    </row>
    <row r="680" spans="1:4">
      <c r="A680" s="18" t="s">
        <v>29</v>
      </c>
      <c r="B680" s="18" t="s">
        <v>68</v>
      </c>
      <c r="C680" s="20">
        <v>45506</v>
      </c>
      <c r="D680" s="21">
        <v>8199</v>
      </c>
    </row>
    <row r="681" spans="1:4">
      <c r="A681" s="18" t="s">
        <v>29</v>
      </c>
      <c r="B681" s="18" t="s">
        <v>68</v>
      </c>
      <c r="C681" s="20">
        <v>45413</v>
      </c>
      <c r="D681" s="21">
        <v>16636</v>
      </c>
    </row>
    <row r="682" spans="1:4">
      <c r="A682" s="18" t="s">
        <v>29</v>
      </c>
      <c r="B682" s="18" t="s">
        <v>68</v>
      </c>
      <c r="C682" s="20">
        <v>45535</v>
      </c>
      <c r="D682" s="21">
        <v>7868</v>
      </c>
    </row>
    <row r="683" spans="1:4">
      <c r="A683" s="18" t="s">
        <v>29</v>
      </c>
      <c r="B683" s="18" t="s">
        <v>68</v>
      </c>
      <c r="C683" s="20">
        <v>45612</v>
      </c>
      <c r="D683" s="21">
        <v>19243</v>
      </c>
    </row>
    <row r="684" spans="1:4">
      <c r="A684" s="18" t="s">
        <v>29</v>
      </c>
      <c r="B684" s="18" t="s">
        <v>69</v>
      </c>
      <c r="C684" s="20">
        <v>45515</v>
      </c>
      <c r="D684" s="21">
        <v>11019</v>
      </c>
    </row>
    <row r="685" spans="1:4">
      <c r="A685" s="18" t="s">
        <v>29</v>
      </c>
      <c r="B685" s="18" t="s">
        <v>69</v>
      </c>
      <c r="C685" s="20">
        <v>45373</v>
      </c>
      <c r="D685" s="21">
        <v>14589</v>
      </c>
    </row>
    <row r="686" spans="1:4">
      <c r="A686" s="18" t="s">
        <v>29</v>
      </c>
      <c r="B686" s="18" t="s">
        <v>69</v>
      </c>
      <c r="C686" s="20">
        <v>45382</v>
      </c>
      <c r="D686" s="21">
        <v>11137</v>
      </c>
    </row>
    <row r="687" spans="1:4">
      <c r="A687" s="18" t="s">
        <v>29</v>
      </c>
      <c r="B687" s="18" t="s">
        <v>69</v>
      </c>
      <c r="C687" s="20">
        <v>45474</v>
      </c>
      <c r="D687" s="21">
        <v>5730</v>
      </c>
    </row>
    <row r="688" spans="1:4">
      <c r="A688" s="18" t="s">
        <v>29</v>
      </c>
      <c r="B688" s="18" t="s">
        <v>69</v>
      </c>
      <c r="C688" s="20">
        <v>45430</v>
      </c>
      <c r="D688" s="21">
        <v>2654</v>
      </c>
    </row>
    <row r="689" spans="1:4">
      <c r="A689" s="18" t="s">
        <v>29</v>
      </c>
      <c r="B689" s="18" t="s">
        <v>69</v>
      </c>
      <c r="C689" s="20">
        <v>45328</v>
      </c>
      <c r="D689" s="21">
        <v>2544</v>
      </c>
    </row>
    <row r="690" spans="1:4">
      <c r="A690" s="18" t="s">
        <v>29</v>
      </c>
      <c r="B690" s="18" t="s">
        <v>69</v>
      </c>
      <c r="C690" s="20">
        <v>45546</v>
      </c>
      <c r="D690" s="21">
        <v>17624</v>
      </c>
    </row>
    <row r="691" spans="1:4">
      <c r="A691" s="18" t="s">
        <v>29</v>
      </c>
      <c r="B691" s="18" t="s">
        <v>69</v>
      </c>
      <c r="C691" s="20">
        <v>45650</v>
      </c>
      <c r="D691" s="21">
        <v>6749</v>
      </c>
    </row>
    <row r="692" spans="1:4">
      <c r="A692" s="18" t="s">
        <v>29</v>
      </c>
      <c r="B692" s="18" t="s">
        <v>69</v>
      </c>
      <c r="C692" s="20">
        <v>45560</v>
      </c>
      <c r="D692" s="21">
        <v>21470</v>
      </c>
    </row>
    <row r="693" spans="1:4">
      <c r="A693" s="18" t="s">
        <v>29</v>
      </c>
      <c r="B693" s="18" t="s">
        <v>69</v>
      </c>
      <c r="C693" s="20">
        <v>45436</v>
      </c>
      <c r="D693" s="21">
        <v>9377</v>
      </c>
    </row>
    <row r="694" spans="1:4">
      <c r="A694" s="18" t="s">
        <v>29</v>
      </c>
      <c r="B694" s="18" t="s">
        <v>69</v>
      </c>
      <c r="C694" s="20">
        <v>45542</v>
      </c>
      <c r="D694" s="21">
        <v>17363</v>
      </c>
    </row>
    <row r="695" spans="1:4">
      <c r="A695" s="18" t="s">
        <v>27</v>
      </c>
      <c r="B695" s="18" t="s">
        <v>70</v>
      </c>
      <c r="C695" s="20">
        <v>45543</v>
      </c>
      <c r="D695" s="21">
        <v>5515</v>
      </c>
    </row>
    <row r="696" spans="1:4">
      <c r="A696" s="18" t="s">
        <v>27</v>
      </c>
      <c r="B696" s="18" t="s">
        <v>70</v>
      </c>
      <c r="C696" s="20">
        <v>45422</v>
      </c>
      <c r="D696" s="21">
        <v>10000</v>
      </c>
    </row>
    <row r="697" spans="1:4">
      <c r="A697" s="18" t="s">
        <v>27</v>
      </c>
      <c r="B697" s="18" t="s">
        <v>70</v>
      </c>
      <c r="C697" s="20">
        <v>45542</v>
      </c>
      <c r="D697" s="21">
        <v>19765</v>
      </c>
    </row>
    <row r="698" spans="1:4">
      <c r="A698" s="18" t="s">
        <v>27</v>
      </c>
      <c r="B698" s="18" t="s">
        <v>70</v>
      </c>
      <c r="C698" s="20">
        <v>45514</v>
      </c>
      <c r="D698" s="21">
        <v>20683</v>
      </c>
    </row>
    <row r="699" spans="1:4">
      <c r="A699" s="18" t="s">
        <v>27</v>
      </c>
      <c r="B699" s="18" t="s">
        <v>70</v>
      </c>
      <c r="C699" s="20">
        <v>45466</v>
      </c>
      <c r="D699" s="21">
        <v>6231</v>
      </c>
    </row>
    <row r="700" spans="1:4">
      <c r="A700" s="18" t="s">
        <v>27</v>
      </c>
      <c r="B700" s="18" t="s">
        <v>70</v>
      </c>
      <c r="C700" s="20">
        <v>45445</v>
      </c>
      <c r="D700" s="21">
        <v>15410</v>
      </c>
    </row>
    <row r="701" spans="1:4">
      <c r="A701" s="18" t="s">
        <v>27</v>
      </c>
      <c r="B701" s="18" t="s">
        <v>70</v>
      </c>
      <c r="C701" s="20">
        <v>45631</v>
      </c>
      <c r="D701" s="21">
        <v>2223</v>
      </c>
    </row>
    <row r="702" spans="1:4">
      <c r="A702" s="18" t="s">
        <v>27</v>
      </c>
      <c r="B702" s="18" t="s">
        <v>70</v>
      </c>
      <c r="C702" s="20">
        <v>45479</v>
      </c>
      <c r="D702" s="21">
        <v>10219</v>
      </c>
    </row>
    <row r="703" spans="1:4">
      <c r="A703" s="18" t="s">
        <v>27</v>
      </c>
      <c r="B703" s="18" t="s">
        <v>70</v>
      </c>
      <c r="C703" s="20">
        <v>45618</v>
      </c>
      <c r="D703" s="21">
        <v>20672</v>
      </c>
    </row>
    <row r="704" spans="1:4">
      <c r="A704" s="18" t="s">
        <v>29</v>
      </c>
      <c r="B704" s="18" t="s">
        <v>71</v>
      </c>
      <c r="C704" s="20">
        <v>45416</v>
      </c>
      <c r="D704" s="21">
        <v>1816</v>
      </c>
    </row>
    <row r="705" spans="1:4">
      <c r="A705" s="18" t="s">
        <v>29</v>
      </c>
      <c r="B705" s="18" t="s">
        <v>71</v>
      </c>
      <c r="C705" s="20">
        <v>45534</v>
      </c>
      <c r="D705" s="21">
        <v>8348</v>
      </c>
    </row>
    <row r="706" spans="1:4">
      <c r="A706" s="18" t="s">
        <v>29</v>
      </c>
      <c r="B706" s="18" t="s">
        <v>71</v>
      </c>
      <c r="C706" s="20">
        <v>45336</v>
      </c>
      <c r="D706" s="21">
        <v>19521</v>
      </c>
    </row>
    <row r="707" spans="1:4">
      <c r="A707" s="18" t="s">
        <v>29</v>
      </c>
      <c r="B707" s="18" t="s">
        <v>71</v>
      </c>
      <c r="C707" s="20">
        <v>45533</v>
      </c>
      <c r="D707" s="21">
        <v>18011</v>
      </c>
    </row>
    <row r="708" spans="1:4">
      <c r="A708" s="18" t="s">
        <v>29</v>
      </c>
      <c r="B708" s="18" t="s">
        <v>71</v>
      </c>
      <c r="C708" s="20">
        <v>45485</v>
      </c>
      <c r="D708" s="21">
        <v>11253</v>
      </c>
    </row>
    <row r="709" spans="1:4">
      <c r="A709" s="18" t="s">
        <v>29</v>
      </c>
      <c r="B709" s="18" t="s">
        <v>71</v>
      </c>
      <c r="C709" s="20">
        <v>45299</v>
      </c>
      <c r="D709" s="21">
        <v>15333</v>
      </c>
    </row>
    <row r="710" spans="1:4">
      <c r="A710" s="18" t="s">
        <v>29</v>
      </c>
      <c r="B710" s="18" t="s">
        <v>71</v>
      </c>
      <c r="C710" s="20">
        <v>45295</v>
      </c>
      <c r="D710" s="21">
        <v>11376</v>
      </c>
    </row>
    <row r="711" spans="1:4">
      <c r="A711" s="18" t="s">
        <v>29</v>
      </c>
      <c r="B711" s="18" t="s">
        <v>71</v>
      </c>
      <c r="C711" s="20">
        <v>45363</v>
      </c>
      <c r="D711" s="21">
        <v>3686</v>
      </c>
    </row>
    <row r="712" spans="1:4">
      <c r="A712" s="18" t="s">
        <v>29</v>
      </c>
      <c r="B712" s="18" t="s">
        <v>71</v>
      </c>
      <c r="C712" s="20">
        <v>45552</v>
      </c>
      <c r="D712" s="21">
        <v>21384</v>
      </c>
    </row>
    <row r="713" spans="1:4">
      <c r="A713" s="18" t="s">
        <v>25</v>
      </c>
      <c r="B713" s="18" t="s">
        <v>72</v>
      </c>
      <c r="C713" s="20">
        <v>45307</v>
      </c>
      <c r="D713" s="21">
        <v>12046</v>
      </c>
    </row>
    <row r="714" spans="1:4">
      <c r="A714" s="18" t="s">
        <v>25</v>
      </c>
      <c r="B714" s="18" t="s">
        <v>72</v>
      </c>
      <c r="C714" s="20">
        <v>45381</v>
      </c>
      <c r="D714" s="21">
        <v>8057</v>
      </c>
    </row>
    <row r="715" spans="1:4">
      <c r="A715" s="18" t="s">
        <v>25</v>
      </c>
      <c r="B715" s="18" t="s">
        <v>72</v>
      </c>
      <c r="C715" s="20">
        <v>45390</v>
      </c>
      <c r="D715" s="21">
        <v>12477</v>
      </c>
    </row>
    <row r="716" spans="1:4">
      <c r="A716" s="18" t="s">
        <v>25</v>
      </c>
      <c r="B716" s="18" t="s">
        <v>72</v>
      </c>
      <c r="C716" s="20">
        <v>45496</v>
      </c>
      <c r="D716" s="21">
        <v>20690</v>
      </c>
    </row>
    <row r="717" spans="1:4">
      <c r="A717" s="18" t="s">
        <v>25</v>
      </c>
      <c r="B717" s="18" t="s">
        <v>72</v>
      </c>
      <c r="C717" s="20">
        <v>45463</v>
      </c>
      <c r="D717" s="21">
        <v>12105</v>
      </c>
    </row>
    <row r="718" spans="1:4">
      <c r="A718" s="18" t="s">
        <v>25</v>
      </c>
      <c r="B718" s="18" t="s">
        <v>72</v>
      </c>
      <c r="C718" s="20">
        <v>45409</v>
      </c>
      <c r="D718" s="21">
        <v>11097</v>
      </c>
    </row>
    <row r="719" spans="1:4">
      <c r="A719" s="18" t="s">
        <v>25</v>
      </c>
      <c r="B719" s="18" t="s">
        <v>72</v>
      </c>
      <c r="C719" s="20">
        <v>45596</v>
      </c>
      <c r="D719" s="21">
        <v>8370</v>
      </c>
    </row>
    <row r="720" spans="1:4">
      <c r="A720" s="18" t="s">
        <v>25</v>
      </c>
      <c r="B720" s="18" t="s">
        <v>72</v>
      </c>
      <c r="C720" s="20">
        <v>45434</v>
      </c>
      <c r="D720" s="21">
        <v>3494</v>
      </c>
    </row>
    <row r="721" spans="1:4">
      <c r="A721" s="18" t="s">
        <v>25</v>
      </c>
      <c r="B721" s="18" t="s">
        <v>72</v>
      </c>
      <c r="C721" s="20">
        <v>45502</v>
      </c>
      <c r="D721" s="21">
        <v>6554</v>
      </c>
    </row>
    <row r="722" spans="1:4">
      <c r="A722" s="18" t="s">
        <v>25</v>
      </c>
      <c r="B722" s="18" t="s">
        <v>72</v>
      </c>
      <c r="C722" s="20">
        <v>45567</v>
      </c>
      <c r="D722" s="21">
        <v>1903</v>
      </c>
    </row>
    <row r="723" spans="1:4">
      <c r="A723" s="18" t="s">
        <v>27</v>
      </c>
      <c r="B723" s="18" t="s">
        <v>73</v>
      </c>
      <c r="C723" s="20">
        <v>45499</v>
      </c>
      <c r="D723" s="21">
        <v>19650</v>
      </c>
    </row>
    <row r="724" spans="1:4">
      <c r="A724" s="18" t="s">
        <v>27</v>
      </c>
      <c r="B724" s="18" t="s">
        <v>73</v>
      </c>
      <c r="C724" s="20">
        <v>45472</v>
      </c>
      <c r="D724" s="21">
        <v>3320</v>
      </c>
    </row>
    <row r="725" spans="1:4">
      <c r="A725" s="18" t="s">
        <v>27</v>
      </c>
      <c r="B725" s="18" t="s">
        <v>73</v>
      </c>
      <c r="C725" s="20">
        <v>45313</v>
      </c>
      <c r="D725" s="21">
        <v>12770</v>
      </c>
    </row>
    <row r="726" spans="1:4">
      <c r="A726" s="18" t="s">
        <v>27</v>
      </c>
      <c r="B726" s="18" t="s">
        <v>73</v>
      </c>
      <c r="C726" s="20">
        <v>45471</v>
      </c>
      <c r="D726" s="21">
        <v>16277</v>
      </c>
    </row>
    <row r="727" spans="1:4">
      <c r="A727" s="18" t="s">
        <v>27</v>
      </c>
      <c r="B727" s="18" t="s">
        <v>73</v>
      </c>
      <c r="C727" s="20">
        <v>45504</v>
      </c>
      <c r="D727" s="21">
        <v>9741</v>
      </c>
    </row>
    <row r="728" spans="1:4">
      <c r="A728" s="18" t="s">
        <v>27</v>
      </c>
      <c r="B728" s="18" t="s">
        <v>73</v>
      </c>
      <c r="C728" s="20">
        <v>45463</v>
      </c>
      <c r="D728" s="21">
        <v>9516</v>
      </c>
    </row>
    <row r="729" spans="1:4">
      <c r="A729" s="18" t="s">
        <v>27</v>
      </c>
      <c r="B729" s="18" t="s">
        <v>73</v>
      </c>
      <c r="C729" s="20">
        <v>45364</v>
      </c>
      <c r="D729" s="21">
        <v>20563</v>
      </c>
    </row>
    <row r="730" spans="1:4">
      <c r="A730" s="18" t="s">
        <v>27</v>
      </c>
      <c r="B730" s="18" t="s">
        <v>73</v>
      </c>
      <c r="C730" s="20">
        <v>45331</v>
      </c>
      <c r="D730" s="21">
        <v>11475</v>
      </c>
    </row>
    <row r="731" spans="1:4">
      <c r="A731" s="18" t="s">
        <v>27</v>
      </c>
      <c r="B731" s="18" t="s">
        <v>73</v>
      </c>
      <c r="C731" s="20">
        <v>45636</v>
      </c>
      <c r="D731" s="21">
        <v>13132</v>
      </c>
    </row>
    <row r="732" spans="1:4">
      <c r="A732" s="18" t="s">
        <v>27</v>
      </c>
      <c r="B732" s="18" t="s">
        <v>73</v>
      </c>
      <c r="C732" s="20">
        <v>45495</v>
      </c>
      <c r="D732" s="21">
        <v>15013</v>
      </c>
    </row>
    <row r="733" spans="1:4">
      <c r="A733" s="18" t="s">
        <v>25</v>
      </c>
      <c r="B733" s="18" t="s">
        <v>74</v>
      </c>
      <c r="C733" s="20">
        <v>45447</v>
      </c>
      <c r="D733" s="21">
        <v>16053</v>
      </c>
    </row>
    <row r="734" spans="1:4">
      <c r="A734" s="18" t="s">
        <v>25</v>
      </c>
      <c r="B734" s="18" t="s">
        <v>74</v>
      </c>
      <c r="C734" s="20">
        <v>45599</v>
      </c>
      <c r="D734" s="21">
        <v>12904</v>
      </c>
    </row>
    <row r="735" spans="1:4">
      <c r="A735" s="18" t="s">
        <v>25</v>
      </c>
      <c r="B735" s="18" t="s">
        <v>74</v>
      </c>
      <c r="C735" s="20">
        <v>45382</v>
      </c>
      <c r="D735" s="21">
        <v>12746</v>
      </c>
    </row>
    <row r="736" spans="1:4">
      <c r="A736" s="18" t="s">
        <v>25</v>
      </c>
      <c r="B736" s="18" t="s">
        <v>74</v>
      </c>
      <c r="C736" s="20">
        <v>45350</v>
      </c>
      <c r="D736" s="21">
        <v>16061</v>
      </c>
    </row>
    <row r="737" spans="1:4">
      <c r="A737" s="18" t="s">
        <v>25</v>
      </c>
      <c r="B737" s="18" t="s">
        <v>74</v>
      </c>
      <c r="C737" s="20">
        <v>45530</v>
      </c>
      <c r="D737" s="21">
        <v>14314</v>
      </c>
    </row>
    <row r="738" spans="1:4">
      <c r="A738" s="18" t="s">
        <v>25</v>
      </c>
      <c r="B738" s="18" t="s">
        <v>74</v>
      </c>
      <c r="C738" s="20">
        <v>45522</v>
      </c>
      <c r="D738" s="21">
        <v>8924</v>
      </c>
    </row>
    <row r="739" spans="1:4">
      <c r="A739" s="18" t="s">
        <v>25</v>
      </c>
      <c r="B739" s="18" t="s">
        <v>74</v>
      </c>
      <c r="C739" s="20">
        <v>45294</v>
      </c>
      <c r="D739" s="21">
        <v>15527</v>
      </c>
    </row>
    <row r="740" spans="1:4">
      <c r="A740" s="18" t="s">
        <v>25</v>
      </c>
      <c r="B740" s="18" t="s">
        <v>75</v>
      </c>
      <c r="C740" s="20">
        <v>45476</v>
      </c>
      <c r="D740" s="21">
        <v>17954</v>
      </c>
    </row>
    <row r="741" spans="1:4">
      <c r="A741" s="18" t="s">
        <v>25</v>
      </c>
      <c r="B741" s="18" t="s">
        <v>75</v>
      </c>
      <c r="C741" s="20">
        <v>45491</v>
      </c>
      <c r="D741" s="21">
        <v>2322</v>
      </c>
    </row>
    <row r="742" spans="1:4">
      <c r="A742" s="18" t="s">
        <v>25</v>
      </c>
      <c r="B742" s="18" t="s">
        <v>75</v>
      </c>
      <c r="C742" s="20">
        <v>45541</v>
      </c>
      <c r="D742" s="21">
        <v>3283</v>
      </c>
    </row>
    <row r="743" spans="1:4">
      <c r="A743" s="18" t="s">
        <v>25</v>
      </c>
      <c r="B743" s="18" t="s">
        <v>75</v>
      </c>
      <c r="C743" s="20">
        <v>45332</v>
      </c>
      <c r="D743" s="21">
        <v>19921</v>
      </c>
    </row>
    <row r="744" spans="1:4">
      <c r="A744" s="18" t="s">
        <v>25</v>
      </c>
      <c r="B744" s="18" t="s">
        <v>75</v>
      </c>
      <c r="C744" s="20">
        <v>45488</v>
      </c>
      <c r="D744" s="21">
        <v>2881</v>
      </c>
    </row>
    <row r="745" spans="1:4">
      <c r="A745" s="18" t="s">
        <v>25</v>
      </c>
      <c r="B745" s="18" t="s">
        <v>75</v>
      </c>
      <c r="C745" s="20">
        <v>45454</v>
      </c>
      <c r="D745" s="21">
        <v>4021</v>
      </c>
    </row>
    <row r="746" spans="1:4">
      <c r="A746" s="18" t="s">
        <v>25</v>
      </c>
      <c r="B746" s="18" t="s">
        <v>75</v>
      </c>
      <c r="C746" s="20">
        <v>45618</v>
      </c>
      <c r="D746" s="21">
        <v>12188</v>
      </c>
    </row>
    <row r="747" spans="1:4">
      <c r="A747" s="18" t="s">
        <v>27</v>
      </c>
      <c r="B747" s="18" t="s">
        <v>76</v>
      </c>
      <c r="C747" s="20">
        <v>45364</v>
      </c>
      <c r="D747" s="21">
        <v>20543</v>
      </c>
    </row>
    <row r="748" spans="1:4">
      <c r="A748" s="18" t="s">
        <v>27</v>
      </c>
      <c r="B748" s="18" t="s">
        <v>76</v>
      </c>
      <c r="C748" s="20">
        <v>45635</v>
      </c>
      <c r="D748" s="21">
        <v>15871</v>
      </c>
    </row>
    <row r="749" spans="1:4">
      <c r="A749" s="18" t="s">
        <v>27</v>
      </c>
      <c r="B749" s="18" t="s">
        <v>76</v>
      </c>
      <c r="C749" s="20">
        <v>45611</v>
      </c>
      <c r="D749" s="21">
        <v>13359</v>
      </c>
    </row>
    <row r="750" spans="1:4">
      <c r="A750" s="18" t="s">
        <v>27</v>
      </c>
      <c r="B750" s="18" t="s">
        <v>76</v>
      </c>
      <c r="C750" s="20">
        <v>45538</v>
      </c>
      <c r="D750" s="21">
        <v>20214</v>
      </c>
    </row>
    <row r="751" spans="1:4">
      <c r="A751" s="18" t="s">
        <v>27</v>
      </c>
      <c r="B751" s="18" t="s">
        <v>76</v>
      </c>
      <c r="C751" s="20">
        <v>45451</v>
      </c>
      <c r="D751" s="21">
        <v>11971</v>
      </c>
    </row>
    <row r="752" spans="1:4">
      <c r="A752" s="18" t="s">
        <v>27</v>
      </c>
      <c r="B752" s="18" t="s">
        <v>76</v>
      </c>
      <c r="C752" s="20">
        <v>45605</v>
      </c>
      <c r="D752" s="21">
        <v>3246</v>
      </c>
    </row>
    <row r="753" spans="1:4">
      <c r="A753" s="18" t="s">
        <v>27</v>
      </c>
      <c r="B753" s="18" t="s">
        <v>76</v>
      </c>
      <c r="C753" s="20">
        <v>45397</v>
      </c>
      <c r="D753" s="21">
        <v>2736</v>
      </c>
    </row>
    <row r="754" spans="1:4">
      <c r="A754" s="18" t="s">
        <v>27</v>
      </c>
      <c r="B754" s="18" t="s">
        <v>76</v>
      </c>
      <c r="C754" s="20">
        <v>45638</v>
      </c>
      <c r="D754" s="21">
        <v>16997</v>
      </c>
    </row>
    <row r="755" spans="1:4">
      <c r="A755" s="18" t="s">
        <v>27</v>
      </c>
      <c r="B755" s="18" t="s">
        <v>76</v>
      </c>
      <c r="C755" s="20">
        <v>45497</v>
      </c>
      <c r="D755" s="21">
        <v>5650</v>
      </c>
    </row>
    <row r="756" spans="1:4">
      <c r="A756" s="18" t="s">
        <v>27</v>
      </c>
      <c r="B756" s="18" t="s">
        <v>76</v>
      </c>
      <c r="C756" s="20">
        <v>45385</v>
      </c>
      <c r="D756" s="21">
        <v>2927</v>
      </c>
    </row>
    <row r="757" spans="1:4">
      <c r="A757" s="18" t="s">
        <v>29</v>
      </c>
      <c r="B757" s="18" t="s">
        <v>77</v>
      </c>
      <c r="C757" s="20">
        <v>45303</v>
      </c>
      <c r="D757" s="21">
        <v>9881</v>
      </c>
    </row>
    <row r="758" spans="1:4">
      <c r="A758" s="18" t="s">
        <v>29</v>
      </c>
      <c r="B758" s="18" t="s">
        <v>77</v>
      </c>
      <c r="C758" s="20">
        <v>45651</v>
      </c>
      <c r="D758" s="21">
        <v>19643</v>
      </c>
    </row>
    <row r="759" spans="1:4">
      <c r="A759" s="18" t="s">
        <v>29</v>
      </c>
      <c r="B759" s="18" t="s">
        <v>77</v>
      </c>
      <c r="C759" s="20">
        <v>45499</v>
      </c>
      <c r="D759" s="21">
        <v>17856</v>
      </c>
    </row>
    <row r="760" spans="1:4">
      <c r="A760" s="18" t="s">
        <v>29</v>
      </c>
      <c r="B760" s="18" t="s">
        <v>77</v>
      </c>
      <c r="C760" s="20">
        <v>45424</v>
      </c>
      <c r="D760" s="21">
        <v>12293</v>
      </c>
    </row>
    <row r="761" spans="1:4">
      <c r="A761" s="18" t="s">
        <v>29</v>
      </c>
      <c r="B761" s="18" t="s">
        <v>77</v>
      </c>
      <c r="C761" s="20">
        <v>45413</v>
      </c>
      <c r="D761" s="21">
        <v>17413</v>
      </c>
    </row>
    <row r="762" spans="1:4">
      <c r="A762" s="18" t="s">
        <v>29</v>
      </c>
      <c r="B762" s="18" t="s">
        <v>77</v>
      </c>
      <c r="C762" s="20">
        <v>45433</v>
      </c>
      <c r="D762" s="21">
        <v>19795</v>
      </c>
    </row>
    <row r="763" spans="1:4">
      <c r="A763" s="18" t="s">
        <v>29</v>
      </c>
      <c r="B763" s="18" t="s">
        <v>77</v>
      </c>
      <c r="C763" s="20">
        <v>45347</v>
      </c>
      <c r="D763" s="21">
        <v>13434</v>
      </c>
    </row>
    <row r="764" spans="1:4">
      <c r="A764" s="18" t="s">
        <v>29</v>
      </c>
      <c r="B764" s="18" t="s">
        <v>77</v>
      </c>
      <c r="C764" s="20">
        <v>45338</v>
      </c>
      <c r="D764" s="21">
        <v>6494</v>
      </c>
    </row>
    <row r="765" spans="1:4">
      <c r="A765" s="18" t="s">
        <v>29</v>
      </c>
      <c r="B765" s="18" t="s">
        <v>77</v>
      </c>
      <c r="C765" s="20">
        <v>45647</v>
      </c>
      <c r="D765" s="21">
        <v>3464</v>
      </c>
    </row>
    <row r="766" spans="1:4">
      <c r="A766" s="18" t="s">
        <v>29</v>
      </c>
      <c r="B766" s="18" t="s">
        <v>77</v>
      </c>
      <c r="C766" s="20">
        <v>45536</v>
      </c>
      <c r="D766" s="21">
        <v>19777</v>
      </c>
    </row>
    <row r="767" spans="1:4">
      <c r="A767" s="18" t="s">
        <v>29</v>
      </c>
      <c r="B767" s="18" t="s">
        <v>78</v>
      </c>
      <c r="C767" s="20">
        <v>45449</v>
      </c>
      <c r="D767" s="21">
        <v>16323</v>
      </c>
    </row>
    <row r="768" spans="1:4">
      <c r="A768" s="18" t="s">
        <v>29</v>
      </c>
      <c r="B768" s="18" t="s">
        <v>78</v>
      </c>
      <c r="C768" s="20">
        <v>45397</v>
      </c>
      <c r="D768" s="21">
        <v>6145</v>
      </c>
    </row>
    <row r="769" spans="1:4">
      <c r="A769" s="18" t="s">
        <v>29</v>
      </c>
      <c r="B769" s="18" t="s">
        <v>78</v>
      </c>
      <c r="C769" s="20">
        <v>45526</v>
      </c>
      <c r="D769" s="21">
        <v>1804</v>
      </c>
    </row>
    <row r="770" spans="1:4">
      <c r="A770" s="18" t="s">
        <v>29</v>
      </c>
      <c r="B770" s="18" t="s">
        <v>78</v>
      </c>
      <c r="C770" s="20">
        <v>45623</v>
      </c>
      <c r="D770" s="21">
        <v>3567</v>
      </c>
    </row>
    <row r="771" spans="1:4">
      <c r="A771" s="18" t="s">
        <v>29</v>
      </c>
      <c r="B771" s="18" t="s">
        <v>78</v>
      </c>
      <c r="C771" s="20">
        <v>45499</v>
      </c>
      <c r="D771" s="21">
        <v>3046</v>
      </c>
    </row>
    <row r="772" spans="1:4">
      <c r="A772" s="18" t="s">
        <v>29</v>
      </c>
      <c r="B772" s="18" t="s">
        <v>78</v>
      </c>
      <c r="C772" s="20">
        <v>45353</v>
      </c>
      <c r="D772" s="21">
        <v>3423</v>
      </c>
    </row>
    <row r="773" spans="1:4">
      <c r="A773" s="18" t="s">
        <v>29</v>
      </c>
      <c r="B773" s="18" t="s">
        <v>78</v>
      </c>
      <c r="C773" s="20">
        <v>45545</v>
      </c>
      <c r="D773" s="21">
        <v>18163</v>
      </c>
    </row>
    <row r="774" spans="1:4">
      <c r="A774" s="18" t="s">
        <v>29</v>
      </c>
      <c r="B774" s="18" t="s">
        <v>78</v>
      </c>
      <c r="C774" s="20">
        <v>45518</v>
      </c>
      <c r="D774" s="21">
        <v>13297</v>
      </c>
    </row>
    <row r="775" spans="1:4">
      <c r="A775" s="18" t="s">
        <v>29</v>
      </c>
      <c r="B775" s="18" t="s">
        <v>78</v>
      </c>
      <c r="C775" s="20">
        <v>45297</v>
      </c>
      <c r="D775" s="21">
        <v>21312</v>
      </c>
    </row>
    <row r="776" spans="1:4">
      <c r="A776" s="18" t="s">
        <v>25</v>
      </c>
      <c r="B776" s="18" t="s">
        <v>79</v>
      </c>
      <c r="C776" s="20">
        <v>45490</v>
      </c>
      <c r="D776" s="21">
        <v>21233</v>
      </c>
    </row>
    <row r="777" spans="1:4">
      <c r="A777" s="18" t="s">
        <v>25</v>
      </c>
      <c r="B777" s="18" t="s">
        <v>79</v>
      </c>
      <c r="C777" s="20">
        <v>45486</v>
      </c>
      <c r="D777" s="21">
        <v>9276</v>
      </c>
    </row>
    <row r="778" spans="1:4">
      <c r="A778" s="18" t="s">
        <v>25</v>
      </c>
      <c r="B778" s="18" t="s">
        <v>79</v>
      </c>
      <c r="C778" s="20">
        <v>45656</v>
      </c>
      <c r="D778" s="21">
        <v>17231</v>
      </c>
    </row>
    <row r="779" spans="1:4">
      <c r="A779" s="18" t="s">
        <v>25</v>
      </c>
      <c r="B779" s="18" t="s">
        <v>79</v>
      </c>
      <c r="C779" s="20">
        <v>45337</v>
      </c>
      <c r="D779" s="21">
        <v>5559</v>
      </c>
    </row>
    <row r="780" spans="1:4">
      <c r="A780" s="18" t="s">
        <v>25</v>
      </c>
      <c r="B780" s="18" t="s">
        <v>79</v>
      </c>
      <c r="C780" s="20">
        <v>45655</v>
      </c>
      <c r="D780" s="21">
        <v>9822</v>
      </c>
    </row>
    <row r="781" spans="1:4">
      <c r="A781" s="18" t="s">
        <v>25</v>
      </c>
      <c r="B781" s="18" t="s">
        <v>79</v>
      </c>
      <c r="C781" s="20">
        <v>45382</v>
      </c>
      <c r="D781" s="21">
        <v>13675</v>
      </c>
    </row>
    <row r="782" spans="1:4">
      <c r="A782" s="18" t="s">
        <v>25</v>
      </c>
      <c r="B782" s="18" t="s">
        <v>79</v>
      </c>
      <c r="C782" s="20">
        <v>45627</v>
      </c>
      <c r="D782" s="21">
        <v>8316</v>
      </c>
    </row>
    <row r="783" spans="1:4">
      <c r="A783" s="18" t="s">
        <v>25</v>
      </c>
      <c r="B783" s="18" t="s">
        <v>79</v>
      </c>
      <c r="C783" s="20">
        <v>45308</v>
      </c>
      <c r="D783" s="21">
        <v>12591</v>
      </c>
    </row>
    <row r="784" spans="1:4">
      <c r="A784" s="18" t="s">
        <v>25</v>
      </c>
      <c r="B784" s="18" t="s">
        <v>79</v>
      </c>
      <c r="C784" s="20">
        <v>45391</v>
      </c>
      <c r="D784" s="21">
        <v>3950</v>
      </c>
    </row>
    <row r="785" spans="1:4">
      <c r="A785" s="18" t="s">
        <v>25</v>
      </c>
      <c r="B785" s="18" t="s">
        <v>79</v>
      </c>
      <c r="C785" s="20">
        <v>45509</v>
      </c>
      <c r="D785" s="21">
        <v>6670</v>
      </c>
    </row>
    <row r="786" spans="1:4">
      <c r="A786" s="18" t="s">
        <v>27</v>
      </c>
      <c r="B786" s="18" t="s">
        <v>80</v>
      </c>
      <c r="C786" s="20">
        <v>45616</v>
      </c>
      <c r="D786" s="21">
        <v>21049</v>
      </c>
    </row>
    <row r="787" spans="1:4">
      <c r="A787" s="18" t="s">
        <v>27</v>
      </c>
      <c r="B787" s="18" t="s">
        <v>80</v>
      </c>
      <c r="C787" s="20">
        <v>45381</v>
      </c>
      <c r="D787" s="21">
        <v>17247</v>
      </c>
    </row>
    <row r="788" spans="1:4">
      <c r="A788" s="18" t="s">
        <v>27</v>
      </c>
      <c r="B788" s="18" t="s">
        <v>80</v>
      </c>
      <c r="C788" s="20">
        <v>45299</v>
      </c>
      <c r="D788" s="21">
        <v>2518</v>
      </c>
    </row>
    <row r="789" spans="1:4">
      <c r="A789" s="18" t="s">
        <v>27</v>
      </c>
      <c r="B789" s="18" t="s">
        <v>80</v>
      </c>
      <c r="C789" s="20">
        <v>45387</v>
      </c>
      <c r="D789" s="21">
        <v>11662</v>
      </c>
    </row>
    <row r="790" spans="1:4">
      <c r="A790" s="18" t="s">
        <v>27</v>
      </c>
      <c r="B790" s="18" t="s">
        <v>80</v>
      </c>
      <c r="C790" s="20">
        <v>45381</v>
      </c>
      <c r="D790" s="21">
        <v>18088</v>
      </c>
    </row>
    <row r="791" spans="1:4">
      <c r="A791" s="18" t="s">
        <v>27</v>
      </c>
      <c r="B791" s="18" t="s">
        <v>80</v>
      </c>
      <c r="C791" s="20">
        <v>45575</v>
      </c>
      <c r="D791" s="21">
        <v>3158</v>
      </c>
    </row>
    <row r="792" spans="1:4">
      <c r="A792" s="18" t="s">
        <v>27</v>
      </c>
      <c r="B792" s="18" t="s">
        <v>80</v>
      </c>
      <c r="C792" s="20">
        <v>45475</v>
      </c>
      <c r="D792" s="21">
        <v>9375</v>
      </c>
    </row>
    <row r="793" spans="1:4">
      <c r="A793" s="18" t="s">
        <v>27</v>
      </c>
      <c r="B793" s="18" t="s">
        <v>80</v>
      </c>
      <c r="C793" s="20">
        <v>45511</v>
      </c>
      <c r="D793" s="21">
        <v>20497</v>
      </c>
    </row>
    <row r="794" spans="1:4">
      <c r="A794" s="18" t="s">
        <v>29</v>
      </c>
      <c r="B794" s="18" t="s">
        <v>81</v>
      </c>
      <c r="C794" s="20">
        <v>45564</v>
      </c>
      <c r="D794" s="21">
        <v>2677</v>
      </c>
    </row>
    <row r="795" spans="1:4">
      <c r="A795" s="18" t="s">
        <v>29</v>
      </c>
      <c r="B795" s="18" t="s">
        <v>81</v>
      </c>
      <c r="C795" s="20">
        <v>45409</v>
      </c>
      <c r="D795" s="21">
        <v>8865</v>
      </c>
    </row>
    <row r="796" spans="1:4">
      <c r="A796" s="18" t="s">
        <v>29</v>
      </c>
      <c r="B796" s="18" t="s">
        <v>81</v>
      </c>
      <c r="C796" s="20">
        <v>45322</v>
      </c>
      <c r="D796" s="21">
        <v>4932</v>
      </c>
    </row>
    <row r="797" spans="1:4">
      <c r="A797" s="18" t="s">
        <v>29</v>
      </c>
      <c r="B797" s="18" t="s">
        <v>81</v>
      </c>
      <c r="C797" s="20">
        <v>45469</v>
      </c>
      <c r="D797" s="21">
        <v>7142</v>
      </c>
    </row>
    <row r="798" spans="1:4">
      <c r="A798" s="18" t="s">
        <v>29</v>
      </c>
      <c r="B798" s="18" t="s">
        <v>81</v>
      </c>
      <c r="C798" s="20">
        <v>45404</v>
      </c>
      <c r="D798" s="21">
        <v>15350</v>
      </c>
    </row>
    <row r="799" spans="1:4">
      <c r="A799" s="18" t="s">
        <v>29</v>
      </c>
      <c r="B799" s="18" t="s">
        <v>81</v>
      </c>
      <c r="C799" s="20">
        <v>45502</v>
      </c>
      <c r="D799" s="21">
        <v>6266</v>
      </c>
    </row>
    <row r="800" spans="1:4">
      <c r="A800" s="18" t="s">
        <v>29</v>
      </c>
      <c r="B800" s="18" t="s">
        <v>81</v>
      </c>
      <c r="C800" s="20">
        <v>45413</v>
      </c>
      <c r="D800" s="21">
        <v>7499</v>
      </c>
    </row>
    <row r="801" spans="1:4">
      <c r="A801" s="18" t="s">
        <v>27</v>
      </c>
      <c r="B801" s="18" t="s">
        <v>82</v>
      </c>
      <c r="C801" s="20">
        <v>45634</v>
      </c>
      <c r="D801" s="21">
        <v>4433</v>
      </c>
    </row>
    <row r="802" spans="1:4">
      <c r="A802" s="18" t="s">
        <v>27</v>
      </c>
      <c r="B802" s="18" t="s">
        <v>82</v>
      </c>
      <c r="C802" s="20">
        <v>45625</v>
      </c>
      <c r="D802" s="21">
        <v>6601</v>
      </c>
    </row>
    <row r="803" spans="1:4">
      <c r="A803" s="18" t="s">
        <v>27</v>
      </c>
      <c r="B803" s="18" t="s">
        <v>82</v>
      </c>
      <c r="C803" s="20">
        <v>45490</v>
      </c>
      <c r="D803" s="21">
        <v>13332</v>
      </c>
    </row>
    <row r="804" spans="1:4">
      <c r="A804" s="18" t="s">
        <v>27</v>
      </c>
      <c r="B804" s="18" t="s">
        <v>82</v>
      </c>
      <c r="C804" s="20">
        <v>45450</v>
      </c>
      <c r="D804" s="21">
        <v>4150</v>
      </c>
    </row>
    <row r="805" spans="1:4">
      <c r="A805" s="18" t="s">
        <v>27</v>
      </c>
      <c r="B805" s="18" t="s">
        <v>82</v>
      </c>
      <c r="C805" s="20">
        <v>45581</v>
      </c>
      <c r="D805" s="21">
        <v>10096</v>
      </c>
    </row>
    <row r="806" spans="1:4">
      <c r="A806" s="18" t="s">
        <v>27</v>
      </c>
      <c r="B806" s="18" t="s">
        <v>82</v>
      </c>
      <c r="C806" s="20">
        <v>45472</v>
      </c>
      <c r="D806" s="21">
        <v>11898</v>
      </c>
    </row>
    <row r="807" spans="1:4">
      <c r="A807" s="18" t="s">
        <v>27</v>
      </c>
      <c r="B807" s="18" t="s">
        <v>82</v>
      </c>
      <c r="C807" s="20">
        <v>45504</v>
      </c>
      <c r="D807" s="21">
        <v>12732</v>
      </c>
    </row>
    <row r="808" spans="1:4">
      <c r="A808" s="18" t="s">
        <v>27</v>
      </c>
      <c r="B808" s="18" t="s">
        <v>83</v>
      </c>
      <c r="C808" s="20">
        <v>45528</v>
      </c>
      <c r="D808" s="21">
        <v>17653</v>
      </c>
    </row>
    <row r="809" spans="1:4">
      <c r="A809" s="18" t="s">
        <v>27</v>
      </c>
      <c r="B809" s="18" t="s">
        <v>83</v>
      </c>
      <c r="C809" s="20">
        <v>45300</v>
      </c>
      <c r="D809" s="21">
        <v>17352</v>
      </c>
    </row>
    <row r="810" spans="1:4">
      <c r="A810" s="18" t="s">
        <v>27</v>
      </c>
      <c r="B810" s="18" t="s">
        <v>83</v>
      </c>
      <c r="C810" s="20">
        <v>45321</v>
      </c>
      <c r="D810" s="21">
        <v>11986</v>
      </c>
    </row>
    <row r="811" spans="1:4">
      <c r="A811" s="18" t="s">
        <v>27</v>
      </c>
      <c r="B811" s="18" t="s">
        <v>83</v>
      </c>
      <c r="C811" s="20">
        <v>45317</v>
      </c>
      <c r="D811" s="21">
        <v>2319</v>
      </c>
    </row>
    <row r="812" spans="1:4">
      <c r="A812" s="18" t="s">
        <v>27</v>
      </c>
      <c r="B812" s="18" t="s">
        <v>83</v>
      </c>
      <c r="C812" s="20">
        <v>45429</v>
      </c>
      <c r="D812" s="21">
        <v>6496</v>
      </c>
    </row>
    <row r="813" spans="1:4">
      <c r="A813" s="18" t="s">
        <v>27</v>
      </c>
      <c r="B813" s="18" t="s">
        <v>83</v>
      </c>
      <c r="C813" s="20">
        <v>45490</v>
      </c>
      <c r="D813" s="21">
        <v>20789</v>
      </c>
    </row>
    <row r="814" spans="1:4">
      <c r="A814" s="18" t="s">
        <v>27</v>
      </c>
      <c r="B814" s="18" t="s">
        <v>83</v>
      </c>
      <c r="C814" s="20">
        <v>45508</v>
      </c>
      <c r="D814" s="21">
        <v>3012</v>
      </c>
    </row>
    <row r="815" spans="1:4">
      <c r="A815" s="18" t="s">
        <v>27</v>
      </c>
      <c r="B815" s="18" t="s">
        <v>83</v>
      </c>
      <c r="C815" s="20">
        <v>45317</v>
      </c>
      <c r="D815" s="21">
        <v>12383</v>
      </c>
    </row>
    <row r="816" spans="1:4">
      <c r="A816" s="18" t="s">
        <v>27</v>
      </c>
      <c r="B816" s="18" t="s">
        <v>83</v>
      </c>
      <c r="C816" s="20">
        <v>45627</v>
      </c>
      <c r="D816" s="21">
        <v>1501</v>
      </c>
    </row>
    <row r="817" spans="1:4">
      <c r="A817" s="18" t="s">
        <v>29</v>
      </c>
      <c r="B817" s="18" t="s">
        <v>84</v>
      </c>
      <c r="C817" s="20">
        <v>45455</v>
      </c>
      <c r="D817" s="21">
        <v>7455</v>
      </c>
    </row>
    <row r="818" spans="1:4">
      <c r="A818" s="18" t="s">
        <v>29</v>
      </c>
      <c r="B818" s="18" t="s">
        <v>84</v>
      </c>
      <c r="C818" s="20">
        <v>45601</v>
      </c>
      <c r="D818" s="21">
        <v>3635</v>
      </c>
    </row>
    <row r="819" spans="1:4">
      <c r="A819" s="18" t="s">
        <v>29</v>
      </c>
      <c r="B819" s="18" t="s">
        <v>84</v>
      </c>
      <c r="C819" s="20">
        <v>45323</v>
      </c>
      <c r="D819" s="21">
        <v>6383</v>
      </c>
    </row>
    <row r="820" spans="1:4">
      <c r="A820" s="18" t="s">
        <v>29</v>
      </c>
      <c r="B820" s="18" t="s">
        <v>84</v>
      </c>
      <c r="C820" s="20">
        <v>45435</v>
      </c>
      <c r="D820" s="21">
        <v>15026</v>
      </c>
    </row>
    <row r="821" spans="1:4">
      <c r="A821" s="18" t="s">
        <v>29</v>
      </c>
      <c r="B821" s="18" t="s">
        <v>84</v>
      </c>
      <c r="C821" s="20">
        <v>45419</v>
      </c>
      <c r="D821" s="21">
        <v>11276</v>
      </c>
    </row>
    <row r="822" spans="1:4">
      <c r="A822" s="18" t="s">
        <v>29</v>
      </c>
      <c r="B822" s="18" t="s">
        <v>84</v>
      </c>
      <c r="C822" s="20">
        <v>45520</v>
      </c>
      <c r="D822" s="21">
        <v>20075</v>
      </c>
    </row>
    <row r="823" spans="1:4">
      <c r="A823" s="18" t="s">
        <v>29</v>
      </c>
      <c r="B823" s="18" t="s">
        <v>84</v>
      </c>
      <c r="C823" s="20">
        <v>45540</v>
      </c>
      <c r="D823" s="21">
        <v>19597</v>
      </c>
    </row>
    <row r="824" spans="1:4">
      <c r="A824" s="18" t="s">
        <v>29</v>
      </c>
      <c r="B824" s="18" t="s">
        <v>84</v>
      </c>
      <c r="C824" s="20">
        <v>45485</v>
      </c>
      <c r="D824" s="21">
        <v>12481</v>
      </c>
    </row>
    <row r="825" spans="1:4">
      <c r="A825" s="18" t="s">
        <v>29</v>
      </c>
      <c r="B825" s="18" t="s">
        <v>84</v>
      </c>
      <c r="C825" s="20">
        <v>45476</v>
      </c>
      <c r="D825" s="21">
        <v>12784</v>
      </c>
    </row>
    <row r="826" spans="1:4">
      <c r="A826" s="18" t="s">
        <v>29</v>
      </c>
      <c r="B826" s="18" t="s">
        <v>84</v>
      </c>
      <c r="C826" s="20">
        <v>45449</v>
      </c>
      <c r="D826" s="21">
        <v>14722</v>
      </c>
    </row>
    <row r="827" spans="1:4">
      <c r="A827" s="18" t="s">
        <v>29</v>
      </c>
      <c r="B827" s="18" t="s">
        <v>84</v>
      </c>
      <c r="C827" s="20">
        <v>45554</v>
      </c>
      <c r="D827" s="21">
        <v>14582</v>
      </c>
    </row>
    <row r="828" spans="1:4">
      <c r="A828" s="18" t="s">
        <v>27</v>
      </c>
      <c r="B828" s="18" t="s">
        <v>85</v>
      </c>
      <c r="C828" s="20">
        <v>45464</v>
      </c>
      <c r="D828" s="21">
        <v>21489</v>
      </c>
    </row>
    <row r="829" spans="1:4">
      <c r="A829" s="18" t="s">
        <v>27</v>
      </c>
      <c r="B829" s="18" t="s">
        <v>85</v>
      </c>
      <c r="C829" s="20">
        <v>45525</v>
      </c>
      <c r="D829" s="21">
        <v>9430</v>
      </c>
    </row>
    <row r="830" spans="1:4">
      <c r="A830" s="18" t="s">
        <v>27</v>
      </c>
      <c r="B830" s="18" t="s">
        <v>85</v>
      </c>
      <c r="C830" s="20">
        <v>45558</v>
      </c>
      <c r="D830" s="21">
        <v>10543</v>
      </c>
    </row>
    <row r="831" spans="1:4">
      <c r="A831" s="18" t="s">
        <v>27</v>
      </c>
      <c r="B831" s="18" t="s">
        <v>85</v>
      </c>
      <c r="C831" s="20">
        <v>45339</v>
      </c>
      <c r="D831" s="21">
        <v>6692</v>
      </c>
    </row>
    <row r="832" spans="1:4">
      <c r="A832" s="18" t="s">
        <v>27</v>
      </c>
      <c r="B832" s="18" t="s">
        <v>85</v>
      </c>
      <c r="C832" s="20">
        <v>45638</v>
      </c>
      <c r="D832" s="21">
        <v>13426</v>
      </c>
    </row>
    <row r="833" spans="1:4">
      <c r="A833" s="18" t="s">
        <v>27</v>
      </c>
      <c r="B833" s="18" t="s">
        <v>85</v>
      </c>
      <c r="C833" s="20">
        <v>45634</v>
      </c>
      <c r="D833" s="21">
        <v>8387</v>
      </c>
    </row>
    <row r="834" spans="1:4">
      <c r="A834" s="18" t="s">
        <v>27</v>
      </c>
      <c r="B834" s="18" t="s">
        <v>85</v>
      </c>
      <c r="C834" s="20">
        <v>45424</v>
      </c>
      <c r="D834" s="21">
        <v>17527</v>
      </c>
    </row>
    <row r="835" spans="1:4">
      <c r="A835" s="18" t="s">
        <v>27</v>
      </c>
      <c r="B835" s="18" t="s">
        <v>85</v>
      </c>
      <c r="C835" s="20">
        <v>45627</v>
      </c>
      <c r="D835" s="21">
        <v>14743</v>
      </c>
    </row>
    <row r="836" spans="1:4">
      <c r="A836" s="18" t="s">
        <v>27</v>
      </c>
      <c r="B836" s="18" t="s">
        <v>85</v>
      </c>
      <c r="C836" s="20">
        <v>45633</v>
      </c>
      <c r="D836" s="21">
        <v>16046</v>
      </c>
    </row>
    <row r="837" spans="1:4">
      <c r="A837" s="18" t="s">
        <v>27</v>
      </c>
      <c r="B837" s="18" t="s">
        <v>85</v>
      </c>
      <c r="C837" s="20">
        <v>45319</v>
      </c>
      <c r="D837" s="21">
        <v>16027</v>
      </c>
    </row>
    <row r="838" spans="1:4">
      <c r="A838" s="18" t="s">
        <v>27</v>
      </c>
      <c r="B838" s="18" t="s">
        <v>85</v>
      </c>
      <c r="C838" s="20">
        <v>45468</v>
      </c>
      <c r="D838" s="21">
        <v>6998</v>
      </c>
    </row>
    <row r="839" spans="1:4">
      <c r="A839" s="18" t="s">
        <v>25</v>
      </c>
      <c r="B839" s="18" t="s">
        <v>86</v>
      </c>
      <c r="C839" s="20">
        <v>45467</v>
      </c>
      <c r="D839" s="21">
        <v>7900</v>
      </c>
    </row>
    <row r="840" spans="1:4">
      <c r="A840" s="18" t="s">
        <v>25</v>
      </c>
      <c r="B840" s="18" t="s">
        <v>86</v>
      </c>
      <c r="C840" s="20">
        <v>45576</v>
      </c>
      <c r="D840" s="21">
        <v>1412</v>
      </c>
    </row>
    <row r="841" spans="1:4">
      <c r="A841" s="18" t="s">
        <v>25</v>
      </c>
      <c r="B841" s="18" t="s">
        <v>86</v>
      </c>
      <c r="C841" s="20">
        <v>45446</v>
      </c>
      <c r="D841" s="21">
        <v>4076</v>
      </c>
    </row>
    <row r="842" spans="1:4">
      <c r="A842" s="18" t="s">
        <v>25</v>
      </c>
      <c r="B842" s="18" t="s">
        <v>86</v>
      </c>
      <c r="C842" s="20">
        <v>45604</v>
      </c>
      <c r="D842" s="21">
        <v>14917</v>
      </c>
    </row>
    <row r="843" spans="1:4">
      <c r="A843" s="18" t="s">
        <v>25</v>
      </c>
      <c r="B843" s="18" t="s">
        <v>86</v>
      </c>
      <c r="C843" s="20">
        <v>45350</v>
      </c>
      <c r="D843" s="21">
        <v>21234</v>
      </c>
    </row>
    <row r="844" spans="1:4">
      <c r="A844" s="18" t="s">
        <v>25</v>
      </c>
      <c r="B844" s="18" t="s">
        <v>86</v>
      </c>
      <c r="C844" s="20">
        <v>45453</v>
      </c>
      <c r="D844" s="21">
        <v>9732</v>
      </c>
    </row>
    <row r="845" spans="1:4">
      <c r="A845" s="18" t="s">
        <v>25</v>
      </c>
      <c r="B845" s="18" t="s">
        <v>86</v>
      </c>
      <c r="C845" s="20">
        <v>45464</v>
      </c>
      <c r="D845" s="21">
        <v>21036</v>
      </c>
    </row>
    <row r="846" spans="1:4">
      <c r="A846" s="18" t="s">
        <v>25</v>
      </c>
      <c r="B846" s="18" t="s">
        <v>86</v>
      </c>
      <c r="C846" s="20">
        <v>45348</v>
      </c>
      <c r="D846" s="21">
        <v>6090</v>
      </c>
    </row>
    <row r="847" spans="1:4">
      <c r="A847" s="18" t="s">
        <v>25</v>
      </c>
      <c r="B847" s="18" t="s">
        <v>86</v>
      </c>
      <c r="C847" s="20">
        <v>45442</v>
      </c>
      <c r="D847" s="21">
        <v>7533</v>
      </c>
    </row>
    <row r="848" spans="1:4">
      <c r="A848" s="18" t="s">
        <v>25</v>
      </c>
      <c r="B848" s="18" t="s">
        <v>86</v>
      </c>
      <c r="C848" s="20">
        <v>45357</v>
      </c>
      <c r="D848" s="21">
        <v>17625</v>
      </c>
    </row>
    <row r="849" spans="1:4">
      <c r="A849" s="18" t="s">
        <v>29</v>
      </c>
      <c r="B849" s="18" t="s">
        <v>87</v>
      </c>
      <c r="C849" s="20">
        <v>45366</v>
      </c>
      <c r="D849" s="21">
        <v>1654</v>
      </c>
    </row>
    <row r="850" spans="1:4">
      <c r="A850" s="18" t="s">
        <v>29</v>
      </c>
      <c r="B850" s="18" t="s">
        <v>87</v>
      </c>
      <c r="C850" s="20">
        <v>45369</v>
      </c>
      <c r="D850" s="21">
        <v>14986</v>
      </c>
    </row>
    <row r="851" spans="1:4">
      <c r="A851" s="18" t="s">
        <v>29</v>
      </c>
      <c r="B851" s="18" t="s">
        <v>87</v>
      </c>
      <c r="C851" s="20">
        <v>45547</v>
      </c>
      <c r="D851" s="21">
        <v>2793</v>
      </c>
    </row>
    <row r="852" spans="1:4">
      <c r="A852" s="18" t="s">
        <v>29</v>
      </c>
      <c r="B852" s="18" t="s">
        <v>87</v>
      </c>
      <c r="C852" s="20">
        <v>45442</v>
      </c>
      <c r="D852" s="21">
        <v>20980</v>
      </c>
    </row>
    <row r="853" spans="1:4">
      <c r="A853" s="18" t="s">
        <v>29</v>
      </c>
      <c r="B853" s="18" t="s">
        <v>87</v>
      </c>
      <c r="C853" s="20">
        <v>45483</v>
      </c>
      <c r="D853" s="21">
        <v>15252</v>
      </c>
    </row>
    <row r="854" spans="1:4">
      <c r="A854" s="18" t="s">
        <v>29</v>
      </c>
      <c r="B854" s="18" t="s">
        <v>87</v>
      </c>
      <c r="C854" s="20">
        <v>45293</v>
      </c>
      <c r="D854" s="21">
        <v>6605</v>
      </c>
    </row>
    <row r="855" spans="1:4">
      <c r="A855" s="18" t="s">
        <v>29</v>
      </c>
      <c r="B855" s="18" t="s">
        <v>87</v>
      </c>
      <c r="C855" s="20">
        <v>45623</v>
      </c>
      <c r="D855" s="21">
        <v>15015</v>
      </c>
    </row>
    <row r="856" spans="1:4">
      <c r="A856" s="18" t="s">
        <v>29</v>
      </c>
      <c r="B856" s="18" t="s">
        <v>87</v>
      </c>
      <c r="C856" s="20">
        <v>45367</v>
      </c>
      <c r="D856" s="21">
        <v>1661</v>
      </c>
    </row>
    <row r="857" spans="1:4">
      <c r="A857" s="18" t="s">
        <v>25</v>
      </c>
      <c r="B857" s="18" t="s">
        <v>88</v>
      </c>
      <c r="C857" s="20">
        <v>45485</v>
      </c>
      <c r="D857" s="21">
        <v>20126</v>
      </c>
    </row>
    <row r="858" spans="1:4">
      <c r="A858" s="18" t="s">
        <v>25</v>
      </c>
      <c r="B858" s="18" t="s">
        <v>88</v>
      </c>
      <c r="C858" s="20">
        <v>45493</v>
      </c>
      <c r="D858" s="21">
        <v>3081</v>
      </c>
    </row>
    <row r="859" spans="1:4">
      <c r="A859" s="18" t="s">
        <v>25</v>
      </c>
      <c r="B859" s="18" t="s">
        <v>88</v>
      </c>
      <c r="C859" s="20">
        <v>45613</v>
      </c>
      <c r="D859" s="21">
        <v>19393</v>
      </c>
    </row>
    <row r="860" spans="1:4">
      <c r="A860" s="18" t="s">
        <v>25</v>
      </c>
      <c r="B860" s="18" t="s">
        <v>88</v>
      </c>
      <c r="C860" s="20">
        <v>45517</v>
      </c>
      <c r="D860" s="21">
        <v>4578</v>
      </c>
    </row>
    <row r="861" spans="1:4">
      <c r="A861" s="18" t="s">
        <v>25</v>
      </c>
      <c r="B861" s="18" t="s">
        <v>88</v>
      </c>
      <c r="C861" s="20">
        <v>45351</v>
      </c>
      <c r="D861" s="21">
        <v>9951</v>
      </c>
    </row>
    <row r="862" spans="1:4">
      <c r="A862" s="18" t="s">
        <v>25</v>
      </c>
      <c r="B862" s="18" t="s">
        <v>88</v>
      </c>
      <c r="C862" s="20">
        <v>45614</v>
      </c>
      <c r="D862" s="21">
        <v>18178</v>
      </c>
    </row>
    <row r="863" spans="1:4">
      <c r="A863" s="18" t="s">
        <v>25</v>
      </c>
      <c r="B863" s="18" t="s">
        <v>88</v>
      </c>
      <c r="C863" s="20">
        <v>45468</v>
      </c>
      <c r="D863" s="21">
        <v>17217</v>
      </c>
    </row>
    <row r="864" spans="1:4">
      <c r="A864" s="18" t="s">
        <v>25</v>
      </c>
      <c r="B864" s="18" t="s">
        <v>88</v>
      </c>
      <c r="C864" s="20">
        <v>45406</v>
      </c>
      <c r="D864" s="21">
        <v>11540</v>
      </c>
    </row>
    <row r="865" spans="1:4">
      <c r="A865" s="18" t="s">
        <v>25</v>
      </c>
      <c r="B865" s="18" t="s">
        <v>88</v>
      </c>
      <c r="C865" s="20">
        <v>45344</v>
      </c>
      <c r="D865" s="21">
        <v>14610</v>
      </c>
    </row>
    <row r="866" spans="1:4">
      <c r="A866" s="18" t="s">
        <v>25</v>
      </c>
      <c r="B866" s="18" t="s">
        <v>88</v>
      </c>
      <c r="C866" s="20">
        <v>45383</v>
      </c>
      <c r="D866" s="21">
        <v>6404</v>
      </c>
    </row>
    <row r="867" spans="1:4">
      <c r="A867" s="18" t="s">
        <v>25</v>
      </c>
      <c r="B867" s="18" t="s">
        <v>88</v>
      </c>
      <c r="C867" s="20">
        <v>45486</v>
      </c>
      <c r="D867" s="21">
        <v>20120</v>
      </c>
    </row>
    <row r="868" spans="1:4">
      <c r="A868" s="18" t="s">
        <v>29</v>
      </c>
      <c r="B868" s="18" t="s">
        <v>89</v>
      </c>
      <c r="C868" s="20">
        <v>45316</v>
      </c>
      <c r="D868" s="21">
        <v>12862</v>
      </c>
    </row>
    <row r="869" spans="1:4">
      <c r="A869" s="18" t="s">
        <v>29</v>
      </c>
      <c r="B869" s="18" t="s">
        <v>89</v>
      </c>
      <c r="C869" s="20">
        <v>45417</v>
      </c>
      <c r="D869" s="21">
        <v>16757</v>
      </c>
    </row>
    <row r="870" spans="1:4">
      <c r="A870" s="18" t="s">
        <v>29</v>
      </c>
      <c r="B870" s="18" t="s">
        <v>89</v>
      </c>
      <c r="C870" s="20">
        <v>45328</v>
      </c>
      <c r="D870" s="21">
        <v>18154</v>
      </c>
    </row>
    <row r="871" spans="1:4">
      <c r="A871" s="18" t="s">
        <v>29</v>
      </c>
      <c r="B871" s="18" t="s">
        <v>89</v>
      </c>
      <c r="C871" s="20">
        <v>45534</v>
      </c>
      <c r="D871" s="21">
        <v>12690</v>
      </c>
    </row>
    <row r="872" spans="1:4">
      <c r="A872" s="18" t="s">
        <v>29</v>
      </c>
      <c r="B872" s="18" t="s">
        <v>89</v>
      </c>
      <c r="C872" s="20">
        <v>45380</v>
      </c>
      <c r="D872" s="21">
        <v>2569</v>
      </c>
    </row>
    <row r="873" spans="1:4">
      <c r="A873" s="18" t="s">
        <v>29</v>
      </c>
      <c r="B873" s="18" t="s">
        <v>89</v>
      </c>
      <c r="C873" s="20">
        <v>45493</v>
      </c>
      <c r="D873" s="21">
        <v>2147</v>
      </c>
    </row>
    <row r="874" spans="1:4">
      <c r="A874" s="18" t="s">
        <v>29</v>
      </c>
      <c r="B874" s="18" t="s">
        <v>89</v>
      </c>
      <c r="C874" s="20">
        <v>45306</v>
      </c>
      <c r="D874" s="21">
        <v>10357</v>
      </c>
    </row>
    <row r="875" spans="1:4">
      <c r="A875" s="18" t="s">
        <v>29</v>
      </c>
      <c r="B875" s="18" t="s">
        <v>89</v>
      </c>
      <c r="C875" s="20">
        <v>45406</v>
      </c>
      <c r="D875" s="21">
        <v>3291</v>
      </c>
    </row>
    <row r="876" spans="1:4">
      <c r="A876" s="18" t="s">
        <v>29</v>
      </c>
      <c r="B876" s="18" t="s">
        <v>89</v>
      </c>
      <c r="C876" s="20">
        <v>45374</v>
      </c>
      <c r="D876" s="21">
        <v>8989</v>
      </c>
    </row>
    <row r="877" spans="1:4">
      <c r="A877" s="18" t="s">
        <v>29</v>
      </c>
      <c r="B877" s="18" t="s">
        <v>90</v>
      </c>
      <c r="C877" s="20">
        <v>45568</v>
      </c>
      <c r="D877" s="21">
        <v>11544</v>
      </c>
    </row>
    <row r="878" spans="1:4">
      <c r="A878" s="18" t="s">
        <v>29</v>
      </c>
      <c r="B878" s="18" t="s">
        <v>90</v>
      </c>
      <c r="C878" s="20">
        <v>45403</v>
      </c>
      <c r="D878" s="21">
        <v>10045</v>
      </c>
    </row>
    <row r="879" spans="1:4">
      <c r="A879" s="18" t="s">
        <v>29</v>
      </c>
      <c r="B879" s="18" t="s">
        <v>90</v>
      </c>
      <c r="C879" s="20">
        <v>45380</v>
      </c>
      <c r="D879" s="21">
        <v>5406</v>
      </c>
    </row>
    <row r="880" spans="1:4">
      <c r="A880" s="18" t="s">
        <v>29</v>
      </c>
      <c r="B880" s="18" t="s">
        <v>90</v>
      </c>
      <c r="C880" s="20">
        <v>45494</v>
      </c>
      <c r="D880" s="21">
        <v>15278</v>
      </c>
    </row>
    <row r="881" spans="1:4">
      <c r="A881" s="18" t="s">
        <v>29</v>
      </c>
      <c r="B881" s="18" t="s">
        <v>90</v>
      </c>
      <c r="C881" s="20">
        <v>45340</v>
      </c>
      <c r="D881" s="21">
        <v>19393</v>
      </c>
    </row>
    <row r="882" spans="1:4">
      <c r="A882" s="18" t="s">
        <v>29</v>
      </c>
      <c r="B882" s="18" t="s">
        <v>90</v>
      </c>
      <c r="C882" s="20">
        <v>45351</v>
      </c>
      <c r="D882" s="21">
        <v>14663</v>
      </c>
    </row>
    <row r="883" spans="1:4">
      <c r="A883" s="18" t="s">
        <v>29</v>
      </c>
      <c r="B883" s="18" t="s">
        <v>90</v>
      </c>
      <c r="C883" s="20">
        <v>45644</v>
      </c>
      <c r="D883" s="21">
        <v>16226</v>
      </c>
    </row>
    <row r="884" spans="1:4">
      <c r="A884" s="18" t="s">
        <v>29</v>
      </c>
      <c r="B884" s="18" t="s">
        <v>90</v>
      </c>
      <c r="C884" s="20">
        <v>45613</v>
      </c>
      <c r="D884" s="21">
        <v>8269</v>
      </c>
    </row>
    <row r="885" spans="1:4">
      <c r="A885" s="18" t="s">
        <v>29</v>
      </c>
      <c r="B885" s="18" t="s">
        <v>90</v>
      </c>
      <c r="C885" s="20">
        <v>45320</v>
      </c>
      <c r="D885" s="21">
        <v>14859</v>
      </c>
    </row>
    <row r="886" spans="1:4">
      <c r="A886" s="18" t="s">
        <v>29</v>
      </c>
      <c r="B886" s="18" t="s">
        <v>90</v>
      </c>
      <c r="C886" s="20">
        <v>45430</v>
      </c>
      <c r="D886" s="21">
        <v>3992</v>
      </c>
    </row>
    <row r="887" spans="1:4">
      <c r="A887" s="18" t="s">
        <v>29</v>
      </c>
      <c r="B887" s="18" t="s">
        <v>90</v>
      </c>
      <c r="C887" s="20">
        <v>45509</v>
      </c>
      <c r="D887" s="21">
        <v>19851</v>
      </c>
    </row>
    <row r="888" spans="1:4">
      <c r="A888" s="18" t="s">
        <v>29</v>
      </c>
      <c r="B888" s="18" t="s">
        <v>91</v>
      </c>
      <c r="C888" s="20">
        <v>45572</v>
      </c>
      <c r="D888" s="21">
        <v>19505</v>
      </c>
    </row>
    <row r="889" spans="1:4">
      <c r="A889" s="18" t="s">
        <v>29</v>
      </c>
      <c r="B889" s="18" t="s">
        <v>91</v>
      </c>
      <c r="C889" s="20">
        <v>45392</v>
      </c>
      <c r="D889" s="21">
        <v>7082</v>
      </c>
    </row>
    <row r="890" spans="1:4">
      <c r="A890" s="18" t="s">
        <v>29</v>
      </c>
      <c r="B890" s="18" t="s">
        <v>91</v>
      </c>
      <c r="C890" s="20">
        <v>45590</v>
      </c>
      <c r="D890" s="21">
        <v>3561</v>
      </c>
    </row>
    <row r="891" spans="1:4">
      <c r="A891" s="18" t="s">
        <v>29</v>
      </c>
      <c r="B891" s="18" t="s">
        <v>91</v>
      </c>
      <c r="C891" s="20">
        <v>45502</v>
      </c>
      <c r="D891" s="21">
        <v>3088</v>
      </c>
    </row>
    <row r="892" spans="1:4">
      <c r="A892" s="18" t="s">
        <v>29</v>
      </c>
      <c r="B892" s="18" t="s">
        <v>91</v>
      </c>
      <c r="C892" s="20">
        <v>45337</v>
      </c>
      <c r="D892" s="21">
        <v>5548</v>
      </c>
    </row>
    <row r="893" spans="1:4">
      <c r="A893" s="18" t="s">
        <v>29</v>
      </c>
      <c r="B893" s="18" t="s">
        <v>91</v>
      </c>
      <c r="C893" s="20">
        <v>45406</v>
      </c>
      <c r="D893" s="21">
        <v>6657</v>
      </c>
    </row>
    <row r="894" spans="1:4">
      <c r="A894" s="18" t="s">
        <v>29</v>
      </c>
      <c r="B894" s="18" t="s">
        <v>91</v>
      </c>
      <c r="C894" s="20">
        <v>45324</v>
      </c>
      <c r="D894" s="21">
        <v>9595</v>
      </c>
    </row>
    <row r="895" spans="1:4">
      <c r="A895" s="18" t="s">
        <v>29</v>
      </c>
      <c r="B895" s="18" t="s">
        <v>91</v>
      </c>
      <c r="C895" s="20">
        <v>45429</v>
      </c>
      <c r="D895" s="21">
        <v>15089</v>
      </c>
    </row>
    <row r="896" spans="1:4">
      <c r="A896" s="18" t="s">
        <v>27</v>
      </c>
      <c r="B896" s="18" t="s">
        <v>92</v>
      </c>
      <c r="C896" s="20">
        <v>45441</v>
      </c>
      <c r="D896" s="21">
        <v>14252</v>
      </c>
    </row>
    <row r="897" spans="1:4">
      <c r="A897" s="18" t="s">
        <v>27</v>
      </c>
      <c r="B897" s="18" t="s">
        <v>92</v>
      </c>
      <c r="C897" s="20">
        <v>45591</v>
      </c>
      <c r="D897" s="21">
        <v>10240</v>
      </c>
    </row>
    <row r="898" spans="1:4">
      <c r="A898" s="18" t="s">
        <v>27</v>
      </c>
      <c r="B898" s="18" t="s">
        <v>92</v>
      </c>
      <c r="C898" s="20">
        <v>45514</v>
      </c>
      <c r="D898" s="21">
        <v>18730</v>
      </c>
    </row>
    <row r="899" spans="1:4">
      <c r="A899" s="18" t="s">
        <v>27</v>
      </c>
      <c r="B899" s="18" t="s">
        <v>92</v>
      </c>
      <c r="C899" s="20">
        <v>45463</v>
      </c>
      <c r="D899" s="21">
        <v>11080</v>
      </c>
    </row>
    <row r="900" spans="1:4">
      <c r="A900" s="18" t="s">
        <v>27</v>
      </c>
      <c r="B900" s="18" t="s">
        <v>92</v>
      </c>
      <c r="C900" s="20">
        <v>45542</v>
      </c>
      <c r="D900" s="21">
        <v>8481</v>
      </c>
    </row>
    <row r="901" spans="1:4">
      <c r="A901" s="18" t="s">
        <v>27</v>
      </c>
      <c r="B901" s="18" t="s">
        <v>92</v>
      </c>
      <c r="C901" s="20">
        <v>45384</v>
      </c>
      <c r="D901" s="21">
        <v>13468</v>
      </c>
    </row>
    <row r="902" spans="1:4">
      <c r="A902" s="18" t="s">
        <v>25</v>
      </c>
      <c r="B902" s="18" t="s">
        <v>93</v>
      </c>
      <c r="C902" s="20">
        <v>45298</v>
      </c>
      <c r="D902" s="21">
        <v>14833</v>
      </c>
    </row>
    <row r="903" spans="1:4">
      <c r="A903" s="18" t="s">
        <v>25</v>
      </c>
      <c r="B903" s="18" t="s">
        <v>93</v>
      </c>
      <c r="C903" s="20">
        <v>45584</v>
      </c>
      <c r="D903" s="21">
        <v>11175</v>
      </c>
    </row>
    <row r="904" spans="1:4">
      <c r="A904" s="18" t="s">
        <v>25</v>
      </c>
      <c r="B904" s="18" t="s">
        <v>93</v>
      </c>
      <c r="C904" s="20">
        <v>45626</v>
      </c>
      <c r="D904" s="21">
        <v>20167</v>
      </c>
    </row>
    <row r="905" spans="1:4">
      <c r="A905" s="18" t="s">
        <v>25</v>
      </c>
      <c r="B905" s="18" t="s">
        <v>93</v>
      </c>
      <c r="C905" s="20">
        <v>45408</v>
      </c>
      <c r="D905" s="21">
        <v>12580</v>
      </c>
    </row>
    <row r="906" spans="1:4">
      <c r="A906" s="18" t="s">
        <v>25</v>
      </c>
      <c r="B906" s="18" t="s">
        <v>93</v>
      </c>
      <c r="C906" s="20">
        <v>45650</v>
      </c>
      <c r="D906" s="21">
        <v>13062</v>
      </c>
    </row>
    <row r="907" spans="1:4">
      <c r="A907" s="18" t="s">
        <v>25</v>
      </c>
      <c r="B907" s="18" t="s">
        <v>93</v>
      </c>
      <c r="C907" s="20">
        <v>45534</v>
      </c>
      <c r="D907" s="21">
        <v>18236</v>
      </c>
    </row>
    <row r="908" spans="1:4">
      <c r="A908" s="18" t="s">
        <v>25</v>
      </c>
      <c r="B908" s="18" t="s">
        <v>93</v>
      </c>
      <c r="C908" s="20">
        <v>45382</v>
      </c>
      <c r="D908" s="21">
        <v>18314</v>
      </c>
    </row>
    <row r="909" spans="1:4">
      <c r="A909" s="18" t="s">
        <v>29</v>
      </c>
      <c r="B909" s="18" t="s">
        <v>94</v>
      </c>
      <c r="C909" s="20">
        <v>45464</v>
      </c>
      <c r="D909" s="21">
        <v>15554</v>
      </c>
    </row>
    <row r="910" spans="1:4">
      <c r="A910" s="18" t="s">
        <v>29</v>
      </c>
      <c r="B910" s="18" t="s">
        <v>94</v>
      </c>
      <c r="C910" s="20">
        <v>45306</v>
      </c>
      <c r="D910" s="21">
        <v>2877</v>
      </c>
    </row>
    <row r="911" spans="1:4">
      <c r="A911" s="18" t="s">
        <v>29</v>
      </c>
      <c r="B911" s="18" t="s">
        <v>94</v>
      </c>
      <c r="C911" s="20">
        <v>45359</v>
      </c>
      <c r="D911" s="21">
        <v>17158</v>
      </c>
    </row>
    <row r="912" spans="1:4">
      <c r="A912" s="18" t="s">
        <v>29</v>
      </c>
      <c r="B912" s="18" t="s">
        <v>94</v>
      </c>
      <c r="C912" s="20">
        <v>45325</v>
      </c>
      <c r="D912" s="21">
        <v>1897</v>
      </c>
    </row>
    <row r="913" spans="1:4">
      <c r="A913" s="18" t="s">
        <v>29</v>
      </c>
      <c r="B913" s="18" t="s">
        <v>94</v>
      </c>
      <c r="C913" s="20">
        <v>45434</v>
      </c>
      <c r="D913" s="21">
        <v>19268</v>
      </c>
    </row>
    <row r="914" spans="1:4">
      <c r="A914" s="18" t="s">
        <v>29</v>
      </c>
      <c r="B914" s="18" t="s">
        <v>94</v>
      </c>
      <c r="C914" s="20">
        <v>45430</v>
      </c>
      <c r="D914" s="21">
        <v>20543</v>
      </c>
    </row>
    <row r="915" spans="1:4">
      <c r="A915" s="18" t="s">
        <v>29</v>
      </c>
      <c r="B915" s="18" t="s">
        <v>94</v>
      </c>
      <c r="C915" s="20">
        <v>45624</v>
      </c>
      <c r="D915" s="21">
        <v>21125</v>
      </c>
    </row>
    <row r="916" spans="1:4">
      <c r="A916" s="18" t="s">
        <v>29</v>
      </c>
      <c r="B916" s="18" t="s">
        <v>94</v>
      </c>
      <c r="C916" s="20">
        <v>45313</v>
      </c>
      <c r="D916" s="21">
        <v>5587</v>
      </c>
    </row>
    <row r="917" spans="1:4">
      <c r="A917" s="18" t="s">
        <v>25</v>
      </c>
      <c r="B917" s="18" t="s">
        <v>95</v>
      </c>
      <c r="C917" s="20">
        <v>45593</v>
      </c>
      <c r="D917" s="21">
        <v>14378</v>
      </c>
    </row>
    <row r="918" spans="1:4">
      <c r="A918" s="18" t="s">
        <v>25</v>
      </c>
      <c r="B918" s="18" t="s">
        <v>95</v>
      </c>
      <c r="C918" s="20">
        <v>45615</v>
      </c>
      <c r="D918" s="21">
        <v>18291</v>
      </c>
    </row>
    <row r="919" spans="1:4">
      <c r="A919" s="18" t="s">
        <v>25</v>
      </c>
      <c r="B919" s="18" t="s">
        <v>95</v>
      </c>
      <c r="C919" s="20">
        <v>45423</v>
      </c>
      <c r="D919" s="21">
        <v>7552</v>
      </c>
    </row>
    <row r="920" spans="1:4">
      <c r="A920" s="18" t="s">
        <v>25</v>
      </c>
      <c r="B920" s="18" t="s">
        <v>95</v>
      </c>
      <c r="C920" s="20">
        <v>45302</v>
      </c>
      <c r="D920" s="21">
        <v>8631</v>
      </c>
    </row>
    <row r="921" spans="1:4">
      <c r="A921" s="18" t="s">
        <v>25</v>
      </c>
      <c r="B921" s="18" t="s">
        <v>95</v>
      </c>
      <c r="C921" s="20">
        <v>45500</v>
      </c>
      <c r="D921" s="21">
        <v>11542</v>
      </c>
    </row>
    <row r="922" spans="1:4">
      <c r="A922" s="18" t="s">
        <v>25</v>
      </c>
      <c r="B922" s="18" t="s">
        <v>95</v>
      </c>
      <c r="C922" s="20">
        <v>45560</v>
      </c>
      <c r="D922" s="21">
        <v>7654</v>
      </c>
    </row>
    <row r="923" spans="1:4">
      <c r="A923" s="18" t="s">
        <v>25</v>
      </c>
      <c r="B923" s="18" t="s">
        <v>95</v>
      </c>
      <c r="C923" s="20">
        <v>45335</v>
      </c>
      <c r="D923" s="21">
        <v>8755</v>
      </c>
    </row>
    <row r="924" spans="1:4">
      <c r="A924" s="18" t="s">
        <v>25</v>
      </c>
      <c r="B924" s="18" t="s">
        <v>96</v>
      </c>
      <c r="C924" s="20">
        <v>45639</v>
      </c>
      <c r="D924" s="21">
        <v>4746</v>
      </c>
    </row>
    <row r="925" spans="1:4">
      <c r="A925" s="18" t="s">
        <v>25</v>
      </c>
      <c r="B925" s="18" t="s">
        <v>96</v>
      </c>
      <c r="C925" s="20">
        <v>45391</v>
      </c>
      <c r="D925" s="21">
        <v>14007</v>
      </c>
    </row>
    <row r="926" spans="1:4">
      <c r="A926" s="18" t="s">
        <v>25</v>
      </c>
      <c r="B926" s="18" t="s">
        <v>96</v>
      </c>
      <c r="C926" s="20">
        <v>45445</v>
      </c>
      <c r="D926" s="21">
        <v>3642</v>
      </c>
    </row>
    <row r="927" spans="1:4">
      <c r="A927" s="18" t="s">
        <v>25</v>
      </c>
      <c r="B927" s="18" t="s">
        <v>96</v>
      </c>
      <c r="C927" s="20">
        <v>45596</v>
      </c>
      <c r="D927" s="21">
        <v>11993</v>
      </c>
    </row>
    <row r="928" spans="1:4">
      <c r="A928" s="18" t="s">
        <v>25</v>
      </c>
      <c r="B928" s="18" t="s">
        <v>96</v>
      </c>
      <c r="C928" s="20">
        <v>45330</v>
      </c>
      <c r="D928" s="21">
        <v>16535</v>
      </c>
    </row>
    <row r="929" spans="1:4">
      <c r="A929" s="18" t="s">
        <v>25</v>
      </c>
      <c r="B929" s="18" t="s">
        <v>96</v>
      </c>
      <c r="C929" s="20">
        <v>45627</v>
      </c>
      <c r="D929" s="21">
        <v>15346</v>
      </c>
    </row>
    <row r="930" spans="1:4">
      <c r="A930" s="18" t="s">
        <v>25</v>
      </c>
      <c r="B930" s="18" t="s">
        <v>96</v>
      </c>
      <c r="C930" s="20">
        <v>45351</v>
      </c>
      <c r="D930" s="21">
        <v>4159</v>
      </c>
    </row>
    <row r="931" spans="1:4">
      <c r="A931" s="18" t="s">
        <v>25</v>
      </c>
      <c r="B931" s="18" t="s">
        <v>96</v>
      </c>
      <c r="C931" s="20">
        <v>45529</v>
      </c>
      <c r="D931" s="21">
        <v>11556</v>
      </c>
    </row>
    <row r="932" spans="1:4">
      <c r="A932" s="18" t="s">
        <v>25</v>
      </c>
      <c r="B932" s="18" t="s">
        <v>96</v>
      </c>
      <c r="C932" s="20">
        <v>45389</v>
      </c>
      <c r="D932" s="21">
        <v>12104</v>
      </c>
    </row>
    <row r="933" spans="1:4">
      <c r="A933" s="18" t="s">
        <v>29</v>
      </c>
      <c r="B933" s="18" t="s">
        <v>97</v>
      </c>
      <c r="C933" s="20">
        <v>45508</v>
      </c>
      <c r="D933" s="21">
        <v>4196</v>
      </c>
    </row>
    <row r="934" spans="1:4">
      <c r="A934" s="18" t="s">
        <v>29</v>
      </c>
      <c r="B934" s="18" t="s">
        <v>97</v>
      </c>
      <c r="C934" s="20">
        <v>45562</v>
      </c>
      <c r="D934" s="21">
        <v>14323</v>
      </c>
    </row>
    <row r="935" spans="1:4">
      <c r="A935" s="18" t="s">
        <v>29</v>
      </c>
      <c r="B935" s="18" t="s">
        <v>97</v>
      </c>
      <c r="C935" s="20">
        <v>45565</v>
      </c>
      <c r="D935" s="21">
        <v>1713</v>
      </c>
    </row>
    <row r="936" spans="1:4">
      <c r="A936" s="18" t="s">
        <v>29</v>
      </c>
      <c r="B936" s="18" t="s">
        <v>97</v>
      </c>
      <c r="C936" s="20">
        <v>45384</v>
      </c>
      <c r="D936" s="21">
        <v>14345</v>
      </c>
    </row>
    <row r="937" spans="1:4">
      <c r="A937" s="18" t="s">
        <v>29</v>
      </c>
      <c r="B937" s="18" t="s">
        <v>97</v>
      </c>
      <c r="C937" s="20">
        <v>45328</v>
      </c>
      <c r="D937" s="21">
        <v>4056</v>
      </c>
    </row>
    <row r="938" spans="1:4">
      <c r="A938" s="18" t="s">
        <v>29</v>
      </c>
      <c r="B938" s="18" t="s">
        <v>97</v>
      </c>
      <c r="C938" s="20">
        <v>45298</v>
      </c>
      <c r="D938" s="21">
        <v>15018</v>
      </c>
    </row>
    <row r="939" spans="1:4">
      <c r="A939" s="18" t="s">
        <v>29</v>
      </c>
      <c r="B939" s="18" t="s">
        <v>97</v>
      </c>
      <c r="C939" s="20">
        <v>45635</v>
      </c>
      <c r="D939" s="21">
        <v>14509</v>
      </c>
    </row>
    <row r="940" spans="1:4">
      <c r="A940" s="18" t="s">
        <v>29</v>
      </c>
      <c r="B940" s="18" t="s">
        <v>97</v>
      </c>
      <c r="C940" s="20">
        <v>45360</v>
      </c>
      <c r="D940" s="21">
        <v>19537</v>
      </c>
    </row>
    <row r="941" spans="1:4">
      <c r="A941" s="18" t="s">
        <v>27</v>
      </c>
      <c r="B941" s="18" t="s">
        <v>98</v>
      </c>
      <c r="C941" s="20">
        <v>45601</v>
      </c>
      <c r="D941" s="21">
        <v>17102</v>
      </c>
    </row>
    <row r="942" spans="1:4">
      <c r="A942" s="18" t="s">
        <v>27</v>
      </c>
      <c r="B942" s="18" t="s">
        <v>98</v>
      </c>
      <c r="C942" s="20">
        <v>45403</v>
      </c>
      <c r="D942" s="21">
        <v>19656</v>
      </c>
    </row>
    <row r="943" spans="1:4">
      <c r="A943" s="18" t="s">
        <v>27</v>
      </c>
      <c r="B943" s="18" t="s">
        <v>98</v>
      </c>
      <c r="C943" s="20">
        <v>45365</v>
      </c>
      <c r="D943" s="21">
        <v>13687</v>
      </c>
    </row>
    <row r="944" spans="1:4">
      <c r="A944" s="18" t="s">
        <v>27</v>
      </c>
      <c r="B944" s="18" t="s">
        <v>98</v>
      </c>
      <c r="C944" s="20">
        <v>45407</v>
      </c>
      <c r="D944" s="21">
        <v>10622</v>
      </c>
    </row>
    <row r="945" spans="1:4">
      <c r="A945" s="18" t="s">
        <v>27</v>
      </c>
      <c r="B945" s="18" t="s">
        <v>98</v>
      </c>
      <c r="C945" s="20">
        <v>45523</v>
      </c>
      <c r="D945" s="21">
        <v>8992</v>
      </c>
    </row>
    <row r="946" spans="1:4">
      <c r="A946" s="18" t="s">
        <v>27</v>
      </c>
      <c r="B946" s="18" t="s">
        <v>98</v>
      </c>
      <c r="C946" s="20">
        <v>45342</v>
      </c>
      <c r="D946" s="21">
        <v>4023</v>
      </c>
    </row>
    <row r="947" spans="1:4">
      <c r="A947" s="18" t="s">
        <v>27</v>
      </c>
      <c r="B947" s="18" t="s">
        <v>98</v>
      </c>
      <c r="C947" s="20">
        <v>45391</v>
      </c>
      <c r="D947" s="21">
        <v>9976</v>
      </c>
    </row>
    <row r="948" spans="1:4">
      <c r="A948" s="18" t="s">
        <v>27</v>
      </c>
      <c r="B948" s="18" t="s">
        <v>98</v>
      </c>
      <c r="C948" s="20">
        <v>45405</v>
      </c>
      <c r="D948" s="21">
        <v>15745</v>
      </c>
    </row>
    <row r="949" spans="1:4">
      <c r="A949" s="18" t="s">
        <v>27</v>
      </c>
      <c r="B949" s="18" t="s">
        <v>98</v>
      </c>
      <c r="C949" s="20">
        <v>45406</v>
      </c>
      <c r="D949" s="21">
        <v>2790</v>
      </c>
    </row>
    <row r="950" spans="1:4">
      <c r="A950" s="18" t="s">
        <v>29</v>
      </c>
      <c r="B950" s="18" t="s">
        <v>99</v>
      </c>
      <c r="C950" s="20">
        <v>45437</v>
      </c>
      <c r="D950" s="21">
        <v>7639</v>
      </c>
    </row>
    <row r="951" spans="1:4">
      <c r="A951" s="18" t="s">
        <v>29</v>
      </c>
      <c r="B951" s="18" t="s">
        <v>99</v>
      </c>
      <c r="C951" s="20">
        <v>45579</v>
      </c>
      <c r="D951" s="21">
        <v>17345</v>
      </c>
    </row>
    <row r="952" spans="1:4">
      <c r="A952" s="18" t="s">
        <v>29</v>
      </c>
      <c r="B952" s="18" t="s">
        <v>99</v>
      </c>
      <c r="C952" s="20">
        <v>45406</v>
      </c>
      <c r="D952" s="21">
        <v>2835</v>
      </c>
    </row>
    <row r="953" spans="1:4">
      <c r="A953" s="18" t="s">
        <v>29</v>
      </c>
      <c r="B953" s="18" t="s">
        <v>99</v>
      </c>
      <c r="C953" s="20">
        <v>45568</v>
      </c>
      <c r="D953" s="21">
        <v>8230</v>
      </c>
    </row>
    <row r="954" spans="1:4">
      <c r="A954" s="18" t="s">
        <v>29</v>
      </c>
      <c r="B954" s="18" t="s">
        <v>99</v>
      </c>
      <c r="C954" s="20">
        <v>45350</v>
      </c>
      <c r="D954" s="21">
        <v>16446</v>
      </c>
    </row>
    <row r="955" spans="1:4">
      <c r="A955" s="18" t="s">
        <v>29</v>
      </c>
      <c r="B955" s="18" t="s">
        <v>99</v>
      </c>
      <c r="C955" s="20">
        <v>45595</v>
      </c>
      <c r="D955" s="21">
        <v>16990</v>
      </c>
    </row>
    <row r="956" spans="1:4">
      <c r="A956" s="18" t="s">
        <v>29</v>
      </c>
      <c r="B956" s="18" t="s">
        <v>99</v>
      </c>
      <c r="C956" s="20">
        <v>45381</v>
      </c>
      <c r="D956" s="21">
        <v>20722</v>
      </c>
    </row>
    <row r="957" spans="1:4">
      <c r="A957" s="18" t="s">
        <v>29</v>
      </c>
      <c r="B957" s="18" t="s">
        <v>99</v>
      </c>
      <c r="C957" s="20">
        <v>45605</v>
      </c>
      <c r="D957" s="21">
        <v>20383</v>
      </c>
    </row>
    <row r="958" spans="1:4">
      <c r="A958" s="18" t="s">
        <v>29</v>
      </c>
      <c r="B958" s="18" t="s">
        <v>99</v>
      </c>
      <c r="C958" s="20">
        <v>45635</v>
      </c>
      <c r="D958" s="21">
        <v>11429</v>
      </c>
    </row>
    <row r="959" spans="1:4">
      <c r="A959" s="18" t="s">
        <v>29</v>
      </c>
      <c r="B959" s="18" t="s">
        <v>99</v>
      </c>
      <c r="C959" s="20">
        <v>45422</v>
      </c>
      <c r="D959" s="21">
        <v>16350</v>
      </c>
    </row>
    <row r="960" spans="1:4">
      <c r="A960" s="18" t="s">
        <v>27</v>
      </c>
      <c r="B960" s="18" t="s">
        <v>100</v>
      </c>
      <c r="C960" s="20">
        <v>45372</v>
      </c>
      <c r="D960" s="21">
        <v>7385</v>
      </c>
    </row>
    <row r="961" spans="1:4">
      <c r="A961" s="18" t="s">
        <v>27</v>
      </c>
      <c r="B961" s="18" t="s">
        <v>100</v>
      </c>
      <c r="C961" s="20">
        <v>45592</v>
      </c>
      <c r="D961" s="21">
        <v>11692</v>
      </c>
    </row>
    <row r="962" spans="1:4">
      <c r="A962" s="18" t="s">
        <v>27</v>
      </c>
      <c r="B962" s="18" t="s">
        <v>100</v>
      </c>
      <c r="C962" s="20">
        <v>45486</v>
      </c>
      <c r="D962" s="21">
        <v>4545</v>
      </c>
    </row>
    <row r="963" spans="1:4">
      <c r="A963" s="18" t="s">
        <v>27</v>
      </c>
      <c r="B963" s="18" t="s">
        <v>100</v>
      </c>
      <c r="C963" s="20">
        <v>45503</v>
      </c>
      <c r="D963" s="21">
        <v>14074</v>
      </c>
    </row>
    <row r="964" spans="1:4">
      <c r="A964" s="18" t="s">
        <v>27</v>
      </c>
      <c r="B964" s="18" t="s">
        <v>100</v>
      </c>
      <c r="C964" s="20">
        <v>45583</v>
      </c>
      <c r="D964" s="21">
        <v>2736</v>
      </c>
    </row>
    <row r="965" spans="1:4">
      <c r="A965" s="18" t="s">
        <v>27</v>
      </c>
      <c r="B965" s="18" t="s">
        <v>101</v>
      </c>
      <c r="C965" s="20">
        <v>45636</v>
      </c>
      <c r="D965" s="21">
        <v>20929</v>
      </c>
    </row>
    <row r="966" spans="1:4">
      <c r="A966" s="18" t="s">
        <v>27</v>
      </c>
      <c r="B966" s="18" t="s">
        <v>101</v>
      </c>
      <c r="C966" s="20">
        <v>45481</v>
      </c>
      <c r="D966" s="21">
        <v>6616</v>
      </c>
    </row>
    <row r="967" spans="1:4">
      <c r="A967" s="18" t="s">
        <v>27</v>
      </c>
      <c r="B967" s="18" t="s">
        <v>101</v>
      </c>
      <c r="C967" s="20">
        <v>45469</v>
      </c>
      <c r="D967" s="21">
        <v>8733</v>
      </c>
    </row>
    <row r="968" spans="1:4">
      <c r="A968" s="18" t="s">
        <v>27</v>
      </c>
      <c r="B968" s="18" t="s">
        <v>101</v>
      </c>
      <c r="C968" s="20">
        <v>45357</v>
      </c>
      <c r="D968" s="21">
        <v>5700</v>
      </c>
    </row>
    <row r="969" spans="1:4">
      <c r="A969" s="18" t="s">
        <v>27</v>
      </c>
      <c r="B969" s="18" t="s">
        <v>101</v>
      </c>
      <c r="C969" s="20">
        <v>45651</v>
      </c>
      <c r="D969" s="21">
        <v>5720</v>
      </c>
    </row>
    <row r="970" spans="1:4">
      <c r="A970" s="18" t="s">
        <v>27</v>
      </c>
      <c r="B970" s="18" t="s">
        <v>101</v>
      </c>
      <c r="C970" s="20">
        <v>45401</v>
      </c>
      <c r="D970" s="21">
        <v>15805</v>
      </c>
    </row>
    <row r="971" spans="1:4">
      <c r="A971" s="18" t="s">
        <v>27</v>
      </c>
      <c r="B971" s="18" t="s">
        <v>101</v>
      </c>
      <c r="C971" s="20">
        <v>45296</v>
      </c>
      <c r="D971" s="21">
        <v>16086</v>
      </c>
    </row>
    <row r="972" spans="1:4">
      <c r="A972" s="18" t="s">
        <v>27</v>
      </c>
      <c r="B972" s="18" t="s">
        <v>101</v>
      </c>
      <c r="C972" s="20">
        <v>45582</v>
      </c>
      <c r="D972" s="21">
        <v>20313</v>
      </c>
    </row>
    <row r="973" spans="1:4">
      <c r="A973" s="18" t="s">
        <v>27</v>
      </c>
      <c r="B973" s="18" t="s">
        <v>102</v>
      </c>
      <c r="C973" s="20">
        <v>45628</v>
      </c>
      <c r="D973" s="21">
        <v>21314</v>
      </c>
    </row>
    <row r="974" spans="1:4">
      <c r="A974" s="18" t="s">
        <v>27</v>
      </c>
      <c r="B974" s="18" t="s">
        <v>102</v>
      </c>
      <c r="C974" s="20">
        <v>45518</v>
      </c>
      <c r="D974" s="21">
        <v>11222</v>
      </c>
    </row>
    <row r="975" spans="1:4">
      <c r="A975" s="18" t="s">
        <v>27</v>
      </c>
      <c r="B975" s="18" t="s">
        <v>102</v>
      </c>
      <c r="C975" s="20">
        <v>45554</v>
      </c>
      <c r="D975" s="21">
        <v>20078</v>
      </c>
    </row>
    <row r="976" spans="1:4">
      <c r="A976" s="18" t="s">
        <v>27</v>
      </c>
      <c r="B976" s="18" t="s">
        <v>102</v>
      </c>
      <c r="C976" s="20">
        <v>45334</v>
      </c>
      <c r="D976" s="21">
        <v>4832</v>
      </c>
    </row>
    <row r="977" spans="1:4">
      <c r="A977" s="18" t="s">
        <v>27</v>
      </c>
      <c r="B977" s="18" t="s">
        <v>102</v>
      </c>
      <c r="C977" s="20">
        <v>45318</v>
      </c>
      <c r="D977" s="21">
        <v>12954</v>
      </c>
    </row>
    <row r="978" spans="1:4">
      <c r="A978" s="18" t="s">
        <v>27</v>
      </c>
      <c r="B978" s="18" t="s">
        <v>102</v>
      </c>
      <c r="C978" s="20">
        <v>45555</v>
      </c>
      <c r="D978" s="21">
        <v>8618</v>
      </c>
    </row>
    <row r="979" spans="1:4">
      <c r="A979" s="18" t="s">
        <v>25</v>
      </c>
      <c r="B979" s="18" t="s">
        <v>103</v>
      </c>
      <c r="C979" s="20">
        <v>45570</v>
      </c>
      <c r="D979" s="21">
        <v>13117</v>
      </c>
    </row>
    <row r="980" spans="1:4">
      <c r="A980" s="18" t="s">
        <v>25</v>
      </c>
      <c r="B980" s="18" t="s">
        <v>103</v>
      </c>
      <c r="C980" s="20">
        <v>45375</v>
      </c>
      <c r="D980" s="21">
        <v>14580</v>
      </c>
    </row>
    <row r="981" spans="1:4">
      <c r="A981" s="18" t="s">
        <v>25</v>
      </c>
      <c r="B981" s="18" t="s">
        <v>103</v>
      </c>
      <c r="C981" s="20">
        <v>45643</v>
      </c>
      <c r="D981" s="21">
        <v>9801</v>
      </c>
    </row>
    <row r="982" spans="1:4">
      <c r="A982" s="18" t="s">
        <v>25</v>
      </c>
      <c r="B982" s="18" t="s">
        <v>103</v>
      </c>
      <c r="C982" s="20">
        <v>45356</v>
      </c>
      <c r="D982" s="21">
        <v>21032</v>
      </c>
    </row>
    <row r="983" spans="1:4">
      <c r="A983" s="18" t="s">
        <v>25</v>
      </c>
      <c r="B983" s="18" t="s">
        <v>103</v>
      </c>
      <c r="C983" s="20">
        <v>45484</v>
      </c>
      <c r="D983" s="21">
        <v>12436</v>
      </c>
    </row>
    <row r="984" spans="1:4">
      <c r="A984" s="18" t="s">
        <v>25</v>
      </c>
      <c r="B984" s="18" t="s">
        <v>103</v>
      </c>
      <c r="C984" s="20">
        <v>45601</v>
      </c>
      <c r="D984" s="21">
        <v>21427</v>
      </c>
    </row>
    <row r="985" spans="1:4">
      <c r="A985" s="18" t="s">
        <v>25</v>
      </c>
      <c r="B985" s="18" t="s">
        <v>103</v>
      </c>
      <c r="C985" s="20">
        <v>45627</v>
      </c>
      <c r="D985" s="21">
        <v>21313</v>
      </c>
    </row>
    <row r="986" spans="1:4">
      <c r="A986" s="18" t="s">
        <v>25</v>
      </c>
      <c r="B986" s="18" t="s">
        <v>103</v>
      </c>
      <c r="C986" s="20">
        <v>45392</v>
      </c>
      <c r="D986" s="21">
        <v>18869</v>
      </c>
    </row>
    <row r="987" spans="1:4">
      <c r="A987" s="18" t="s">
        <v>25</v>
      </c>
      <c r="B987" s="18" t="s">
        <v>104</v>
      </c>
      <c r="C987" s="20">
        <v>45349</v>
      </c>
      <c r="D987" s="21">
        <v>10829</v>
      </c>
    </row>
    <row r="988" spans="1:4">
      <c r="A988" s="18" t="s">
        <v>25</v>
      </c>
      <c r="B988" s="18" t="s">
        <v>104</v>
      </c>
      <c r="C988" s="20">
        <v>45604</v>
      </c>
      <c r="D988" s="21">
        <v>16055</v>
      </c>
    </row>
    <row r="989" spans="1:4">
      <c r="A989" s="18" t="s">
        <v>25</v>
      </c>
      <c r="B989" s="18" t="s">
        <v>104</v>
      </c>
      <c r="C989" s="20">
        <v>45534</v>
      </c>
      <c r="D989" s="21">
        <v>4937</v>
      </c>
    </row>
    <row r="990" spans="1:4">
      <c r="A990" s="18" t="s">
        <v>25</v>
      </c>
      <c r="B990" s="18" t="s">
        <v>104</v>
      </c>
      <c r="C990" s="20">
        <v>45471</v>
      </c>
      <c r="D990" s="21">
        <v>21351</v>
      </c>
    </row>
    <row r="991" spans="1:4">
      <c r="A991" s="18" t="s">
        <v>25</v>
      </c>
      <c r="B991" s="18" t="s">
        <v>104</v>
      </c>
      <c r="C991" s="20">
        <v>45445</v>
      </c>
      <c r="D991" s="21">
        <v>3294</v>
      </c>
    </row>
    <row r="992" spans="1:4">
      <c r="A992" s="18" t="s">
        <v>25</v>
      </c>
      <c r="B992" s="18" t="s">
        <v>104</v>
      </c>
      <c r="C992" s="20">
        <v>45572</v>
      </c>
      <c r="D992" s="21">
        <v>9663</v>
      </c>
    </row>
    <row r="993" spans="1:4">
      <c r="A993" s="18" t="s">
        <v>25</v>
      </c>
      <c r="B993" s="18" t="s">
        <v>104</v>
      </c>
      <c r="C993" s="20">
        <v>45507</v>
      </c>
      <c r="D993" s="21">
        <v>6412</v>
      </c>
    </row>
    <row r="994" spans="1:4">
      <c r="A994" s="18" t="s">
        <v>25</v>
      </c>
      <c r="B994" s="18" t="s">
        <v>104</v>
      </c>
      <c r="C994" s="20">
        <v>45548</v>
      </c>
      <c r="D994" s="21">
        <v>13518</v>
      </c>
    </row>
    <row r="995" spans="1:4">
      <c r="A995" s="18" t="s">
        <v>25</v>
      </c>
      <c r="B995" s="18" t="s">
        <v>104</v>
      </c>
      <c r="C995" s="20">
        <v>45595</v>
      </c>
      <c r="D995" s="21">
        <v>15009</v>
      </c>
    </row>
    <row r="996" spans="1:4">
      <c r="A996" s="18" t="s">
        <v>29</v>
      </c>
      <c r="B996" s="18" t="s">
        <v>105</v>
      </c>
      <c r="C996" s="20">
        <v>45424</v>
      </c>
      <c r="D996" s="21">
        <v>4237</v>
      </c>
    </row>
    <row r="997" spans="1:4">
      <c r="A997" s="18" t="s">
        <v>29</v>
      </c>
      <c r="B997" s="18" t="s">
        <v>105</v>
      </c>
      <c r="C997" s="20">
        <v>45510</v>
      </c>
      <c r="D997" s="21">
        <v>8722</v>
      </c>
    </row>
    <row r="998" spans="1:4">
      <c r="A998" s="18" t="s">
        <v>29</v>
      </c>
      <c r="B998" s="18" t="s">
        <v>105</v>
      </c>
      <c r="C998" s="20">
        <v>45619</v>
      </c>
      <c r="D998" s="21">
        <v>19273</v>
      </c>
    </row>
    <row r="999" spans="1:4">
      <c r="A999" s="18" t="s">
        <v>29</v>
      </c>
      <c r="B999" s="18" t="s">
        <v>105</v>
      </c>
      <c r="C999" s="20">
        <v>45575</v>
      </c>
      <c r="D999" s="21">
        <v>5023</v>
      </c>
    </row>
    <row r="1000" spans="1:4">
      <c r="A1000" s="18" t="s">
        <v>29</v>
      </c>
      <c r="B1000" s="18" t="s">
        <v>105</v>
      </c>
      <c r="C1000" s="20">
        <v>45389</v>
      </c>
      <c r="D1000" s="21">
        <v>1524</v>
      </c>
    </row>
    <row r="1001" spans="1:4">
      <c r="A1001" s="18" t="s">
        <v>29</v>
      </c>
      <c r="B1001" s="18" t="s">
        <v>105</v>
      </c>
      <c r="C1001" s="20">
        <v>45357</v>
      </c>
      <c r="D1001" s="21">
        <v>9995</v>
      </c>
    </row>
    <row r="1002" spans="1:4">
      <c r="A1002" s="18" t="s">
        <v>29</v>
      </c>
      <c r="B1002" s="18" t="s">
        <v>105</v>
      </c>
      <c r="C1002" s="20">
        <v>45391</v>
      </c>
      <c r="D1002" s="21">
        <v>7813</v>
      </c>
    </row>
    <row r="1003" spans="1:4">
      <c r="A1003" s="18" t="s">
        <v>29</v>
      </c>
      <c r="B1003" s="18" t="s">
        <v>105</v>
      </c>
      <c r="C1003" s="20">
        <v>45596</v>
      </c>
      <c r="D1003" s="21">
        <v>10425</v>
      </c>
    </row>
    <row r="1004" spans="1:4">
      <c r="A1004" s="18" t="s">
        <v>29</v>
      </c>
      <c r="B1004" s="18" t="s">
        <v>105</v>
      </c>
      <c r="C1004" s="20">
        <v>45582</v>
      </c>
      <c r="D1004" s="21">
        <v>20498</v>
      </c>
    </row>
    <row r="1005" spans="1:4">
      <c r="A1005" s="18" t="s">
        <v>25</v>
      </c>
      <c r="B1005" s="18" t="s">
        <v>106</v>
      </c>
      <c r="C1005" s="20">
        <v>45461</v>
      </c>
      <c r="D1005" s="21">
        <v>9358</v>
      </c>
    </row>
    <row r="1006" spans="1:4">
      <c r="A1006" s="18" t="s">
        <v>25</v>
      </c>
      <c r="B1006" s="18" t="s">
        <v>106</v>
      </c>
      <c r="C1006" s="20">
        <v>45473</v>
      </c>
      <c r="D1006" s="21">
        <v>3827</v>
      </c>
    </row>
    <row r="1007" spans="1:4">
      <c r="A1007" s="18" t="s">
        <v>25</v>
      </c>
      <c r="B1007" s="18" t="s">
        <v>106</v>
      </c>
      <c r="C1007" s="20">
        <v>45325</v>
      </c>
      <c r="D1007" s="21">
        <v>6663</v>
      </c>
    </row>
    <row r="1008" spans="1:4">
      <c r="A1008" s="18" t="s">
        <v>25</v>
      </c>
      <c r="B1008" s="18" t="s">
        <v>106</v>
      </c>
      <c r="C1008" s="20">
        <v>45423</v>
      </c>
      <c r="D1008" s="21">
        <v>17538</v>
      </c>
    </row>
    <row r="1009" spans="1:4">
      <c r="A1009" s="18" t="s">
        <v>25</v>
      </c>
      <c r="B1009" s="18" t="s">
        <v>106</v>
      </c>
      <c r="C1009" s="20">
        <v>45529</v>
      </c>
      <c r="D1009" s="21">
        <v>10257</v>
      </c>
    </row>
    <row r="1010" spans="1:4">
      <c r="A1010" s="18" t="s">
        <v>25</v>
      </c>
      <c r="B1010" s="18" t="s">
        <v>106</v>
      </c>
      <c r="C1010" s="20">
        <v>45535</v>
      </c>
      <c r="D1010" s="21">
        <v>11400</v>
      </c>
    </row>
    <row r="1011" spans="1:4">
      <c r="A1011" s="18" t="s">
        <v>25</v>
      </c>
      <c r="B1011" s="18" t="s">
        <v>106</v>
      </c>
      <c r="C1011" s="20">
        <v>45390</v>
      </c>
      <c r="D1011" s="21">
        <v>20992</v>
      </c>
    </row>
    <row r="1012" spans="1:4">
      <c r="A1012" s="18" t="s">
        <v>25</v>
      </c>
      <c r="B1012" s="18" t="s">
        <v>106</v>
      </c>
      <c r="C1012" s="20">
        <v>45628</v>
      </c>
      <c r="D1012" s="21">
        <v>1447</v>
      </c>
    </row>
    <row r="1013" spans="1:4">
      <c r="A1013" s="18" t="s">
        <v>25</v>
      </c>
      <c r="B1013" s="18" t="s">
        <v>106</v>
      </c>
      <c r="C1013" s="20">
        <v>45536</v>
      </c>
      <c r="D1013" s="21">
        <v>19914</v>
      </c>
    </row>
    <row r="1014" spans="1:4">
      <c r="A1014" s="18" t="s">
        <v>25</v>
      </c>
      <c r="B1014" s="18" t="s">
        <v>107</v>
      </c>
      <c r="C1014" s="20">
        <v>45597</v>
      </c>
      <c r="D1014" s="21">
        <v>7341</v>
      </c>
    </row>
    <row r="1015" spans="1:4">
      <c r="A1015" s="18" t="s">
        <v>25</v>
      </c>
      <c r="B1015" s="18" t="s">
        <v>107</v>
      </c>
      <c r="C1015" s="20">
        <v>45388</v>
      </c>
      <c r="D1015" s="21">
        <v>14382</v>
      </c>
    </row>
    <row r="1016" spans="1:4">
      <c r="A1016" s="18" t="s">
        <v>25</v>
      </c>
      <c r="B1016" s="18" t="s">
        <v>107</v>
      </c>
      <c r="C1016" s="20">
        <v>45635</v>
      </c>
      <c r="D1016" s="21">
        <v>9554</v>
      </c>
    </row>
    <row r="1017" spans="1:4">
      <c r="A1017" s="18" t="s">
        <v>25</v>
      </c>
      <c r="B1017" s="18" t="s">
        <v>107</v>
      </c>
      <c r="C1017" s="20">
        <v>45627</v>
      </c>
      <c r="D1017" s="21">
        <v>21301</v>
      </c>
    </row>
    <row r="1018" spans="1:4">
      <c r="A1018" s="18" t="s">
        <v>25</v>
      </c>
      <c r="B1018" s="18" t="s">
        <v>107</v>
      </c>
      <c r="C1018" s="20">
        <v>45607</v>
      </c>
      <c r="D1018" s="21">
        <v>5909</v>
      </c>
    </row>
    <row r="1019" spans="1:4">
      <c r="A1019" s="18" t="s">
        <v>25</v>
      </c>
      <c r="B1019" s="18" t="s">
        <v>107</v>
      </c>
      <c r="C1019" s="20">
        <v>45480</v>
      </c>
      <c r="D1019" s="21">
        <v>2014</v>
      </c>
    </row>
    <row r="1020" spans="1:4">
      <c r="A1020" s="18" t="s">
        <v>25</v>
      </c>
      <c r="B1020" s="18" t="s">
        <v>107</v>
      </c>
      <c r="C1020" s="20">
        <v>45585</v>
      </c>
      <c r="D1020" s="21">
        <v>8729</v>
      </c>
    </row>
    <row r="1021" spans="1:4">
      <c r="A1021" s="18" t="s">
        <v>25</v>
      </c>
      <c r="B1021" s="18" t="s">
        <v>107</v>
      </c>
      <c r="C1021" s="20">
        <v>45488</v>
      </c>
      <c r="D1021" s="21">
        <v>20904</v>
      </c>
    </row>
    <row r="1022" spans="1:4">
      <c r="A1022" s="18" t="s">
        <v>25</v>
      </c>
      <c r="B1022" s="18" t="s">
        <v>107</v>
      </c>
      <c r="C1022" s="20">
        <v>45489</v>
      </c>
      <c r="D1022" s="21">
        <v>5539</v>
      </c>
    </row>
    <row r="1023" spans="1:4">
      <c r="A1023" s="18" t="s">
        <v>25</v>
      </c>
      <c r="B1023" s="18" t="s">
        <v>107</v>
      </c>
      <c r="C1023" s="20">
        <v>45419</v>
      </c>
      <c r="D1023" s="21">
        <v>2195</v>
      </c>
    </row>
    <row r="1024" spans="1:4">
      <c r="A1024" s="18" t="s">
        <v>25</v>
      </c>
      <c r="B1024" s="18" t="s">
        <v>107</v>
      </c>
      <c r="C1024" s="20">
        <v>45631</v>
      </c>
      <c r="D1024" s="21">
        <v>2953</v>
      </c>
    </row>
    <row r="1025" spans="1:4">
      <c r="A1025" s="18" t="s">
        <v>25</v>
      </c>
      <c r="B1025" s="18" t="s">
        <v>107</v>
      </c>
      <c r="C1025" s="20">
        <v>45361</v>
      </c>
      <c r="D1025" s="21">
        <v>1727</v>
      </c>
    </row>
    <row r="1026" spans="1:4">
      <c r="A1026" s="18" t="s">
        <v>25</v>
      </c>
      <c r="B1026" s="18" t="s">
        <v>108</v>
      </c>
      <c r="C1026" s="20">
        <v>45447</v>
      </c>
      <c r="D1026" s="21">
        <v>15574</v>
      </c>
    </row>
    <row r="1027" spans="1:4">
      <c r="A1027" s="18" t="s">
        <v>25</v>
      </c>
      <c r="B1027" s="18" t="s">
        <v>108</v>
      </c>
      <c r="C1027" s="20">
        <v>45511</v>
      </c>
      <c r="D1027" s="21">
        <v>13974</v>
      </c>
    </row>
    <row r="1028" spans="1:4">
      <c r="A1028" s="18" t="s">
        <v>25</v>
      </c>
      <c r="B1028" s="18" t="s">
        <v>108</v>
      </c>
      <c r="C1028" s="20">
        <v>45558</v>
      </c>
      <c r="D1028" s="21">
        <v>4109</v>
      </c>
    </row>
    <row r="1029" spans="1:4">
      <c r="A1029" s="18" t="s">
        <v>25</v>
      </c>
      <c r="B1029" s="18" t="s">
        <v>108</v>
      </c>
      <c r="C1029" s="20">
        <v>45620</v>
      </c>
      <c r="D1029" s="21">
        <v>8356</v>
      </c>
    </row>
    <row r="1030" spans="1:4">
      <c r="A1030" s="18" t="s">
        <v>25</v>
      </c>
      <c r="B1030" s="18" t="s">
        <v>108</v>
      </c>
      <c r="C1030" s="20">
        <v>45398</v>
      </c>
      <c r="D1030" s="21">
        <v>6816</v>
      </c>
    </row>
    <row r="1031" spans="1:4">
      <c r="A1031" s="18" t="s">
        <v>25</v>
      </c>
      <c r="B1031" s="18" t="s">
        <v>108</v>
      </c>
      <c r="C1031" s="20">
        <v>45300</v>
      </c>
      <c r="D1031" s="21">
        <v>7680</v>
      </c>
    </row>
    <row r="1032" spans="1:4">
      <c r="A1032" s="18" t="s">
        <v>25</v>
      </c>
      <c r="B1032" s="18" t="s">
        <v>108</v>
      </c>
      <c r="C1032" s="20">
        <v>45404</v>
      </c>
      <c r="D1032" s="21">
        <v>7553</v>
      </c>
    </row>
    <row r="1033" spans="1:4">
      <c r="A1033" s="18" t="s">
        <v>25</v>
      </c>
      <c r="B1033" s="18" t="s">
        <v>108</v>
      </c>
      <c r="C1033" s="20">
        <v>45519</v>
      </c>
      <c r="D1033" s="21">
        <v>13091</v>
      </c>
    </row>
    <row r="1034" spans="1:4">
      <c r="A1034" s="18" t="s">
        <v>25</v>
      </c>
      <c r="B1034" s="18" t="s">
        <v>108</v>
      </c>
      <c r="C1034" s="20">
        <v>45297</v>
      </c>
      <c r="D1034" s="21">
        <v>20886</v>
      </c>
    </row>
    <row r="1035" spans="1:4">
      <c r="A1035" s="18" t="s">
        <v>25</v>
      </c>
      <c r="B1035" s="18" t="s">
        <v>109</v>
      </c>
      <c r="C1035" s="20">
        <v>45620</v>
      </c>
      <c r="D1035" s="21">
        <v>5248</v>
      </c>
    </row>
    <row r="1036" spans="1:4">
      <c r="A1036" s="18" t="s">
        <v>25</v>
      </c>
      <c r="B1036" s="18" t="s">
        <v>109</v>
      </c>
      <c r="C1036" s="20">
        <v>45525</v>
      </c>
      <c r="D1036" s="21">
        <v>18550</v>
      </c>
    </row>
    <row r="1037" spans="1:4">
      <c r="A1037" s="18" t="s">
        <v>25</v>
      </c>
      <c r="B1037" s="18" t="s">
        <v>109</v>
      </c>
      <c r="C1037" s="20">
        <v>45527</v>
      </c>
      <c r="D1037" s="21">
        <v>16824</v>
      </c>
    </row>
    <row r="1038" spans="1:4">
      <c r="A1038" s="18" t="s">
        <v>25</v>
      </c>
      <c r="B1038" s="18" t="s">
        <v>109</v>
      </c>
      <c r="C1038" s="20">
        <v>45340</v>
      </c>
      <c r="D1038" s="21">
        <v>9264</v>
      </c>
    </row>
    <row r="1039" spans="1:4">
      <c r="A1039" s="18" t="s">
        <v>25</v>
      </c>
      <c r="B1039" s="18" t="s">
        <v>109</v>
      </c>
      <c r="C1039" s="20">
        <v>45507</v>
      </c>
      <c r="D1039" s="21">
        <v>20324</v>
      </c>
    </row>
    <row r="1040" spans="1:4">
      <c r="A1040" s="18" t="s">
        <v>25</v>
      </c>
      <c r="B1040" s="18" t="s">
        <v>109</v>
      </c>
      <c r="C1040" s="20">
        <v>45382</v>
      </c>
      <c r="D1040" s="21">
        <v>6933</v>
      </c>
    </row>
    <row r="1041" spans="1:4">
      <c r="A1041" s="18" t="s">
        <v>25</v>
      </c>
      <c r="B1041" s="18" t="s">
        <v>109</v>
      </c>
      <c r="C1041" s="20">
        <v>45651</v>
      </c>
      <c r="D1041" s="21">
        <v>8342</v>
      </c>
    </row>
    <row r="1042" spans="1:4">
      <c r="A1042" s="18" t="s">
        <v>25</v>
      </c>
      <c r="B1042" s="18" t="s">
        <v>109</v>
      </c>
      <c r="C1042" s="20">
        <v>45305</v>
      </c>
      <c r="D1042" s="21">
        <v>17872</v>
      </c>
    </row>
    <row r="1043" spans="1:4">
      <c r="A1043" s="18" t="s">
        <v>25</v>
      </c>
      <c r="B1043" s="18" t="s">
        <v>109</v>
      </c>
      <c r="C1043" s="20">
        <v>45411</v>
      </c>
      <c r="D1043" s="21">
        <v>21250</v>
      </c>
    </row>
    <row r="1044" spans="1:4">
      <c r="A1044" s="18" t="s">
        <v>25</v>
      </c>
      <c r="B1044" s="18" t="s">
        <v>109</v>
      </c>
      <c r="C1044" s="20">
        <v>45337</v>
      </c>
      <c r="D1044" s="21">
        <v>10693</v>
      </c>
    </row>
    <row r="1045" spans="1:4">
      <c r="A1045" s="18" t="s">
        <v>25</v>
      </c>
      <c r="B1045" s="18" t="s">
        <v>109</v>
      </c>
      <c r="C1045" s="20">
        <v>45538</v>
      </c>
      <c r="D1045" s="21">
        <v>6777</v>
      </c>
    </row>
    <row r="1046" spans="1:4">
      <c r="A1046" s="18" t="s">
        <v>27</v>
      </c>
      <c r="B1046" s="18" t="s">
        <v>110</v>
      </c>
      <c r="C1046" s="20">
        <v>45363</v>
      </c>
      <c r="D1046" s="21">
        <v>20876</v>
      </c>
    </row>
    <row r="1047" spans="1:4">
      <c r="A1047" s="18" t="s">
        <v>27</v>
      </c>
      <c r="B1047" s="18" t="s">
        <v>110</v>
      </c>
      <c r="C1047" s="20">
        <v>45399</v>
      </c>
      <c r="D1047" s="21">
        <v>11607</v>
      </c>
    </row>
    <row r="1048" spans="1:4">
      <c r="A1048" s="18" t="s">
        <v>27</v>
      </c>
      <c r="B1048" s="18" t="s">
        <v>110</v>
      </c>
      <c r="C1048" s="20">
        <v>45623</v>
      </c>
      <c r="D1048" s="21">
        <v>19934</v>
      </c>
    </row>
    <row r="1049" spans="1:4">
      <c r="A1049" s="18" t="s">
        <v>27</v>
      </c>
      <c r="B1049" s="18" t="s">
        <v>110</v>
      </c>
      <c r="C1049" s="20">
        <v>45391</v>
      </c>
      <c r="D1049" s="21">
        <v>17600</v>
      </c>
    </row>
    <row r="1050" spans="1:4">
      <c r="A1050" s="18" t="s">
        <v>27</v>
      </c>
      <c r="B1050" s="18" t="s">
        <v>110</v>
      </c>
      <c r="C1050" s="20">
        <v>45373</v>
      </c>
      <c r="D1050" s="21">
        <v>1888</v>
      </c>
    </row>
    <row r="1051" spans="1:4">
      <c r="A1051" s="18" t="s">
        <v>27</v>
      </c>
      <c r="B1051" s="18" t="s">
        <v>110</v>
      </c>
      <c r="C1051" s="20">
        <v>45525</v>
      </c>
      <c r="D1051" s="21">
        <v>1422</v>
      </c>
    </row>
    <row r="1052" spans="1:4">
      <c r="A1052" s="18" t="s">
        <v>27</v>
      </c>
      <c r="B1052" s="18" t="s">
        <v>110</v>
      </c>
      <c r="C1052" s="20">
        <v>45510</v>
      </c>
      <c r="D1052" s="21">
        <v>11723</v>
      </c>
    </row>
    <row r="1053" spans="1:4">
      <c r="A1053" s="18" t="s">
        <v>27</v>
      </c>
      <c r="B1053" s="18" t="s">
        <v>110</v>
      </c>
      <c r="C1053" s="20">
        <v>45522</v>
      </c>
      <c r="D1053" s="21">
        <v>5306</v>
      </c>
    </row>
    <row r="1054" spans="1:4">
      <c r="A1054" s="18" t="s">
        <v>27</v>
      </c>
      <c r="B1054" s="18" t="s">
        <v>110</v>
      </c>
      <c r="C1054" s="20">
        <v>45411</v>
      </c>
      <c r="D1054" s="21">
        <v>3305</v>
      </c>
    </row>
    <row r="1055" spans="1:4">
      <c r="A1055" s="18" t="s">
        <v>27</v>
      </c>
      <c r="B1055" s="18" t="s">
        <v>110</v>
      </c>
      <c r="C1055" s="20">
        <v>45407</v>
      </c>
      <c r="D1055" s="21">
        <v>16653</v>
      </c>
    </row>
    <row r="1056" spans="1:4">
      <c r="A1056" s="18" t="s">
        <v>25</v>
      </c>
      <c r="B1056" s="18" t="s">
        <v>111</v>
      </c>
      <c r="C1056" s="20">
        <v>45323</v>
      </c>
      <c r="D1056" s="21">
        <v>4896</v>
      </c>
    </row>
    <row r="1057" spans="1:4">
      <c r="A1057" s="18" t="s">
        <v>25</v>
      </c>
      <c r="B1057" s="18" t="s">
        <v>111</v>
      </c>
      <c r="C1057" s="20">
        <v>45415</v>
      </c>
      <c r="D1057" s="21">
        <v>4771</v>
      </c>
    </row>
    <row r="1058" spans="1:4">
      <c r="A1058" s="18" t="s">
        <v>25</v>
      </c>
      <c r="B1058" s="18" t="s">
        <v>111</v>
      </c>
      <c r="C1058" s="20">
        <v>45306</v>
      </c>
      <c r="D1058" s="21">
        <v>3866</v>
      </c>
    </row>
    <row r="1059" spans="1:4">
      <c r="A1059" s="18" t="s">
        <v>25</v>
      </c>
      <c r="B1059" s="18" t="s">
        <v>111</v>
      </c>
      <c r="C1059" s="20">
        <v>45480</v>
      </c>
      <c r="D1059" s="21">
        <v>8120</v>
      </c>
    </row>
    <row r="1060" spans="1:4">
      <c r="A1060" s="18" t="s">
        <v>25</v>
      </c>
      <c r="B1060" s="18" t="s">
        <v>111</v>
      </c>
      <c r="C1060" s="20">
        <v>45438</v>
      </c>
      <c r="D1060" s="21">
        <v>16290</v>
      </c>
    </row>
    <row r="1061" spans="1:4">
      <c r="A1061" s="18" t="s">
        <v>25</v>
      </c>
      <c r="B1061" s="18" t="s">
        <v>111</v>
      </c>
      <c r="C1061" s="20">
        <v>45613</v>
      </c>
      <c r="D1061" s="21">
        <v>10675</v>
      </c>
    </row>
    <row r="1062" spans="1:4">
      <c r="A1062" s="18" t="s">
        <v>25</v>
      </c>
      <c r="B1062" s="18" t="s">
        <v>111</v>
      </c>
      <c r="C1062" s="20">
        <v>45374</v>
      </c>
      <c r="D1062" s="21">
        <v>21084</v>
      </c>
    </row>
    <row r="1063" spans="1:4">
      <c r="A1063" s="18" t="s">
        <v>25</v>
      </c>
      <c r="B1063" s="18" t="s">
        <v>111</v>
      </c>
      <c r="C1063" s="20">
        <v>45644</v>
      </c>
      <c r="D1063" s="21">
        <v>16724</v>
      </c>
    </row>
    <row r="1064" spans="1:4">
      <c r="A1064" s="18" t="s">
        <v>29</v>
      </c>
      <c r="B1064" s="18" t="s">
        <v>112</v>
      </c>
      <c r="C1064" s="20">
        <v>45429</v>
      </c>
      <c r="D1064" s="21">
        <v>5035</v>
      </c>
    </row>
    <row r="1065" spans="1:4">
      <c r="A1065" s="18" t="s">
        <v>29</v>
      </c>
      <c r="B1065" s="18" t="s">
        <v>112</v>
      </c>
      <c r="C1065" s="20">
        <v>45384</v>
      </c>
      <c r="D1065" s="21">
        <v>2258</v>
      </c>
    </row>
    <row r="1066" spans="1:4">
      <c r="A1066" s="18" t="s">
        <v>29</v>
      </c>
      <c r="B1066" s="18" t="s">
        <v>112</v>
      </c>
      <c r="C1066" s="20">
        <v>45515</v>
      </c>
      <c r="D1066" s="21">
        <v>9387</v>
      </c>
    </row>
    <row r="1067" spans="1:4">
      <c r="A1067" s="18" t="s">
        <v>29</v>
      </c>
      <c r="B1067" s="18" t="s">
        <v>112</v>
      </c>
      <c r="C1067" s="20">
        <v>45462</v>
      </c>
      <c r="D1067" s="21">
        <v>2251</v>
      </c>
    </row>
    <row r="1068" spans="1:4">
      <c r="A1068" s="18" t="s">
        <v>29</v>
      </c>
      <c r="B1068" s="18" t="s">
        <v>112</v>
      </c>
      <c r="C1068" s="20">
        <v>45376</v>
      </c>
      <c r="D1068" s="21">
        <v>17581</v>
      </c>
    </row>
    <row r="1069" spans="1:4">
      <c r="A1069" s="18" t="s">
        <v>29</v>
      </c>
      <c r="B1069" s="18" t="s">
        <v>112</v>
      </c>
      <c r="C1069" s="20">
        <v>45307</v>
      </c>
      <c r="D1069" s="21">
        <v>7640</v>
      </c>
    </row>
    <row r="1070" spans="1:4">
      <c r="A1070" s="18" t="s">
        <v>29</v>
      </c>
      <c r="B1070" s="18" t="s">
        <v>112</v>
      </c>
      <c r="C1070" s="20">
        <v>45358</v>
      </c>
      <c r="D1070" s="21">
        <v>9223</v>
      </c>
    </row>
    <row r="1071" spans="1:4">
      <c r="A1071" s="18" t="s">
        <v>29</v>
      </c>
      <c r="B1071" s="18" t="s">
        <v>112</v>
      </c>
      <c r="C1071" s="20">
        <v>45313</v>
      </c>
      <c r="D1071" s="21">
        <v>12406</v>
      </c>
    </row>
    <row r="1072" spans="1:4">
      <c r="A1072" s="18" t="s">
        <v>29</v>
      </c>
      <c r="B1072" s="18" t="s">
        <v>112</v>
      </c>
      <c r="C1072" s="20">
        <v>45552</v>
      </c>
      <c r="D1072" s="21">
        <v>13839</v>
      </c>
    </row>
    <row r="1073" spans="1:4">
      <c r="A1073" s="18" t="s">
        <v>29</v>
      </c>
      <c r="B1073" s="18" t="s">
        <v>112</v>
      </c>
      <c r="C1073" s="20">
        <v>45655</v>
      </c>
      <c r="D1073" s="21">
        <v>20673</v>
      </c>
    </row>
    <row r="1074" spans="1:4">
      <c r="A1074" s="18" t="s">
        <v>29</v>
      </c>
      <c r="B1074" s="18" t="s">
        <v>112</v>
      </c>
      <c r="C1074" s="20">
        <v>45477</v>
      </c>
      <c r="D1074" s="21">
        <v>4075</v>
      </c>
    </row>
    <row r="1075" spans="1:4">
      <c r="A1075" s="18" t="s">
        <v>25</v>
      </c>
      <c r="B1075" s="18" t="s">
        <v>113</v>
      </c>
      <c r="C1075" s="20">
        <v>45297</v>
      </c>
      <c r="D1075" s="21">
        <v>6612</v>
      </c>
    </row>
    <row r="1076" spans="1:4">
      <c r="A1076" s="18" t="s">
        <v>25</v>
      </c>
      <c r="B1076" s="18" t="s">
        <v>113</v>
      </c>
      <c r="C1076" s="20">
        <v>45472</v>
      </c>
      <c r="D1076" s="21">
        <v>10442</v>
      </c>
    </row>
    <row r="1077" spans="1:4">
      <c r="A1077" s="18" t="s">
        <v>25</v>
      </c>
      <c r="B1077" s="18" t="s">
        <v>113</v>
      </c>
      <c r="C1077" s="20">
        <v>45294</v>
      </c>
      <c r="D1077" s="21">
        <v>12276</v>
      </c>
    </row>
    <row r="1078" spans="1:4">
      <c r="A1078" s="18" t="s">
        <v>25</v>
      </c>
      <c r="B1078" s="18" t="s">
        <v>113</v>
      </c>
      <c r="C1078" s="20">
        <v>45316</v>
      </c>
      <c r="D1078" s="21">
        <v>7893</v>
      </c>
    </row>
    <row r="1079" spans="1:4">
      <c r="A1079" s="18" t="s">
        <v>25</v>
      </c>
      <c r="B1079" s="18" t="s">
        <v>113</v>
      </c>
      <c r="C1079" s="20">
        <v>45620</v>
      </c>
      <c r="D1079" s="21">
        <v>14672</v>
      </c>
    </row>
    <row r="1080" spans="1:4">
      <c r="A1080" s="18" t="s">
        <v>25</v>
      </c>
      <c r="B1080" s="18" t="s">
        <v>113</v>
      </c>
      <c r="C1080" s="20">
        <v>45504</v>
      </c>
      <c r="D1080" s="21">
        <v>1510</v>
      </c>
    </row>
    <row r="1081" spans="1:4">
      <c r="A1081" s="18" t="s">
        <v>25</v>
      </c>
      <c r="B1081" s="18" t="s">
        <v>113</v>
      </c>
      <c r="C1081" s="20">
        <v>45358</v>
      </c>
      <c r="D1081" s="21">
        <v>17725</v>
      </c>
    </row>
    <row r="1082" spans="1:4">
      <c r="A1082" s="18" t="s">
        <v>25</v>
      </c>
      <c r="B1082" s="18" t="s">
        <v>113</v>
      </c>
      <c r="C1082" s="20">
        <v>45627</v>
      </c>
      <c r="D1082" s="21">
        <v>4801</v>
      </c>
    </row>
    <row r="1083" spans="1:4">
      <c r="A1083" s="18" t="s">
        <v>25</v>
      </c>
      <c r="B1083" s="18" t="s">
        <v>113</v>
      </c>
      <c r="C1083" s="20">
        <v>45537</v>
      </c>
      <c r="D1083" s="21">
        <v>5061</v>
      </c>
    </row>
    <row r="1084" spans="1:4">
      <c r="A1084" s="18" t="s">
        <v>27</v>
      </c>
      <c r="B1084" s="18" t="s">
        <v>114</v>
      </c>
      <c r="C1084" s="20">
        <v>45363</v>
      </c>
      <c r="D1084" s="21">
        <v>11192</v>
      </c>
    </row>
    <row r="1085" spans="1:4">
      <c r="A1085" s="18" t="s">
        <v>27</v>
      </c>
      <c r="B1085" s="18" t="s">
        <v>114</v>
      </c>
      <c r="C1085" s="20">
        <v>45465</v>
      </c>
      <c r="D1085" s="21">
        <v>19593</v>
      </c>
    </row>
    <row r="1086" spans="1:4">
      <c r="A1086" s="18" t="s">
        <v>27</v>
      </c>
      <c r="B1086" s="18" t="s">
        <v>114</v>
      </c>
      <c r="C1086" s="20">
        <v>45488</v>
      </c>
      <c r="D1086" s="21">
        <v>5429</v>
      </c>
    </row>
    <row r="1087" spans="1:4">
      <c r="A1087" s="18" t="s">
        <v>27</v>
      </c>
      <c r="B1087" s="18" t="s">
        <v>114</v>
      </c>
      <c r="C1087" s="20">
        <v>45384</v>
      </c>
      <c r="D1087" s="21">
        <v>2341</v>
      </c>
    </row>
    <row r="1088" spans="1:4">
      <c r="A1088" s="18" t="s">
        <v>27</v>
      </c>
      <c r="B1088" s="18" t="s">
        <v>114</v>
      </c>
      <c r="C1088" s="20">
        <v>45408</v>
      </c>
      <c r="D1088" s="21">
        <v>18832</v>
      </c>
    </row>
    <row r="1089" spans="1:4">
      <c r="A1089" s="18" t="s">
        <v>27</v>
      </c>
      <c r="B1089" s="18" t="s">
        <v>114</v>
      </c>
      <c r="C1089" s="20">
        <v>45510</v>
      </c>
      <c r="D1089" s="21">
        <v>8956</v>
      </c>
    </row>
    <row r="1090" spans="1:4">
      <c r="A1090" s="18" t="s">
        <v>27</v>
      </c>
      <c r="B1090" s="18" t="s">
        <v>114</v>
      </c>
      <c r="C1090" s="20">
        <v>45348</v>
      </c>
      <c r="D1090" s="21">
        <v>10456</v>
      </c>
    </row>
    <row r="1091" spans="1:4">
      <c r="A1091" s="18" t="s">
        <v>27</v>
      </c>
      <c r="B1091" s="18" t="s">
        <v>114</v>
      </c>
      <c r="C1091" s="20">
        <v>45295</v>
      </c>
      <c r="D1091" s="21">
        <v>9068</v>
      </c>
    </row>
    <row r="1092" spans="1:4">
      <c r="A1092" s="18" t="s">
        <v>27</v>
      </c>
      <c r="B1092" s="18" t="s">
        <v>114</v>
      </c>
      <c r="C1092" s="20">
        <v>45330</v>
      </c>
      <c r="D1092" s="21">
        <v>8990</v>
      </c>
    </row>
    <row r="1093" spans="1:4">
      <c r="A1093" s="18" t="s">
        <v>27</v>
      </c>
      <c r="B1093" s="18" t="s">
        <v>114</v>
      </c>
      <c r="C1093" s="20">
        <v>45423</v>
      </c>
      <c r="D1093" s="21">
        <v>16541</v>
      </c>
    </row>
    <row r="1094" spans="1:4">
      <c r="A1094" s="18" t="s">
        <v>29</v>
      </c>
      <c r="B1094" s="18" t="s">
        <v>115</v>
      </c>
      <c r="C1094" s="20">
        <v>45363</v>
      </c>
      <c r="D1094" s="21">
        <v>11948</v>
      </c>
    </row>
    <row r="1095" spans="1:4">
      <c r="A1095" s="18" t="s">
        <v>29</v>
      </c>
      <c r="B1095" s="18" t="s">
        <v>115</v>
      </c>
      <c r="C1095" s="20">
        <v>45371</v>
      </c>
      <c r="D1095" s="21">
        <v>6197</v>
      </c>
    </row>
    <row r="1096" spans="1:4">
      <c r="A1096" s="18" t="s">
        <v>29</v>
      </c>
      <c r="B1096" s="18" t="s">
        <v>115</v>
      </c>
      <c r="C1096" s="20">
        <v>45597</v>
      </c>
      <c r="D1096" s="21">
        <v>3630</v>
      </c>
    </row>
    <row r="1097" spans="1:4">
      <c r="A1097" s="18" t="s">
        <v>29</v>
      </c>
      <c r="B1097" s="18" t="s">
        <v>115</v>
      </c>
      <c r="C1097" s="20">
        <v>45594</v>
      </c>
      <c r="D1097" s="21">
        <v>7735</v>
      </c>
    </row>
    <row r="1098" spans="1:4">
      <c r="A1098" s="18" t="s">
        <v>29</v>
      </c>
      <c r="B1098" s="18" t="s">
        <v>115</v>
      </c>
      <c r="C1098" s="20">
        <v>45377</v>
      </c>
      <c r="D1098" s="21">
        <v>19801</v>
      </c>
    </row>
    <row r="1099" spans="1:4">
      <c r="A1099" s="18" t="s">
        <v>29</v>
      </c>
      <c r="B1099" s="18" t="s">
        <v>115</v>
      </c>
      <c r="C1099" s="20">
        <v>45372</v>
      </c>
      <c r="D1099" s="21">
        <v>8317</v>
      </c>
    </row>
    <row r="1100" spans="1:4">
      <c r="A1100" s="18" t="s">
        <v>29</v>
      </c>
      <c r="B1100" s="18" t="s">
        <v>115</v>
      </c>
      <c r="C1100" s="20">
        <v>45439</v>
      </c>
      <c r="D1100" s="21">
        <v>20041</v>
      </c>
    </row>
    <row r="1101" spans="1:4">
      <c r="A1101" s="18" t="s">
        <v>29</v>
      </c>
      <c r="B1101" s="18" t="s">
        <v>115</v>
      </c>
      <c r="C1101" s="20">
        <v>45443</v>
      </c>
      <c r="D1101" s="21">
        <v>12508</v>
      </c>
    </row>
    <row r="1102" spans="1:4">
      <c r="A1102" s="18" t="s">
        <v>29</v>
      </c>
      <c r="B1102" s="18" t="s">
        <v>116</v>
      </c>
      <c r="C1102" s="20">
        <v>45552</v>
      </c>
      <c r="D1102" s="21">
        <v>11315</v>
      </c>
    </row>
    <row r="1103" spans="1:4">
      <c r="A1103" s="18" t="s">
        <v>29</v>
      </c>
      <c r="B1103" s="18" t="s">
        <v>116</v>
      </c>
      <c r="C1103" s="20">
        <v>45455</v>
      </c>
      <c r="D1103" s="21">
        <v>5667</v>
      </c>
    </row>
    <row r="1104" spans="1:4">
      <c r="A1104" s="18" t="s">
        <v>29</v>
      </c>
      <c r="B1104" s="18" t="s">
        <v>116</v>
      </c>
      <c r="C1104" s="20">
        <v>45384</v>
      </c>
      <c r="D1104" s="21">
        <v>7867</v>
      </c>
    </row>
    <row r="1105" spans="1:4">
      <c r="A1105" s="18" t="s">
        <v>29</v>
      </c>
      <c r="B1105" s="18" t="s">
        <v>116</v>
      </c>
      <c r="C1105" s="20">
        <v>45367</v>
      </c>
      <c r="D1105" s="21">
        <v>15275</v>
      </c>
    </row>
    <row r="1106" spans="1:4">
      <c r="A1106" s="18" t="s">
        <v>29</v>
      </c>
      <c r="B1106" s="18" t="s">
        <v>116</v>
      </c>
      <c r="C1106" s="20">
        <v>45587</v>
      </c>
      <c r="D1106" s="21">
        <v>16663</v>
      </c>
    </row>
    <row r="1107" spans="1:4">
      <c r="A1107" s="18" t="s">
        <v>29</v>
      </c>
      <c r="B1107" s="18" t="s">
        <v>116</v>
      </c>
      <c r="C1107" s="20">
        <v>45516</v>
      </c>
      <c r="D1107" s="21">
        <v>8512</v>
      </c>
    </row>
    <row r="1108" spans="1:4">
      <c r="A1108" s="18" t="s">
        <v>29</v>
      </c>
      <c r="B1108" s="18" t="s">
        <v>116</v>
      </c>
      <c r="C1108" s="20">
        <v>45384</v>
      </c>
      <c r="D1108" s="21">
        <v>2297</v>
      </c>
    </row>
    <row r="1109" spans="1:4">
      <c r="A1109" s="18" t="s">
        <v>29</v>
      </c>
      <c r="B1109" s="18" t="s">
        <v>116</v>
      </c>
      <c r="C1109" s="20">
        <v>45418</v>
      </c>
      <c r="D1109" s="21">
        <v>8132</v>
      </c>
    </row>
    <row r="1110" spans="1:4">
      <c r="A1110" s="18" t="s">
        <v>25</v>
      </c>
      <c r="B1110" s="18" t="s">
        <v>117</v>
      </c>
      <c r="C1110" s="20">
        <v>45438</v>
      </c>
      <c r="D1110" s="21">
        <v>1719</v>
      </c>
    </row>
    <row r="1111" spans="1:4">
      <c r="A1111" s="18" t="s">
        <v>25</v>
      </c>
      <c r="B1111" s="18" t="s">
        <v>117</v>
      </c>
      <c r="C1111" s="20">
        <v>45456</v>
      </c>
      <c r="D1111" s="21">
        <v>21079</v>
      </c>
    </row>
    <row r="1112" spans="1:4">
      <c r="A1112" s="18" t="s">
        <v>25</v>
      </c>
      <c r="B1112" s="18" t="s">
        <v>117</v>
      </c>
      <c r="C1112" s="20">
        <v>45476</v>
      </c>
      <c r="D1112" s="21">
        <v>2637</v>
      </c>
    </row>
    <row r="1113" spans="1:4">
      <c r="A1113" s="18" t="s">
        <v>25</v>
      </c>
      <c r="B1113" s="18" t="s">
        <v>117</v>
      </c>
      <c r="C1113" s="20">
        <v>45603</v>
      </c>
      <c r="D1113" s="21">
        <v>16159</v>
      </c>
    </row>
    <row r="1114" spans="1:4">
      <c r="A1114" s="18" t="s">
        <v>25</v>
      </c>
      <c r="B1114" s="18" t="s">
        <v>117</v>
      </c>
      <c r="C1114" s="20">
        <v>45520</v>
      </c>
      <c r="D1114" s="21">
        <v>19982</v>
      </c>
    </row>
    <row r="1115" spans="1:4">
      <c r="A1115" s="18" t="s">
        <v>25</v>
      </c>
      <c r="B1115" s="18" t="s">
        <v>117</v>
      </c>
      <c r="C1115" s="20">
        <v>45647</v>
      </c>
      <c r="D1115" s="21">
        <v>2290</v>
      </c>
    </row>
    <row r="1116" spans="1:4">
      <c r="A1116" s="18" t="s">
        <v>25</v>
      </c>
      <c r="B1116" s="18" t="s">
        <v>117</v>
      </c>
      <c r="C1116" s="20">
        <v>45579</v>
      </c>
      <c r="D1116" s="21">
        <v>5929</v>
      </c>
    </row>
    <row r="1117" spans="1:4">
      <c r="A1117" s="18" t="s">
        <v>29</v>
      </c>
      <c r="B1117" s="18" t="s">
        <v>118</v>
      </c>
      <c r="C1117" s="20">
        <v>45542</v>
      </c>
      <c r="D1117" s="21">
        <v>3801</v>
      </c>
    </row>
    <row r="1118" spans="1:4">
      <c r="A1118" s="18" t="s">
        <v>29</v>
      </c>
      <c r="B1118" s="18" t="s">
        <v>118</v>
      </c>
      <c r="C1118" s="20">
        <v>45420</v>
      </c>
      <c r="D1118" s="21">
        <v>17079</v>
      </c>
    </row>
    <row r="1119" spans="1:4">
      <c r="A1119" s="18" t="s">
        <v>29</v>
      </c>
      <c r="B1119" s="18" t="s">
        <v>118</v>
      </c>
      <c r="C1119" s="20">
        <v>45440</v>
      </c>
      <c r="D1119" s="21">
        <v>3650</v>
      </c>
    </row>
    <row r="1120" spans="1:4">
      <c r="A1120" s="18" t="s">
        <v>29</v>
      </c>
      <c r="B1120" s="18" t="s">
        <v>118</v>
      </c>
      <c r="C1120" s="20">
        <v>45366</v>
      </c>
      <c r="D1120" s="21">
        <v>1848</v>
      </c>
    </row>
    <row r="1121" spans="1:4">
      <c r="A1121" s="18" t="s">
        <v>29</v>
      </c>
      <c r="B1121" s="18" t="s">
        <v>118</v>
      </c>
      <c r="C1121" s="20">
        <v>45315</v>
      </c>
      <c r="D1121" s="21">
        <v>9640</v>
      </c>
    </row>
    <row r="1122" spans="1:4">
      <c r="A1122" s="18" t="s">
        <v>29</v>
      </c>
      <c r="B1122" s="18" t="s">
        <v>118</v>
      </c>
      <c r="C1122" s="20">
        <v>45480</v>
      </c>
      <c r="D1122" s="21">
        <v>10685</v>
      </c>
    </row>
    <row r="1123" spans="1:4">
      <c r="A1123" s="18" t="s">
        <v>29</v>
      </c>
      <c r="B1123" s="18" t="s">
        <v>118</v>
      </c>
      <c r="C1123" s="20">
        <v>45475</v>
      </c>
      <c r="D1123" s="21">
        <v>3292</v>
      </c>
    </row>
    <row r="1124" spans="1:4">
      <c r="A1124" s="18" t="s">
        <v>29</v>
      </c>
      <c r="B1124" s="18" t="s">
        <v>118</v>
      </c>
      <c r="C1124" s="20">
        <v>45488</v>
      </c>
      <c r="D1124" s="21">
        <v>13117</v>
      </c>
    </row>
    <row r="1125" spans="1:4">
      <c r="A1125" s="18" t="s">
        <v>29</v>
      </c>
      <c r="B1125" s="18" t="s">
        <v>118</v>
      </c>
      <c r="C1125" s="20">
        <v>45535</v>
      </c>
      <c r="D1125" s="21">
        <v>5679</v>
      </c>
    </row>
    <row r="1126" spans="1:4">
      <c r="A1126" s="18" t="s">
        <v>27</v>
      </c>
      <c r="B1126" s="18" t="s">
        <v>119</v>
      </c>
      <c r="C1126" s="20">
        <v>45494</v>
      </c>
      <c r="D1126" s="21">
        <v>1373</v>
      </c>
    </row>
    <row r="1127" spans="1:4">
      <c r="A1127" s="18" t="s">
        <v>27</v>
      </c>
      <c r="B1127" s="18" t="s">
        <v>119</v>
      </c>
      <c r="C1127" s="20">
        <v>45591</v>
      </c>
      <c r="D1127" s="21">
        <v>10833</v>
      </c>
    </row>
    <row r="1128" spans="1:4">
      <c r="A1128" s="18" t="s">
        <v>27</v>
      </c>
      <c r="B1128" s="18" t="s">
        <v>119</v>
      </c>
      <c r="C1128" s="20">
        <v>45497</v>
      </c>
      <c r="D1128" s="21">
        <v>19540</v>
      </c>
    </row>
    <row r="1129" spans="1:4">
      <c r="A1129" s="18" t="s">
        <v>27</v>
      </c>
      <c r="B1129" s="18" t="s">
        <v>119</v>
      </c>
      <c r="C1129" s="20">
        <v>45404</v>
      </c>
      <c r="D1129" s="21">
        <v>13127</v>
      </c>
    </row>
    <row r="1130" spans="1:4">
      <c r="A1130" s="18" t="s">
        <v>27</v>
      </c>
      <c r="B1130" s="18" t="s">
        <v>119</v>
      </c>
      <c r="C1130" s="20">
        <v>45622</v>
      </c>
      <c r="D1130" s="21">
        <v>19771</v>
      </c>
    </row>
    <row r="1131" spans="1:4">
      <c r="A1131" s="18" t="s">
        <v>27</v>
      </c>
      <c r="B1131" s="18" t="s">
        <v>119</v>
      </c>
      <c r="C1131" s="20">
        <v>45615</v>
      </c>
      <c r="D1131" s="21">
        <v>9288</v>
      </c>
    </row>
    <row r="1132" spans="1:4">
      <c r="A1132" s="18" t="s">
        <v>27</v>
      </c>
      <c r="B1132" s="18" t="s">
        <v>119</v>
      </c>
      <c r="C1132" s="20">
        <v>45429</v>
      </c>
      <c r="D1132" s="21">
        <v>18787</v>
      </c>
    </row>
    <row r="1133" spans="1:4">
      <c r="A1133" s="18" t="s">
        <v>27</v>
      </c>
      <c r="B1133" s="18" t="s">
        <v>119</v>
      </c>
      <c r="C1133" s="20">
        <v>45303</v>
      </c>
      <c r="D1133" s="21">
        <v>2848</v>
      </c>
    </row>
    <row r="1134" spans="1:4">
      <c r="A1134" s="18" t="s">
        <v>27</v>
      </c>
      <c r="B1134" s="18" t="s">
        <v>120</v>
      </c>
      <c r="C1134" s="20">
        <v>45531</v>
      </c>
      <c r="D1134" s="21">
        <v>9012</v>
      </c>
    </row>
    <row r="1135" spans="1:4">
      <c r="A1135" s="18" t="s">
        <v>27</v>
      </c>
      <c r="B1135" s="18" t="s">
        <v>120</v>
      </c>
      <c r="C1135" s="20">
        <v>45353</v>
      </c>
      <c r="D1135" s="21">
        <v>17992</v>
      </c>
    </row>
    <row r="1136" spans="1:4">
      <c r="A1136" s="18" t="s">
        <v>27</v>
      </c>
      <c r="B1136" s="18" t="s">
        <v>120</v>
      </c>
      <c r="C1136" s="20">
        <v>45354</v>
      </c>
      <c r="D1136" s="21">
        <v>11771</v>
      </c>
    </row>
    <row r="1137" spans="1:4">
      <c r="A1137" s="18" t="s">
        <v>27</v>
      </c>
      <c r="B1137" s="18" t="s">
        <v>120</v>
      </c>
      <c r="C1137" s="20">
        <v>45601</v>
      </c>
      <c r="D1137" s="21">
        <v>10098</v>
      </c>
    </row>
    <row r="1138" spans="1:4">
      <c r="A1138" s="18" t="s">
        <v>27</v>
      </c>
      <c r="B1138" s="18" t="s">
        <v>120</v>
      </c>
      <c r="C1138" s="20">
        <v>45496</v>
      </c>
      <c r="D1138" s="21">
        <v>4493</v>
      </c>
    </row>
    <row r="1139" spans="1:4">
      <c r="A1139" s="18" t="s">
        <v>27</v>
      </c>
      <c r="B1139" s="18" t="s">
        <v>120</v>
      </c>
      <c r="C1139" s="20">
        <v>45615</v>
      </c>
      <c r="D1139" s="21">
        <v>10569</v>
      </c>
    </row>
    <row r="1140" spans="1:4">
      <c r="A1140" s="18" t="s">
        <v>27</v>
      </c>
      <c r="B1140" s="18" t="s">
        <v>120</v>
      </c>
      <c r="C1140" s="20">
        <v>45498</v>
      </c>
      <c r="D1140" s="21">
        <v>15839</v>
      </c>
    </row>
    <row r="1141" spans="1:4">
      <c r="A1141" s="18" t="s">
        <v>29</v>
      </c>
      <c r="B1141" s="18" t="s">
        <v>121</v>
      </c>
      <c r="C1141" s="20">
        <v>45314</v>
      </c>
      <c r="D1141" s="21">
        <v>3849</v>
      </c>
    </row>
    <row r="1142" spans="1:4">
      <c r="A1142" s="18" t="s">
        <v>29</v>
      </c>
      <c r="B1142" s="18" t="s">
        <v>121</v>
      </c>
      <c r="C1142" s="20">
        <v>45340</v>
      </c>
      <c r="D1142" s="21">
        <v>7905</v>
      </c>
    </row>
    <row r="1143" spans="1:4">
      <c r="A1143" s="18" t="s">
        <v>29</v>
      </c>
      <c r="B1143" s="18" t="s">
        <v>121</v>
      </c>
      <c r="C1143" s="20">
        <v>45338</v>
      </c>
      <c r="D1143" s="21">
        <v>3690</v>
      </c>
    </row>
    <row r="1144" spans="1:4">
      <c r="A1144" s="18" t="s">
        <v>29</v>
      </c>
      <c r="B1144" s="18" t="s">
        <v>121</v>
      </c>
      <c r="C1144" s="20">
        <v>45469</v>
      </c>
      <c r="D1144" s="21">
        <v>13178</v>
      </c>
    </row>
    <row r="1145" spans="1:4">
      <c r="A1145" s="18" t="s">
        <v>29</v>
      </c>
      <c r="B1145" s="18" t="s">
        <v>121</v>
      </c>
      <c r="C1145" s="20">
        <v>45621</v>
      </c>
      <c r="D1145" s="21">
        <v>6508</v>
      </c>
    </row>
    <row r="1146" spans="1:4">
      <c r="A1146" s="18" t="s">
        <v>29</v>
      </c>
      <c r="B1146" s="18" t="s">
        <v>121</v>
      </c>
      <c r="C1146" s="20">
        <v>45319</v>
      </c>
      <c r="D1146" s="21">
        <v>8397</v>
      </c>
    </row>
    <row r="1147" spans="1:4">
      <c r="A1147" s="18" t="s">
        <v>29</v>
      </c>
      <c r="B1147" s="18" t="s">
        <v>121</v>
      </c>
      <c r="C1147" s="20">
        <v>45527</v>
      </c>
      <c r="D1147" s="21">
        <v>8061</v>
      </c>
    </row>
    <row r="1148" spans="1:4">
      <c r="A1148" s="18" t="s">
        <v>25</v>
      </c>
      <c r="B1148" s="18" t="s">
        <v>122</v>
      </c>
      <c r="C1148" s="20">
        <v>45437</v>
      </c>
      <c r="D1148" s="21">
        <v>7151</v>
      </c>
    </row>
    <row r="1149" spans="1:4">
      <c r="A1149" s="18" t="s">
        <v>25</v>
      </c>
      <c r="B1149" s="18" t="s">
        <v>122</v>
      </c>
      <c r="C1149" s="20">
        <v>45352</v>
      </c>
      <c r="D1149" s="21">
        <v>4074</v>
      </c>
    </row>
    <row r="1150" spans="1:4">
      <c r="A1150" s="18" t="s">
        <v>25</v>
      </c>
      <c r="B1150" s="18" t="s">
        <v>122</v>
      </c>
      <c r="C1150" s="20">
        <v>45561</v>
      </c>
      <c r="D1150" s="21">
        <v>6369</v>
      </c>
    </row>
    <row r="1151" spans="1:4">
      <c r="A1151" s="18" t="s">
        <v>25</v>
      </c>
      <c r="B1151" s="18" t="s">
        <v>122</v>
      </c>
      <c r="C1151" s="20">
        <v>45425</v>
      </c>
      <c r="D1151" s="21">
        <v>10402</v>
      </c>
    </row>
    <row r="1152" spans="1:4">
      <c r="A1152" s="18" t="s">
        <v>25</v>
      </c>
      <c r="B1152" s="18" t="s">
        <v>122</v>
      </c>
      <c r="C1152" s="20">
        <v>45302</v>
      </c>
      <c r="D1152" s="21">
        <v>5147</v>
      </c>
    </row>
    <row r="1153" spans="1:4">
      <c r="A1153" s="18" t="s">
        <v>25</v>
      </c>
      <c r="B1153" s="18" t="s">
        <v>122</v>
      </c>
      <c r="C1153" s="20">
        <v>45462</v>
      </c>
      <c r="D1153" s="21">
        <v>16055</v>
      </c>
    </row>
    <row r="1154" spans="1:4">
      <c r="A1154" s="18" t="s">
        <v>25</v>
      </c>
      <c r="B1154" s="18" t="s">
        <v>122</v>
      </c>
      <c r="C1154" s="20">
        <v>45486</v>
      </c>
      <c r="D1154" s="21">
        <v>6152</v>
      </c>
    </row>
    <row r="1155" spans="1:4">
      <c r="A1155" s="18" t="s">
        <v>25</v>
      </c>
      <c r="B1155" s="18" t="s">
        <v>122</v>
      </c>
      <c r="C1155" s="20">
        <v>45635</v>
      </c>
      <c r="D1155" s="21">
        <v>14807</v>
      </c>
    </row>
    <row r="1156" spans="1:4">
      <c r="A1156" s="18" t="s">
        <v>25</v>
      </c>
      <c r="B1156" s="18" t="s">
        <v>122</v>
      </c>
      <c r="C1156" s="20">
        <v>45492</v>
      </c>
      <c r="D1156" s="21">
        <v>8735</v>
      </c>
    </row>
    <row r="1157" spans="1:4">
      <c r="A1157" s="18" t="s">
        <v>25</v>
      </c>
      <c r="B1157" s="18" t="s">
        <v>122</v>
      </c>
      <c r="C1157" s="20">
        <v>45516</v>
      </c>
      <c r="D1157" s="21">
        <v>4545</v>
      </c>
    </row>
    <row r="1158" spans="1:4">
      <c r="A1158" s="18" t="s">
        <v>25</v>
      </c>
      <c r="B1158" s="18" t="s">
        <v>122</v>
      </c>
      <c r="C1158" s="20">
        <v>45391</v>
      </c>
      <c r="D1158" s="21">
        <v>5883</v>
      </c>
    </row>
    <row r="1159" spans="1:4">
      <c r="A1159" s="18" t="s">
        <v>27</v>
      </c>
      <c r="B1159" s="18" t="s">
        <v>123</v>
      </c>
      <c r="C1159" s="20">
        <v>45613</v>
      </c>
      <c r="D1159" s="21">
        <v>13183</v>
      </c>
    </row>
    <row r="1160" spans="1:4">
      <c r="A1160" s="18" t="s">
        <v>27</v>
      </c>
      <c r="B1160" s="18" t="s">
        <v>123</v>
      </c>
      <c r="C1160" s="20">
        <v>45531</v>
      </c>
      <c r="D1160" s="21">
        <v>1983</v>
      </c>
    </row>
    <row r="1161" spans="1:4">
      <c r="A1161" s="18" t="s">
        <v>27</v>
      </c>
      <c r="B1161" s="18" t="s">
        <v>123</v>
      </c>
      <c r="C1161" s="20">
        <v>45453</v>
      </c>
      <c r="D1161" s="21">
        <v>13865</v>
      </c>
    </row>
    <row r="1162" spans="1:4">
      <c r="A1162" s="18" t="s">
        <v>27</v>
      </c>
      <c r="B1162" s="18" t="s">
        <v>123</v>
      </c>
      <c r="C1162" s="20">
        <v>45612</v>
      </c>
      <c r="D1162" s="21">
        <v>6198</v>
      </c>
    </row>
    <row r="1163" spans="1:4">
      <c r="A1163" s="18" t="s">
        <v>27</v>
      </c>
      <c r="B1163" s="18" t="s">
        <v>123</v>
      </c>
      <c r="C1163" s="20">
        <v>45337</v>
      </c>
      <c r="D1163" s="21">
        <v>5041</v>
      </c>
    </row>
    <row r="1164" spans="1:4">
      <c r="A1164" s="18" t="s">
        <v>27</v>
      </c>
      <c r="B1164" s="18" t="s">
        <v>123</v>
      </c>
      <c r="C1164" s="20">
        <v>45390</v>
      </c>
      <c r="D1164" s="21">
        <v>21451</v>
      </c>
    </row>
    <row r="1165" spans="1:4">
      <c r="A1165" s="18" t="s">
        <v>27</v>
      </c>
      <c r="B1165" s="18" t="s">
        <v>123</v>
      </c>
      <c r="C1165" s="20">
        <v>45556</v>
      </c>
      <c r="D1165" s="21">
        <v>8990</v>
      </c>
    </row>
    <row r="1166" spans="1:4">
      <c r="A1166" s="18" t="s">
        <v>29</v>
      </c>
      <c r="B1166" s="18" t="s">
        <v>124</v>
      </c>
      <c r="C1166" s="20">
        <v>45564</v>
      </c>
      <c r="D1166" s="21">
        <v>17850</v>
      </c>
    </row>
    <row r="1167" spans="1:4">
      <c r="A1167" s="18" t="s">
        <v>29</v>
      </c>
      <c r="B1167" s="18" t="s">
        <v>124</v>
      </c>
      <c r="C1167" s="20">
        <v>45627</v>
      </c>
      <c r="D1167" s="21">
        <v>11237</v>
      </c>
    </row>
    <row r="1168" spans="1:4">
      <c r="A1168" s="18" t="s">
        <v>29</v>
      </c>
      <c r="B1168" s="18" t="s">
        <v>124</v>
      </c>
      <c r="C1168" s="20">
        <v>45639</v>
      </c>
      <c r="D1168" s="21">
        <v>6641</v>
      </c>
    </row>
    <row r="1169" spans="1:4">
      <c r="A1169" s="18" t="s">
        <v>29</v>
      </c>
      <c r="B1169" s="18" t="s">
        <v>124</v>
      </c>
      <c r="C1169" s="20">
        <v>45439</v>
      </c>
      <c r="D1169" s="21">
        <v>14160</v>
      </c>
    </row>
    <row r="1170" spans="1:4">
      <c r="A1170" s="18" t="s">
        <v>29</v>
      </c>
      <c r="B1170" s="18" t="s">
        <v>124</v>
      </c>
      <c r="C1170" s="20">
        <v>45530</v>
      </c>
      <c r="D1170" s="21">
        <v>12788</v>
      </c>
    </row>
    <row r="1171" spans="1:4">
      <c r="A1171" s="18" t="s">
        <v>29</v>
      </c>
      <c r="B1171" s="18" t="s">
        <v>124</v>
      </c>
      <c r="C1171" s="20">
        <v>45352</v>
      </c>
      <c r="D1171" s="21">
        <v>16075</v>
      </c>
    </row>
    <row r="1172" spans="1:4">
      <c r="A1172" s="18" t="s">
        <v>29</v>
      </c>
      <c r="B1172" s="18" t="s">
        <v>124</v>
      </c>
      <c r="C1172" s="20">
        <v>45499</v>
      </c>
      <c r="D1172" s="21">
        <v>13725</v>
      </c>
    </row>
    <row r="1173" spans="1:4">
      <c r="A1173" s="18" t="s">
        <v>29</v>
      </c>
      <c r="B1173" s="18" t="s">
        <v>124</v>
      </c>
      <c r="C1173" s="20">
        <v>45582</v>
      </c>
      <c r="D1173" s="21">
        <v>20539</v>
      </c>
    </row>
    <row r="1174" spans="1:4">
      <c r="A1174" s="18" t="s">
        <v>27</v>
      </c>
      <c r="B1174" s="18" t="s">
        <v>125</v>
      </c>
      <c r="C1174" s="20">
        <v>45614</v>
      </c>
      <c r="D1174" s="21">
        <v>6821</v>
      </c>
    </row>
    <row r="1175" spans="1:4">
      <c r="A1175" s="18" t="s">
        <v>27</v>
      </c>
      <c r="B1175" s="18" t="s">
        <v>125</v>
      </c>
      <c r="C1175" s="20">
        <v>45555</v>
      </c>
      <c r="D1175" s="21">
        <v>3191</v>
      </c>
    </row>
    <row r="1176" spans="1:4">
      <c r="A1176" s="18" t="s">
        <v>27</v>
      </c>
      <c r="B1176" s="18" t="s">
        <v>125</v>
      </c>
      <c r="C1176" s="20">
        <v>45373</v>
      </c>
      <c r="D1176" s="21">
        <v>16898</v>
      </c>
    </row>
    <row r="1177" spans="1:4">
      <c r="A1177" s="18" t="s">
        <v>27</v>
      </c>
      <c r="B1177" s="18" t="s">
        <v>125</v>
      </c>
      <c r="C1177" s="20">
        <v>45517</v>
      </c>
      <c r="D1177" s="21">
        <v>2047</v>
      </c>
    </row>
    <row r="1178" spans="1:4">
      <c r="A1178" s="18" t="s">
        <v>27</v>
      </c>
      <c r="B1178" s="18" t="s">
        <v>125</v>
      </c>
      <c r="C1178" s="20">
        <v>45567</v>
      </c>
      <c r="D1178" s="21">
        <v>15494</v>
      </c>
    </row>
    <row r="1179" spans="1:4">
      <c r="A1179" s="18" t="s">
        <v>27</v>
      </c>
      <c r="B1179" s="18" t="s">
        <v>125</v>
      </c>
      <c r="C1179" s="20">
        <v>45625</v>
      </c>
      <c r="D1179" s="21">
        <v>14084</v>
      </c>
    </row>
    <row r="1180" spans="1:4">
      <c r="A1180" s="18" t="s">
        <v>27</v>
      </c>
      <c r="B1180" s="18" t="s">
        <v>125</v>
      </c>
      <c r="C1180" s="20">
        <v>45391</v>
      </c>
      <c r="D1180" s="21">
        <v>15335</v>
      </c>
    </row>
    <row r="1181" spans="1:4">
      <c r="A1181" s="18" t="s">
        <v>27</v>
      </c>
      <c r="B1181" s="18" t="s">
        <v>125</v>
      </c>
      <c r="C1181" s="20">
        <v>45301</v>
      </c>
      <c r="D1181" s="21">
        <v>9022</v>
      </c>
    </row>
    <row r="1182" spans="1:4">
      <c r="A1182" s="18" t="s">
        <v>25</v>
      </c>
      <c r="B1182" s="18" t="s">
        <v>126</v>
      </c>
      <c r="C1182" s="20">
        <v>45421</v>
      </c>
      <c r="D1182" s="21">
        <v>10565</v>
      </c>
    </row>
    <row r="1183" spans="1:4">
      <c r="A1183" s="18" t="s">
        <v>25</v>
      </c>
      <c r="B1183" s="18" t="s">
        <v>126</v>
      </c>
      <c r="C1183" s="20">
        <v>45462</v>
      </c>
      <c r="D1183" s="21">
        <v>16849</v>
      </c>
    </row>
    <row r="1184" spans="1:4">
      <c r="A1184" s="18" t="s">
        <v>25</v>
      </c>
      <c r="B1184" s="18" t="s">
        <v>126</v>
      </c>
      <c r="C1184" s="20">
        <v>45530</v>
      </c>
      <c r="D1184" s="21">
        <v>10501</v>
      </c>
    </row>
    <row r="1185" spans="1:4">
      <c r="A1185" s="18" t="s">
        <v>25</v>
      </c>
      <c r="B1185" s="18" t="s">
        <v>126</v>
      </c>
      <c r="C1185" s="20">
        <v>45549</v>
      </c>
      <c r="D1185" s="21">
        <v>4433</v>
      </c>
    </row>
    <row r="1186" spans="1:4">
      <c r="A1186" s="18" t="s">
        <v>25</v>
      </c>
      <c r="B1186" s="18" t="s">
        <v>126</v>
      </c>
      <c r="C1186" s="20">
        <v>45319</v>
      </c>
      <c r="D1186" s="21">
        <v>15459</v>
      </c>
    </row>
    <row r="1187" spans="1:4">
      <c r="A1187" s="18" t="s">
        <v>25</v>
      </c>
      <c r="B1187" s="18" t="s">
        <v>126</v>
      </c>
      <c r="C1187" s="20">
        <v>45555</v>
      </c>
      <c r="D1187" s="21">
        <v>11434</v>
      </c>
    </row>
    <row r="1188" spans="1:4">
      <c r="A1188" s="18" t="s">
        <v>25</v>
      </c>
      <c r="B1188" s="18" t="s">
        <v>126</v>
      </c>
      <c r="C1188" s="20">
        <v>45327</v>
      </c>
      <c r="D1188" s="21">
        <v>1967</v>
      </c>
    </row>
    <row r="1189" spans="1:4">
      <c r="A1189" s="18" t="s">
        <v>25</v>
      </c>
      <c r="B1189" s="18" t="s">
        <v>126</v>
      </c>
      <c r="C1189" s="20">
        <v>45629</v>
      </c>
      <c r="D1189" s="21">
        <v>9145</v>
      </c>
    </row>
    <row r="1190" spans="1:4">
      <c r="A1190" s="18" t="s">
        <v>25</v>
      </c>
      <c r="B1190" s="18" t="s">
        <v>126</v>
      </c>
      <c r="C1190" s="20">
        <v>45368</v>
      </c>
      <c r="D1190" s="21">
        <v>1402</v>
      </c>
    </row>
    <row r="1191" spans="1:4">
      <c r="A1191" s="18" t="s">
        <v>25</v>
      </c>
      <c r="B1191" s="18" t="s">
        <v>126</v>
      </c>
      <c r="C1191" s="20">
        <v>45548</v>
      </c>
      <c r="D1191" s="21">
        <v>2246</v>
      </c>
    </row>
    <row r="1192" spans="1:4">
      <c r="A1192" s="18" t="s">
        <v>25</v>
      </c>
      <c r="B1192" s="18" t="s">
        <v>127</v>
      </c>
      <c r="C1192" s="20">
        <v>45305</v>
      </c>
      <c r="D1192" s="21">
        <v>15414</v>
      </c>
    </row>
    <row r="1193" spans="1:4">
      <c r="A1193" s="18" t="s">
        <v>25</v>
      </c>
      <c r="B1193" s="18" t="s">
        <v>127</v>
      </c>
      <c r="C1193" s="20">
        <v>45628</v>
      </c>
      <c r="D1193" s="21">
        <v>17873</v>
      </c>
    </row>
    <row r="1194" spans="1:4">
      <c r="A1194" s="18" t="s">
        <v>25</v>
      </c>
      <c r="B1194" s="18" t="s">
        <v>127</v>
      </c>
      <c r="C1194" s="20">
        <v>45583</v>
      </c>
      <c r="D1194" s="21">
        <v>17290</v>
      </c>
    </row>
    <row r="1195" spans="1:4">
      <c r="A1195" s="18" t="s">
        <v>25</v>
      </c>
      <c r="B1195" s="18" t="s">
        <v>127</v>
      </c>
      <c r="C1195" s="20">
        <v>45625</v>
      </c>
      <c r="D1195" s="21">
        <v>13510</v>
      </c>
    </row>
    <row r="1196" spans="1:4">
      <c r="A1196" s="18" t="s">
        <v>25</v>
      </c>
      <c r="B1196" s="18" t="s">
        <v>127</v>
      </c>
      <c r="C1196" s="20">
        <v>45319</v>
      </c>
      <c r="D1196" s="21">
        <v>19177</v>
      </c>
    </row>
    <row r="1197" spans="1:4">
      <c r="A1197" s="18" t="s">
        <v>25</v>
      </c>
      <c r="B1197" s="18" t="s">
        <v>127</v>
      </c>
      <c r="C1197" s="20">
        <v>45602</v>
      </c>
      <c r="D1197" s="21">
        <v>17804</v>
      </c>
    </row>
    <row r="1198" spans="1:4">
      <c r="A1198" s="18" t="s">
        <v>25</v>
      </c>
      <c r="B1198" s="18" t="s">
        <v>127</v>
      </c>
      <c r="C1198" s="20">
        <v>45481</v>
      </c>
      <c r="D1198" s="21">
        <v>13277</v>
      </c>
    </row>
    <row r="1199" spans="1:4">
      <c r="A1199" s="18" t="s">
        <v>25</v>
      </c>
      <c r="B1199" s="18" t="s">
        <v>127</v>
      </c>
      <c r="C1199" s="20">
        <v>45419</v>
      </c>
      <c r="D1199" s="21">
        <v>14829</v>
      </c>
    </row>
    <row r="1200" spans="1:4">
      <c r="A1200" s="18" t="s">
        <v>25</v>
      </c>
      <c r="B1200" s="18" t="s">
        <v>127</v>
      </c>
      <c r="C1200" s="20">
        <v>45623</v>
      </c>
      <c r="D1200" s="21">
        <v>3000</v>
      </c>
    </row>
    <row r="1201" spans="1:4">
      <c r="A1201" s="18" t="s">
        <v>25</v>
      </c>
      <c r="B1201" s="18" t="s">
        <v>127</v>
      </c>
      <c r="C1201" s="20">
        <v>45453</v>
      </c>
      <c r="D1201" s="21">
        <v>3757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2223-1836-4EC3-96CC-A008E01FC8CF}">
  <sheetPr>
    <tabColor rgb="FF7030A0"/>
  </sheetPr>
  <dimension ref="B6:M2407"/>
  <sheetViews>
    <sheetView showGridLines="0" topLeftCell="A1188" workbookViewId="0">
      <selection activeCell="B1208" sqref="B1208"/>
    </sheetView>
  </sheetViews>
  <sheetFormatPr defaultColWidth="9" defaultRowHeight="13.9"/>
  <cols>
    <col min="1" max="1" width="9" style="23"/>
    <col min="2" max="2" width="18" style="23" customWidth="1"/>
    <col min="3" max="3" width="9" style="23"/>
    <col min="4" max="4" width="35.42578125" style="23" bestFit="1" customWidth="1"/>
    <col min="5" max="5" width="23.42578125" style="23" customWidth="1"/>
    <col min="6" max="6" width="20.5703125" style="23" customWidth="1"/>
    <col min="7" max="7" width="20" style="24" customWidth="1"/>
    <col min="8" max="8" width="23.5703125" style="27" customWidth="1"/>
    <col min="9" max="9" width="17.42578125" style="27" bestFit="1" customWidth="1"/>
    <col min="10" max="12" width="9" style="23"/>
    <col min="13" max="13" width="10.140625" style="23" bestFit="1" customWidth="1"/>
    <col min="14" max="16384" width="9" style="23"/>
  </cols>
  <sheetData>
    <row r="6" spans="2:13">
      <c r="H6" s="27">
        <f>SUM(H8:H2407)</f>
        <v>18202582.589999992</v>
      </c>
    </row>
    <row r="7" spans="2:13">
      <c r="D7" s="59" t="s">
        <v>129</v>
      </c>
      <c r="E7" s="25" t="s">
        <v>21</v>
      </c>
      <c r="F7" s="25" t="s">
        <v>22</v>
      </c>
      <c r="G7" s="26" t="s">
        <v>23</v>
      </c>
      <c r="H7" s="28" t="s">
        <v>24</v>
      </c>
      <c r="I7" s="28" t="s">
        <v>130</v>
      </c>
    </row>
    <row r="8" spans="2:13">
      <c r="B8" s="23" t="s">
        <v>131</v>
      </c>
      <c r="C8" s="23" cm="1">
        <f t="array" ref="C8:C1207">_xlfn.SEQUENCE(COUNTA(Contributions_Data!A2:A1201))</f>
        <v>1</v>
      </c>
      <c r="D8" s="23" t="s">
        <v>132</v>
      </c>
      <c r="E8" s="23" t="str">
        <f>Contributions_Data!A2</f>
        <v>DA-003</v>
      </c>
      <c r="F8" s="23" t="str">
        <f>Contributions_Data!B2</f>
        <v>DA-003-M0001</v>
      </c>
      <c r="G8" s="24">
        <f>Contributions_Data!C2</f>
        <v>45456</v>
      </c>
      <c r="H8" s="27">
        <f>Contributions_Data!D2</f>
        <v>15261.14</v>
      </c>
      <c r="I8" s="27">
        <v>0</v>
      </c>
    </row>
    <row r="9" spans="2:13">
      <c r="C9" s="23">
        <v>2</v>
      </c>
      <c r="D9" s="23" t="s">
        <v>132</v>
      </c>
      <c r="E9" s="23" t="str">
        <f>Contributions_Data!A3</f>
        <v>DA-003</v>
      </c>
      <c r="F9" s="23" t="str">
        <f>Contributions_Data!B3</f>
        <v>DA-003-M0001</v>
      </c>
      <c r="G9" s="24">
        <f>Contributions_Data!C3</f>
        <v>45502</v>
      </c>
      <c r="H9" s="27">
        <f>Contributions_Data!D3</f>
        <v>14102.98</v>
      </c>
      <c r="I9" s="27">
        <v>0</v>
      </c>
    </row>
    <row r="10" spans="2:13">
      <c r="C10" s="23">
        <v>3</v>
      </c>
      <c r="D10" s="23" t="s">
        <v>132</v>
      </c>
      <c r="E10" s="23" t="str">
        <f>Contributions_Data!A4</f>
        <v>DA-003</v>
      </c>
      <c r="F10" s="23" t="str">
        <f>Contributions_Data!B4</f>
        <v>DA-003-M0001</v>
      </c>
      <c r="G10" s="24">
        <f>Contributions_Data!C4</f>
        <v>45401</v>
      </c>
      <c r="H10" s="27">
        <f>Contributions_Data!D4</f>
        <v>9037.2900000000009</v>
      </c>
      <c r="I10" s="27">
        <v>0</v>
      </c>
    </row>
    <row r="11" spans="2:13">
      <c r="C11" s="23">
        <v>4</v>
      </c>
      <c r="D11" s="23" t="s">
        <v>132</v>
      </c>
      <c r="E11" s="23" t="str">
        <f>Contributions_Data!A5</f>
        <v>DA-003</v>
      </c>
      <c r="F11" s="23" t="str">
        <f>Contributions_Data!B5</f>
        <v>DA-003-M0001</v>
      </c>
      <c r="G11" s="24">
        <f>Contributions_Data!C5</f>
        <v>45644</v>
      </c>
      <c r="H11" s="27">
        <f>Contributions_Data!D5</f>
        <v>14340.98</v>
      </c>
      <c r="I11" s="27">
        <v>0</v>
      </c>
    </row>
    <row r="12" spans="2:13">
      <c r="C12" s="23">
        <v>5</v>
      </c>
      <c r="D12" s="23" t="s">
        <v>132</v>
      </c>
      <c r="E12" s="23" t="str">
        <f>Contributions_Data!A6</f>
        <v>DA-003</v>
      </c>
      <c r="F12" s="23" t="str">
        <f>Contributions_Data!B6</f>
        <v>DA-003-M0001</v>
      </c>
      <c r="G12" s="24">
        <f>Contributions_Data!C6</f>
        <v>45548</v>
      </c>
      <c r="H12" s="27">
        <f>Contributions_Data!D6</f>
        <v>16071.34</v>
      </c>
      <c r="I12" s="27">
        <v>0</v>
      </c>
      <c r="M12" s="24"/>
    </row>
    <row r="13" spans="2:13">
      <c r="C13" s="23">
        <v>6</v>
      </c>
      <c r="D13" s="23" t="s">
        <v>132</v>
      </c>
      <c r="E13" s="23" t="str">
        <f>Contributions_Data!A7</f>
        <v>DA-003</v>
      </c>
      <c r="F13" s="23" t="str">
        <f>Contributions_Data!B7</f>
        <v>DA-003-M0001</v>
      </c>
      <c r="G13" s="24">
        <f>Contributions_Data!C7</f>
        <v>45508</v>
      </c>
      <c r="H13" s="27">
        <f>Contributions_Data!D7</f>
        <v>19433.68</v>
      </c>
      <c r="I13" s="27">
        <v>0</v>
      </c>
      <c r="M13" s="24"/>
    </row>
    <row r="14" spans="2:13">
      <c r="C14" s="23">
        <v>7</v>
      </c>
      <c r="D14" s="23" t="s">
        <v>132</v>
      </c>
      <c r="E14" s="23" t="str">
        <f>Contributions_Data!A8</f>
        <v>DA-003</v>
      </c>
      <c r="F14" s="23" t="str">
        <f>Contributions_Data!B8</f>
        <v>DA-003-M0001</v>
      </c>
      <c r="G14" s="24">
        <f>Contributions_Data!C8</f>
        <v>45440</v>
      </c>
      <c r="H14" s="27">
        <f>Contributions_Data!D8</f>
        <v>12574.52</v>
      </c>
      <c r="I14" s="27">
        <v>0</v>
      </c>
    </row>
    <row r="15" spans="2:13">
      <c r="C15" s="23">
        <v>8</v>
      </c>
      <c r="D15" s="23" t="s">
        <v>132</v>
      </c>
      <c r="E15" s="23" t="str">
        <f>Contributions_Data!A9</f>
        <v>DA-003</v>
      </c>
      <c r="F15" s="23" t="str">
        <f>Contributions_Data!B9</f>
        <v>DA-003-M0001</v>
      </c>
      <c r="G15" s="24">
        <f>Contributions_Data!C9</f>
        <v>45344</v>
      </c>
      <c r="H15" s="27">
        <f>Contributions_Data!D9</f>
        <v>13494.73</v>
      </c>
      <c r="I15" s="27">
        <v>0</v>
      </c>
    </row>
    <row r="16" spans="2:13">
      <c r="C16" s="23">
        <v>9</v>
      </c>
      <c r="D16" s="23" t="s">
        <v>132</v>
      </c>
      <c r="E16" s="23" t="str">
        <f>Contributions_Data!A10</f>
        <v>DA-003</v>
      </c>
      <c r="F16" s="23" t="str">
        <f>Contributions_Data!B10</f>
        <v>DA-003-M0001</v>
      </c>
      <c r="G16" s="24">
        <f>Contributions_Data!C10</f>
        <v>45307</v>
      </c>
      <c r="H16" s="27">
        <f>Contributions_Data!D10</f>
        <v>15986.25</v>
      </c>
      <c r="I16" s="27">
        <v>0</v>
      </c>
    </row>
    <row r="17" spans="3:9">
      <c r="C17" s="23">
        <v>10</v>
      </c>
      <c r="D17" s="23" t="s">
        <v>132</v>
      </c>
      <c r="E17" s="23" t="str">
        <f>Contributions_Data!A11</f>
        <v>DA-003</v>
      </c>
      <c r="F17" s="23" t="str">
        <f>Contributions_Data!B11</f>
        <v>DA-003-M0001</v>
      </c>
      <c r="G17" s="24">
        <f>Contributions_Data!C11</f>
        <v>45387</v>
      </c>
      <c r="H17" s="27">
        <f>Contributions_Data!D11</f>
        <v>13410.72</v>
      </c>
      <c r="I17" s="27">
        <v>0</v>
      </c>
    </row>
    <row r="18" spans="3:9">
      <c r="C18" s="23">
        <v>11</v>
      </c>
      <c r="D18" s="23" t="s">
        <v>132</v>
      </c>
      <c r="E18" s="23" t="str">
        <f>Contributions_Data!A12</f>
        <v>DA-003</v>
      </c>
      <c r="F18" s="23" t="str">
        <f>Contributions_Data!B12</f>
        <v>DA-003-M0001</v>
      </c>
      <c r="G18" s="24">
        <f>Contributions_Data!C12</f>
        <v>45310</v>
      </c>
      <c r="H18" s="27">
        <f>Contributions_Data!D12</f>
        <v>16539.8</v>
      </c>
      <c r="I18" s="27">
        <v>0</v>
      </c>
    </row>
    <row r="19" spans="3:9">
      <c r="C19" s="23">
        <v>12</v>
      </c>
      <c r="D19" s="23" t="s">
        <v>132</v>
      </c>
      <c r="E19" s="23" t="str">
        <f>Contributions_Data!A13</f>
        <v>DA-003</v>
      </c>
      <c r="F19" s="23" t="str">
        <f>Contributions_Data!B13</f>
        <v>DA-003-M0001</v>
      </c>
      <c r="G19" s="24">
        <f>Contributions_Data!C13</f>
        <v>45463</v>
      </c>
      <c r="H19" s="27">
        <f>Contributions_Data!D13</f>
        <v>15291.23</v>
      </c>
      <c r="I19" s="27">
        <v>0</v>
      </c>
    </row>
    <row r="20" spans="3:9">
      <c r="C20" s="23">
        <v>13</v>
      </c>
      <c r="D20" s="23" t="s">
        <v>132</v>
      </c>
      <c r="E20" s="23" t="str">
        <f>Contributions_Data!A14</f>
        <v>DA-001</v>
      </c>
      <c r="F20" s="23" t="str">
        <f>Contributions_Data!B14</f>
        <v>DA-001-M0002</v>
      </c>
      <c r="G20" s="24">
        <f>Contributions_Data!C14</f>
        <v>45591</v>
      </c>
      <c r="H20" s="27">
        <f>Contributions_Data!D14</f>
        <v>12893.84</v>
      </c>
      <c r="I20" s="27">
        <v>0</v>
      </c>
    </row>
    <row r="21" spans="3:9">
      <c r="C21" s="23">
        <v>14</v>
      </c>
      <c r="D21" s="23" t="s">
        <v>132</v>
      </c>
      <c r="E21" s="23" t="str">
        <f>Contributions_Data!A15</f>
        <v>DA-001</v>
      </c>
      <c r="F21" s="23" t="str">
        <f>Contributions_Data!B15</f>
        <v>DA-001-M0002</v>
      </c>
      <c r="G21" s="24">
        <f>Contributions_Data!C15</f>
        <v>45583</v>
      </c>
      <c r="H21" s="27">
        <f>Contributions_Data!D15</f>
        <v>14017.01</v>
      </c>
      <c r="I21" s="27">
        <v>0</v>
      </c>
    </row>
    <row r="22" spans="3:9">
      <c r="C22" s="23">
        <v>15</v>
      </c>
      <c r="D22" s="23" t="s">
        <v>132</v>
      </c>
      <c r="E22" s="23" t="str">
        <f>Contributions_Data!A16</f>
        <v>DA-001</v>
      </c>
      <c r="F22" s="23" t="str">
        <f>Contributions_Data!B16</f>
        <v>DA-001-M0002</v>
      </c>
      <c r="G22" s="24">
        <f>Contributions_Data!C16</f>
        <v>45618</v>
      </c>
      <c r="H22" s="27">
        <f>Contributions_Data!D16</f>
        <v>13823.68</v>
      </c>
      <c r="I22" s="27">
        <v>0</v>
      </c>
    </row>
    <row r="23" spans="3:9">
      <c r="C23" s="23">
        <v>16</v>
      </c>
      <c r="D23" s="23" t="s">
        <v>132</v>
      </c>
      <c r="E23" s="23" t="str">
        <f>Contributions_Data!A17</f>
        <v>DA-001</v>
      </c>
      <c r="F23" s="23" t="str">
        <f>Contributions_Data!B17</f>
        <v>DA-001-M0002</v>
      </c>
      <c r="G23" s="24">
        <f>Contributions_Data!C17</f>
        <v>45351</v>
      </c>
      <c r="H23" s="27">
        <f>Contributions_Data!D17</f>
        <v>15888.36</v>
      </c>
      <c r="I23" s="27">
        <v>0</v>
      </c>
    </row>
    <row r="24" spans="3:9">
      <c r="C24" s="23">
        <v>17</v>
      </c>
      <c r="D24" s="23" t="s">
        <v>132</v>
      </c>
      <c r="E24" s="23" t="str">
        <f>Contributions_Data!A18</f>
        <v>DA-001</v>
      </c>
      <c r="F24" s="23" t="str">
        <f>Contributions_Data!B18</f>
        <v>DA-001-M0002</v>
      </c>
      <c r="G24" s="24">
        <f>Contributions_Data!C18</f>
        <v>45322</v>
      </c>
      <c r="H24" s="27">
        <f>Contributions_Data!D18</f>
        <v>15783.17</v>
      </c>
      <c r="I24" s="27">
        <v>0</v>
      </c>
    </row>
    <row r="25" spans="3:9">
      <c r="C25" s="23">
        <v>18</v>
      </c>
      <c r="D25" s="23" t="s">
        <v>132</v>
      </c>
      <c r="E25" s="23" t="str">
        <f>Contributions_Data!A19</f>
        <v>DA-001</v>
      </c>
      <c r="F25" s="23" t="str">
        <f>Contributions_Data!B19</f>
        <v>DA-001-M0002</v>
      </c>
      <c r="G25" s="24">
        <f>Contributions_Data!C19</f>
        <v>45507</v>
      </c>
      <c r="H25" s="27">
        <f>Contributions_Data!D19</f>
        <v>15015.34</v>
      </c>
      <c r="I25" s="27">
        <v>0</v>
      </c>
    </row>
    <row r="26" spans="3:9">
      <c r="C26" s="23">
        <v>19</v>
      </c>
      <c r="D26" s="23" t="s">
        <v>132</v>
      </c>
      <c r="E26" s="23" t="str">
        <f>Contributions_Data!A20</f>
        <v>DA-001</v>
      </c>
      <c r="F26" s="23" t="str">
        <f>Contributions_Data!B20</f>
        <v>DA-001-M0002</v>
      </c>
      <c r="G26" s="24">
        <f>Contributions_Data!C20</f>
        <v>45608</v>
      </c>
      <c r="H26" s="27">
        <f>Contributions_Data!D20</f>
        <v>14296.24</v>
      </c>
      <c r="I26" s="27">
        <v>0</v>
      </c>
    </row>
    <row r="27" spans="3:9">
      <c r="C27" s="23">
        <v>20</v>
      </c>
      <c r="D27" s="23" t="s">
        <v>132</v>
      </c>
      <c r="E27" s="23" t="str">
        <f>Contributions_Data!A21</f>
        <v>DA-001</v>
      </c>
      <c r="F27" s="23" t="str">
        <f>Contributions_Data!B21</f>
        <v>DA-001-M0002</v>
      </c>
      <c r="G27" s="24">
        <f>Contributions_Data!C21</f>
        <v>45513</v>
      </c>
      <c r="H27" s="27">
        <f>Contributions_Data!D21</f>
        <v>10753.89</v>
      </c>
      <c r="I27" s="27">
        <v>0</v>
      </c>
    </row>
    <row r="28" spans="3:9">
      <c r="C28" s="23">
        <v>21</v>
      </c>
      <c r="D28" s="23" t="s">
        <v>132</v>
      </c>
      <c r="E28" s="23" t="str">
        <f>Contributions_Data!A22</f>
        <v>DA-001</v>
      </c>
      <c r="F28" s="23" t="str">
        <f>Contributions_Data!B22</f>
        <v>DA-001-M0002</v>
      </c>
      <c r="G28" s="24">
        <f>Contributions_Data!C22</f>
        <v>45308</v>
      </c>
      <c r="H28" s="27">
        <f>Contributions_Data!D22</f>
        <v>13738.06</v>
      </c>
      <c r="I28" s="27">
        <v>0</v>
      </c>
    </row>
    <row r="29" spans="3:9">
      <c r="C29" s="23">
        <v>22</v>
      </c>
      <c r="D29" s="23" t="s">
        <v>132</v>
      </c>
      <c r="E29" s="23" t="str">
        <f>Contributions_Data!A23</f>
        <v>DA-001</v>
      </c>
      <c r="F29" s="23" t="str">
        <f>Contributions_Data!B23</f>
        <v>DA-001-M0002</v>
      </c>
      <c r="G29" s="24">
        <f>Contributions_Data!C23</f>
        <v>45449</v>
      </c>
      <c r="H29" s="27">
        <f>Contributions_Data!D23</f>
        <v>13971.86</v>
      </c>
      <c r="I29" s="27">
        <v>0</v>
      </c>
    </row>
    <row r="30" spans="3:9">
      <c r="C30" s="23">
        <v>23</v>
      </c>
      <c r="D30" s="23" t="s">
        <v>132</v>
      </c>
      <c r="E30" s="23" t="str">
        <f>Contributions_Data!A24</f>
        <v>DA-001</v>
      </c>
      <c r="F30" s="23" t="str">
        <f>Contributions_Data!B24</f>
        <v>DA-001-M0002</v>
      </c>
      <c r="G30" s="24">
        <f>Contributions_Data!C24</f>
        <v>45564</v>
      </c>
      <c r="H30" s="27">
        <f>Contributions_Data!D24</f>
        <v>12593.17</v>
      </c>
      <c r="I30" s="27">
        <v>0</v>
      </c>
    </row>
    <row r="31" spans="3:9">
      <c r="C31" s="23">
        <v>24</v>
      </c>
      <c r="D31" s="23" t="s">
        <v>132</v>
      </c>
      <c r="E31" s="23" t="str">
        <f>Contributions_Data!A25</f>
        <v>DA-001</v>
      </c>
      <c r="F31" s="23" t="str">
        <f>Contributions_Data!B25</f>
        <v>DA-001-M0002</v>
      </c>
      <c r="G31" s="24">
        <f>Contributions_Data!C25</f>
        <v>45414</v>
      </c>
      <c r="H31" s="27">
        <f>Contributions_Data!D25</f>
        <v>14516.14</v>
      </c>
      <c r="I31" s="27">
        <v>0</v>
      </c>
    </row>
    <row r="32" spans="3:9">
      <c r="C32" s="23">
        <v>25</v>
      </c>
      <c r="D32" s="23" t="s">
        <v>132</v>
      </c>
      <c r="E32" s="23" t="str">
        <f>Contributions_Data!A26</f>
        <v>DA-002</v>
      </c>
      <c r="F32" s="23" t="str">
        <f>Contributions_Data!B26</f>
        <v>DA-002-M0003</v>
      </c>
      <c r="G32" s="24">
        <f>Contributions_Data!C26</f>
        <v>45613</v>
      </c>
      <c r="H32" s="27">
        <f>Contributions_Data!D26</f>
        <v>16212.15</v>
      </c>
      <c r="I32" s="27">
        <v>0</v>
      </c>
    </row>
    <row r="33" spans="3:9">
      <c r="C33" s="23">
        <v>26</v>
      </c>
      <c r="D33" s="23" t="s">
        <v>132</v>
      </c>
      <c r="E33" s="23" t="str">
        <f>Contributions_Data!A27</f>
        <v>DA-002</v>
      </c>
      <c r="F33" s="23" t="str">
        <f>Contributions_Data!B27</f>
        <v>DA-002-M0003</v>
      </c>
      <c r="G33" s="24">
        <f>Contributions_Data!C27</f>
        <v>45614</v>
      </c>
      <c r="H33" s="27">
        <f>Contributions_Data!D27</f>
        <v>20658.560000000001</v>
      </c>
      <c r="I33" s="27">
        <v>0</v>
      </c>
    </row>
    <row r="34" spans="3:9">
      <c r="C34" s="23">
        <v>27</v>
      </c>
      <c r="D34" s="23" t="s">
        <v>132</v>
      </c>
      <c r="E34" s="23" t="str">
        <f>Contributions_Data!A28</f>
        <v>DA-002</v>
      </c>
      <c r="F34" s="23" t="str">
        <f>Contributions_Data!B28</f>
        <v>DA-002-M0003</v>
      </c>
      <c r="G34" s="24">
        <f>Contributions_Data!C28</f>
        <v>45493</v>
      </c>
      <c r="H34" s="27">
        <f>Contributions_Data!D28</f>
        <v>15523.73</v>
      </c>
      <c r="I34" s="27">
        <v>0</v>
      </c>
    </row>
    <row r="35" spans="3:9">
      <c r="C35" s="23">
        <v>28</v>
      </c>
      <c r="D35" s="23" t="s">
        <v>132</v>
      </c>
      <c r="E35" s="23" t="str">
        <f>Contributions_Data!A29</f>
        <v>DA-002</v>
      </c>
      <c r="F35" s="23" t="str">
        <f>Contributions_Data!B29</f>
        <v>DA-002-M0003</v>
      </c>
      <c r="G35" s="24">
        <f>Contributions_Data!C29</f>
        <v>45419</v>
      </c>
      <c r="H35" s="27">
        <f>Contributions_Data!D29</f>
        <v>14776.66</v>
      </c>
      <c r="I35" s="27">
        <v>0</v>
      </c>
    </row>
    <row r="36" spans="3:9">
      <c r="C36" s="23">
        <v>29</v>
      </c>
      <c r="D36" s="23" t="s">
        <v>132</v>
      </c>
      <c r="E36" s="23" t="str">
        <f>Contributions_Data!A30</f>
        <v>DA-002</v>
      </c>
      <c r="F36" s="23" t="str">
        <f>Contributions_Data!B30</f>
        <v>DA-002-M0003</v>
      </c>
      <c r="G36" s="24">
        <f>Contributions_Data!C30</f>
        <v>45549</v>
      </c>
      <c r="H36" s="27">
        <f>Contributions_Data!D30</f>
        <v>9243.69</v>
      </c>
      <c r="I36" s="27">
        <v>0</v>
      </c>
    </row>
    <row r="37" spans="3:9">
      <c r="C37" s="23">
        <v>30</v>
      </c>
      <c r="D37" s="23" t="s">
        <v>132</v>
      </c>
      <c r="E37" s="23" t="str">
        <f>Contributions_Data!A31</f>
        <v>DA-002</v>
      </c>
      <c r="F37" s="23" t="str">
        <f>Contributions_Data!B31</f>
        <v>DA-002-M0003</v>
      </c>
      <c r="G37" s="24">
        <f>Contributions_Data!C31</f>
        <v>45501</v>
      </c>
      <c r="H37" s="27">
        <f>Contributions_Data!D31</f>
        <v>14920.46</v>
      </c>
      <c r="I37" s="27">
        <v>0</v>
      </c>
    </row>
    <row r="38" spans="3:9">
      <c r="C38" s="23">
        <v>31</v>
      </c>
      <c r="D38" s="23" t="s">
        <v>132</v>
      </c>
      <c r="E38" s="23" t="str">
        <f>Contributions_Data!A32</f>
        <v>DA-002</v>
      </c>
      <c r="F38" s="23" t="str">
        <f>Contributions_Data!B32</f>
        <v>DA-002-M0003</v>
      </c>
      <c r="G38" s="24">
        <f>Contributions_Data!C32</f>
        <v>45517</v>
      </c>
      <c r="H38" s="27">
        <f>Contributions_Data!D32</f>
        <v>22389.73</v>
      </c>
      <c r="I38" s="27">
        <v>0</v>
      </c>
    </row>
    <row r="39" spans="3:9">
      <c r="C39" s="23">
        <v>32</v>
      </c>
      <c r="D39" s="23" t="s">
        <v>132</v>
      </c>
      <c r="E39" s="23" t="str">
        <f>Contributions_Data!A33</f>
        <v>DA-002</v>
      </c>
      <c r="F39" s="23" t="str">
        <f>Contributions_Data!B33</f>
        <v>DA-002-M0003</v>
      </c>
      <c r="G39" s="24">
        <f>Contributions_Data!C33</f>
        <v>45649</v>
      </c>
      <c r="H39" s="27">
        <f>Contributions_Data!D33</f>
        <v>15904.64</v>
      </c>
      <c r="I39" s="27">
        <v>0</v>
      </c>
    </row>
    <row r="40" spans="3:9">
      <c r="C40" s="23">
        <v>33</v>
      </c>
      <c r="D40" s="23" t="s">
        <v>132</v>
      </c>
      <c r="E40" s="23" t="str">
        <f>Contributions_Data!A34</f>
        <v>DA-002</v>
      </c>
      <c r="F40" s="23" t="str">
        <f>Contributions_Data!B34</f>
        <v>DA-002-M0003</v>
      </c>
      <c r="G40" s="24">
        <f>Contributions_Data!C34</f>
        <v>45620</v>
      </c>
      <c r="H40" s="27">
        <f>Contributions_Data!D34</f>
        <v>14895.86</v>
      </c>
      <c r="I40" s="27">
        <v>0</v>
      </c>
    </row>
    <row r="41" spans="3:9">
      <c r="C41" s="23">
        <v>34</v>
      </c>
      <c r="D41" s="23" t="s">
        <v>132</v>
      </c>
      <c r="E41" s="23" t="str">
        <f>Contributions_Data!A35</f>
        <v>DA-002</v>
      </c>
      <c r="F41" s="23" t="str">
        <f>Contributions_Data!B35</f>
        <v>DA-002-M0003</v>
      </c>
      <c r="G41" s="24">
        <f>Contributions_Data!C35</f>
        <v>45600</v>
      </c>
      <c r="H41" s="27">
        <f>Contributions_Data!D35</f>
        <v>18428.47</v>
      </c>
      <c r="I41" s="27">
        <v>0</v>
      </c>
    </row>
    <row r="42" spans="3:9">
      <c r="C42" s="23">
        <v>35</v>
      </c>
      <c r="D42" s="23" t="s">
        <v>132</v>
      </c>
      <c r="E42" s="23" t="str">
        <f>Contributions_Data!A36</f>
        <v>DA-002</v>
      </c>
      <c r="F42" s="23" t="str">
        <f>Contributions_Data!B36</f>
        <v>DA-002-M0003</v>
      </c>
      <c r="G42" s="24">
        <f>Contributions_Data!C36</f>
        <v>45429</v>
      </c>
      <c r="H42" s="27">
        <f>Contributions_Data!D36</f>
        <v>17255.8</v>
      </c>
      <c r="I42" s="27">
        <v>0</v>
      </c>
    </row>
    <row r="43" spans="3:9">
      <c r="C43" s="23">
        <v>36</v>
      </c>
      <c r="D43" s="23" t="s">
        <v>132</v>
      </c>
      <c r="E43" s="23" t="str">
        <f>Contributions_Data!A37</f>
        <v>DA-002</v>
      </c>
      <c r="F43" s="23" t="str">
        <f>Contributions_Data!B37</f>
        <v>DA-002-M0003</v>
      </c>
      <c r="G43" s="24">
        <f>Contributions_Data!C37</f>
        <v>45300</v>
      </c>
      <c r="H43" s="27">
        <f>Contributions_Data!D37</f>
        <v>12271.84</v>
      </c>
      <c r="I43" s="27">
        <v>0</v>
      </c>
    </row>
    <row r="44" spans="3:9">
      <c r="C44" s="23">
        <v>37</v>
      </c>
      <c r="D44" s="23" t="s">
        <v>132</v>
      </c>
      <c r="E44" s="23" t="str">
        <f>Contributions_Data!A38</f>
        <v>DA-001</v>
      </c>
      <c r="F44" s="23" t="str">
        <f>Contributions_Data!B38</f>
        <v>DA-001-M0004</v>
      </c>
      <c r="G44" s="24">
        <f>Contributions_Data!C38</f>
        <v>45605</v>
      </c>
      <c r="H44" s="27">
        <f>Contributions_Data!D38</f>
        <v>10794.45</v>
      </c>
      <c r="I44" s="27">
        <v>0</v>
      </c>
    </row>
    <row r="45" spans="3:9">
      <c r="C45" s="23">
        <v>38</v>
      </c>
      <c r="D45" s="23" t="s">
        <v>132</v>
      </c>
      <c r="E45" s="23" t="str">
        <f>Contributions_Data!A39</f>
        <v>DA-001</v>
      </c>
      <c r="F45" s="23" t="str">
        <f>Contributions_Data!B39</f>
        <v>DA-001-M0004</v>
      </c>
      <c r="G45" s="24">
        <f>Contributions_Data!C39</f>
        <v>45403</v>
      </c>
      <c r="H45" s="27">
        <f>Contributions_Data!D39</f>
        <v>21571.37</v>
      </c>
      <c r="I45" s="27">
        <v>0</v>
      </c>
    </row>
    <row r="46" spans="3:9">
      <c r="C46" s="23">
        <v>39</v>
      </c>
      <c r="D46" s="23" t="s">
        <v>132</v>
      </c>
      <c r="E46" s="23" t="str">
        <f>Contributions_Data!A40</f>
        <v>DA-001</v>
      </c>
      <c r="F46" s="23" t="str">
        <f>Contributions_Data!B40</f>
        <v>DA-001-M0004</v>
      </c>
      <c r="G46" s="24">
        <f>Contributions_Data!C40</f>
        <v>45582</v>
      </c>
      <c r="H46" s="27">
        <f>Contributions_Data!D40</f>
        <v>12028.39</v>
      </c>
      <c r="I46" s="27">
        <v>0</v>
      </c>
    </row>
    <row r="47" spans="3:9">
      <c r="C47" s="23">
        <v>40</v>
      </c>
      <c r="D47" s="23" t="s">
        <v>132</v>
      </c>
      <c r="E47" s="23" t="str">
        <f>Contributions_Data!A41</f>
        <v>DA-001</v>
      </c>
      <c r="F47" s="23" t="str">
        <f>Contributions_Data!B41</f>
        <v>DA-001-M0004</v>
      </c>
      <c r="G47" s="24">
        <f>Contributions_Data!C41</f>
        <v>45301</v>
      </c>
      <c r="H47" s="27">
        <f>Contributions_Data!D41</f>
        <v>13301.11</v>
      </c>
      <c r="I47" s="27">
        <v>0</v>
      </c>
    </row>
    <row r="48" spans="3:9">
      <c r="C48" s="23">
        <v>41</v>
      </c>
      <c r="D48" s="23" t="s">
        <v>132</v>
      </c>
      <c r="E48" s="23" t="str">
        <f>Contributions_Data!A42</f>
        <v>DA-001</v>
      </c>
      <c r="F48" s="23" t="str">
        <f>Contributions_Data!B42</f>
        <v>DA-001-M0004</v>
      </c>
      <c r="G48" s="24">
        <f>Contributions_Data!C42</f>
        <v>45318</v>
      </c>
      <c r="H48" s="27">
        <f>Contributions_Data!D42</f>
        <v>15298.95</v>
      </c>
      <c r="I48" s="27">
        <v>0</v>
      </c>
    </row>
    <row r="49" spans="3:9">
      <c r="C49" s="23">
        <v>42</v>
      </c>
      <c r="D49" s="23" t="s">
        <v>132</v>
      </c>
      <c r="E49" s="23" t="str">
        <f>Contributions_Data!A43</f>
        <v>DA-001</v>
      </c>
      <c r="F49" s="23" t="str">
        <f>Contributions_Data!B43</f>
        <v>DA-001-M0004</v>
      </c>
      <c r="G49" s="24">
        <f>Contributions_Data!C43</f>
        <v>45450</v>
      </c>
      <c r="H49" s="27">
        <f>Contributions_Data!D43</f>
        <v>10348.01</v>
      </c>
      <c r="I49" s="27">
        <v>0</v>
      </c>
    </row>
    <row r="50" spans="3:9">
      <c r="C50" s="23">
        <v>43</v>
      </c>
      <c r="D50" s="23" t="s">
        <v>132</v>
      </c>
      <c r="E50" s="23" t="str">
        <f>Contributions_Data!A44</f>
        <v>DA-001</v>
      </c>
      <c r="F50" s="23" t="str">
        <f>Contributions_Data!B44</f>
        <v>DA-001-M0004</v>
      </c>
      <c r="G50" s="24">
        <f>Contributions_Data!C44</f>
        <v>45324</v>
      </c>
      <c r="H50" s="27">
        <f>Contributions_Data!D44</f>
        <v>15205.69</v>
      </c>
      <c r="I50" s="27">
        <v>0</v>
      </c>
    </row>
    <row r="51" spans="3:9">
      <c r="C51" s="23">
        <v>44</v>
      </c>
      <c r="D51" s="23" t="s">
        <v>132</v>
      </c>
      <c r="E51" s="23" t="str">
        <f>Contributions_Data!A45</f>
        <v>DA-001</v>
      </c>
      <c r="F51" s="23" t="str">
        <f>Contributions_Data!B45</f>
        <v>DA-001-M0004</v>
      </c>
      <c r="G51" s="24">
        <f>Contributions_Data!C45</f>
        <v>45609</v>
      </c>
      <c r="H51" s="27">
        <f>Contributions_Data!D45</f>
        <v>16420.78</v>
      </c>
      <c r="I51" s="27">
        <v>0</v>
      </c>
    </row>
    <row r="52" spans="3:9">
      <c r="C52" s="23">
        <v>45</v>
      </c>
      <c r="D52" s="23" t="s">
        <v>132</v>
      </c>
      <c r="E52" s="23" t="str">
        <f>Contributions_Data!A46</f>
        <v>DA-001</v>
      </c>
      <c r="F52" s="23" t="str">
        <f>Contributions_Data!B46</f>
        <v>DA-001-M0004</v>
      </c>
      <c r="G52" s="24">
        <f>Contributions_Data!C46</f>
        <v>45359</v>
      </c>
      <c r="H52" s="27">
        <f>Contributions_Data!D46</f>
        <v>12241.73</v>
      </c>
      <c r="I52" s="27">
        <v>0</v>
      </c>
    </row>
    <row r="53" spans="3:9">
      <c r="C53" s="23">
        <v>46</v>
      </c>
      <c r="D53" s="23" t="s">
        <v>132</v>
      </c>
      <c r="E53" s="23" t="str">
        <f>Contributions_Data!A47</f>
        <v>DA-001</v>
      </c>
      <c r="F53" s="23" t="str">
        <f>Contributions_Data!B47</f>
        <v>DA-001-M0004</v>
      </c>
      <c r="G53" s="24">
        <f>Contributions_Data!C47</f>
        <v>45657</v>
      </c>
      <c r="H53" s="27">
        <f>Contributions_Data!D47</f>
        <v>19649.8</v>
      </c>
      <c r="I53" s="27">
        <v>0</v>
      </c>
    </row>
    <row r="54" spans="3:9">
      <c r="C54" s="23">
        <v>47</v>
      </c>
      <c r="D54" s="23" t="s">
        <v>132</v>
      </c>
      <c r="E54" s="23" t="str">
        <f>Contributions_Data!A48</f>
        <v>DA-001</v>
      </c>
      <c r="F54" s="23" t="str">
        <f>Contributions_Data!B48</f>
        <v>DA-001-M0004</v>
      </c>
      <c r="G54" s="24">
        <f>Contributions_Data!C48</f>
        <v>45495</v>
      </c>
      <c r="H54" s="27">
        <f>Contributions_Data!D48</f>
        <v>12650.24</v>
      </c>
      <c r="I54" s="27">
        <v>0</v>
      </c>
    </row>
    <row r="55" spans="3:9">
      <c r="C55" s="23">
        <v>48</v>
      </c>
      <c r="D55" s="23" t="s">
        <v>132</v>
      </c>
      <c r="E55" s="23" t="str">
        <f>Contributions_Data!A49</f>
        <v>DA-001</v>
      </c>
      <c r="F55" s="23" t="str">
        <f>Contributions_Data!B49</f>
        <v>DA-001-M0004</v>
      </c>
      <c r="G55" s="24">
        <f>Contributions_Data!C49</f>
        <v>45534</v>
      </c>
      <c r="H55" s="27">
        <f>Contributions_Data!D49</f>
        <v>14033.82</v>
      </c>
      <c r="I55" s="27">
        <v>0</v>
      </c>
    </row>
    <row r="56" spans="3:9">
      <c r="C56" s="23">
        <v>49</v>
      </c>
      <c r="D56" s="23" t="s">
        <v>132</v>
      </c>
      <c r="E56" s="23" t="str">
        <f>Contributions_Data!A50</f>
        <v>DA-003</v>
      </c>
      <c r="F56" s="23" t="str">
        <f>Contributions_Data!B50</f>
        <v>DA-003-M0005</v>
      </c>
      <c r="G56" s="24">
        <f>Contributions_Data!C50</f>
        <v>45407</v>
      </c>
      <c r="H56" s="27">
        <f>Contributions_Data!D50</f>
        <v>11307.41</v>
      </c>
      <c r="I56" s="27">
        <v>0</v>
      </c>
    </row>
    <row r="57" spans="3:9">
      <c r="C57" s="23">
        <v>50</v>
      </c>
      <c r="D57" s="23" t="s">
        <v>132</v>
      </c>
      <c r="E57" s="23" t="str">
        <f>Contributions_Data!A51</f>
        <v>DA-003</v>
      </c>
      <c r="F57" s="23" t="str">
        <f>Contributions_Data!B51</f>
        <v>DA-003-M0005</v>
      </c>
      <c r="G57" s="24">
        <f>Contributions_Data!C51</f>
        <v>45650</v>
      </c>
      <c r="H57" s="27">
        <f>Contributions_Data!D51</f>
        <v>15682.38</v>
      </c>
      <c r="I57" s="27">
        <v>0</v>
      </c>
    </row>
    <row r="58" spans="3:9">
      <c r="C58" s="23">
        <v>51</v>
      </c>
      <c r="D58" s="23" t="s">
        <v>132</v>
      </c>
      <c r="E58" s="23" t="str">
        <f>Contributions_Data!A52</f>
        <v>DA-003</v>
      </c>
      <c r="F58" s="23" t="str">
        <f>Contributions_Data!B52</f>
        <v>DA-003-M0005</v>
      </c>
      <c r="G58" s="24">
        <f>Contributions_Data!C52</f>
        <v>45655</v>
      </c>
      <c r="H58" s="27">
        <f>Contributions_Data!D52</f>
        <v>10177.549999999999</v>
      </c>
      <c r="I58" s="27">
        <v>0</v>
      </c>
    </row>
    <row r="59" spans="3:9">
      <c r="C59" s="23">
        <v>52</v>
      </c>
      <c r="D59" s="23" t="s">
        <v>132</v>
      </c>
      <c r="E59" s="23" t="str">
        <f>Contributions_Data!A53</f>
        <v>DA-003</v>
      </c>
      <c r="F59" s="23" t="str">
        <f>Contributions_Data!B53</f>
        <v>DA-003-M0005</v>
      </c>
      <c r="G59" s="24">
        <f>Contributions_Data!C53</f>
        <v>45515</v>
      </c>
      <c r="H59" s="27">
        <f>Contributions_Data!D53</f>
        <v>15553.9</v>
      </c>
      <c r="I59" s="27">
        <v>0</v>
      </c>
    </row>
    <row r="60" spans="3:9">
      <c r="C60" s="23">
        <v>53</v>
      </c>
      <c r="D60" s="23" t="s">
        <v>132</v>
      </c>
      <c r="E60" s="23" t="str">
        <f>Contributions_Data!A54</f>
        <v>DA-003</v>
      </c>
      <c r="F60" s="23" t="str">
        <f>Contributions_Data!B54</f>
        <v>DA-003-M0005</v>
      </c>
      <c r="G60" s="24">
        <f>Contributions_Data!C54</f>
        <v>45488</v>
      </c>
      <c r="H60" s="27">
        <f>Contributions_Data!D54</f>
        <v>15779.65</v>
      </c>
      <c r="I60" s="27">
        <v>0</v>
      </c>
    </row>
    <row r="61" spans="3:9">
      <c r="C61" s="23">
        <v>54</v>
      </c>
      <c r="D61" s="23" t="s">
        <v>132</v>
      </c>
      <c r="E61" s="23" t="str">
        <f>Contributions_Data!A55</f>
        <v>DA-003</v>
      </c>
      <c r="F61" s="23" t="str">
        <f>Contributions_Data!B55</f>
        <v>DA-003-M0005</v>
      </c>
      <c r="G61" s="24">
        <f>Contributions_Data!C55</f>
        <v>45558</v>
      </c>
      <c r="H61" s="27">
        <f>Contributions_Data!D55</f>
        <v>11289.15</v>
      </c>
      <c r="I61" s="27">
        <v>0</v>
      </c>
    </row>
    <row r="62" spans="3:9">
      <c r="C62" s="23">
        <v>55</v>
      </c>
      <c r="D62" s="23" t="s">
        <v>132</v>
      </c>
      <c r="E62" s="23" t="str">
        <f>Contributions_Data!A56</f>
        <v>DA-003</v>
      </c>
      <c r="F62" s="23" t="str">
        <f>Contributions_Data!B56</f>
        <v>DA-003-M0005</v>
      </c>
      <c r="G62" s="24">
        <f>Contributions_Data!C56</f>
        <v>45530</v>
      </c>
      <c r="H62" s="27">
        <f>Contributions_Data!D56</f>
        <v>16565.82</v>
      </c>
      <c r="I62" s="27">
        <v>0</v>
      </c>
    </row>
    <row r="63" spans="3:9">
      <c r="C63" s="23">
        <v>56</v>
      </c>
      <c r="D63" s="23" t="s">
        <v>132</v>
      </c>
      <c r="E63" s="23" t="str">
        <f>Contributions_Data!A57</f>
        <v>DA-003</v>
      </c>
      <c r="F63" s="23" t="str">
        <f>Contributions_Data!B57</f>
        <v>DA-003-M0005</v>
      </c>
      <c r="G63" s="24">
        <f>Contributions_Data!C57</f>
        <v>45502</v>
      </c>
      <c r="H63" s="27">
        <f>Contributions_Data!D57</f>
        <v>15751.48</v>
      </c>
      <c r="I63" s="27">
        <v>0</v>
      </c>
    </row>
    <row r="64" spans="3:9">
      <c r="C64" s="23">
        <v>57</v>
      </c>
      <c r="D64" s="23" t="s">
        <v>132</v>
      </c>
      <c r="E64" s="23" t="str">
        <f>Contributions_Data!A58</f>
        <v>DA-003</v>
      </c>
      <c r="F64" s="23" t="str">
        <f>Contributions_Data!B58</f>
        <v>DA-003-M0005</v>
      </c>
      <c r="G64" s="24">
        <f>Contributions_Data!C58</f>
        <v>45483</v>
      </c>
      <c r="H64" s="27">
        <f>Contributions_Data!D58</f>
        <v>12959.93</v>
      </c>
      <c r="I64" s="27">
        <v>0</v>
      </c>
    </row>
    <row r="65" spans="3:9">
      <c r="C65" s="23">
        <v>58</v>
      </c>
      <c r="D65" s="23" t="s">
        <v>132</v>
      </c>
      <c r="E65" s="23" t="str">
        <f>Contributions_Data!A59</f>
        <v>DA-003</v>
      </c>
      <c r="F65" s="23" t="str">
        <f>Contributions_Data!B59</f>
        <v>DA-003-M0005</v>
      </c>
      <c r="G65" s="24">
        <f>Contributions_Data!C59</f>
        <v>45429</v>
      </c>
      <c r="H65" s="27">
        <f>Contributions_Data!D59</f>
        <v>15696.76</v>
      </c>
      <c r="I65" s="27">
        <v>0</v>
      </c>
    </row>
    <row r="66" spans="3:9">
      <c r="C66" s="23">
        <v>59</v>
      </c>
      <c r="D66" s="23" t="s">
        <v>132</v>
      </c>
      <c r="E66" s="23" t="str">
        <f>Contributions_Data!A60</f>
        <v>DA-003</v>
      </c>
      <c r="F66" s="23" t="str">
        <f>Contributions_Data!B60</f>
        <v>DA-003-M0005</v>
      </c>
      <c r="G66" s="24">
        <f>Contributions_Data!C60</f>
        <v>45494</v>
      </c>
      <c r="H66" s="27">
        <f>Contributions_Data!D60</f>
        <v>12856.95</v>
      </c>
      <c r="I66" s="27">
        <v>0</v>
      </c>
    </row>
    <row r="67" spans="3:9">
      <c r="C67" s="23">
        <v>60</v>
      </c>
      <c r="D67" s="23" t="s">
        <v>132</v>
      </c>
      <c r="E67" s="23" t="str">
        <f>Contributions_Data!A61</f>
        <v>DA-003</v>
      </c>
      <c r="F67" s="23" t="str">
        <f>Contributions_Data!B61</f>
        <v>DA-003-M0005</v>
      </c>
      <c r="G67" s="24">
        <f>Contributions_Data!C61</f>
        <v>45385</v>
      </c>
      <c r="H67" s="27">
        <f>Contributions_Data!D61</f>
        <v>20597.32</v>
      </c>
      <c r="I67" s="27">
        <v>0</v>
      </c>
    </row>
    <row r="68" spans="3:9">
      <c r="C68" s="23">
        <v>61</v>
      </c>
      <c r="D68" s="23" t="s">
        <v>132</v>
      </c>
      <c r="E68" s="23" t="str">
        <f>Contributions_Data!A62</f>
        <v>DA-003</v>
      </c>
      <c r="F68" s="23" t="str">
        <f>Contributions_Data!B62</f>
        <v>DA-003-M0006</v>
      </c>
      <c r="G68" s="24">
        <f>Contributions_Data!C62</f>
        <v>45411</v>
      </c>
      <c r="H68" s="27">
        <f>Contributions_Data!D62</f>
        <v>16421.5</v>
      </c>
      <c r="I68" s="27">
        <v>0</v>
      </c>
    </row>
    <row r="69" spans="3:9">
      <c r="C69" s="23">
        <v>62</v>
      </c>
      <c r="D69" s="23" t="s">
        <v>132</v>
      </c>
      <c r="E69" s="23" t="str">
        <f>Contributions_Data!A63</f>
        <v>DA-003</v>
      </c>
      <c r="F69" s="23" t="str">
        <f>Contributions_Data!B63</f>
        <v>DA-003-M0006</v>
      </c>
      <c r="G69" s="24">
        <f>Contributions_Data!C63</f>
        <v>45526</v>
      </c>
      <c r="H69" s="27">
        <f>Contributions_Data!D63</f>
        <v>16969.66</v>
      </c>
      <c r="I69" s="27">
        <v>0</v>
      </c>
    </row>
    <row r="70" spans="3:9">
      <c r="C70" s="23">
        <v>63</v>
      </c>
      <c r="D70" s="23" t="s">
        <v>132</v>
      </c>
      <c r="E70" s="23" t="str">
        <f>Contributions_Data!A64</f>
        <v>DA-003</v>
      </c>
      <c r="F70" s="23" t="str">
        <f>Contributions_Data!B64</f>
        <v>DA-003-M0006</v>
      </c>
      <c r="G70" s="24">
        <f>Contributions_Data!C64</f>
        <v>45509</v>
      </c>
      <c r="H70" s="27">
        <f>Contributions_Data!D64</f>
        <v>12075.95</v>
      </c>
      <c r="I70" s="27">
        <v>0</v>
      </c>
    </row>
    <row r="71" spans="3:9">
      <c r="C71" s="23">
        <v>64</v>
      </c>
      <c r="D71" s="23" t="s">
        <v>132</v>
      </c>
      <c r="E71" s="23" t="str">
        <f>Contributions_Data!A65</f>
        <v>DA-003</v>
      </c>
      <c r="F71" s="23" t="str">
        <f>Contributions_Data!B65</f>
        <v>DA-003-M0006</v>
      </c>
      <c r="G71" s="24">
        <f>Contributions_Data!C65</f>
        <v>45333</v>
      </c>
      <c r="H71" s="27">
        <f>Contributions_Data!D65</f>
        <v>17361.25</v>
      </c>
      <c r="I71" s="27">
        <v>0</v>
      </c>
    </row>
    <row r="72" spans="3:9">
      <c r="C72" s="23">
        <v>65</v>
      </c>
      <c r="D72" s="23" t="s">
        <v>132</v>
      </c>
      <c r="E72" s="23" t="str">
        <f>Contributions_Data!A66</f>
        <v>DA-003</v>
      </c>
      <c r="F72" s="23" t="str">
        <f>Contributions_Data!B66</f>
        <v>DA-003-M0006</v>
      </c>
      <c r="G72" s="24">
        <f>Contributions_Data!C66</f>
        <v>45442</v>
      </c>
      <c r="H72" s="27">
        <f>Contributions_Data!D66</f>
        <v>18475.79</v>
      </c>
      <c r="I72" s="27">
        <v>0</v>
      </c>
    </row>
    <row r="73" spans="3:9">
      <c r="C73" s="23">
        <v>66</v>
      </c>
      <c r="D73" s="23" t="s">
        <v>132</v>
      </c>
      <c r="E73" s="23" t="str">
        <f>Contributions_Data!A67</f>
        <v>DA-003</v>
      </c>
      <c r="F73" s="23" t="str">
        <f>Contributions_Data!B67</f>
        <v>DA-003-M0006</v>
      </c>
      <c r="G73" s="24">
        <f>Contributions_Data!C67</f>
        <v>45539</v>
      </c>
      <c r="H73" s="27">
        <f>Contributions_Data!D67</f>
        <v>12537.95</v>
      </c>
      <c r="I73" s="27">
        <v>0</v>
      </c>
    </row>
    <row r="74" spans="3:9">
      <c r="C74" s="23">
        <v>67</v>
      </c>
      <c r="D74" s="23" t="s">
        <v>132</v>
      </c>
      <c r="E74" s="23" t="str">
        <f>Contributions_Data!A68</f>
        <v>DA-003</v>
      </c>
      <c r="F74" s="23" t="str">
        <f>Contributions_Data!B68</f>
        <v>DA-003-M0006</v>
      </c>
      <c r="G74" s="24">
        <f>Contributions_Data!C68</f>
        <v>45399</v>
      </c>
      <c r="H74" s="27">
        <f>Contributions_Data!D68</f>
        <v>16238.34</v>
      </c>
      <c r="I74" s="27">
        <v>0</v>
      </c>
    </row>
    <row r="75" spans="3:9">
      <c r="C75" s="23">
        <v>68</v>
      </c>
      <c r="D75" s="23" t="s">
        <v>132</v>
      </c>
      <c r="E75" s="23" t="str">
        <f>Contributions_Data!A69</f>
        <v>DA-003</v>
      </c>
      <c r="F75" s="23" t="str">
        <f>Contributions_Data!B69</f>
        <v>DA-003-M0006</v>
      </c>
      <c r="G75" s="24">
        <f>Contributions_Data!C69</f>
        <v>45504</v>
      </c>
      <c r="H75" s="27">
        <f>Contributions_Data!D69</f>
        <v>17466.18</v>
      </c>
      <c r="I75" s="27">
        <v>0</v>
      </c>
    </row>
    <row r="76" spans="3:9">
      <c r="C76" s="23">
        <v>69</v>
      </c>
      <c r="D76" s="23" t="s">
        <v>132</v>
      </c>
      <c r="E76" s="23" t="str">
        <f>Contributions_Data!A70</f>
        <v>DA-003</v>
      </c>
      <c r="F76" s="23" t="str">
        <f>Contributions_Data!B70</f>
        <v>DA-003-M0006</v>
      </c>
      <c r="G76" s="24">
        <f>Contributions_Data!C70</f>
        <v>45295</v>
      </c>
      <c r="H76" s="27">
        <f>Contributions_Data!D70</f>
        <v>20690.38</v>
      </c>
      <c r="I76" s="27">
        <v>0</v>
      </c>
    </row>
    <row r="77" spans="3:9">
      <c r="C77" s="23">
        <v>70</v>
      </c>
      <c r="D77" s="23" t="s">
        <v>132</v>
      </c>
      <c r="E77" s="23" t="str">
        <f>Contributions_Data!A71</f>
        <v>DA-003</v>
      </c>
      <c r="F77" s="23" t="str">
        <f>Contributions_Data!B71</f>
        <v>DA-003-M0006</v>
      </c>
      <c r="G77" s="24">
        <f>Contributions_Data!C71</f>
        <v>45366</v>
      </c>
      <c r="H77" s="27">
        <f>Contributions_Data!D71</f>
        <v>14263.84</v>
      </c>
      <c r="I77" s="27">
        <v>0</v>
      </c>
    </row>
    <row r="78" spans="3:9">
      <c r="C78" s="23">
        <v>71</v>
      </c>
      <c r="D78" s="23" t="s">
        <v>132</v>
      </c>
      <c r="E78" s="23" t="str">
        <f>Contributions_Data!A72</f>
        <v>DA-003</v>
      </c>
      <c r="F78" s="23" t="str">
        <f>Contributions_Data!B72</f>
        <v>DA-003-M0006</v>
      </c>
      <c r="G78" s="24">
        <f>Contributions_Data!C72</f>
        <v>45396</v>
      </c>
      <c r="H78" s="27">
        <f>Contributions_Data!D72</f>
        <v>12331.46</v>
      </c>
      <c r="I78" s="27">
        <v>0</v>
      </c>
    </row>
    <row r="79" spans="3:9">
      <c r="C79" s="23">
        <v>72</v>
      </c>
      <c r="D79" s="23" t="s">
        <v>132</v>
      </c>
      <c r="E79" s="23" t="str">
        <f>Contributions_Data!A73</f>
        <v>DA-003</v>
      </c>
      <c r="F79" s="23" t="str">
        <f>Contributions_Data!B73</f>
        <v>DA-003-M0006</v>
      </c>
      <c r="G79" s="24">
        <f>Contributions_Data!C73</f>
        <v>45335</v>
      </c>
      <c r="H79" s="27">
        <f>Contributions_Data!D73</f>
        <v>12552.57</v>
      </c>
      <c r="I79" s="27">
        <v>0</v>
      </c>
    </row>
    <row r="80" spans="3:9">
      <c r="C80" s="23">
        <v>73</v>
      </c>
      <c r="D80" s="23" t="s">
        <v>132</v>
      </c>
      <c r="E80" s="23" t="str">
        <f>Contributions_Data!A74</f>
        <v>DA-003</v>
      </c>
      <c r="F80" s="23" t="str">
        <f>Contributions_Data!B74</f>
        <v>DA-003-M0007</v>
      </c>
      <c r="G80" s="24">
        <f>Contributions_Data!C74</f>
        <v>45509</v>
      </c>
      <c r="H80" s="27">
        <f>Contributions_Data!D74</f>
        <v>16023.46</v>
      </c>
      <c r="I80" s="27">
        <v>0</v>
      </c>
    </row>
    <row r="81" spans="3:9">
      <c r="C81" s="23">
        <v>74</v>
      </c>
      <c r="D81" s="23" t="s">
        <v>132</v>
      </c>
      <c r="E81" s="23" t="str">
        <f>Contributions_Data!A75</f>
        <v>DA-003</v>
      </c>
      <c r="F81" s="23" t="str">
        <f>Contributions_Data!B75</f>
        <v>DA-003-M0007</v>
      </c>
      <c r="G81" s="24">
        <f>Contributions_Data!C75</f>
        <v>45428</v>
      </c>
      <c r="H81" s="27">
        <f>Contributions_Data!D75</f>
        <v>15830.07</v>
      </c>
      <c r="I81" s="27">
        <v>0</v>
      </c>
    </row>
    <row r="82" spans="3:9">
      <c r="C82" s="23">
        <v>75</v>
      </c>
      <c r="D82" s="23" t="s">
        <v>132</v>
      </c>
      <c r="E82" s="23" t="str">
        <f>Contributions_Data!A76</f>
        <v>DA-003</v>
      </c>
      <c r="F82" s="23" t="str">
        <f>Contributions_Data!B76</f>
        <v>DA-003-M0007</v>
      </c>
      <c r="G82" s="24">
        <f>Contributions_Data!C76</f>
        <v>45392</v>
      </c>
      <c r="H82" s="27">
        <f>Contributions_Data!D76</f>
        <v>15039.01</v>
      </c>
      <c r="I82" s="27">
        <v>0</v>
      </c>
    </row>
    <row r="83" spans="3:9">
      <c r="C83" s="23">
        <v>76</v>
      </c>
      <c r="D83" s="23" t="s">
        <v>132</v>
      </c>
      <c r="E83" s="23" t="str">
        <f>Contributions_Data!A77</f>
        <v>DA-003</v>
      </c>
      <c r="F83" s="23" t="str">
        <f>Contributions_Data!B77</f>
        <v>DA-003-M0007</v>
      </c>
      <c r="G83" s="24">
        <f>Contributions_Data!C77</f>
        <v>45340</v>
      </c>
      <c r="H83" s="27">
        <f>Contributions_Data!D77</f>
        <v>19360.599999999999</v>
      </c>
      <c r="I83" s="27">
        <v>0</v>
      </c>
    </row>
    <row r="84" spans="3:9">
      <c r="C84" s="23">
        <v>77</v>
      </c>
      <c r="D84" s="23" t="s">
        <v>132</v>
      </c>
      <c r="E84" s="23" t="str">
        <f>Contributions_Data!A78</f>
        <v>DA-003</v>
      </c>
      <c r="F84" s="23" t="str">
        <f>Contributions_Data!B78</f>
        <v>DA-003-M0007</v>
      </c>
      <c r="G84" s="24">
        <f>Contributions_Data!C78</f>
        <v>45484</v>
      </c>
      <c r="H84" s="27">
        <f>Contributions_Data!D78</f>
        <v>14206.03</v>
      </c>
      <c r="I84" s="27">
        <v>0</v>
      </c>
    </row>
    <row r="85" spans="3:9">
      <c r="C85" s="23">
        <v>78</v>
      </c>
      <c r="D85" s="23" t="s">
        <v>132</v>
      </c>
      <c r="E85" s="23" t="str">
        <f>Contributions_Data!A79</f>
        <v>DA-003</v>
      </c>
      <c r="F85" s="23" t="str">
        <f>Contributions_Data!B79</f>
        <v>DA-003-M0007</v>
      </c>
      <c r="G85" s="24">
        <f>Contributions_Data!C79</f>
        <v>45655</v>
      </c>
      <c r="H85" s="27">
        <f>Contributions_Data!D79</f>
        <v>23160.51</v>
      </c>
      <c r="I85" s="27">
        <v>0</v>
      </c>
    </row>
    <row r="86" spans="3:9">
      <c r="C86" s="23">
        <v>79</v>
      </c>
      <c r="D86" s="23" t="s">
        <v>132</v>
      </c>
      <c r="E86" s="23" t="str">
        <f>Contributions_Data!A80</f>
        <v>DA-003</v>
      </c>
      <c r="F86" s="23" t="str">
        <f>Contributions_Data!B80</f>
        <v>DA-003-M0007</v>
      </c>
      <c r="G86" s="24">
        <f>Contributions_Data!C80</f>
        <v>45650</v>
      </c>
      <c r="H86" s="27">
        <f>Contributions_Data!D80</f>
        <v>16877</v>
      </c>
      <c r="I86" s="27">
        <v>0</v>
      </c>
    </row>
    <row r="87" spans="3:9">
      <c r="C87" s="23">
        <v>80</v>
      </c>
      <c r="D87" s="23" t="s">
        <v>132</v>
      </c>
      <c r="E87" s="23" t="str">
        <f>Contributions_Data!A81</f>
        <v>DA-003</v>
      </c>
      <c r="F87" s="23" t="str">
        <f>Contributions_Data!B81</f>
        <v>DA-003-M0007</v>
      </c>
      <c r="G87" s="24">
        <f>Contributions_Data!C81</f>
        <v>45560</v>
      </c>
      <c r="H87" s="27">
        <f>Contributions_Data!D81</f>
        <v>11787.32</v>
      </c>
      <c r="I87" s="27">
        <v>0</v>
      </c>
    </row>
    <row r="88" spans="3:9">
      <c r="C88" s="23">
        <v>81</v>
      </c>
      <c r="D88" s="23" t="s">
        <v>132</v>
      </c>
      <c r="E88" s="23" t="str">
        <f>Contributions_Data!A82</f>
        <v>DA-003</v>
      </c>
      <c r="F88" s="23" t="str">
        <f>Contributions_Data!B82</f>
        <v>DA-003-M0007</v>
      </c>
      <c r="G88" s="24">
        <f>Contributions_Data!C82</f>
        <v>45476</v>
      </c>
      <c r="H88" s="27">
        <f>Contributions_Data!D82</f>
        <v>14329.61</v>
      </c>
      <c r="I88" s="27">
        <v>0</v>
      </c>
    </row>
    <row r="89" spans="3:9">
      <c r="C89" s="23">
        <v>82</v>
      </c>
      <c r="D89" s="23" t="s">
        <v>132</v>
      </c>
      <c r="E89" s="23" t="str">
        <f>Contributions_Data!A83</f>
        <v>DA-003</v>
      </c>
      <c r="F89" s="23" t="str">
        <f>Contributions_Data!B83</f>
        <v>DA-003-M0007</v>
      </c>
      <c r="G89" s="24">
        <f>Contributions_Data!C83</f>
        <v>45546</v>
      </c>
      <c r="H89" s="27">
        <f>Contributions_Data!D83</f>
        <v>17142</v>
      </c>
      <c r="I89" s="27">
        <v>0</v>
      </c>
    </row>
    <row r="90" spans="3:9">
      <c r="C90" s="23">
        <v>83</v>
      </c>
      <c r="D90" s="23" t="s">
        <v>132</v>
      </c>
      <c r="E90" s="23" t="str">
        <f>Contributions_Data!A84</f>
        <v>DA-003</v>
      </c>
      <c r="F90" s="23" t="str">
        <f>Contributions_Data!B84</f>
        <v>DA-003-M0007</v>
      </c>
      <c r="G90" s="24">
        <f>Contributions_Data!C84</f>
        <v>45635</v>
      </c>
      <c r="H90" s="27">
        <f>Contributions_Data!D84</f>
        <v>16419.71</v>
      </c>
      <c r="I90" s="27">
        <v>0</v>
      </c>
    </row>
    <row r="91" spans="3:9">
      <c r="C91" s="23">
        <v>84</v>
      </c>
      <c r="D91" s="23" t="s">
        <v>132</v>
      </c>
      <c r="E91" s="23" t="str">
        <f>Contributions_Data!A85</f>
        <v>DA-003</v>
      </c>
      <c r="F91" s="23" t="str">
        <f>Contributions_Data!B85</f>
        <v>DA-003-M0007</v>
      </c>
      <c r="G91" s="24">
        <f>Contributions_Data!C85</f>
        <v>45610</v>
      </c>
      <c r="H91" s="27">
        <f>Contributions_Data!D85</f>
        <v>14781.51</v>
      </c>
      <c r="I91" s="27">
        <v>0</v>
      </c>
    </row>
    <row r="92" spans="3:9">
      <c r="C92" s="23">
        <v>85</v>
      </c>
      <c r="D92" s="23" t="s">
        <v>132</v>
      </c>
      <c r="E92" s="23" t="str">
        <f>Contributions_Data!A86</f>
        <v>DA-003</v>
      </c>
      <c r="F92" s="23" t="str">
        <f>Contributions_Data!B86</f>
        <v>DA-003-M0008</v>
      </c>
      <c r="G92" s="24">
        <f>Contributions_Data!C86</f>
        <v>45519</v>
      </c>
      <c r="H92" s="27">
        <f>Contributions_Data!D86</f>
        <v>10455.459999999999</v>
      </c>
      <c r="I92" s="27">
        <v>0</v>
      </c>
    </row>
    <row r="93" spans="3:9">
      <c r="C93" s="23">
        <v>86</v>
      </c>
      <c r="D93" s="23" t="s">
        <v>132</v>
      </c>
      <c r="E93" s="23" t="str">
        <f>Contributions_Data!A87</f>
        <v>DA-003</v>
      </c>
      <c r="F93" s="23" t="str">
        <f>Contributions_Data!B87</f>
        <v>DA-003-M0008</v>
      </c>
      <c r="G93" s="24">
        <f>Contributions_Data!C87</f>
        <v>45486</v>
      </c>
      <c r="H93" s="27">
        <f>Contributions_Data!D87</f>
        <v>13660.46</v>
      </c>
      <c r="I93" s="27">
        <v>0</v>
      </c>
    </row>
    <row r="94" spans="3:9">
      <c r="C94" s="23">
        <v>87</v>
      </c>
      <c r="D94" s="23" t="s">
        <v>132</v>
      </c>
      <c r="E94" s="23" t="str">
        <f>Contributions_Data!A88</f>
        <v>DA-003</v>
      </c>
      <c r="F94" s="23" t="str">
        <f>Contributions_Data!B88</f>
        <v>DA-003-M0008</v>
      </c>
      <c r="G94" s="24">
        <f>Contributions_Data!C88</f>
        <v>45425</v>
      </c>
      <c r="H94" s="27">
        <f>Contributions_Data!D88</f>
        <v>17569.2</v>
      </c>
      <c r="I94" s="27">
        <v>0</v>
      </c>
    </row>
    <row r="95" spans="3:9">
      <c r="C95" s="23">
        <v>88</v>
      </c>
      <c r="D95" s="23" t="s">
        <v>132</v>
      </c>
      <c r="E95" s="23" t="str">
        <f>Contributions_Data!A89</f>
        <v>DA-003</v>
      </c>
      <c r="F95" s="23" t="str">
        <f>Contributions_Data!B89</f>
        <v>DA-003-M0008</v>
      </c>
      <c r="G95" s="24">
        <f>Contributions_Data!C89</f>
        <v>45656</v>
      </c>
      <c r="H95" s="27">
        <f>Contributions_Data!D89</f>
        <v>15642.28</v>
      </c>
      <c r="I95" s="27">
        <v>0</v>
      </c>
    </row>
    <row r="96" spans="3:9">
      <c r="C96" s="23">
        <v>89</v>
      </c>
      <c r="D96" s="23" t="s">
        <v>132</v>
      </c>
      <c r="E96" s="23" t="str">
        <f>Contributions_Data!A90</f>
        <v>DA-003</v>
      </c>
      <c r="F96" s="23" t="str">
        <f>Contributions_Data!B90</f>
        <v>DA-003-M0008</v>
      </c>
      <c r="G96" s="24">
        <f>Contributions_Data!C90</f>
        <v>45352</v>
      </c>
      <c r="H96" s="27">
        <f>Contributions_Data!D90</f>
        <v>15519.54</v>
      </c>
      <c r="I96" s="27">
        <v>0</v>
      </c>
    </row>
    <row r="97" spans="3:9">
      <c r="C97" s="23">
        <v>90</v>
      </c>
      <c r="D97" s="23" t="s">
        <v>132</v>
      </c>
      <c r="E97" s="23" t="str">
        <f>Contributions_Data!A91</f>
        <v>DA-003</v>
      </c>
      <c r="F97" s="23" t="str">
        <f>Contributions_Data!B91</f>
        <v>DA-003-M0008</v>
      </c>
      <c r="G97" s="24">
        <f>Contributions_Data!C91</f>
        <v>45430</v>
      </c>
      <c r="H97" s="27">
        <f>Contributions_Data!D91</f>
        <v>12348.43</v>
      </c>
      <c r="I97" s="27">
        <v>0</v>
      </c>
    </row>
    <row r="98" spans="3:9">
      <c r="C98" s="23">
        <v>91</v>
      </c>
      <c r="D98" s="23" t="s">
        <v>132</v>
      </c>
      <c r="E98" s="23" t="str">
        <f>Contributions_Data!A92</f>
        <v>DA-003</v>
      </c>
      <c r="F98" s="23" t="str">
        <f>Contributions_Data!B92</f>
        <v>DA-003-M0008</v>
      </c>
      <c r="G98" s="24">
        <f>Contributions_Data!C92</f>
        <v>45440</v>
      </c>
      <c r="H98" s="27">
        <f>Contributions_Data!D92</f>
        <v>15174.63</v>
      </c>
      <c r="I98" s="27">
        <v>0</v>
      </c>
    </row>
    <row r="99" spans="3:9">
      <c r="C99" s="23">
        <v>92</v>
      </c>
      <c r="D99" s="23" t="s">
        <v>132</v>
      </c>
      <c r="E99" s="23" t="str">
        <f>Contributions_Data!A93</f>
        <v>DA-003</v>
      </c>
      <c r="F99" s="23" t="str">
        <f>Contributions_Data!B93</f>
        <v>DA-003-M0008</v>
      </c>
      <c r="G99" s="24">
        <f>Contributions_Data!C93</f>
        <v>45366</v>
      </c>
      <c r="H99" s="27">
        <f>Contributions_Data!D93</f>
        <v>11571.09</v>
      </c>
      <c r="I99" s="27">
        <v>0</v>
      </c>
    </row>
    <row r="100" spans="3:9">
      <c r="C100" s="23">
        <v>93</v>
      </c>
      <c r="D100" s="23" t="s">
        <v>132</v>
      </c>
      <c r="E100" s="23" t="str">
        <f>Contributions_Data!A94</f>
        <v>DA-003</v>
      </c>
      <c r="F100" s="23" t="str">
        <f>Contributions_Data!B94</f>
        <v>DA-003-M0008</v>
      </c>
      <c r="G100" s="24">
        <f>Contributions_Data!C94</f>
        <v>45459</v>
      </c>
      <c r="H100" s="27">
        <f>Contributions_Data!D94</f>
        <v>16682.349999999999</v>
      </c>
      <c r="I100" s="27">
        <v>0</v>
      </c>
    </row>
    <row r="101" spans="3:9">
      <c r="C101" s="23">
        <v>94</v>
      </c>
      <c r="D101" s="23" t="s">
        <v>132</v>
      </c>
      <c r="E101" s="23" t="str">
        <f>Contributions_Data!A95</f>
        <v>DA-003</v>
      </c>
      <c r="F101" s="23" t="str">
        <f>Contributions_Data!B95</f>
        <v>DA-003-M0008</v>
      </c>
      <c r="G101" s="24">
        <f>Contributions_Data!C95</f>
        <v>45317</v>
      </c>
      <c r="H101" s="27">
        <f>Contributions_Data!D95</f>
        <v>18249.150000000001</v>
      </c>
      <c r="I101" s="27">
        <v>0</v>
      </c>
    </row>
    <row r="102" spans="3:9">
      <c r="C102" s="23">
        <v>95</v>
      </c>
      <c r="D102" s="23" t="s">
        <v>132</v>
      </c>
      <c r="E102" s="23" t="str">
        <f>Contributions_Data!A96</f>
        <v>DA-003</v>
      </c>
      <c r="F102" s="23" t="str">
        <f>Contributions_Data!B96</f>
        <v>DA-003-M0008</v>
      </c>
      <c r="G102" s="24">
        <f>Contributions_Data!C96</f>
        <v>45504</v>
      </c>
      <c r="H102" s="27">
        <f>Contributions_Data!D96</f>
        <v>18161.41</v>
      </c>
      <c r="I102" s="27">
        <v>0</v>
      </c>
    </row>
    <row r="103" spans="3:9">
      <c r="C103" s="23">
        <v>96</v>
      </c>
      <c r="D103" s="23" t="s">
        <v>132</v>
      </c>
      <c r="E103" s="23" t="str">
        <f>Contributions_Data!A97</f>
        <v>DA-003</v>
      </c>
      <c r="F103" s="23" t="str">
        <f>Contributions_Data!B97</f>
        <v>DA-003-M0008</v>
      </c>
      <c r="G103" s="24">
        <f>Contributions_Data!C97</f>
        <v>45522</v>
      </c>
      <c r="H103" s="27">
        <f>Contributions_Data!D97</f>
        <v>10866.99</v>
      </c>
      <c r="I103" s="27">
        <v>0</v>
      </c>
    </row>
    <row r="104" spans="3:9">
      <c r="C104" s="23">
        <v>97</v>
      </c>
      <c r="D104" s="23" t="s">
        <v>132</v>
      </c>
      <c r="E104" s="23" t="str">
        <f>Contributions_Data!A98</f>
        <v>DA-001</v>
      </c>
      <c r="F104" s="23" t="str">
        <f>Contributions_Data!B98</f>
        <v>DA-001-M0009</v>
      </c>
      <c r="G104" s="24">
        <f>Contributions_Data!C98</f>
        <v>45443</v>
      </c>
      <c r="H104" s="27">
        <f>Contributions_Data!D98</f>
        <v>16545.11</v>
      </c>
      <c r="I104" s="27">
        <v>0</v>
      </c>
    </row>
    <row r="105" spans="3:9">
      <c r="C105" s="23">
        <v>98</v>
      </c>
      <c r="D105" s="23" t="s">
        <v>132</v>
      </c>
      <c r="E105" s="23" t="str">
        <f>Contributions_Data!A99</f>
        <v>DA-001</v>
      </c>
      <c r="F105" s="23" t="str">
        <f>Contributions_Data!B99</f>
        <v>DA-001-M0009</v>
      </c>
      <c r="G105" s="24">
        <f>Contributions_Data!C99</f>
        <v>45420</v>
      </c>
      <c r="H105" s="27">
        <f>Contributions_Data!D99</f>
        <v>16541.36</v>
      </c>
      <c r="I105" s="27">
        <v>0</v>
      </c>
    </row>
    <row r="106" spans="3:9">
      <c r="C106" s="23">
        <v>99</v>
      </c>
      <c r="D106" s="23" t="s">
        <v>132</v>
      </c>
      <c r="E106" s="23" t="str">
        <f>Contributions_Data!A100</f>
        <v>DA-001</v>
      </c>
      <c r="F106" s="23" t="str">
        <f>Contributions_Data!B100</f>
        <v>DA-001-M0009</v>
      </c>
      <c r="G106" s="24">
        <f>Contributions_Data!C100</f>
        <v>45489</v>
      </c>
      <c r="H106" s="27">
        <f>Contributions_Data!D100</f>
        <v>16545.14</v>
      </c>
      <c r="I106" s="27">
        <v>0</v>
      </c>
    </row>
    <row r="107" spans="3:9">
      <c r="C107" s="23">
        <v>100</v>
      </c>
      <c r="D107" s="23" t="s">
        <v>132</v>
      </c>
      <c r="E107" s="23" t="str">
        <f>Contributions_Data!A101</f>
        <v>DA-001</v>
      </c>
      <c r="F107" s="23" t="str">
        <f>Contributions_Data!B101</f>
        <v>DA-001-M0009</v>
      </c>
      <c r="G107" s="24">
        <f>Contributions_Data!C101</f>
        <v>45405</v>
      </c>
      <c r="H107" s="27">
        <f>Contributions_Data!D101</f>
        <v>26558.19</v>
      </c>
      <c r="I107" s="27">
        <v>0</v>
      </c>
    </row>
    <row r="108" spans="3:9">
      <c r="C108" s="23">
        <v>101</v>
      </c>
      <c r="D108" s="23" t="s">
        <v>132</v>
      </c>
      <c r="E108" s="23" t="str">
        <f>Contributions_Data!A102</f>
        <v>DA-001</v>
      </c>
      <c r="F108" s="23" t="str">
        <f>Contributions_Data!B102</f>
        <v>DA-001-M0009</v>
      </c>
      <c r="G108" s="24">
        <f>Contributions_Data!C102</f>
        <v>45627</v>
      </c>
      <c r="H108" s="27">
        <f>Contributions_Data!D102</f>
        <v>16712.669999999998</v>
      </c>
      <c r="I108" s="27">
        <v>0</v>
      </c>
    </row>
    <row r="109" spans="3:9">
      <c r="C109" s="23">
        <v>102</v>
      </c>
      <c r="D109" s="23" t="s">
        <v>132</v>
      </c>
      <c r="E109" s="23" t="str">
        <f>Contributions_Data!A103</f>
        <v>DA-001</v>
      </c>
      <c r="F109" s="23" t="str">
        <f>Contributions_Data!B103</f>
        <v>DA-001-M0009</v>
      </c>
      <c r="G109" s="24">
        <f>Contributions_Data!C103</f>
        <v>45629</v>
      </c>
      <c r="H109" s="27">
        <f>Contributions_Data!D103</f>
        <v>17862.009999999998</v>
      </c>
      <c r="I109" s="27">
        <v>0</v>
      </c>
    </row>
    <row r="110" spans="3:9">
      <c r="C110" s="23">
        <v>103</v>
      </c>
      <c r="D110" s="23" t="s">
        <v>132</v>
      </c>
      <c r="E110" s="23" t="str">
        <f>Contributions_Data!A104</f>
        <v>DA-001</v>
      </c>
      <c r="F110" s="23" t="str">
        <f>Contributions_Data!B104</f>
        <v>DA-001-M0009</v>
      </c>
      <c r="G110" s="24">
        <f>Contributions_Data!C104</f>
        <v>45353</v>
      </c>
      <c r="H110" s="27">
        <f>Contributions_Data!D104</f>
        <v>16954.169999999998</v>
      </c>
      <c r="I110" s="27">
        <v>0</v>
      </c>
    </row>
    <row r="111" spans="3:9">
      <c r="C111" s="23">
        <v>104</v>
      </c>
      <c r="D111" s="23" t="s">
        <v>132</v>
      </c>
      <c r="E111" s="23" t="str">
        <f>Contributions_Data!A105</f>
        <v>DA-001</v>
      </c>
      <c r="F111" s="23" t="str">
        <f>Contributions_Data!B105</f>
        <v>DA-001-M0009</v>
      </c>
      <c r="G111" s="24">
        <f>Contributions_Data!C105</f>
        <v>45401</v>
      </c>
      <c r="H111" s="27">
        <f>Contributions_Data!D105</f>
        <v>17276.91</v>
      </c>
      <c r="I111" s="27">
        <v>0</v>
      </c>
    </row>
    <row r="112" spans="3:9">
      <c r="C112" s="23">
        <v>105</v>
      </c>
      <c r="D112" s="23" t="s">
        <v>132</v>
      </c>
      <c r="E112" s="23" t="str">
        <f>Contributions_Data!A106</f>
        <v>DA-001</v>
      </c>
      <c r="F112" s="23" t="str">
        <f>Contributions_Data!B106</f>
        <v>DA-001-M0009</v>
      </c>
      <c r="G112" s="24">
        <f>Contributions_Data!C106</f>
        <v>45637</v>
      </c>
      <c r="H112" s="27">
        <f>Contributions_Data!D106</f>
        <v>12681.52</v>
      </c>
      <c r="I112" s="27">
        <v>0</v>
      </c>
    </row>
    <row r="113" spans="3:9">
      <c r="C113" s="23">
        <v>106</v>
      </c>
      <c r="D113" s="23" t="s">
        <v>132</v>
      </c>
      <c r="E113" s="23" t="str">
        <f>Contributions_Data!A107</f>
        <v>DA-001</v>
      </c>
      <c r="F113" s="23" t="str">
        <f>Contributions_Data!B107</f>
        <v>DA-001-M0009</v>
      </c>
      <c r="G113" s="24">
        <f>Contributions_Data!C107</f>
        <v>45656</v>
      </c>
      <c r="H113" s="27">
        <f>Contributions_Data!D107</f>
        <v>13543.91</v>
      </c>
      <c r="I113" s="27">
        <v>0</v>
      </c>
    </row>
    <row r="114" spans="3:9">
      <c r="C114" s="23">
        <v>107</v>
      </c>
      <c r="D114" s="23" t="s">
        <v>132</v>
      </c>
      <c r="E114" s="23" t="str">
        <f>Contributions_Data!A108</f>
        <v>DA-001</v>
      </c>
      <c r="F114" s="23" t="str">
        <f>Contributions_Data!B108</f>
        <v>DA-001-M0009</v>
      </c>
      <c r="G114" s="24">
        <f>Contributions_Data!C108</f>
        <v>45352</v>
      </c>
      <c r="H114" s="27">
        <f>Contributions_Data!D108</f>
        <v>15245.62</v>
      </c>
      <c r="I114" s="27">
        <v>0</v>
      </c>
    </row>
    <row r="115" spans="3:9">
      <c r="C115" s="23">
        <v>108</v>
      </c>
      <c r="D115" s="23" t="s">
        <v>132</v>
      </c>
      <c r="E115" s="23" t="str">
        <f>Contributions_Data!A109</f>
        <v>DA-001</v>
      </c>
      <c r="F115" s="23" t="str">
        <f>Contributions_Data!B109</f>
        <v>DA-001-M0009</v>
      </c>
      <c r="G115" s="24">
        <f>Contributions_Data!C109</f>
        <v>45402</v>
      </c>
      <c r="H115" s="27">
        <f>Contributions_Data!D109</f>
        <v>21943.98</v>
      </c>
      <c r="I115" s="27">
        <v>0</v>
      </c>
    </row>
    <row r="116" spans="3:9">
      <c r="C116" s="23">
        <v>109</v>
      </c>
      <c r="D116" s="23" t="s">
        <v>132</v>
      </c>
      <c r="E116" s="23" t="str">
        <f>Contributions_Data!A110</f>
        <v>DA-001</v>
      </c>
      <c r="F116" s="23" t="str">
        <f>Contributions_Data!B110</f>
        <v>DA-001-M0010</v>
      </c>
      <c r="G116" s="24">
        <f>Contributions_Data!C110</f>
        <v>45657</v>
      </c>
      <c r="H116" s="27">
        <f>Contributions_Data!D110</f>
        <v>17058.78</v>
      </c>
      <c r="I116" s="27">
        <v>0</v>
      </c>
    </row>
    <row r="117" spans="3:9">
      <c r="C117" s="23">
        <v>110</v>
      </c>
      <c r="D117" s="23" t="s">
        <v>132</v>
      </c>
      <c r="E117" s="23" t="str">
        <f>Contributions_Data!A111</f>
        <v>DA-001</v>
      </c>
      <c r="F117" s="23" t="str">
        <f>Contributions_Data!B111</f>
        <v>DA-001-M0010</v>
      </c>
      <c r="G117" s="24">
        <f>Contributions_Data!C111</f>
        <v>45499</v>
      </c>
      <c r="H117" s="27">
        <f>Contributions_Data!D111</f>
        <v>10161.85</v>
      </c>
      <c r="I117" s="27">
        <v>0</v>
      </c>
    </row>
    <row r="118" spans="3:9">
      <c r="C118" s="23">
        <v>111</v>
      </c>
      <c r="D118" s="23" t="s">
        <v>132</v>
      </c>
      <c r="E118" s="23" t="str">
        <f>Contributions_Data!A112</f>
        <v>DA-001</v>
      </c>
      <c r="F118" s="23" t="str">
        <f>Contributions_Data!B112</f>
        <v>DA-001-M0010</v>
      </c>
      <c r="G118" s="24">
        <f>Contributions_Data!C112</f>
        <v>45302</v>
      </c>
      <c r="H118" s="27">
        <f>Contributions_Data!D112</f>
        <v>13584.2</v>
      </c>
      <c r="I118" s="27">
        <v>0</v>
      </c>
    </row>
    <row r="119" spans="3:9">
      <c r="C119" s="23">
        <v>112</v>
      </c>
      <c r="D119" s="23" t="s">
        <v>132</v>
      </c>
      <c r="E119" s="23" t="str">
        <f>Contributions_Data!A113</f>
        <v>DA-001</v>
      </c>
      <c r="F119" s="23" t="str">
        <f>Contributions_Data!B113</f>
        <v>DA-001-M0010</v>
      </c>
      <c r="G119" s="24">
        <f>Contributions_Data!C113</f>
        <v>45639</v>
      </c>
      <c r="H119" s="27">
        <f>Contributions_Data!D113</f>
        <v>15192.84</v>
      </c>
      <c r="I119" s="27">
        <v>0</v>
      </c>
    </row>
    <row r="120" spans="3:9">
      <c r="C120" s="23">
        <v>113</v>
      </c>
      <c r="D120" s="23" t="s">
        <v>132</v>
      </c>
      <c r="E120" s="23" t="str">
        <f>Contributions_Data!A114</f>
        <v>DA-001</v>
      </c>
      <c r="F120" s="23" t="str">
        <f>Contributions_Data!B114</f>
        <v>DA-001-M0010</v>
      </c>
      <c r="G120" s="24">
        <f>Contributions_Data!C114</f>
        <v>45541</v>
      </c>
      <c r="H120" s="27">
        <f>Contributions_Data!D114</f>
        <v>11766.77</v>
      </c>
      <c r="I120" s="27">
        <v>0</v>
      </c>
    </row>
    <row r="121" spans="3:9">
      <c r="C121" s="23">
        <v>114</v>
      </c>
      <c r="D121" s="23" t="s">
        <v>132</v>
      </c>
      <c r="E121" s="23" t="str">
        <f>Contributions_Data!A115</f>
        <v>DA-001</v>
      </c>
      <c r="F121" s="23" t="str">
        <f>Contributions_Data!B115</f>
        <v>DA-001-M0010</v>
      </c>
      <c r="G121" s="24">
        <f>Contributions_Data!C115</f>
        <v>45455</v>
      </c>
      <c r="H121" s="27">
        <f>Contributions_Data!D115</f>
        <v>17038.79</v>
      </c>
      <c r="I121" s="27">
        <v>0</v>
      </c>
    </row>
    <row r="122" spans="3:9">
      <c r="C122" s="23">
        <v>115</v>
      </c>
      <c r="D122" s="23" t="s">
        <v>132</v>
      </c>
      <c r="E122" s="23" t="str">
        <f>Contributions_Data!A116</f>
        <v>DA-001</v>
      </c>
      <c r="F122" s="23" t="str">
        <f>Contributions_Data!B116</f>
        <v>DA-001-M0010</v>
      </c>
      <c r="G122" s="24">
        <f>Contributions_Data!C116</f>
        <v>45603</v>
      </c>
      <c r="H122" s="27">
        <f>Contributions_Data!D116</f>
        <v>12808.9</v>
      </c>
      <c r="I122" s="27">
        <v>0</v>
      </c>
    </row>
    <row r="123" spans="3:9">
      <c r="C123" s="23">
        <v>116</v>
      </c>
      <c r="D123" s="23" t="s">
        <v>132</v>
      </c>
      <c r="E123" s="23" t="str">
        <f>Contributions_Data!A117</f>
        <v>DA-001</v>
      </c>
      <c r="F123" s="23" t="str">
        <f>Contributions_Data!B117</f>
        <v>DA-001-M0010</v>
      </c>
      <c r="G123" s="24">
        <f>Contributions_Data!C117</f>
        <v>45382</v>
      </c>
      <c r="H123" s="27">
        <f>Contributions_Data!D117</f>
        <v>15649.38</v>
      </c>
      <c r="I123" s="27">
        <v>0</v>
      </c>
    </row>
    <row r="124" spans="3:9">
      <c r="C124" s="23">
        <v>117</v>
      </c>
      <c r="D124" s="23" t="s">
        <v>132</v>
      </c>
      <c r="E124" s="23" t="str">
        <f>Contributions_Data!A118</f>
        <v>DA-001</v>
      </c>
      <c r="F124" s="23" t="str">
        <f>Contributions_Data!B118</f>
        <v>DA-001-M0010</v>
      </c>
      <c r="G124" s="24">
        <f>Contributions_Data!C118</f>
        <v>45408</v>
      </c>
      <c r="H124" s="27">
        <f>Contributions_Data!D118</f>
        <v>15136.72</v>
      </c>
      <c r="I124" s="27">
        <v>0</v>
      </c>
    </row>
    <row r="125" spans="3:9">
      <c r="C125" s="23">
        <v>118</v>
      </c>
      <c r="D125" s="23" t="s">
        <v>132</v>
      </c>
      <c r="E125" s="23" t="str">
        <f>Contributions_Data!A119</f>
        <v>DA-001</v>
      </c>
      <c r="F125" s="23" t="str">
        <f>Contributions_Data!B119</f>
        <v>DA-001-M0010</v>
      </c>
      <c r="G125" s="24">
        <f>Contributions_Data!C119</f>
        <v>45348</v>
      </c>
      <c r="H125" s="27">
        <f>Contributions_Data!D119</f>
        <v>21431.83</v>
      </c>
      <c r="I125" s="27">
        <v>0</v>
      </c>
    </row>
    <row r="126" spans="3:9">
      <c r="C126" s="23">
        <v>119</v>
      </c>
      <c r="D126" s="23" t="s">
        <v>132</v>
      </c>
      <c r="E126" s="23" t="str">
        <f>Contributions_Data!A120</f>
        <v>DA-001</v>
      </c>
      <c r="F126" s="23" t="str">
        <f>Contributions_Data!B120</f>
        <v>DA-001-M0010</v>
      </c>
      <c r="G126" s="24">
        <f>Contributions_Data!C120</f>
        <v>45657</v>
      </c>
      <c r="H126" s="27">
        <f>Contributions_Data!D120</f>
        <v>16901.759999999998</v>
      </c>
      <c r="I126" s="27">
        <v>0</v>
      </c>
    </row>
    <row r="127" spans="3:9">
      <c r="C127" s="23">
        <v>120</v>
      </c>
      <c r="D127" s="23" t="s">
        <v>132</v>
      </c>
      <c r="E127" s="23" t="str">
        <f>Contributions_Data!A121</f>
        <v>DA-001</v>
      </c>
      <c r="F127" s="23" t="str">
        <f>Contributions_Data!B121</f>
        <v>DA-001-M0010</v>
      </c>
      <c r="G127" s="24">
        <f>Contributions_Data!C121</f>
        <v>45552</v>
      </c>
      <c r="H127" s="27">
        <f>Contributions_Data!D121</f>
        <v>8924.57</v>
      </c>
      <c r="I127" s="27">
        <v>0</v>
      </c>
    </row>
    <row r="128" spans="3:9">
      <c r="C128" s="23">
        <v>121</v>
      </c>
      <c r="D128" s="23" t="s">
        <v>132</v>
      </c>
      <c r="E128" s="23" t="str">
        <f>Contributions_Data!A122</f>
        <v>DA-001</v>
      </c>
      <c r="F128" s="23" t="str">
        <f>Contributions_Data!B122</f>
        <v>DA-001-M0011</v>
      </c>
      <c r="G128" s="24">
        <f>Contributions_Data!C122</f>
        <v>45574</v>
      </c>
      <c r="H128" s="27">
        <f>Contributions_Data!D122</f>
        <v>15559.36</v>
      </c>
      <c r="I128" s="27">
        <v>0</v>
      </c>
    </row>
    <row r="129" spans="3:9">
      <c r="C129" s="23">
        <v>122</v>
      </c>
      <c r="D129" s="23" t="s">
        <v>132</v>
      </c>
      <c r="E129" s="23" t="str">
        <f>Contributions_Data!A123</f>
        <v>DA-001</v>
      </c>
      <c r="F129" s="23" t="str">
        <f>Contributions_Data!B123</f>
        <v>DA-001-M0011</v>
      </c>
      <c r="G129" s="24">
        <f>Contributions_Data!C123</f>
        <v>45644</v>
      </c>
      <c r="H129" s="27">
        <f>Contributions_Data!D123</f>
        <v>13014.64</v>
      </c>
      <c r="I129" s="27">
        <v>0</v>
      </c>
    </row>
    <row r="130" spans="3:9">
      <c r="C130" s="23">
        <v>123</v>
      </c>
      <c r="D130" s="23" t="s">
        <v>132</v>
      </c>
      <c r="E130" s="23" t="str">
        <f>Contributions_Data!A124</f>
        <v>DA-001</v>
      </c>
      <c r="F130" s="23" t="str">
        <f>Contributions_Data!B124</f>
        <v>DA-001-M0011</v>
      </c>
      <c r="G130" s="24">
        <f>Contributions_Data!C124</f>
        <v>45612</v>
      </c>
      <c r="H130" s="27">
        <f>Contributions_Data!D124</f>
        <v>17557.3</v>
      </c>
      <c r="I130" s="27">
        <v>0</v>
      </c>
    </row>
    <row r="131" spans="3:9">
      <c r="C131" s="23">
        <v>124</v>
      </c>
      <c r="D131" s="23" t="s">
        <v>132</v>
      </c>
      <c r="E131" s="23" t="str">
        <f>Contributions_Data!A125</f>
        <v>DA-001</v>
      </c>
      <c r="F131" s="23" t="str">
        <f>Contributions_Data!B125</f>
        <v>DA-001-M0011</v>
      </c>
      <c r="G131" s="24">
        <f>Contributions_Data!C125</f>
        <v>45300</v>
      </c>
      <c r="H131" s="27">
        <f>Contributions_Data!D125</f>
        <v>12622.44</v>
      </c>
      <c r="I131" s="27">
        <v>0</v>
      </c>
    </row>
    <row r="132" spans="3:9">
      <c r="C132" s="23">
        <v>125</v>
      </c>
      <c r="D132" s="23" t="s">
        <v>132</v>
      </c>
      <c r="E132" s="23" t="str">
        <f>Contributions_Data!A126</f>
        <v>DA-001</v>
      </c>
      <c r="F132" s="23" t="str">
        <f>Contributions_Data!B126</f>
        <v>DA-001-M0011</v>
      </c>
      <c r="G132" s="24">
        <f>Contributions_Data!C126</f>
        <v>45631</v>
      </c>
      <c r="H132" s="27">
        <f>Contributions_Data!D126</f>
        <v>14655.79</v>
      </c>
      <c r="I132" s="27">
        <v>0</v>
      </c>
    </row>
    <row r="133" spans="3:9">
      <c r="C133" s="23">
        <v>126</v>
      </c>
      <c r="D133" s="23" t="s">
        <v>132</v>
      </c>
      <c r="E133" s="23" t="str">
        <f>Contributions_Data!A127</f>
        <v>DA-001</v>
      </c>
      <c r="F133" s="23" t="str">
        <f>Contributions_Data!B127</f>
        <v>DA-001-M0011</v>
      </c>
      <c r="G133" s="24">
        <f>Contributions_Data!C127</f>
        <v>45523</v>
      </c>
      <c r="H133" s="27">
        <f>Contributions_Data!D127</f>
        <v>16514.96</v>
      </c>
      <c r="I133" s="27">
        <v>0</v>
      </c>
    </row>
    <row r="134" spans="3:9">
      <c r="C134" s="23">
        <v>127</v>
      </c>
      <c r="D134" s="23" t="s">
        <v>132</v>
      </c>
      <c r="E134" s="23" t="str">
        <f>Contributions_Data!A128</f>
        <v>DA-001</v>
      </c>
      <c r="F134" s="23" t="str">
        <f>Contributions_Data!B128</f>
        <v>DA-001-M0011</v>
      </c>
      <c r="G134" s="24">
        <f>Contributions_Data!C128</f>
        <v>45381</v>
      </c>
      <c r="H134" s="27">
        <f>Contributions_Data!D128</f>
        <v>11399.11</v>
      </c>
      <c r="I134" s="27">
        <v>0</v>
      </c>
    </row>
    <row r="135" spans="3:9">
      <c r="C135" s="23">
        <v>128</v>
      </c>
      <c r="D135" s="23" t="s">
        <v>132</v>
      </c>
      <c r="E135" s="23" t="str">
        <f>Contributions_Data!A129</f>
        <v>DA-001</v>
      </c>
      <c r="F135" s="23" t="str">
        <f>Contributions_Data!B129</f>
        <v>DA-001-M0011</v>
      </c>
      <c r="G135" s="24">
        <f>Contributions_Data!C129</f>
        <v>45465</v>
      </c>
      <c r="H135" s="27">
        <f>Contributions_Data!D129</f>
        <v>13575.16</v>
      </c>
      <c r="I135" s="27">
        <v>0</v>
      </c>
    </row>
    <row r="136" spans="3:9">
      <c r="C136" s="23">
        <v>129</v>
      </c>
      <c r="D136" s="23" t="s">
        <v>132</v>
      </c>
      <c r="E136" s="23" t="str">
        <f>Contributions_Data!A130</f>
        <v>DA-001</v>
      </c>
      <c r="F136" s="23" t="str">
        <f>Contributions_Data!B130</f>
        <v>DA-001-M0011</v>
      </c>
      <c r="G136" s="24">
        <f>Contributions_Data!C130</f>
        <v>45499</v>
      </c>
      <c r="H136" s="27">
        <f>Contributions_Data!D130</f>
        <v>13040.01</v>
      </c>
      <c r="I136" s="27">
        <v>0</v>
      </c>
    </row>
    <row r="137" spans="3:9">
      <c r="C137" s="23">
        <v>130</v>
      </c>
      <c r="D137" s="23" t="s">
        <v>132</v>
      </c>
      <c r="E137" s="23" t="str">
        <f>Contributions_Data!A131</f>
        <v>DA-001</v>
      </c>
      <c r="F137" s="23" t="str">
        <f>Contributions_Data!B131</f>
        <v>DA-001-M0011</v>
      </c>
      <c r="G137" s="24">
        <f>Contributions_Data!C131</f>
        <v>45320</v>
      </c>
      <c r="H137" s="27">
        <f>Contributions_Data!D131</f>
        <v>16214.95</v>
      </c>
      <c r="I137" s="27">
        <v>0</v>
      </c>
    </row>
    <row r="138" spans="3:9">
      <c r="C138" s="23">
        <v>131</v>
      </c>
      <c r="D138" s="23" t="s">
        <v>132</v>
      </c>
      <c r="E138" s="23" t="str">
        <f>Contributions_Data!A132</f>
        <v>DA-001</v>
      </c>
      <c r="F138" s="23" t="str">
        <f>Contributions_Data!B132</f>
        <v>DA-001-M0011</v>
      </c>
      <c r="G138" s="24">
        <f>Contributions_Data!C132</f>
        <v>45564</v>
      </c>
      <c r="H138" s="27">
        <f>Contributions_Data!D132</f>
        <v>11217.35</v>
      </c>
      <c r="I138" s="27">
        <v>0</v>
      </c>
    </row>
    <row r="139" spans="3:9">
      <c r="C139" s="23">
        <v>132</v>
      </c>
      <c r="D139" s="23" t="s">
        <v>132</v>
      </c>
      <c r="E139" s="23" t="str">
        <f>Contributions_Data!A133</f>
        <v>DA-001</v>
      </c>
      <c r="F139" s="23" t="str">
        <f>Contributions_Data!B133</f>
        <v>DA-001-M0011</v>
      </c>
      <c r="G139" s="24">
        <f>Contributions_Data!C133</f>
        <v>45440</v>
      </c>
      <c r="H139" s="27">
        <f>Contributions_Data!D133</f>
        <v>17753.59</v>
      </c>
      <c r="I139" s="27">
        <v>0</v>
      </c>
    </row>
    <row r="140" spans="3:9">
      <c r="C140" s="23">
        <v>133</v>
      </c>
      <c r="D140" s="23" t="s">
        <v>132</v>
      </c>
      <c r="E140" s="23" t="str">
        <f>Contributions_Data!A134</f>
        <v>DA-003</v>
      </c>
      <c r="F140" s="23" t="str">
        <f>Contributions_Data!B134</f>
        <v>DA-003-M0012</v>
      </c>
      <c r="G140" s="24">
        <f>Contributions_Data!C134</f>
        <v>45372</v>
      </c>
      <c r="H140" s="27">
        <f>Contributions_Data!D134</f>
        <v>18097.400000000001</v>
      </c>
      <c r="I140" s="27">
        <v>0</v>
      </c>
    </row>
    <row r="141" spans="3:9">
      <c r="C141" s="23">
        <v>134</v>
      </c>
      <c r="D141" s="23" t="s">
        <v>132</v>
      </c>
      <c r="E141" s="23" t="str">
        <f>Contributions_Data!A135</f>
        <v>DA-003</v>
      </c>
      <c r="F141" s="23" t="str">
        <f>Contributions_Data!B135</f>
        <v>DA-003-M0012</v>
      </c>
      <c r="G141" s="24">
        <f>Contributions_Data!C135</f>
        <v>45540</v>
      </c>
      <c r="H141" s="27">
        <f>Contributions_Data!D135</f>
        <v>10441.89</v>
      </c>
      <c r="I141" s="27">
        <v>0</v>
      </c>
    </row>
    <row r="142" spans="3:9">
      <c r="C142" s="23">
        <v>135</v>
      </c>
      <c r="D142" s="23" t="s">
        <v>132</v>
      </c>
      <c r="E142" s="23" t="str">
        <f>Contributions_Data!A136</f>
        <v>DA-003</v>
      </c>
      <c r="F142" s="23" t="str">
        <f>Contributions_Data!B136</f>
        <v>DA-003-M0012</v>
      </c>
      <c r="G142" s="24">
        <f>Contributions_Data!C136</f>
        <v>45424</v>
      </c>
      <c r="H142" s="27">
        <f>Contributions_Data!D136</f>
        <v>13547.3</v>
      </c>
      <c r="I142" s="27">
        <v>0</v>
      </c>
    </row>
    <row r="143" spans="3:9">
      <c r="C143" s="23">
        <v>136</v>
      </c>
      <c r="D143" s="23" t="s">
        <v>132</v>
      </c>
      <c r="E143" s="23" t="str">
        <f>Contributions_Data!A137</f>
        <v>DA-003</v>
      </c>
      <c r="F143" s="23" t="str">
        <f>Contributions_Data!B137</f>
        <v>DA-003-M0012</v>
      </c>
      <c r="G143" s="24">
        <f>Contributions_Data!C137</f>
        <v>45363</v>
      </c>
      <c r="H143" s="27">
        <f>Contributions_Data!D137</f>
        <v>12876.99</v>
      </c>
      <c r="I143" s="27">
        <v>0</v>
      </c>
    </row>
    <row r="144" spans="3:9">
      <c r="C144" s="23">
        <v>137</v>
      </c>
      <c r="D144" s="23" t="s">
        <v>132</v>
      </c>
      <c r="E144" s="23" t="str">
        <f>Contributions_Data!A138</f>
        <v>DA-003</v>
      </c>
      <c r="F144" s="23" t="str">
        <f>Contributions_Data!B138</f>
        <v>DA-003-M0012</v>
      </c>
      <c r="G144" s="24">
        <f>Contributions_Data!C138</f>
        <v>45594</v>
      </c>
      <c r="H144" s="27">
        <f>Contributions_Data!D138</f>
        <v>17323.900000000001</v>
      </c>
      <c r="I144" s="27">
        <v>0</v>
      </c>
    </row>
    <row r="145" spans="3:9">
      <c r="C145" s="23">
        <v>138</v>
      </c>
      <c r="D145" s="23" t="s">
        <v>132</v>
      </c>
      <c r="E145" s="23" t="str">
        <f>Contributions_Data!A139</f>
        <v>DA-003</v>
      </c>
      <c r="F145" s="23" t="str">
        <f>Contributions_Data!B139</f>
        <v>DA-003-M0012</v>
      </c>
      <c r="G145" s="24">
        <f>Contributions_Data!C139</f>
        <v>45551</v>
      </c>
      <c r="H145" s="27">
        <f>Contributions_Data!D139</f>
        <v>12219.21</v>
      </c>
      <c r="I145" s="27">
        <v>0</v>
      </c>
    </row>
    <row r="146" spans="3:9">
      <c r="C146" s="23">
        <v>139</v>
      </c>
      <c r="D146" s="23" t="s">
        <v>132</v>
      </c>
      <c r="E146" s="23" t="str">
        <f>Contributions_Data!A140</f>
        <v>DA-003</v>
      </c>
      <c r="F146" s="23" t="str">
        <f>Contributions_Data!B140</f>
        <v>DA-003-M0012</v>
      </c>
      <c r="G146" s="24">
        <f>Contributions_Data!C140</f>
        <v>45369</v>
      </c>
      <c r="H146" s="27">
        <f>Contributions_Data!D140</f>
        <v>5276.2</v>
      </c>
      <c r="I146" s="27">
        <v>0</v>
      </c>
    </row>
    <row r="147" spans="3:9">
      <c r="C147" s="23">
        <v>140</v>
      </c>
      <c r="D147" s="23" t="s">
        <v>132</v>
      </c>
      <c r="E147" s="23" t="str">
        <f>Contributions_Data!A141</f>
        <v>DA-003</v>
      </c>
      <c r="F147" s="23" t="str">
        <f>Contributions_Data!B141</f>
        <v>DA-003-M0012</v>
      </c>
      <c r="G147" s="24">
        <f>Contributions_Data!C141</f>
        <v>45505</v>
      </c>
      <c r="H147" s="27">
        <f>Contributions_Data!D141</f>
        <v>11926.84</v>
      </c>
      <c r="I147" s="27">
        <v>0</v>
      </c>
    </row>
    <row r="148" spans="3:9">
      <c r="C148" s="23">
        <v>141</v>
      </c>
      <c r="D148" s="23" t="s">
        <v>132</v>
      </c>
      <c r="E148" s="23" t="str">
        <f>Contributions_Data!A142</f>
        <v>DA-003</v>
      </c>
      <c r="F148" s="23" t="str">
        <f>Contributions_Data!B142</f>
        <v>DA-003-M0012</v>
      </c>
      <c r="G148" s="24">
        <f>Contributions_Data!C142</f>
        <v>45423</v>
      </c>
      <c r="H148" s="27">
        <f>Contributions_Data!D142</f>
        <v>11256.65</v>
      </c>
      <c r="I148" s="27">
        <v>0</v>
      </c>
    </row>
    <row r="149" spans="3:9">
      <c r="C149" s="23">
        <v>142</v>
      </c>
      <c r="D149" s="23" t="s">
        <v>132</v>
      </c>
      <c r="E149" s="23" t="str">
        <f>Contributions_Data!A143</f>
        <v>DA-003</v>
      </c>
      <c r="F149" s="23" t="str">
        <f>Contributions_Data!B143</f>
        <v>DA-003-M0012</v>
      </c>
      <c r="G149" s="24">
        <f>Contributions_Data!C143</f>
        <v>45541</v>
      </c>
      <c r="H149" s="27">
        <f>Contributions_Data!D143</f>
        <v>10709.58</v>
      </c>
      <c r="I149" s="27">
        <v>0</v>
      </c>
    </row>
    <row r="150" spans="3:9">
      <c r="C150" s="23">
        <v>143</v>
      </c>
      <c r="D150" s="23" t="s">
        <v>132</v>
      </c>
      <c r="E150" s="23" t="str">
        <f>Contributions_Data!A144</f>
        <v>DA-003</v>
      </c>
      <c r="F150" s="23" t="str">
        <f>Contributions_Data!B144</f>
        <v>DA-003-M0012</v>
      </c>
      <c r="G150" s="24">
        <f>Contributions_Data!C144</f>
        <v>45379</v>
      </c>
      <c r="H150" s="27">
        <f>Contributions_Data!D144</f>
        <v>13679.87</v>
      </c>
      <c r="I150" s="27">
        <v>0</v>
      </c>
    </row>
    <row r="151" spans="3:9">
      <c r="C151" s="23">
        <v>144</v>
      </c>
      <c r="D151" s="23" t="s">
        <v>132</v>
      </c>
      <c r="E151" s="23" t="str">
        <f>Contributions_Data!A145</f>
        <v>DA-003</v>
      </c>
      <c r="F151" s="23" t="str">
        <f>Contributions_Data!B145</f>
        <v>DA-003-M0012</v>
      </c>
      <c r="G151" s="24">
        <f>Contributions_Data!C145</f>
        <v>45620</v>
      </c>
      <c r="H151" s="27">
        <f>Contributions_Data!D145</f>
        <v>15392.22</v>
      </c>
      <c r="I151" s="27">
        <v>0</v>
      </c>
    </row>
    <row r="152" spans="3:9">
      <c r="C152" s="23">
        <v>145</v>
      </c>
      <c r="D152" s="23" t="s">
        <v>132</v>
      </c>
      <c r="E152" s="23" t="str">
        <f>Contributions_Data!A146</f>
        <v>DA-003</v>
      </c>
      <c r="F152" s="23" t="str">
        <f>Contributions_Data!B146</f>
        <v>DA-003-M0013</v>
      </c>
      <c r="G152" s="24">
        <f>Contributions_Data!C146</f>
        <v>45329</v>
      </c>
      <c r="H152" s="27">
        <f>Contributions_Data!D146</f>
        <v>10692.41</v>
      </c>
      <c r="I152" s="27">
        <v>0</v>
      </c>
    </row>
    <row r="153" spans="3:9">
      <c r="C153" s="23">
        <v>146</v>
      </c>
      <c r="D153" s="23" t="s">
        <v>132</v>
      </c>
      <c r="E153" s="23" t="str">
        <f>Contributions_Data!A147</f>
        <v>DA-003</v>
      </c>
      <c r="F153" s="23" t="str">
        <f>Contributions_Data!B147</f>
        <v>DA-003-M0013</v>
      </c>
      <c r="G153" s="24">
        <f>Contributions_Data!C147</f>
        <v>45599</v>
      </c>
      <c r="H153" s="27">
        <f>Contributions_Data!D147</f>
        <v>18489.490000000002</v>
      </c>
      <c r="I153" s="27">
        <v>0</v>
      </c>
    </row>
    <row r="154" spans="3:9">
      <c r="C154" s="23">
        <v>147</v>
      </c>
      <c r="D154" s="23" t="s">
        <v>132</v>
      </c>
      <c r="E154" s="23" t="str">
        <f>Contributions_Data!A148</f>
        <v>DA-003</v>
      </c>
      <c r="F154" s="23" t="str">
        <f>Contributions_Data!B148</f>
        <v>DA-003-M0013</v>
      </c>
      <c r="G154" s="24">
        <f>Contributions_Data!C148</f>
        <v>45294</v>
      </c>
      <c r="H154" s="27">
        <f>Contributions_Data!D148</f>
        <v>15030.7</v>
      </c>
      <c r="I154" s="27">
        <v>0</v>
      </c>
    </row>
    <row r="155" spans="3:9">
      <c r="C155" s="23">
        <v>148</v>
      </c>
      <c r="D155" s="23" t="s">
        <v>132</v>
      </c>
      <c r="E155" s="23" t="str">
        <f>Contributions_Data!A149</f>
        <v>DA-003</v>
      </c>
      <c r="F155" s="23" t="str">
        <f>Contributions_Data!B149</f>
        <v>DA-003-M0013</v>
      </c>
      <c r="G155" s="24">
        <f>Contributions_Data!C149</f>
        <v>45434</v>
      </c>
      <c r="H155" s="27">
        <f>Contributions_Data!D149</f>
        <v>16386.310000000001</v>
      </c>
      <c r="I155" s="27">
        <v>0</v>
      </c>
    </row>
    <row r="156" spans="3:9">
      <c r="C156" s="23">
        <v>149</v>
      </c>
      <c r="D156" s="23" t="s">
        <v>132</v>
      </c>
      <c r="E156" s="23" t="str">
        <f>Contributions_Data!A150</f>
        <v>DA-003</v>
      </c>
      <c r="F156" s="23" t="str">
        <f>Contributions_Data!B150</f>
        <v>DA-003-M0013</v>
      </c>
      <c r="G156" s="24">
        <f>Contributions_Data!C150</f>
        <v>45407</v>
      </c>
      <c r="H156" s="27">
        <f>Contributions_Data!D150</f>
        <v>15597.18</v>
      </c>
      <c r="I156" s="27">
        <v>0</v>
      </c>
    </row>
    <row r="157" spans="3:9">
      <c r="C157" s="23">
        <v>150</v>
      </c>
      <c r="D157" s="23" t="s">
        <v>132</v>
      </c>
      <c r="E157" s="23" t="str">
        <f>Contributions_Data!A151</f>
        <v>DA-003</v>
      </c>
      <c r="F157" s="23" t="str">
        <f>Contributions_Data!B151</f>
        <v>DA-003-M0013</v>
      </c>
      <c r="G157" s="24">
        <f>Contributions_Data!C151</f>
        <v>45442</v>
      </c>
      <c r="H157" s="27">
        <f>Contributions_Data!D151</f>
        <v>13199.35</v>
      </c>
      <c r="I157" s="27">
        <v>0</v>
      </c>
    </row>
    <row r="158" spans="3:9">
      <c r="C158" s="23">
        <v>151</v>
      </c>
      <c r="D158" s="23" t="s">
        <v>132</v>
      </c>
      <c r="E158" s="23" t="str">
        <f>Contributions_Data!A152</f>
        <v>DA-003</v>
      </c>
      <c r="F158" s="23" t="str">
        <f>Contributions_Data!B152</f>
        <v>DA-003-M0013</v>
      </c>
      <c r="G158" s="24">
        <f>Contributions_Data!C152</f>
        <v>45652</v>
      </c>
      <c r="H158" s="27">
        <f>Contributions_Data!D152</f>
        <v>13844.06</v>
      </c>
      <c r="I158" s="27">
        <v>0</v>
      </c>
    </row>
    <row r="159" spans="3:9">
      <c r="C159" s="23">
        <v>152</v>
      </c>
      <c r="D159" s="23" t="s">
        <v>132</v>
      </c>
      <c r="E159" s="23" t="str">
        <f>Contributions_Data!A153</f>
        <v>DA-003</v>
      </c>
      <c r="F159" s="23" t="str">
        <f>Contributions_Data!B153</f>
        <v>DA-003-M0013</v>
      </c>
      <c r="G159" s="24">
        <f>Contributions_Data!C153</f>
        <v>45509</v>
      </c>
      <c r="H159" s="27">
        <f>Contributions_Data!D153</f>
        <v>16986.39</v>
      </c>
      <c r="I159" s="27">
        <v>0</v>
      </c>
    </row>
    <row r="160" spans="3:9">
      <c r="C160" s="23">
        <v>153</v>
      </c>
      <c r="D160" s="23" t="s">
        <v>132</v>
      </c>
      <c r="E160" s="23" t="str">
        <f>Contributions_Data!A154</f>
        <v>DA-003</v>
      </c>
      <c r="F160" s="23" t="str">
        <f>Contributions_Data!B154</f>
        <v>DA-003-M0013</v>
      </c>
      <c r="G160" s="24">
        <f>Contributions_Data!C154</f>
        <v>45633</v>
      </c>
      <c r="H160" s="27">
        <f>Contributions_Data!D154</f>
        <v>19758.05</v>
      </c>
      <c r="I160" s="27">
        <v>0</v>
      </c>
    </row>
    <row r="161" spans="3:9">
      <c r="C161" s="23">
        <v>154</v>
      </c>
      <c r="D161" s="23" t="s">
        <v>132</v>
      </c>
      <c r="E161" s="23" t="str">
        <f>Contributions_Data!A155</f>
        <v>DA-003</v>
      </c>
      <c r="F161" s="23" t="str">
        <f>Contributions_Data!B155</f>
        <v>DA-003-M0013</v>
      </c>
      <c r="G161" s="24">
        <f>Contributions_Data!C155</f>
        <v>45641</v>
      </c>
      <c r="H161" s="27">
        <f>Contributions_Data!D155</f>
        <v>11286.55</v>
      </c>
      <c r="I161" s="27">
        <v>0</v>
      </c>
    </row>
    <row r="162" spans="3:9">
      <c r="C162" s="23">
        <v>155</v>
      </c>
      <c r="D162" s="23" t="s">
        <v>132</v>
      </c>
      <c r="E162" s="23" t="str">
        <f>Contributions_Data!A156</f>
        <v>DA-003</v>
      </c>
      <c r="F162" s="23" t="str">
        <f>Contributions_Data!B156</f>
        <v>DA-003-M0013</v>
      </c>
      <c r="G162" s="24">
        <f>Contributions_Data!C156</f>
        <v>45376</v>
      </c>
      <c r="H162" s="27">
        <f>Contributions_Data!D156</f>
        <v>21399.1</v>
      </c>
      <c r="I162" s="27">
        <v>0</v>
      </c>
    </row>
    <row r="163" spans="3:9">
      <c r="C163" s="23">
        <v>156</v>
      </c>
      <c r="D163" s="23" t="s">
        <v>132</v>
      </c>
      <c r="E163" s="23" t="str">
        <f>Contributions_Data!A157</f>
        <v>DA-003</v>
      </c>
      <c r="F163" s="23" t="str">
        <f>Contributions_Data!B157</f>
        <v>DA-003-M0013</v>
      </c>
      <c r="G163" s="24">
        <f>Contributions_Data!C157</f>
        <v>45486</v>
      </c>
      <c r="H163" s="27">
        <f>Contributions_Data!D157</f>
        <v>9143.74</v>
      </c>
      <c r="I163" s="27">
        <v>0</v>
      </c>
    </row>
    <row r="164" spans="3:9">
      <c r="C164" s="23">
        <v>157</v>
      </c>
      <c r="D164" s="23" t="s">
        <v>132</v>
      </c>
      <c r="E164" s="23" t="str">
        <f>Contributions_Data!A158</f>
        <v>DA-003</v>
      </c>
      <c r="F164" s="23" t="str">
        <f>Contributions_Data!B158</f>
        <v>DA-003-M0014</v>
      </c>
      <c r="G164" s="24">
        <f>Contributions_Data!C158</f>
        <v>45645</v>
      </c>
      <c r="H164" s="27">
        <f>Contributions_Data!D158</f>
        <v>16764.95</v>
      </c>
      <c r="I164" s="27">
        <v>0</v>
      </c>
    </row>
    <row r="165" spans="3:9">
      <c r="C165" s="23">
        <v>158</v>
      </c>
      <c r="D165" s="23" t="s">
        <v>132</v>
      </c>
      <c r="E165" s="23" t="str">
        <f>Contributions_Data!A159</f>
        <v>DA-003</v>
      </c>
      <c r="F165" s="23" t="str">
        <f>Contributions_Data!B159</f>
        <v>DA-003-M0014</v>
      </c>
      <c r="G165" s="24">
        <f>Contributions_Data!C159</f>
        <v>45616</v>
      </c>
      <c r="H165" s="27">
        <f>Contributions_Data!D159</f>
        <v>15842.98</v>
      </c>
      <c r="I165" s="27">
        <v>0</v>
      </c>
    </row>
    <row r="166" spans="3:9">
      <c r="C166" s="23">
        <v>159</v>
      </c>
      <c r="D166" s="23" t="s">
        <v>132</v>
      </c>
      <c r="E166" s="23" t="str">
        <f>Contributions_Data!A160</f>
        <v>DA-003</v>
      </c>
      <c r="F166" s="23" t="str">
        <f>Contributions_Data!B160</f>
        <v>DA-003-M0014</v>
      </c>
      <c r="G166" s="24">
        <f>Contributions_Data!C160</f>
        <v>45382</v>
      </c>
      <c r="H166" s="27">
        <f>Contributions_Data!D160</f>
        <v>13131.9</v>
      </c>
      <c r="I166" s="27">
        <v>0</v>
      </c>
    </row>
    <row r="167" spans="3:9">
      <c r="C167" s="23">
        <v>160</v>
      </c>
      <c r="D167" s="23" t="s">
        <v>132</v>
      </c>
      <c r="E167" s="23" t="str">
        <f>Contributions_Data!A161</f>
        <v>DA-003</v>
      </c>
      <c r="F167" s="23" t="str">
        <f>Contributions_Data!B161</f>
        <v>DA-003-M0014</v>
      </c>
      <c r="G167" s="24">
        <f>Contributions_Data!C161</f>
        <v>45302</v>
      </c>
      <c r="H167" s="27">
        <f>Contributions_Data!D161</f>
        <v>14375.63</v>
      </c>
      <c r="I167" s="27">
        <v>0</v>
      </c>
    </row>
    <row r="168" spans="3:9">
      <c r="C168" s="23">
        <v>161</v>
      </c>
      <c r="D168" s="23" t="s">
        <v>132</v>
      </c>
      <c r="E168" s="23" t="str">
        <f>Contributions_Data!A162</f>
        <v>DA-003</v>
      </c>
      <c r="F168" s="23" t="str">
        <f>Contributions_Data!B162</f>
        <v>DA-003-M0014</v>
      </c>
      <c r="G168" s="24">
        <f>Contributions_Data!C162</f>
        <v>45550</v>
      </c>
      <c r="H168" s="27">
        <f>Contributions_Data!D162</f>
        <v>13521</v>
      </c>
      <c r="I168" s="27">
        <v>0</v>
      </c>
    </row>
    <row r="169" spans="3:9">
      <c r="C169" s="23">
        <v>162</v>
      </c>
      <c r="D169" s="23" t="s">
        <v>132</v>
      </c>
      <c r="E169" s="23" t="str">
        <f>Contributions_Data!A163</f>
        <v>DA-003</v>
      </c>
      <c r="F169" s="23" t="str">
        <f>Contributions_Data!B163</f>
        <v>DA-003-M0014</v>
      </c>
      <c r="G169" s="24">
        <f>Contributions_Data!C163</f>
        <v>45628</v>
      </c>
      <c r="H169" s="27">
        <f>Contributions_Data!D163</f>
        <v>13231.91</v>
      </c>
      <c r="I169" s="27">
        <v>0</v>
      </c>
    </row>
    <row r="170" spans="3:9">
      <c r="C170" s="23">
        <v>163</v>
      </c>
      <c r="D170" s="23" t="s">
        <v>132</v>
      </c>
      <c r="E170" s="23" t="str">
        <f>Contributions_Data!A164</f>
        <v>DA-003</v>
      </c>
      <c r="F170" s="23" t="str">
        <f>Contributions_Data!B164</f>
        <v>DA-003-M0014</v>
      </c>
      <c r="G170" s="24">
        <f>Contributions_Data!C164</f>
        <v>45509</v>
      </c>
      <c r="H170" s="27">
        <f>Contributions_Data!D164</f>
        <v>17548.810000000001</v>
      </c>
      <c r="I170" s="27">
        <v>0</v>
      </c>
    </row>
    <row r="171" spans="3:9">
      <c r="C171" s="23">
        <v>164</v>
      </c>
      <c r="D171" s="23" t="s">
        <v>132</v>
      </c>
      <c r="E171" s="23" t="str">
        <f>Contributions_Data!A165</f>
        <v>DA-003</v>
      </c>
      <c r="F171" s="23" t="str">
        <f>Contributions_Data!B165</f>
        <v>DA-003-M0014</v>
      </c>
      <c r="G171" s="24">
        <f>Contributions_Data!C165</f>
        <v>45620</v>
      </c>
      <c r="H171" s="27">
        <f>Contributions_Data!D165</f>
        <v>16071.05</v>
      </c>
      <c r="I171" s="27">
        <v>0</v>
      </c>
    </row>
    <row r="172" spans="3:9">
      <c r="C172" s="23">
        <v>165</v>
      </c>
      <c r="D172" s="23" t="s">
        <v>132</v>
      </c>
      <c r="E172" s="23" t="str">
        <f>Contributions_Data!A166</f>
        <v>DA-003</v>
      </c>
      <c r="F172" s="23" t="str">
        <f>Contributions_Data!B166</f>
        <v>DA-003-M0014</v>
      </c>
      <c r="G172" s="24">
        <f>Contributions_Data!C166</f>
        <v>45387</v>
      </c>
      <c r="H172" s="27">
        <f>Contributions_Data!D166</f>
        <v>17698.8</v>
      </c>
      <c r="I172" s="27">
        <v>0</v>
      </c>
    </row>
    <row r="173" spans="3:9">
      <c r="C173" s="23">
        <v>166</v>
      </c>
      <c r="D173" s="23" t="s">
        <v>132</v>
      </c>
      <c r="E173" s="23" t="str">
        <f>Contributions_Data!A167</f>
        <v>DA-003</v>
      </c>
      <c r="F173" s="23" t="str">
        <f>Contributions_Data!B167</f>
        <v>DA-003-M0014</v>
      </c>
      <c r="G173" s="24">
        <f>Contributions_Data!C167</f>
        <v>45387</v>
      </c>
      <c r="H173" s="27">
        <f>Contributions_Data!D167</f>
        <v>15921.9</v>
      </c>
      <c r="I173" s="27">
        <v>0</v>
      </c>
    </row>
    <row r="174" spans="3:9">
      <c r="C174" s="23">
        <v>167</v>
      </c>
      <c r="D174" s="23" t="s">
        <v>132</v>
      </c>
      <c r="E174" s="23" t="str">
        <f>Contributions_Data!A168</f>
        <v>DA-003</v>
      </c>
      <c r="F174" s="23" t="str">
        <f>Contributions_Data!B168</f>
        <v>DA-003-M0014</v>
      </c>
      <c r="G174" s="24">
        <f>Contributions_Data!C168</f>
        <v>45533</v>
      </c>
      <c r="H174" s="27">
        <f>Contributions_Data!D168</f>
        <v>17438.59</v>
      </c>
      <c r="I174" s="27">
        <v>0</v>
      </c>
    </row>
    <row r="175" spans="3:9">
      <c r="C175" s="23">
        <v>168</v>
      </c>
      <c r="D175" s="23" t="s">
        <v>132</v>
      </c>
      <c r="E175" s="23" t="str">
        <f>Contributions_Data!A169</f>
        <v>DA-003</v>
      </c>
      <c r="F175" s="23" t="str">
        <f>Contributions_Data!B169</f>
        <v>DA-003-M0014</v>
      </c>
      <c r="G175" s="24">
        <f>Contributions_Data!C169</f>
        <v>45503</v>
      </c>
      <c r="H175" s="27">
        <f>Contributions_Data!D169</f>
        <v>16888.89</v>
      </c>
      <c r="I175" s="27">
        <v>0</v>
      </c>
    </row>
    <row r="176" spans="3:9">
      <c r="C176" s="23">
        <v>169</v>
      </c>
      <c r="D176" s="23" t="s">
        <v>132</v>
      </c>
      <c r="E176" s="23" t="str">
        <f>Contributions_Data!A170</f>
        <v>DA-003</v>
      </c>
      <c r="F176" s="23" t="str">
        <f>Contributions_Data!B170</f>
        <v>DA-003-M0015</v>
      </c>
      <c r="G176" s="24">
        <f>Contributions_Data!C170</f>
        <v>45504</v>
      </c>
      <c r="H176" s="27">
        <f>Contributions_Data!D170</f>
        <v>13319.46</v>
      </c>
      <c r="I176" s="27">
        <v>0</v>
      </c>
    </row>
    <row r="177" spans="3:9">
      <c r="C177" s="23">
        <v>170</v>
      </c>
      <c r="D177" s="23" t="s">
        <v>132</v>
      </c>
      <c r="E177" s="23" t="str">
        <f>Contributions_Data!A171</f>
        <v>DA-003</v>
      </c>
      <c r="F177" s="23" t="str">
        <f>Contributions_Data!B171</f>
        <v>DA-003-M0015</v>
      </c>
      <c r="G177" s="24">
        <f>Contributions_Data!C171</f>
        <v>45610</v>
      </c>
      <c r="H177" s="27">
        <f>Contributions_Data!D171</f>
        <v>17241.88</v>
      </c>
      <c r="I177" s="27">
        <v>0</v>
      </c>
    </row>
    <row r="178" spans="3:9">
      <c r="C178" s="23">
        <v>171</v>
      </c>
      <c r="D178" s="23" t="s">
        <v>132</v>
      </c>
      <c r="E178" s="23" t="str">
        <f>Contributions_Data!A172</f>
        <v>DA-003</v>
      </c>
      <c r="F178" s="23" t="str">
        <f>Contributions_Data!B172</f>
        <v>DA-003-M0015</v>
      </c>
      <c r="G178" s="24">
        <f>Contributions_Data!C172</f>
        <v>45309</v>
      </c>
      <c r="H178" s="27">
        <f>Contributions_Data!D172</f>
        <v>16831.11</v>
      </c>
      <c r="I178" s="27">
        <v>0</v>
      </c>
    </row>
    <row r="179" spans="3:9">
      <c r="C179" s="23">
        <v>172</v>
      </c>
      <c r="D179" s="23" t="s">
        <v>132</v>
      </c>
      <c r="E179" s="23" t="str">
        <f>Contributions_Data!A173</f>
        <v>DA-003</v>
      </c>
      <c r="F179" s="23" t="str">
        <f>Contributions_Data!B173</f>
        <v>DA-003-M0015</v>
      </c>
      <c r="G179" s="24">
        <f>Contributions_Data!C173</f>
        <v>45388</v>
      </c>
      <c r="H179" s="27">
        <f>Contributions_Data!D173</f>
        <v>14937.3</v>
      </c>
      <c r="I179" s="27">
        <v>0</v>
      </c>
    </row>
    <row r="180" spans="3:9">
      <c r="C180" s="23">
        <v>173</v>
      </c>
      <c r="D180" s="23" t="s">
        <v>132</v>
      </c>
      <c r="E180" s="23" t="str">
        <f>Contributions_Data!A174</f>
        <v>DA-003</v>
      </c>
      <c r="F180" s="23" t="str">
        <f>Contributions_Data!B174</f>
        <v>DA-003-M0015</v>
      </c>
      <c r="G180" s="24">
        <f>Contributions_Data!C174</f>
        <v>45529</v>
      </c>
      <c r="H180" s="27">
        <f>Contributions_Data!D174</f>
        <v>15351.98</v>
      </c>
      <c r="I180" s="27">
        <v>0</v>
      </c>
    </row>
    <row r="181" spans="3:9">
      <c r="C181" s="23">
        <v>174</v>
      </c>
      <c r="D181" s="23" t="s">
        <v>132</v>
      </c>
      <c r="E181" s="23" t="str">
        <f>Contributions_Data!A175</f>
        <v>DA-003</v>
      </c>
      <c r="F181" s="23" t="str">
        <f>Contributions_Data!B175</f>
        <v>DA-003-M0015</v>
      </c>
      <c r="G181" s="24">
        <f>Contributions_Data!C175</f>
        <v>45563</v>
      </c>
      <c r="H181" s="27">
        <f>Contributions_Data!D175</f>
        <v>18832.990000000002</v>
      </c>
      <c r="I181" s="27">
        <v>0</v>
      </c>
    </row>
    <row r="182" spans="3:9">
      <c r="C182" s="23">
        <v>175</v>
      </c>
      <c r="D182" s="23" t="s">
        <v>132</v>
      </c>
      <c r="E182" s="23" t="str">
        <f>Contributions_Data!A176</f>
        <v>DA-003</v>
      </c>
      <c r="F182" s="23" t="str">
        <f>Contributions_Data!B176</f>
        <v>DA-003-M0015</v>
      </c>
      <c r="G182" s="24">
        <f>Contributions_Data!C176</f>
        <v>45605</v>
      </c>
      <c r="H182" s="27">
        <f>Contributions_Data!D176</f>
        <v>16641.29</v>
      </c>
      <c r="I182" s="27">
        <v>0</v>
      </c>
    </row>
    <row r="183" spans="3:9">
      <c r="C183" s="23">
        <v>176</v>
      </c>
      <c r="D183" s="23" t="s">
        <v>132</v>
      </c>
      <c r="E183" s="23" t="str">
        <f>Contributions_Data!A177</f>
        <v>DA-003</v>
      </c>
      <c r="F183" s="23" t="str">
        <f>Contributions_Data!B177</f>
        <v>DA-003-M0015</v>
      </c>
      <c r="G183" s="24">
        <f>Contributions_Data!C177</f>
        <v>45565</v>
      </c>
      <c r="H183" s="27">
        <f>Contributions_Data!D177</f>
        <v>14393.42</v>
      </c>
      <c r="I183" s="27">
        <v>0</v>
      </c>
    </row>
    <row r="184" spans="3:9">
      <c r="C184" s="23">
        <v>177</v>
      </c>
      <c r="D184" s="23" t="s">
        <v>132</v>
      </c>
      <c r="E184" s="23" t="str">
        <f>Contributions_Data!A178</f>
        <v>DA-003</v>
      </c>
      <c r="F184" s="23" t="str">
        <f>Contributions_Data!B178</f>
        <v>DA-003-M0015</v>
      </c>
      <c r="G184" s="24">
        <f>Contributions_Data!C178</f>
        <v>45310</v>
      </c>
      <c r="H184" s="27">
        <f>Contributions_Data!D178</f>
        <v>18296.330000000002</v>
      </c>
      <c r="I184" s="27">
        <v>0</v>
      </c>
    </row>
    <row r="185" spans="3:9">
      <c r="C185" s="23">
        <v>178</v>
      </c>
      <c r="D185" s="23" t="s">
        <v>132</v>
      </c>
      <c r="E185" s="23" t="str">
        <f>Contributions_Data!A179</f>
        <v>DA-003</v>
      </c>
      <c r="F185" s="23" t="str">
        <f>Contributions_Data!B179</f>
        <v>DA-003-M0015</v>
      </c>
      <c r="G185" s="24">
        <f>Contributions_Data!C179</f>
        <v>45336</v>
      </c>
      <c r="H185" s="27">
        <f>Contributions_Data!D179</f>
        <v>17440.53</v>
      </c>
      <c r="I185" s="27">
        <v>0</v>
      </c>
    </row>
    <row r="186" spans="3:9">
      <c r="C186" s="23">
        <v>179</v>
      </c>
      <c r="D186" s="23" t="s">
        <v>132</v>
      </c>
      <c r="E186" s="23" t="str">
        <f>Contributions_Data!A180</f>
        <v>DA-003</v>
      </c>
      <c r="F186" s="23" t="str">
        <f>Contributions_Data!B180</f>
        <v>DA-003-M0015</v>
      </c>
      <c r="G186" s="24">
        <f>Contributions_Data!C180</f>
        <v>45591</v>
      </c>
      <c r="H186" s="27">
        <f>Contributions_Data!D180</f>
        <v>15063.01</v>
      </c>
      <c r="I186" s="27">
        <v>0</v>
      </c>
    </row>
    <row r="187" spans="3:9">
      <c r="C187" s="23">
        <v>180</v>
      </c>
      <c r="D187" s="23" t="s">
        <v>132</v>
      </c>
      <c r="E187" s="23" t="str">
        <f>Contributions_Data!A181</f>
        <v>DA-003</v>
      </c>
      <c r="F187" s="23" t="str">
        <f>Contributions_Data!B181</f>
        <v>DA-003-M0015</v>
      </c>
      <c r="G187" s="24">
        <f>Contributions_Data!C181</f>
        <v>45375</v>
      </c>
      <c r="H187" s="27">
        <f>Contributions_Data!D181</f>
        <v>17045.86</v>
      </c>
      <c r="I187" s="27">
        <v>0</v>
      </c>
    </row>
    <row r="188" spans="3:9">
      <c r="C188" s="23">
        <v>181</v>
      </c>
      <c r="D188" s="23" t="s">
        <v>132</v>
      </c>
      <c r="E188" s="23" t="str">
        <f>Contributions_Data!A182</f>
        <v>DA-002</v>
      </c>
      <c r="F188" s="23" t="str">
        <f>Contributions_Data!B182</f>
        <v>DA-002-M0016</v>
      </c>
      <c r="G188" s="24">
        <f>Contributions_Data!C182</f>
        <v>45301</v>
      </c>
      <c r="H188" s="27">
        <f>Contributions_Data!D182</f>
        <v>14069.2</v>
      </c>
      <c r="I188" s="27">
        <v>0</v>
      </c>
    </row>
    <row r="189" spans="3:9">
      <c r="C189" s="23">
        <v>182</v>
      </c>
      <c r="D189" s="23" t="s">
        <v>132</v>
      </c>
      <c r="E189" s="23" t="str">
        <f>Contributions_Data!A183</f>
        <v>DA-002</v>
      </c>
      <c r="F189" s="23" t="str">
        <f>Contributions_Data!B183</f>
        <v>DA-002-M0016</v>
      </c>
      <c r="G189" s="24">
        <f>Contributions_Data!C183</f>
        <v>45367</v>
      </c>
      <c r="H189" s="27">
        <f>Contributions_Data!D183</f>
        <v>15972.5</v>
      </c>
      <c r="I189" s="27">
        <v>0</v>
      </c>
    </row>
    <row r="190" spans="3:9">
      <c r="C190" s="23">
        <v>183</v>
      </c>
      <c r="D190" s="23" t="s">
        <v>132</v>
      </c>
      <c r="E190" s="23" t="str">
        <f>Contributions_Data!A184</f>
        <v>DA-002</v>
      </c>
      <c r="F190" s="23" t="str">
        <f>Contributions_Data!B184</f>
        <v>DA-002-M0016</v>
      </c>
      <c r="G190" s="24">
        <f>Contributions_Data!C184</f>
        <v>45424</v>
      </c>
      <c r="H190" s="27">
        <f>Contributions_Data!D184</f>
        <v>14609.57</v>
      </c>
      <c r="I190" s="27">
        <v>0</v>
      </c>
    </row>
    <row r="191" spans="3:9">
      <c r="C191" s="23">
        <v>184</v>
      </c>
      <c r="D191" s="23" t="s">
        <v>132</v>
      </c>
      <c r="E191" s="23" t="str">
        <f>Contributions_Data!A185</f>
        <v>DA-002</v>
      </c>
      <c r="F191" s="23" t="str">
        <f>Contributions_Data!B185</f>
        <v>DA-002-M0016</v>
      </c>
      <c r="G191" s="24">
        <f>Contributions_Data!C185</f>
        <v>45370</v>
      </c>
      <c r="H191" s="27">
        <f>Contributions_Data!D185</f>
        <v>16785.47</v>
      </c>
      <c r="I191" s="27">
        <v>0</v>
      </c>
    </row>
    <row r="192" spans="3:9">
      <c r="C192" s="23">
        <v>185</v>
      </c>
      <c r="D192" s="23" t="s">
        <v>132</v>
      </c>
      <c r="E192" s="23" t="str">
        <f>Contributions_Data!A186</f>
        <v>DA-002</v>
      </c>
      <c r="F192" s="23" t="str">
        <f>Contributions_Data!B186</f>
        <v>DA-002-M0016</v>
      </c>
      <c r="G192" s="24">
        <f>Contributions_Data!C186</f>
        <v>45311</v>
      </c>
      <c r="H192" s="27">
        <f>Contributions_Data!D186</f>
        <v>21277.16</v>
      </c>
      <c r="I192" s="27">
        <v>0</v>
      </c>
    </row>
    <row r="193" spans="3:9">
      <c r="C193" s="23">
        <v>186</v>
      </c>
      <c r="D193" s="23" t="s">
        <v>132</v>
      </c>
      <c r="E193" s="23" t="str">
        <f>Contributions_Data!A187</f>
        <v>DA-002</v>
      </c>
      <c r="F193" s="23" t="str">
        <f>Contributions_Data!B187</f>
        <v>DA-002-M0016</v>
      </c>
      <c r="G193" s="24">
        <f>Contributions_Data!C187</f>
        <v>45498</v>
      </c>
      <c r="H193" s="27">
        <f>Contributions_Data!D187</f>
        <v>11357.43</v>
      </c>
      <c r="I193" s="27">
        <v>0</v>
      </c>
    </row>
    <row r="194" spans="3:9">
      <c r="C194" s="23">
        <v>187</v>
      </c>
      <c r="D194" s="23" t="s">
        <v>132</v>
      </c>
      <c r="E194" s="23" t="str">
        <f>Contributions_Data!A188</f>
        <v>DA-002</v>
      </c>
      <c r="F194" s="23" t="str">
        <f>Contributions_Data!B188</f>
        <v>DA-002-M0016</v>
      </c>
      <c r="G194" s="24">
        <f>Contributions_Data!C188</f>
        <v>45451</v>
      </c>
      <c r="H194" s="27">
        <f>Contributions_Data!D188</f>
        <v>18474.330000000002</v>
      </c>
      <c r="I194" s="27">
        <v>0</v>
      </c>
    </row>
    <row r="195" spans="3:9">
      <c r="C195" s="23">
        <v>188</v>
      </c>
      <c r="D195" s="23" t="s">
        <v>132</v>
      </c>
      <c r="E195" s="23" t="str">
        <f>Contributions_Data!A189</f>
        <v>DA-002</v>
      </c>
      <c r="F195" s="23" t="str">
        <f>Contributions_Data!B189</f>
        <v>DA-002-M0016</v>
      </c>
      <c r="G195" s="24">
        <f>Contributions_Data!C189</f>
        <v>45591</v>
      </c>
      <c r="H195" s="27">
        <f>Contributions_Data!D189</f>
        <v>16872.36</v>
      </c>
      <c r="I195" s="27">
        <v>0</v>
      </c>
    </row>
    <row r="196" spans="3:9">
      <c r="C196" s="23">
        <v>189</v>
      </c>
      <c r="D196" s="23" t="s">
        <v>132</v>
      </c>
      <c r="E196" s="23" t="str">
        <f>Contributions_Data!A190</f>
        <v>DA-002</v>
      </c>
      <c r="F196" s="23" t="str">
        <f>Contributions_Data!B190</f>
        <v>DA-002-M0016</v>
      </c>
      <c r="G196" s="24">
        <f>Contributions_Data!C190</f>
        <v>45390</v>
      </c>
      <c r="H196" s="27">
        <f>Contributions_Data!D190</f>
        <v>16885.04</v>
      </c>
      <c r="I196" s="27">
        <v>0</v>
      </c>
    </row>
    <row r="197" spans="3:9">
      <c r="C197" s="23">
        <v>190</v>
      </c>
      <c r="D197" s="23" t="s">
        <v>132</v>
      </c>
      <c r="E197" s="23" t="str">
        <f>Contributions_Data!A191</f>
        <v>DA-002</v>
      </c>
      <c r="F197" s="23" t="str">
        <f>Contributions_Data!B191</f>
        <v>DA-002-M0016</v>
      </c>
      <c r="G197" s="24">
        <f>Contributions_Data!C191</f>
        <v>45347</v>
      </c>
      <c r="H197" s="27">
        <f>Contributions_Data!D191</f>
        <v>14963.26</v>
      </c>
      <c r="I197" s="27">
        <v>0</v>
      </c>
    </row>
    <row r="198" spans="3:9">
      <c r="C198" s="23">
        <v>191</v>
      </c>
      <c r="D198" s="23" t="s">
        <v>132</v>
      </c>
      <c r="E198" s="23" t="str">
        <f>Contributions_Data!A192</f>
        <v>DA-002</v>
      </c>
      <c r="F198" s="23" t="str">
        <f>Contributions_Data!B192</f>
        <v>DA-002-M0016</v>
      </c>
      <c r="G198" s="24">
        <f>Contributions_Data!C192</f>
        <v>45366</v>
      </c>
      <c r="H198" s="27">
        <f>Contributions_Data!D192</f>
        <v>12308.24</v>
      </c>
      <c r="I198" s="27">
        <v>0</v>
      </c>
    </row>
    <row r="199" spans="3:9">
      <c r="C199" s="23">
        <v>192</v>
      </c>
      <c r="D199" s="23" t="s">
        <v>132</v>
      </c>
      <c r="E199" s="23" t="str">
        <f>Contributions_Data!A193</f>
        <v>DA-002</v>
      </c>
      <c r="F199" s="23" t="str">
        <f>Contributions_Data!B193</f>
        <v>DA-002-M0016</v>
      </c>
      <c r="G199" s="24">
        <f>Contributions_Data!C193</f>
        <v>45565</v>
      </c>
      <c r="H199" s="27">
        <f>Contributions_Data!D193</f>
        <v>15227.41</v>
      </c>
      <c r="I199" s="27">
        <v>0</v>
      </c>
    </row>
    <row r="200" spans="3:9">
      <c r="C200" s="23">
        <v>193</v>
      </c>
      <c r="D200" s="23" t="s">
        <v>132</v>
      </c>
      <c r="E200" s="23" t="str">
        <f>Contributions_Data!A194</f>
        <v>DA-002</v>
      </c>
      <c r="F200" s="23" t="str">
        <f>Contributions_Data!B194</f>
        <v>DA-002-M0017</v>
      </c>
      <c r="G200" s="24">
        <f>Contributions_Data!C194</f>
        <v>45305</v>
      </c>
      <c r="H200" s="27">
        <f>Contributions_Data!D194</f>
        <v>17925.36</v>
      </c>
      <c r="I200" s="27">
        <v>0</v>
      </c>
    </row>
    <row r="201" spans="3:9">
      <c r="C201" s="23">
        <v>194</v>
      </c>
      <c r="D201" s="23" t="s">
        <v>132</v>
      </c>
      <c r="E201" s="23" t="str">
        <f>Contributions_Data!A195</f>
        <v>DA-002</v>
      </c>
      <c r="F201" s="23" t="str">
        <f>Contributions_Data!B195</f>
        <v>DA-002-M0017</v>
      </c>
      <c r="G201" s="24">
        <f>Contributions_Data!C195</f>
        <v>45303</v>
      </c>
      <c r="H201" s="27">
        <f>Contributions_Data!D195</f>
        <v>12523.51</v>
      </c>
      <c r="I201" s="27">
        <v>0</v>
      </c>
    </row>
    <row r="202" spans="3:9">
      <c r="C202" s="23">
        <v>195</v>
      </c>
      <c r="D202" s="23" t="s">
        <v>132</v>
      </c>
      <c r="E202" s="23" t="str">
        <f>Contributions_Data!A196</f>
        <v>DA-002</v>
      </c>
      <c r="F202" s="23" t="str">
        <f>Contributions_Data!B196</f>
        <v>DA-002-M0017</v>
      </c>
      <c r="G202" s="24">
        <f>Contributions_Data!C196</f>
        <v>45318</v>
      </c>
      <c r="H202" s="27">
        <f>Contributions_Data!D196</f>
        <v>16238.79</v>
      </c>
      <c r="I202" s="27">
        <v>0</v>
      </c>
    </row>
    <row r="203" spans="3:9">
      <c r="C203" s="23">
        <v>196</v>
      </c>
      <c r="D203" s="23" t="s">
        <v>132</v>
      </c>
      <c r="E203" s="23" t="str">
        <f>Contributions_Data!A197</f>
        <v>DA-002</v>
      </c>
      <c r="F203" s="23" t="str">
        <f>Contributions_Data!B197</f>
        <v>DA-002-M0017</v>
      </c>
      <c r="G203" s="24">
        <f>Contributions_Data!C197</f>
        <v>45422</v>
      </c>
      <c r="H203" s="27">
        <f>Contributions_Data!D197</f>
        <v>13308.83</v>
      </c>
      <c r="I203" s="27">
        <v>0</v>
      </c>
    </row>
    <row r="204" spans="3:9">
      <c r="C204" s="23">
        <v>197</v>
      </c>
      <c r="D204" s="23" t="s">
        <v>132</v>
      </c>
      <c r="E204" s="23" t="str">
        <f>Contributions_Data!A198</f>
        <v>DA-002</v>
      </c>
      <c r="F204" s="23" t="str">
        <f>Contributions_Data!B198</f>
        <v>DA-002-M0017</v>
      </c>
      <c r="G204" s="24">
        <f>Contributions_Data!C198</f>
        <v>45349</v>
      </c>
      <c r="H204" s="27">
        <f>Contributions_Data!D198</f>
        <v>12533.34</v>
      </c>
      <c r="I204" s="27">
        <v>0</v>
      </c>
    </row>
    <row r="205" spans="3:9">
      <c r="C205" s="23">
        <v>198</v>
      </c>
      <c r="D205" s="23" t="s">
        <v>132</v>
      </c>
      <c r="E205" s="23" t="str">
        <f>Contributions_Data!A199</f>
        <v>DA-002</v>
      </c>
      <c r="F205" s="23" t="str">
        <f>Contributions_Data!B199</f>
        <v>DA-002-M0017</v>
      </c>
      <c r="G205" s="24">
        <f>Contributions_Data!C199</f>
        <v>45655</v>
      </c>
      <c r="H205" s="27">
        <f>Contributions_Data!D199</f>
        <v>15731.06</v>
      </c>
      <c r="I205" s="27">
        <v>0</v>
      </c>
    </row>
    <row r="206" spans="3:9">
      <c r="C206" s="23">
        <v>199</v>
      </c>
      <c r="D206" s="23" t="s">
        <v>132</v>
      </c>
      <c r="E206" s="23" t="str">
        <f>Contributions_Data!A200</f>
        <v>DA-002</v>
      </c>
      <c r="F206" s="23" t="str">
        <f>Contributions_Data!B200</f>
        <v>DA-002-M0017</v>
      </c>
      <c r="G206" s="24">
        <f>Contributions_Data!C200</f>
        <v>45486</v>
      </c>
      <c r="H206" s="27">
        <f>Contributions_Data!D200</f>
        <v>15734.9</v>
      </c>
      <c r="I206" s="27">
        <v>0</v>
      </c>
    </row>
    <row r="207" spans="3:9">
      <c r="C207" s="23">
        <v>200</v>
      </c>
      <c r="D207" s="23" t="s">
        <v>132</v>
      </c>
      <c r="E207" s="23" t="str">
        <f>Contributions_Data!A201</f>
        <v>DA-002</v>
      </c>
      <c r="F207" s="23" t="str">
        <f>Contributions_Data!B201</f>
        <v>DA-002-M0017</v>
      </c>
      <c r="G207" s="24">
        <f>Contributions_Data!C201</f>
        <v>45430</v>
      </c>
      <c r="H207" s="27">
        <f>Contributions_Data!D201</f>
        <v>13479.17</v>
      </c>
      <c r="I207" s="27">
        <v>0</v>
      </c>
    </row>
    <row r="208" spans="3:9">
      <c r="C208" s="23">
        <v>201</v>
      </c>
      <c r="D208" s="23" t="s">
        <v>132</v>
      </c>
      <c r="E208" s="23" t="str">
        <f>Contributions_Data!A202</f>
        <v>DA-002</v>
      </c>
      <c r="F208" s="23" t="str">
        <f>Contributions_Data!B202</f>
        <v>DA-002-M0017</v>
      </c>
      <c r="G208" s="24">
        <f>Contributions_Data!C202</f>
        <v>45298</v>
      </c>
      <c r="H208" s="27">
        <f>Contributions_Data!D202</f>
        <v>13586.89</v>
      </c>
      <c r="I208" s="27">
        <v>0</v>
      </c>
    </row>
    <row r="209" spans="3:9">
      <c r="C209" s="23">
        <v>202</v>
      </c>
      <c r="D209" s="23" t="s">
        <v>132</v>
      </c>
      <c r="E209" s="23" t="str">
        <f>Contributions_Data!A203</f>
        <v>DA-002</v>
      </c>
      <c r="F209" s="23" t="str">
        <f>Contributions_Data!B203</f>
        <v>DA-002-M0017</v>
      </c>
      <c r="G209" s="24">
        <f>Contributions_Data!C203</f>
        <v>45631</v>
      </c>
      <c r="H209" s="27">
        <f>Contributions_Data!D203</f>
        <v>15696.15</v>
      </c>
      <c r="I209" s="27">
        <v>0</v>
      </c>
    </row>
    <row r="210" spans="3:9">
      <c r="C210" s="23">
        <v>203</v>
      </c>
      <c r="D210" s="23" t="s">
        <v>132</v>
      </c>
      <c r="E210" s="23" t="str">
        <f>Contributions_Data!A204</f>
        <v>DA-002</v>
      </c>
      <c r="F210" s="23" t="str">
        <f>Contributions_Data!B204</f>
        <v>DA-002-M0017</v>
      </c>
      <c r="G210" s="24">
        <f>Contributions_Data!C204</f>
        <v>45299</v>
      </c>
      <c r="H210" s="27">
        <f>Contributions_Data!D204</f>
        <v>10777.61</v>
      </c>
      <c r="I210" s="27">
        <v>0</v>
      </c>
    </row>
    <row r="211" spans="3:9">
      <c r="C211" s="23">
        <v>204</v>
      </c>
      <c r="D211" s="23" t="s">
        <v>132</v>
      </c>
      <c r="E211" s="23" t="str">
        <f>Contributions_Data!A205</f>
        <v>DA-002</v>
      </c>
      <c r="F211" s="23" t="str">
        <f>Contributions_Data!B205</f>
        <v>DA-002-M0017</v>
      </c>
      <c r="G211" s="24">
        <f>Contributions_Data!C205</f>
        <v>45303</v>
      </c>
      <c r="H211" s="27">
        <f>Contributions_Data!D205</f>
        <v>12844.67</v>
      </c>
      <c r="I211" s="27">
        <v>0</v>
      </c>
    </row>
    <row r="212" spans="3:9">
      <c r="C212" s="23">
        <v>205</v>
      </c>
      <c r="D212" s="23" t="s">
        <v>132</v>
      </c>
      <c r="E212" s="23" t="str">
        <f>Contributions_Data!A206</f>
        <v>DA-002</v>
      </c>
      <c r="F212" s="23" t="str">
        <f>Contributions_Data!B206</f>
        <v>DA-002-M0018</v>
      </c>
      <c r="G212" s="24">
        <f>Contributions_Data!C206</f>
        <v>45419</v>
      </c>
      <c r="H212" s="27">
        <f>Contributions_Data!D206</f>
        <v>14359.66</v>
      </c>
      <c r="I212" s="27">
        <v>0</v>
      </c>
    </row>
    <row r="213" spans="3:9">
      <c r="C213" s="23">
        <v>206</v>
      </c>
      <c r="D213" s="23" t="s">
        <v>132</v>
      </c>
      <c r="E213" s="23" t="str">
        <f>Contributions_Data!A207</f>
        <v>DA-002</v>
      </c>
      <c r="F213" s="23" t="str">
        <f>Contributions_Data!B207</f>
        <v>DA-002-M0018</v>
      </c>
      <c r="G213" s="24">
        <f>Contributions_Data!C207</f>
        <v>45588</v>
      </c>
      <c r="H213" s="27">
        <f>Contributions_Data!D207</f>
        <v>15932.72</v>
      </c>
      <c r="I213" s="27">
        <v>0</v>
      </c>
    </row>
    <row r="214" spans="3:9">
      <c r="C214" s="23">
        <v>207</v>
      </c>
      <c r="D214" s="23" t="s">
        <v>132</v>
      </c>
      <c r="E214" s="23" t="str">
        <f>Contributions_Data!A208</f>
        <v>DA-002</v>
      </c>
      <c r="F214" s="23" t="str">
        <f>Contributions_Data!B208</f>
        <v>DA-002-M0018</v>
      </c>
      <c r="G214" s="24">
        <f>Contributions_Data!C208</f>
        <v>45421</v>
      </c>
      <c r="H214" s="27">
        <f>Contributions_Data!D208</f>
        <v>19426.07</v>
      </c>
      <c r="I214" s="27">
        <v>0</v>
      </c>
    </row>
    <row r="215" spans="3:9">
      <c r="C215" s="23">
        <v>208</v>
      </c>
      <c r="D215" s="23" t="s">
        <v>132</v>
      </c>
      <c r="E215" s="23" t="str">
        <f>Contributions_Data!A209</f>
        <v>DA-002</v>
      </c>
      <c r="F215" s="23" t="str">
        <f>Contributions_Data!B209</f>
        <v>DA-002-M0018</v>
      </c>
      <c r="G215" s="24">
        <f>Contributions_Data!C209</f>
        <v>45621</v>
      </c>
      <c r="H215" s="27">
        <f>Contributions_Data!D209</f>
        <v>17572.98</v>
      </c>
      <c r="I215" s="27">
        <v>0</v>
      </c>
    </row>
    <row r="216" spans="3:9">
      <c r="C216" s="23">
        <v>209</v>
      </c>
      <c r="D216" s="23" t="s">
        <v>132</v>
      </c>
      <c r="E216" s="23" t="str">
        <f>Contributions_Data!A210</f>
        <v>DA-002</v>
      </c>
      <c r="F216" s="23" t="str">
        <f>Contributions_Data!B210</f>
        <v>DA-002-M0018</v>
      </c>
      <c r="G216" s="24">
        <f>Contributions_Data!C210</f>
        <v>45442</v>
      </c>
      <c r="H216" s="27">
        <f>Contributions_Data!D210</f>
        <v>14520.18</v>
      </c>
      <c r="I216" s="27">
        <v>0</v>
      </c>
    </row>
    <row r="217" spans="3:9">
      <c r="C217" s="23">
        <v>210</v>
      </c>
      <c r="D217" s="23" t="s">
        <v>132</v>
      </c>
      <c r="E217" s="23" t="str">
        <f>Contributions_Data!A211</f>
        <v>DA-002</v>
      </c>
      <c r="F217" s="23" t="str">
        <f>Contributions_Data!B211</f>
        <v>DA-002-M0018</v>
      </c>
      <c r="G217" s="24">
        <f>Contributions_Data!C211</f>
        <v>45626</v>
      </c>
      <c r="H217" s="27">
        <f>Contributions_Data!D211</f>
        <v>11992.41</v>
      </c>
      <c r="I217" s="27">
        <v>0</v>
      </c>
    </row>
    <row r="218" spans="3:9">
      <c r="C218" s="23">
        <v>211</v>
      </c>
      <c r="D218" s="23" t="s">
        <v>132</v>
      </c>
      <c r="E218" s="23" t="str">
        <f>Contributions_Data!A212</f>
        <v>DA-002</v>
      </c>
      <c r="F218" s="23" t="str">
        <f>Contributions_Data!B212</f>
        <v>DA-002-M0018</v>
      </c>
      <c r="G218" s="24">
        <f>Contributions_Data!C212</f>
        <v>45555</v>
      </c>
      <c r="H218" s="27">
        <f>Contributions_Data!D212</f>
        <v>14134.02</v>
      </c>
      <c r="I218" s="27">
        <v>0</v>
      </c>
    </row>
    <row r="219" spans="3:9">
      <c r="C219" s="23">
        <v>212</v>
      </c>
      <c r="D219" s="23" t="s">
        <v>132</v>
      </c>
      <c r="E219" s="23" t="str">
        <f>Contributions_Data!A213</f>
        <v>DA-002</v>
      </c>
      <c r="F219" s="23" t="str">
        <f>Contributions_Data!B213</f>
        <v>DA-002-M0018</v>
      </c>
      <c r="G219" s="24">
        <f>Contributions_Data!C213</f>
        <v>45450</v>
      </c>
      <c r="H219" s="27">
        <f>Contributions_Data!D213</f>
        <v>15968.16</v>
      </c>
      <c r="I219" s="27">
        <v>0</v>
      </c>
    </row>
    <row r="220" spans="3:9">
      <c r="C220" s="23">
        <v>213</v>
      </c>
      <c r="D220" s="23" t="s">
        <v>132</v>
      </c>
      <c r="E220" s="23" t="str">
        <f>Contributions_Data!A214</f>
        <v>DA-002</v>
      </c>
      <c r="F220" s="23" t="str">
        <f>Contributions_Data!B214</f>
        <v>DA-002-M0018</v>
      </c>
      <c r="G220" s="24">
        <f>Contributions_Data!C214</f>
        <v>45427</v>
      </c>
      <c r="H220" s="27">
        <f>Contributions_Data!D214</f>
        <v>12518.31</v>
      </c>
      <c r="I220" s="27">
        <v>0</v>
      </c>
    </row>
    <row r="221" spans="3:9">
      <c r="C221" s="23">
        <v>214</v>
      </c>
      <c r="D221" s="23" t="s">
        <v>132</v>
      </c>
      <c r="E221" s="23" t="str">
        <f>Contributions_Data!A215</f>
        <v>DA-002</v>
      </c>
      <c r="F221" s="23" t="str">
        <f>Contributions_Data!B215</f>
        <v>DA-002-M0018</v>
      </c>
      <c r="G221" s="24">
        <f>Contributions_Data!C215</f>
        <v>45514</v>
      </c>
      <c r="H221" s="27">
        <f>Contributions_Data!D215</f>
        <v>16558.04</v>
      </c>
      <c r="I221" s="27">
        <v>0</v>
      </c>
    </row>
    <row r="222" spans="3:9">
      <c r="C222" s="23">
        <v>215</v>
      </c>
      <c r="D222" s="23" t="s">
        <v>132</v>
      </c>
      <c r="E222" s="23" t="str">
        <f>Contributions_Data!A216</f>
        <v>DA-002</v>
      </c>
      <c r="F222" s="23" t="str">
        <f>Contributions_Data!B216</f>
        <v>DA-002-M0018</v>
      </c>
      <c r="G222" s="24">
        <f>Contributions_Data!C216</f>
        <v>45564</v>
      </c>
      <c r="H222" s="27">
        <f>Contributions_Data!D216</f>
        <v>14673.72</v>
      </c>
      <c r="I222" s="27">
        <v>0</v>
      </c>
    </row>
    <row r="223" spans="3:9">
      <c r="C223" s="23">
        <v>216</v>
      </c>
      <c r="D223" s="23" t="s">
        <v>132</v>
      </c>
      <c r="E223" s="23" t="str">
        <f>Contributions_Data!A217</f>
        <v>DA-002</v>
      </c>
      <c r="F223" s="23" t="str">
        <f>Contributions_Data!B217</f>
        <v>DA-002-M0018</v>
      </c>
      <c r="G223" s="24">
        <f>Contributions_Data!C217</f>
        <v>45370</v>
      </c>
      <c r="H223" s="27">
        <f>Contributions_Data!D217</f>
        <v>16205.14</v>
      </c>
      <c r="I223" s="27">
        <v>0</v>
      </c>
    </row>
    <row r="224" spans="3:9">
      <c r="C224" s="23">
        <v>217</v>
      </c>
      <c r="D224" s="23" t="s">
        <v>132</v>
      </c>
      <c r="E224" s="23" t="str">
        <f>Contributions_Data!A218</f>
        <v>DA-001</v>
      </c>
      <c r="F224" s="23" t="str">
        <f>Contributions_Data!B218</f>
        <v>DA-001-M0019</v>
      </c>
      <c r="G224" s="24">
        <f>Contributions_Data!C218</f>
        <v>45406</v>
      </c>
      <c r="H224" s="27">
        <f>Contributions_Data!D218</f>
        <v>17070.43</v>
      </c>
      <c r="I224" s="27">
        <v>0</v>
      </c>
    </row>
    <row r="225" spans="3:9">
      <c r="C225" s="23">
        <v>218</v>
      </c>
      <c r="D225" s="23" t="s">
        <v>132</v>
      </c>
      <c r="E225" s="23" t="str">
        <f>Contributions_Data!A219</f>
        <v>DA-001</v>
      </c>
      <c r="F225" s="23" t="str">
        <f>Contributions_Data!B219</f>
        <v>DA-001-M0019</v>
      </c>
      <c r="G225" s="24">
        <f>Contributions_Data!C219</f>
        <v>45369</v>
      </c>
      <c r="H225" s="27">
        <f>Contributions_Data!D219</f>
        <v>13796.34</v>
      </c>
      <c r="I225" s="27">
        <v>0</v>
      </c>
    </row>
    <row r="226" spans="3:9">
      <c r="C226" s="23">
        <v>219</v>
      </c>
      <c r="D226" s="23" t="s">
        <v>132</v>
      </c>
      <c r="E226" s="23" t="str">
        <f>Contributions_Data!A220</f>
        <v>DA-001</v>
      </c>
      <c r="F226" s="23" t="str">
        <f>Contributions_Data!B220</f>
        <v>DA-001-M0019</v>
      </c>
      <c r="G226" s="24">
        <f>Contributions_Data!C220</f>
        <v>45622</v>
      </c>
      <c r="H226" s="27">
        <f>Contributions_Data!D220</f>
        <v>15672.28</v>
      </c>
      <c r="I226" s="27">
        <v>0</v>
      </c>
    </row>
    <row r="227" spans="3:9">
      <c r="C227" s="23">
        <v>220</v>
      </c>
      <c r="D227" s="23" t="s">
        <v>132</v>
      </c>
      <c r="E227" s="23" t="str">
        <f>Contributions_Data!A221</f>
        <v>DA-001</v>
      </c>
      <c r="F227" s="23" t="str">
        <f>Contributions_Data!B221</f>
        <v>DA-001-M0019</v>
      </c>
      <c r="G227" s="24">
        <f>Contributions_Data!C221</f>
        <v>45346</v>
      </c>
      <c r="H227" s="27">
        <f>Contributions_Data!D221</f>
        <v>15037.78</v>
      </c>
      <c r="I227" s="27">
        <v>0</v>
      </c>
    </row>
    <row r="228" spans="3:9">
      <c r="C228" s="23">
        <v>221</v>
      </c>
      <c r="D228" s="23" t="s">
        <v>132</v>
      </c>
      <c r="E228" s="23" t="str">
        <f>Contributions_Data!A222</f>
        <v>DA-001</v>
      </c>
      <c r="F228" s="23" t="str">
        <f>Contributions_Data!B222</f>
        <v>DA-001-M0019</v>
      </c>
      <c r="G228" s="24">
        <f>Contributions_Data!C222</f>
        <v>45382</v>
      </c>
      <c r="H228" s="27">
        <f>Contributions_Data!D222</f>
        <v>12680.97</v>
      </c>
      <c r="I228" s="27">
        <v>0</v>
      </c>
    </row>
    <row r="229" spans="3:9">
      <c r="C229" s="23">
        <v>222</v>
      </c>
      <c r="D229" s="23" t="s">
        <v>132</v>
      </c>
      <c r="E229" s="23" t="str">
        <f>Contributions_Data!A223</f>
        <v>DA-001</v>
      </c>
      <c r="F229" s="23" t="str">
        <f>Contributions_Data!B223</f>
        <v>DA-001-M0019</v>
      </c>
      <c r="G229" s="24">
        <f>Contributions_Data!C223</f>
        <v>45313</v>
      </c>
      <c r="H229" s="27">
        <f>Contributions_Data!D223</f>
        <v>15073.53</v>
      </c>
      <c r="I229" s="27">
        <v>0</v>
      </c>
    </row>
    <row r="230" spans="3:9">
      <c r="C230" s="23">
        <v>223</v>
      </c>
      <c r="D230" s="23" t="s">
        <v>132</v>
      </c>
      <c r="E230" s="23" t="str">
        <f>Contributions_Data!A224</f>
        <v>DA-001</v>
      </c>
      <c r="F230" s="23" t="str">
        <f>Contributions_Data!B224</f>
        <v>DA-001-M0019</v>
      </c>
      <c r="G230" s="24">
        <f>Contributions_Data!C224</f>
        <v>45317</v>
      </c>
      <c r="H230" s="27">
        <f>Contributions_Data!D224</f>
        <v>16493.990000000002</v>
      </c>
      <c r="I230" s="27">
        <v>0</v>
      </c>
    </row>
    <row r="231" spans="3:9">
      <c r="C231" s="23">
        <v>224</v>
      </c>
      <c r="D231" s="23" t="s">
        <v>132</v>
      </c>
      <c r="E231" s="23" t="str">
        <f>Contributions_Data!A225</f>
        <v>DA-001</v>
      </c>
      <c r="F231" s="23" t="str">
        <f>Contributions_Data!B225</f>
        <v>DA-001-M0019</v>
      </c>
      <c r="G231" s="24">
        <f>Contributions_Data!C225</f>
        <v>45394</v>
      </c>
      <c r="H231" s="27">
        <f>Contributions_Data!D225</f>
        <v>19353.43</v>
      </c>
      <c r="I231" s="27">
        <v>0</v>
      </c>
    </row>
    <row r="232" spans="3:9">
      <c r="C232" s="23">
        <v>225</v>
      </c>
      <c r="D232" s="23" t="s">
        <v>132</v>
      </c>
      <c r="E232" s="23" t="str">
        <f>Contributions_Data!A226</f>
        <v>DA-001</v>
      </c>
      <c r="F232" s="23" t="str">
        <f>Contributions_Data!B226</f>
        <v>DA-001-M0019</v>
      </c>
      <c r="G232" s="24">
        <f>Contributions_Data!C226</f>
        <v>45386</v>
      </c>
      <c r="H232" s="27">
        <f>Contributions_Data!D226</f>
        <v>17877.810000000001</v>
      </c>
      <c r="I232" s="27">
        <v>0</v>
      </c>
    </row>
    <row r="233" spans="3:9">
      <c r="C233" s="23">
        <v>226</v>
      </c>
      <c r="D233" s="23" t="s">
        <v>132</v>
      </c>
      <c r="E233" s="23" t="str">
        <f>Contributions_Data!A227</f>
        <v>DA-001</v>
      </c>
      <c r="F233" s="23" t="str">
        <f>Contributions_Data!B227</f>
        <v>DA-001-M0019</v>
      </c>
      <c r="G233" s="24">
        <f>Contributions_Data!C227</f>
        <v>45484</v>
      </c>
      <c r="H233" s="27">
        <f>Contributions_Data!D227</f>
        <v>21459.55</v>
      </c>
      <c r="I233" s="27">
        <v>0</v>
      </c>
    </row>
    <row r="234" spans="3:9">
      <c r="C234" s="23">
        <v>227</v>
      </c>
      <c r="D234" s="23" t="s">
        <v>132</v>
      </c>
      <c r="E234" s="23" t="str">
        <f>Contributions_Data!A228</f>
        <v>DA-001</v>
      </c>
      <c r="F234" s="23" t="str">
        <f>Contributions_Data!B228</f>
        <v>DA-001-M0019</v>
      </c>
      <c r="G234" s="24">
        <f>Contributions_Data!C228</f>
        <v>45311</v>
      </c>
      <c r="H234" s="27">
        <f>Contributions_Data!D228</f>
        <v>12697.96</v>
      </c>
      <c r="I234" s="27">
        <v>0</v>
      </c>
    </row>
    <row r="235" spans="3:9">
      <c r="C235" s="23">
        <v>228</v>
      </c>
      <c r="D235" s="23" t="s">
        <v>132</v>
      </c>
      <c r="E235" s="23" t="str">
        <f>Contributions_Data!A229</f>
        <v>DA-001</v>
      </c>
      <c r="F235" s="23" t="str">
        <f>Contributions_Data!B229</f>
        <v>DA-001-M0019</v>
      </c>
      <c r="G235" s="24">
        <f>Contributions_Data!C229</f>
        <v>45378</v>
      </c>
      <c r="H235" s="27">
        <f>Contributions_Data!D229</f>
        <v>15550.03</v>
      </c>
      <c r="I235" s="27">
        <v>0</v>
      </c>
    </row>
    <row r="236" spans="3:9">
      <c r="C236" s="23">
        <v>229</v>
      </c>
      <c r="D236" s="23" t="s">
        <v>132</v>
      </c>
      <c r="E236" s="23" t="str">
        <f>Contributions_Data!A230</f>
        <v>DA-002</v>
      </c>
      <c r="F236" s="23" t="str">
        <f>Contributions_Data!B230</f>
        <v>DA-002-M0020</v>
      </c>
      <c r="G236" s="24">
        <f>Contributions_Data!C230</f>
        <v>45409</v>
      </c>
      <c r="H236" s="27">
        <f>Contributions_Data!D230</f>
        <v>12575.11</v>
      </c>
      <c r="I236" s="27">
        <v>0</v>
      </c>
    </row>
    <row r="237" spans="3:9">
      <c r="C237" s="23">
        <v>230</v>
      </c>
      <c r="D237" s="23" t="s">
        <v>132</v>
      </c>
      <c r="E237" s="23" t="str">
        <f>Contributions_Data!A231</f>
        <v>DA-002</v>
      </c>
      <c r="F237" s="23" t="str">
        <f>Contributions_Data!B231</f>
        <v>DA-002-M0020</v>
      </c>
      <c r="G237" s="24">
        <f>Contributions_Data!C231</f>
        <v>45455</v>
      </c>
      <c r="H237" s="27">
        <f>Contributions_Data!D231</f>
        <v>12480.83</v>
      </c>
      <c r="I237" s="27">
        <v>0</v>
      </c>
    </row>
    <row r="238" spans="3:9">
      <c r="C238" s="23">
        <v>231</v>
      </c>
      <c r="D238" s="23" t="s">
        <v>132</v>
      </c>
      <c r="E238" s="23" t="str">
        <f>Contributions_Data!A232</f>
        <v>DA-002</v>
      </c>
      <c r="F238" s="23" t="str">
        <f>Contributions_Data!B232</f>
        <v>DA-002-M0020</v>
      </c>
      <c r="G238" s="24">
        <f>Contributions_Data!C232</f>
        <v>45294</v>
      </c>
      <c r="H238" s="27">
        <f>Contributions_Data!D232</f>
        <v>13201.82</v>
      </c>
      <c r="I238" s="27">
        <v>0</v>
      </c>
    </row>
    <row r="239" spans="3:9">
      <c r="C239" s="23">
        <v>232</v>
      </c>
      <c r="D239" s="23" t="s">
        <v>132</v>
      </c>
      <c r="E239" s="23" t="str">
        <f>Contributions_Data!A233</f>
        <v>DA-002</v>
      </c>
      <c r="F239" s="23" t="str">
        <f>Contributions_Data!B233</f>
        <v>DA-002-M0020</v>
      </c>
      <c r="G239" s="24">
        <f>Contributions_Data!C233</f>
        <v>45353</v>
      </c>
      <c r="H239" s="27">
        <f>Contributions_Data!D233</f>
        <v>8628.31</v>
      </c>
      <c r="I239" s="27">
        <v>0</v>
      </c>
    </row>
    <row r="240" spans="3:9">
      <c r="C240" s="23">
        <v>233</v>
      </c>
      <c r="D240" s="23" t="s">
        <v>132</v>
      </c>
      <c r="E240" s="23" t="str">
        <f>Contributions_Data!A234</f>
        <v>DA-002</v>
      </c>
      <c r="F240" s="23" t="str">
        <f>Contributions_Data!B234</f>
        <v>DA-002-M0020</v>
      </c>
      <c r="G240" s="24">
        <f>Contributions_Data!C234</f>
        <v>45453</v>
      </c>
      <c r="H240" s="27">
        <f>Contributions_Data!D234</f>
        <v>13422.73</v>
      </c>
      <c r="I240" s="27">
        <v>0</v>
      </c>
    </row>
    <row r="241" spans="3:9">
      <c r="C241" s="23">
        <v>234</v>
      </c>
      <c r="D241" s="23" t="s">
        <v>132</v>
      </c>
      <c r="E241" s="23" t="str">
        <f>Contributions_Data!A235</f>
        <v>DA-002</v>
      </c>
      <c r="F241" s="23" t="str">
        <f>Contributions_Data!B235</f>
        <v>DA-002-M0020</v>
      </c>
      <c r="G241" s="24">
        <f>Contributions_Data!C235</f>
        <v>45562</v>
      </c>
      <c r="H241" s="27">
        <f>Contributions_Data!D235</f>
        <v>15451.18</v>
      </c>
      <c r="I241" s="27">
        <v>0</v>
      </c>
    </row>
    <row r="242" spans="3:9">
      <c r="C242" s="23">
        <v>235</v>
      </c>
      <c r="D242" s="23" t="s">
        <v>132</v>
      </c>
      <c r="E242" s="23" t="str">
        <f>Contributions_Data!A236</f>
        <v>DA-002</v>
      </c>
      <c r="F242" s="23" t="str">
        <f>Contributions_Data!B236</f>
        <v>DA-002-M0020</v>
      </c>
      <c r="G242" s="24">
        <f>Contributions_Data!C236</f>
        <v>45646</v>
      </c>
      <c r="H242" s="27">
        <f>Contributions_Data!D236</f>
        <v>16025.27</v>
      </c>
      <c r="I242" s="27">
        <v>0</v>
      </c>
    </row>
    <row r="243" spans="3:9">
      <c r="C243" s="23">
        <v>236</v>
      </c>
      <c r="D243" s="23" t="s">
        <v>132</v>
      </c>
      <c r="E243" s="23" t="str">
        <f>Contributions_Data!A237</f>
        <v>DA-002</v>
      </c>
      <c r="F243" s="23" t="str">
        <f>Contributions_Data!B237</f>
        <v>DA-002-M0020</v>
      </c>
      <c r="G243" s="24">
        <f>Contributions_Data!C237</f>
        <v>45351</v>
      </c>
      <c r="H243" s="27">
        <f>Contributions_Data!D237</f>
        <v>20628.509999999998</v>
      </c>
      <c r="I243" s="27">
        <v>0</v>
      </c>
    </row>
    <row r="244" spans="3:9">
      <c r="C244" s="23">
        <v>237</v>
      </c>
      <c r="D244" s="23" t="s">
        <v>132</v>
      </c>
      <c r="E244" s="23" t="str">
        <f>Contributions_Data!A238</f>
        <v>DA-002</v>
      </c>
      <c r="F244" s="23" t="str">
        <f>Contributions_Data!B238</f>
        <v>DA-002-M0020</v>
      </c>
      <c r="G244" s="24">
        <f>Contributions_Data!C238</f>
        <v>45414</v>
      </c>
      <c r="H244" s="27">
        <f>Contributions_Data!D238</f>
        <v>17851.27</v>
      </c>
      <c r="I244" s="27">
        <v>0</v>
      </c>
    </row>
    <row r="245" spans="3:9">
      <c r="C245" s="23">
        <v>238</v>
      </c>
      <c r="D245" s="23" t="s">
        <v>132</v>
      </c>
      <c r="E245" s="23" t="str">
        <f>Contributions_Data!A239</f>
        <v>DA-002</v>
      </c>
      <c r="F245" s="23" t="str">
        <f>Contributions_Data!B239</f>
        <v>DA-002-M0020</v>
      </c>
      <c r="G245" s="24">
        <f>Contributions_Data!C239</f>
        <v>45339</v>
      </c>
      <c r="H245" s="27">
        <f>Contributions_Data!D239</f>
        <v>13269.29</v>
      </c>
      <c r="I245" s="27">
        <v>0</v>
      </c>
    </row>
    <row r="246" spans="3:9">
      <c r="C246" s="23">
        <v>239</v>
      </c>
      <c r="D246" s="23" t="s">
        <v>132</v>
      </c>
      <c r="E246" s="23" t="str">
        <f>Contributions_Data!A240</f>
        <v>DA-002</v>
      </c>
      <c r="F246" s="23" t="str">
        <f>Contributions_Data!B240</f>
        <v>DA-002-M0020</v>
      </c>
      <c r="G246" s="24">
        <f>Contributions_Data!C240</f>
        <v>45475</v>
      </c>
      <c r="H246" s="27">
        <f>Contributions_Data!D240</f>
        <v>16475.759999999998</v>
      </c>
      <c r="I246" s="27">
        <v>0</v>
      </c>
    </row>
    <row r="247" spans="3:9">
      <c r="C247" s="23">
        <v>240</v>
      </c>
      <c r="D247" s="23" t="s">
        <v>132</v>
      </c>
      <c r="E247" s="23" t="str">
        <f>Contributions_Data!A241</f>
        <v>DA-002</v>
      </c>
      <c r="F247" s="23" t="str">
        <f>Contributions_Data!B241</f>
        <v>DA-002-M0020</v>
      </c>
      <c r="G247" s="24">
        <f>Contributions_Data!C241</f>
        <v>45413</v>
      </c>
      <c r="H247" s="27">
        <f>Contributions_Data!D241</f>
        <v>11039.3</v>
      </c>
      <c r="I247" s="27">
        <v>0</v>
      </c>
    </row>
    <row r="248" spans="3:9">
      <c r="C248" s="23">
        <v>241</v>
      </c>
      <c r="D248" s="23" t="s">
        <v>132</v>
      </c>
      <c r="E248" s="23" t="str">
        <f>Contributions_Data!A242</f>
        <v>DA-002</v>
      </c>
      <c r="F248" s="23" t="str">
        <f>Contributions_Data!B242</f>
        <v>DA-002-M0021</v>
      </c>
      <c r="G248" s="24">
        <f>Contributions_Data!C242</f>
        <v>45316</v>
      </c>
      <c r="H248" s="27">
        <f>Contributions_Data!D242</f>
        <v>20494.38</v>
      </c>
      <c r="I248" s="27">
        <v>0</v>
      </c>
    </row>
    <row r="249" spans="3:9">
      <c r="C249" s="23">
        <v>242</v>
      </c>
      <c r="D249" s="23" t="s">
        <v>132</v>
      </c>
      <c r="E249" s="23" t="str">
        <f>Contributions_Data!A243</f>
        <v>DA-002</v>
      </c>
      <c r="F249" s="23" t="str">
        <f>Contributions_Data!B243</f>
        <v>DA-002-M0021</v>
      </c>
      <c r="G249" s="24">
        <f>Contributions_Data!C243</f>
        <v>45403</v>
      </c>
      <c r="H249" s="27">
        <f>Contributions_Data!D243</f>
        <v>18538.32</v>
      </c>
      <c r="I249" s="27">
        <v>0</v>
      </c>
    </row>
    <row r="250" spans="3:9">
      <c r="C250" s="23">
        <v>243</v>
      </c>
      <c r="D250" s="23" t="s">
        <v>132</v>
      </c>
      <c r="E250" s="23" t="str">
        <f>Contributions_Data!A244</f>
        <v>DA-002</v>
      </c>
      <c r="F250" s="23" t="str">
        <f>Contributions_Data!B244</f>
        <v>DA-002-M0021</v>
      </c>
      <c r="G250" s="24">
        <f>Contributions_Data!C244</f>
        <v>45476</v>
      </c>
      <c r="H250" s="27">
        <f>Contributions_Data!D244</f>
        <v>13592.47</v>
      </c>
      <c r="I250" s="27">
        <v>0</v>
      </c>
    </row>
    <row r="251" spans="3:9">
      <c r="C251" s="23">
        <v>244</v>
      </c>
      <c r="D251" s="23" t="s">
        <v>132</v>
      </c>
      <c r="E251" s="23" t="str">
        <f>Contributions_Data!A245</f>
        <v>DA-002</v>
      </c>
      <c r="F251" s="23" t="str">
        <f>Contributions_Data!B245</f>
        <v>DA-002-M0021</v>
      </c>
      <c r="G251" s="24">
        <f>Contributions_Data!C245</f>
        <v>45508</v>
      </c>
      <c r="H251" s="27">
        <f>Contributions_Data!D245</f>
        <v>9860.6</v>
      </c>
      <c r="I251" s="27">
        <v>0</v>
      </c>
    </row>
    <row r="252" spans="3:9">
      <c r="C252" s="23">
        <v>245</v>
      </c>
      <c r="D252" s="23" t="s">
        <v>132</v>
      </c>
      <c r="E252" s="23" t="str">
        <f>Contributions_Data!A246</f>
        <v>DA-002</v>
      </c>
      <c r="F252" s="23" t="str">
        <f>Contributions_Data!B246</f>
        <v>DA-002-M0021</v>
      </c>
      <c r="G252" s="24">
        <f>Contributions_Data!C246</f>
        <v>45362</v>
      </c>
      <c r="H252" s="27">
        <f>Contributions_Data!D246</f>
        <v>14656.38</v>
      </c>
      <c r="I252" s="27">
        <v>0</v>
      </c>
    </row>
    <row r="253" spans="3:9">
      <c r="C253" s="23">
        <v>246</v>
      </c>
      <c r="D253" s="23" t="s">
        <v>132</v>
      </c>
      <c r="E253" s="23" t="str">
        <f>Contributions_Data!A247</f>
        <v>DA-002</v>
      </c>
      <c r="F253" s="23" t="str">
        <f>Contributions_Data!B247</f>
        <v>DA-002-M0021</v>
      </c>
      <c r="G253" s="24">
        <f>Contributions_Data!C247</f>
        <v>45506</v>
      </c>
      <c r="H253" s="27">
        <f>Contributions_Data!D247</f>
        <v>10216.719999999999</v>
      </c>
      <c r="I253" s="27">
        <v>0</v>
      </c>
    </row>
    <row r="254" spans="3:9">
      <c r="C254" s="23">
        <v>247</v>
      </c>
      <c r="D254" s="23" t="s">
        <v>132</v>
      </c>
      <c r="E254" s="23" t="str">
        <f>Contributions_Data!A248</f>
        <v>DA-002</v>
      </c>
      <c r="F254" s="23" t="str">
        <f>Contributions_Data!B248</f>
        <v>DA-002-M0021</v>
      </c>
      <c r="G254" s="24">
        <f>Contributions_Data!C248</f>
        <v>45607</v>
      </c>
      <c r="H254" s="27">
        <f>Contributions_Data!D248</f>
        <v>15015.73</v>
      </c>
      <c r="I254" s="27">
        <v>0</v>
      </c>
    </row>
    <row r="255" spans="3:9">
      <c r="C255" s="23">
        <v>248</v>
      </c>
      <c r="D255" s="23" t="s">
        <v>132</v>
      </c>
      <c r="E255" s="23" t="str">
        <f>Contributions_Data!A249</f>
        <v>DA-002</v>
      </c>
      <c r="F255" s="23" t="str">
        <f>Contributions_Data!B249</f>
        <v>DA-002-M0021</v>
      </c>
      <c r="G255" s="24">
        <f>Contributions_Data!C249</f>
        <v>45591</v>
      </c>
      <c r="H255" s="27">
        <f>Contributions_Data!D249</f>
        <v>15140.94</v>
      </c>
      <c r="I255" s="27">
        <v>0</v>
      </c>
    </row>
    <row r="256" spans="3:9">
      <c r="C256" s="23">
        <v>249</v>
      </c>
      <c r="D256" s="23" t="s">
        <v>132</v>
      </c>
      <c r="E256" s="23" t="str">
        <f>Contributions_Data!A250</f>
        <v>DA-002</v>
      </c>
      <c r="F256" s="23" t="str">
        <f>Contributions_Data!B250</f>
        <v>DA-002-M0021</v>
      </c>
      <c r="G256" s="24">
        <f>Contributions_Data!C250</f>
        <v>45452</v>
      </c>
      <c r="H256" s="27">
        <f>Contributions_Data!D250</f>
        <v>13649.8</v>
      </c>
      <c r="I256" s="27">
        <v>0</v>
      </c>
    </row>
    <row r="257" spans="3:9">
      <c r="C257" s="23">
        <v>250</v>
      </c>
      <c r="D257" s="23" t="s">
        <v>132</v>
      </c>
      <c r="E257" s="23" t="str">
        <f>Contributions_Data!A251</f>
        <v>DA-002</v>
      </c>
      <c r="F257" s="23" t="str">
        <f>Contributions_Data!B251</f>
        <v>DA-002-M0021</v>
      </c>
      <c r="G257" s="24">
        <f>Contributions_Data!C251</f>
        <v>45450</v>
      </c>
      <c r="H257" s="27">
        <f>Contributions_Data!D251</f>
        <v>16868.55</v>
      </c>
      <c r="I257" s="27">
        <v>0</v>
      </c>
    </row>
    <row r="258" spans="3:9">
      <c r="C258" s="23">
        <v>251</v>
      </c>
      <c r="D258" s="23" t="s">
        <v>132</v>
      </c>
      <c r="E258" s="23" t="str">
        <f>Contributions_Data!A252</f>
        <v>DA-002</v>
      </c>
      <c r="F258" s="23" t="str">
        <f>Contributions_Data!B252</f>
        <v>DA-002-M0021</v>
      </c>
      <c r="G258" s="24">
        <f>Contributions_Data!C252</f>
        <v>45441</v>
      </c>
      <c r="H258" s="27">
        <f>Contributions_Data!D252</f>
        <v>11797.14</v>
      </c>
      <c r="I258" s="27">
        <v>0</v>
      </c>
    </row>
    <row r="259" spans="3:9">
      <c r="C259" s="23">
        <v>252</v>
      </c>
      <c r="D259" s="23" t="s">
        <v>132</v>
      </c>
      <c r="E259" s="23" t="str">
        <f>Contributions_Data!A253</f>
        <v>DA-002</v>
      </c>
      <c r="F259" s="23" t="str">
        <f>Contributions_Data!B253</f>
        <v>DA-002-M0021</v>
      </c>
      <c r="G259" s="24">
        <f>Contributions_Data!C253</f>
        <v>45558</v>
      </c>
      <c r="H259" s="27">
        <f>Contributions_Data!D253</f>
        <v>14572.86</v>
      </c>
      <c r="I259" s="27">
        <v>0</v>
      </c>
    </row>
    <row r="260" spans="3:9">
      <c r="C260" s="23">
        <v>253</v>
      </c>
      <c r="D260" s="23" t="s">
        <v>132</v>
      </c>
      <c r="E260" s="23" t="str">
        <f>Contributions_Data!A254</f>
        <v>DA-001</v>
      </c>
      <c r="F260" s="23" t="str">
        <f>Contributions_Data!B254</f>
        <v>DA-001-M0022</v>
      </c>
      <c r="G260" s="24">
        <f>Contributions_Data!C254</f>
        <v>45488</v>
      </c>
      <c r="H260" s="27">
        <f>Contributions_Data!D254</f>
        <v>15360.89</v>
      </c>
      <c r="I260" s="27">
        <v>0</v>
      </c>
    </row>
    <row r="261" spans="3:9">
      <c r="C261" s="23">
        <v>254</v>
      </c>
      <c r="D261" s="23" t="s">
        <v>132</v>
      </c>
      <c r="E261" s="23" t="str">
        <f>Contributions_Data!A255</f>
        <v>DA-001</v>
      </c>
      <c r="F261" s="23" t="str">
        <f>Contributions_Data!B255</f>
        <v>DA-001-M0022</v>
      </c>
      <c r="G261" s="24">
        <f>Contributions_Data!C255</f>
        <v>45402</v>
      </c>
      <c r="H261" s="27">
        <f>Contributions_Data!D255</f>
        <v>16543.32</v>
      </c>
      <c r="I261" s="27">
        <v>0</v>
      </c>
    </row>
    <row r="262" spans="3:9">
      <c r="C262" s="23">
        <v>255</v>
      </c>
      <c r="D262" s="23" t="s">
        <v>132</v>
      </c>
      <c r="E262" s="23" t="str">
        <f>Contributions_Data!A256</f>
        <v>DA-001</v>
      </c>
      <c r="F262" s="23" t="str">
        <f>Contributions_Data!B256</f>
        <v>DA-001-M0022</v>
      </c>
      <c r="G262" s="24">
        <f>Contributions_Data!C256</f>
        <v>45355</v>
      </c>
      <c r="H262" s="27">
        <f>Contributions_Data!D256</f>
        <v>17134.84</v>
      </c>
      <c r="I262" s="27">
        <v>0</v>
      </c>
    </row>
    <row r="263" spans="3:9">
      <c r="C263" s="23">
        <v>256</v>
      </c>
      <c r="D263" s="23" t="s">
        <v>132</v>
      </c>
      <c r="E263" s="23" t="str">
        <f>Contributions_Data!A257</f>
        <v>DA-001</v>
      </c>
      <c r="F263" s="23" t="str">
        <f>Contributions_Data!B257</f>
        <v>DA-001-M0022</v>
      </c>
      <c r="G263" s="24">
        <f>Contributions_Data!C257</f>
        <v>45433</v>
      </c>
      <c r="H263" s="27">
        <f>Contributions_Data!D257</f>
        <v>10397.66</v>
      </c>
      <c r="I263" s="27">
        <v>0</v>
      </c>
    </row>
    <row r="264" spans="3:9">
      <c r="C264" s="23">
        <v>257</v>
      </c>
      <c r="D264" s="23" t="s">
        <v>132</v>
      </c>
      <c r="E264" s="23" t="str">
        <f>Contributions_Data!A258</f>
        <v>DA-001</v>
      </c>
      <c r="F264" s="23" t="str">
        <f>Contributions_Data!B258</f>
        <v>DA-001-M0022</v>
      </c>
      <c r="G264" s="24">
        <f>Contributions_Data!C258</f>
        <v>45537</v>
      </c>
      <c r="H264" s="27">
        <f>Contributions_Data!D258</f>
        <v>15996.94</v>
      </c>
      <c r="I264" s="27">
        <v>0</v>
      </c>
    </row>
    <row r="265" spans="3:9">
      <c r="C265" s="23">
        <v>258</v>
      </c>
      <c r="D265" s="23" t="s">
        <v>132</v>
      </c>
      <c r="E265" s="23" t="str">
        <f>Contributions_Data!A259</f>
        <v>DA-001</v>
      </c>
      <c r="F265" s="23" t="str">
        <f>Contributions_Data!B259</f>
        <v>DA-001-M0022</v>
      </c>
      <c r="G265" s="24">
        <f>Contributions_Data!C259</f>
        <v>45468</v>
      </c>
      <c r="H265" s="27">
        <f>Contributions_Data!D259</f>
        <v>12754.54</v>
      </c>
      <c r="I265" s="27">
        <v>0</v>
      </c>
    </row>
    <row r="266" spans="3:9">
      <c r="C266" s="23">
        <v>259</v>
      </c>
      <c r="D266" s="23" t="s">
        <v>132</v>
      </c>
      <c r="E266" s="23" t="str">
        <f>Contributions_Data!A260</f>
        <v>DA-001</v>
      </c>
      <c r="F266" s="23" t="str">
        <f>Contributions_Data!B260</f>
        <v>DA-001-M0022</v>
      </c>
      <c r="G266" s="24">
        <f>Contributions_Data!C260</f>
        <v>45464</v>
      </c>
      <c r="H266" s="27">
        <f>Contributions_Data!D260</f>
        <v>19653.46</v>
      </c>
      <c r="I266" s="27">
        <v>0</v>
      </c>
    </row>
    <row r="267" spans="3:9">
      <c r="C267" s="23">
        <v>260</v>
      </c>
      <c r="D267" s="23" t="s">
        <v>132</v>
      </c>
      <c r="E267" s="23" t="str">
        <f>Contributions_Data!A261</f>
        <v>DA-001</v>
      </c>
      <c r="F267" s="23" t="str">
        <f>Contributions_Data!B261</f>
        <v>DA-001-M0022</v>
      </c>
      <c r="G267" s="24">
        <f>Contributions_Data!C261</f>
        <v>45496</v>
      </c>
      <c r="H267" s="27">
        <f>Contributions_Data!D261</f>
        <v>15347.02</v>
      </c>
      <c r="I267" s="27">
        <v>0</v>
      </c>
    </row>
    <row r="268" spans="3:9">
      <c r="C268" s="23">
        <v>261</v>
      </c>
      <c r="D268" s="23" t="s">
        <v>132</v>
      </c>
      <c r="E268" s="23" t="str">
        <f>Contributions_Data!A262</f>
        <v>DA-001</v>
      </c>
      <c r="F268" s="23" t="str">
        <f>Contributions_Data!B262</f>
        <v>DA-001-M0022</v>
      </c>
      <c r="G268" s="24">
        <f>Contributions_Data!C262</f>
        <v>45297</v>
      </c>
      <c r="H268" s="27">
        <f>Contributions_Data!D262</f>
        <v>15202.56</v>
      </c>
      <c r="I268" s="27">
        <v>0</v>
      </c>
    </row>
    <row r="269" spans="3:9">
      <c r="C269" s="23">
        <v>262</v>
      </c>
      <c r="D269" s="23" t="s">
        <v>132</v>
      </c>
      <c r="E269" s="23" t="str">
        <f>Contributions_Data!A263</f>
        <v>DA-001</v>
      </c>
      <c r="F269" s="23" t="str">
        <f>Contributions_Data!B263</f>
        <v>DA-001-M0022</v>
      </c>
      <c r="G269" s="24">
        <f>Contributions_Data!C263</f>
        <v>45617</v>
      </c>
      <c r="H269" s="27">
        <f>Contributions_Data!D263</f>
        <v>21182.240000000002</v>
      </c>
      <c r="I269" s="27">
        <v>0</v>
      </c>
    </row>
    <row r="270" spans="3:9">
      <c r="C270" s="23">
        <v>263</v>
      </c>
      <c r="D270" s="23" t="s">
        <v>132</v>
      </c>
      <c r="E270" s="23" t="str">
        <f>Contributions_Data!A264</f>
        <v>DA-001</v>
      </c>
      <c r="F270" s="23" t="str">
        <f>Contributions_Data!B264</f>
        <v>DA-001-M0022</v>
      </c>
      <c r="G270" s="24">
        <f>Contributions_Data!C264</f>
        <v>45333</v>
      </c>
      <c r="H270" s="27">
        <f>Contributions_Data!D264</f>
        <v>20266.02</v>
      </c>
      <c r="I270" s="27">
        <v>0</v>
      </c>
    </row>
    <row r="271" spans="3:9">
      <c r="C271" s="23">
        <v>264</v>
      </c>
      <c r="D271" s="23" t="s">
        <v>132</v>
      </c>
      <c r="E271" s="23" t="str">
        <f>Contributions_Data!A265</f>
        <v>DA-001</v>
      </c>
      <c r="F271" s="23" t="str">
        <f>Contributions_Data!B265</f>
        <v>DA-001-M0022</v>
      </c>
      <c r="G271" s="24">
        <f>Contributions_Data!C265</f>
        <v>45569</v>
      </c>
      <c r="H271" s="27">
        <f>Contributions_Data!D265</f>
        <v>17914.71</v>
      </c>
      <c r="I271" s="27">
        <v>0</v>
      </c>
    </row>
    <row r="272" spans="3:9">
      <c r="C272" s="23">
        <v>265</v>
      </c>
      <c r="D272" s="23" t="s">
        <v>132</v>
      </c>
      <c r="E272" s="23" t="str">
        <f>Contributions_Data!A266</f>
        <v>DA-002</v>
      </c>
      <c r="F272" s="23" t="str">
        <f>Contributions_Data!B266</f>
        <v>DA-002-M0023</v>
      </c>
      <c r="G272" s="24">
        <f>Contributions_Data!C266</f>
        <v>45366</v>
      </c>
      <c r="H272" s="27">
        <f>Contributions_Data!D266</f>
        <v>16936.13</v>
      </c>
      <c r="I272" s="27">
        <v>0</v>
      </c>
    </row>
    <row r="273" spans="3:9">
      <c r="C273" s="23">
        <v>266</v>
      </c>
      <c r="D273" s="23" t="s">
        <v>132</v>
      </c>
      <c r="E273" s="23" t="str">
        <f>Contributions_Data!A267</f>
        <v>DA-002</v>
      </c>
      <c r="F273" s="23" t="str">
        <f>Contributions_Data!B267</f>
        <v>DA-002-M0023</v>
      </c>
      <c r="G273" s="24">
        <f>Contributions_Data!C267</f>
        <v>45589</v>
      </c>
      <c r="H273" s="27">
        <f>Contributions_Data!D267</f>
        <v>12105.23</v>
      </c>
      <c r="I273" s="27">
        <v>0</v>
      </c>
    </row>
    <row r="274" spans="3:9">
      <c r="C274" s="23">
        <v>267</v>
      </c>
      <c r="D274" s="23" t="s">
        <v>132</v>
      </c>
      <c r="E274" s="23" t="str">
        <f>Contributions_Data!A268</f>
        <v>DA-002</v>
      </c>
      <c r="F274" s="23" t="str">
        <f>Contributions_Data!B268</f>
        <v>DA-002-M0023</v>
      </c>
      <c r="G274" s="24">
        <f>Contributions_Data!C268</f>
        <v>45418</v>
      </c>
      <c r="H274" s="27">
        <f>Contributions_Data!D268</f>
        <v>17058.150000000001</v>
      </c>
      <c r="I274" s="27">
        <v>0</v>
      </c>
    </row>
    <row r="275" spans="3:9">
      <c r="C275" s="23">
        <v>268</v>
      </c>
      <c r="D275" s="23" t="s">
        <v>132</v>
      </c>
      <c r="E275" s="23" t="str">
        <f>Contributions_Data!A269</f>
        <v>DA-002</v>
      </c>
      <c r="F275" s="23" t="str">
        <f>Contributions_Data!B269</f>
        <v>DA-002-M0023</v>
      </c>
      <c r="G275" s="24">
        <f>Contributions_Data!C269</f>
        <v>45380</v>
      </c>
      <c r="H275" s="27">
        <f>Contributions_Data!D269</f>
        <v>18175.27</v>
      </c>
      <c r="I275" s="27">
        <v>0</v>
      </c>
    </row>
    <row r="276" spans="3:9">
      <c r="C276" s="23">
        <v>269</v>
      </c>
      <c r="D276" s="23" t="s">
        <v>132</v>
      </c>
      <c r="E276" s="23" t="str">
        <f>Contributions_Data!A270</f>
        <v>DA-002</v>
      </c>
      <c r="F276" s="23" t="str">
        <f>Contributions_Data!B270</f>
        <v>DA-002-M0023</v>
      </c>
      <c r="G276" s="24">
        <f>Contributions_Data!C270</f>
        <v>45389</v>
      </c>
      <c r="H276" s="27">
        <f>Contributions_Data!D270</f>
        <v>9723.7800000000007</v>
      </c>
      <c r="I276" s="27">
        <v>0</v>
      </c>
    </row>
    <row r="277" spans="3:9">
      <c r="C277" s="23">
        <v>270</v>
      </c>
      <c r="D277" s="23" t="s">
        <v>132</v>
      </c>
      <c r="E277" s="23" t="str">
        <f>Contributions_Data!A271</f>
        <v>DA-002</v>
      </c>
      <c r="F277" s="23" t="str">
        <f>Contributions_Data!B271</f>
        <v>DA-002-M0023</v>
      </c>
      <c r="G277" s="24">
        <f>Contributions_Data!C271</f>
        <v>45456</v>
      </c>
      <c r="H277" s="27">
        <f>Contributions_Data!D271</f>
        <v>11450.22</v>
      </c>
      <c r="I277" s="27">
        <v>0</v>
      </c>
    </row>
    <row r="278" spans="3:9">
      <c r="C278" s="23">
        <v>271</v>
      </c>
      <c r="D278" s="23" t="s">
        <v>132</v>
      </c>
      <c r="E278" s="23" t="str">
        <f>Contributions_Data!A272</f>
        <v>DA-002</v>
      </c>
      <c r="F278" s="23" t="str">
        <f>Contributions_Data!B272</f>
        <v>DA-002-M0023</v>
      </c>
      <c r="G278" s="24">
        <f>Contributions_Data!C272</f>
        <v>45492</v>
      </c>
      <c r="H278" s="27">
        <f>Contributions_Data!D272</f>
        <v>8882.2999999999993</v>
      </c>
      <c r="I278" s="27">
        <v>0</v>
      </c>
    </row>
    <row r="279" spans="3:9">
      <c r="C279" s="23">
        <v>272</v>
      </c>
      <c r="D279" s="23" t="s">
        <v>132</v>
      </c>
      <c r="E279" s="23" t="str">
        <f>Contributions_Data!A273</f>
        <v>DA-002</v>
      </c>
      <c r="F279" s="23" t="str">
        <f>Contributions_Data!B273</f>
        <v>DA-002-M0023</v>
      </c>
      <c r="G279" s="24">
        <f>Contributions_Data!C273</f>
        <v>45565</v>
      </c>
      <c r="H279" s="27">
        <f>Contributions_Data!D273</f>
        <v>14191.78</v>
      </c>
      <c r="I279" s="27">
        <v>0</v>
      </c>
    </row>
    <row r="280" spans="3:9">
      <c r="C280" s="23">
        <v>273</v>
      </c>
      <c r="D280" s="23" t="s">
        <v>132</v>
      </c>
      <c r="E280" s="23" t="str">
        <f>Contributions_Data!A274</f>
        <v>DA-002</v>
      </c>
      <c r="F280" s="23" t="str">
        <f>Contributions_Data!B274</f>
        <v>DA-002-M0023</v>
      </c>
      <c r="G280" s="24">
        <f>Contributions_Data!C274</f>
        <v>45656</v>
      </c>
      <c r="H280" s="27">
        <f>Contributions_Data!D274</f>
        <v>17152.63</v>
      </c>
      <c r="I280" s="27">
        <v>0</v>
      </c>
    </row>
    <row r="281" spans="3:9">
      <c r="C281" s="23">
        <v>274</v>
      </c>
      <c r="D281" s="23" t="s">
        <v>132</v>
      </c>
      <c r="E281" s="23" t="str">
        <f>Contributions_Data!A275</f>
        <v>DA-002</v>
      </c>
      <c r="F281" s="23" t="str">
        <f>Contributions_Data!B275</f>
        <v>DA-002-M0023</v>
      </c>
      <c r="G281" s="24">
        <f>Contributions_Data!C275</f>
        <v>45437</v>
      </c>
      <c r="H281" s="27">
        <f>Contributions_Data!D275</f>
        <v>19507.07</v>
      </c>
      <c r="I281" s="27">
        <v>0</v>
      </c>
    </row>
    <row r="282" spans="3:9">
      <c r="C282" s="23">
        <v>275</v>
      </c>
      <c r="D282" s="23" t="s">
        <v>132</v>
      </c>
      <c r="E282" s="23" t="str">
        <f>Contributions_Data!A276</f>
        <v>DA-002</v>
      </c>
      <c r="F282" s="23" t="str">
        <f>Contributions_Data!B276</f>
        <v>DA-002-M0023</v>
      </c>
      <c r="G282" s="24">
        <f>Contributions_Data!C276</f>
        <v>45590</v>
      </c>
      <c r="H282" s="27">
        <f>Contributions_Data!D276</f>
        <v>15222.28</v>
      </c>
      <c r="I282" s="27">
        <v>0</v>
      </c>
    </row>
    <row r="283" spans="3:9">
      <c r="C283" s="23">
        <v>276</v>
      </c>
      <c r="D283" s="23" t="s">
        <v>132</v>
      </c>
      <c r="E283" s="23" t="str">
        <f>Contributions_Data!A277</f>
        <v>DA-002</v>
      </c>
      <c r="F283" s="23" t="str">
        <f>Contributions_Data!B277</f>
        <v>DA-002-M0023</v>
      </c>
      <c r="G283" s="24">
        <f>Contributions_Data!C277</f>
        <v>45383</v>
      </c>
      <c r="H283" s="27">
        <f>Contributions_Data!D277</f>
        <v>19885.849999999999</v>
      </c>
      <c r="I283" s="27">
        <v>0</v>
      </c>
    </row>
    <row r="284" spans="3:9">
      <c r="C284" s="23">
        <v>277</v>
      </c>
      <c r="D284" s="23" t="s">
        <v>132</v>
      </c>
      <c r="E284" s="23" t="str">
        <f>Contributions_Data!A278</f>
        <v>DA-001</v>
      </c>
      <c r="F284" s="23" t="str">
        <f>Contributions_Data!B278</f>
        <v>DA-001-M0024</v>
      </c>
      <c r="G284" s="24">
        <f>Contributions_Data!C278</f>
        <v>45385</v>
      </c>
      <c r="H284" s="27">
        <f>Contributions_Data!D278</f>
        <v>10859.7</v>
      </c>
      <c r="I284" s="27">
        <v>0</v>
      </c>
    </row>
    <row r="285" spans="3:9">
      <c r="C285" s="23">
        <v>278</v>
      </c>
      <c r="D285" s="23" t="s">
        <v>132</v>
      </c>
      <c r="E285" s="23" t="str">
        <f>Contributions_Data!A279</f>
        <v>DA-001</v>
      </c>
      <c r="F285" s="23" t="str">
        <f>Contributions_Data!B279</f>
        <v>DA-001-M0024</v>
      </c>
      <c r="G285" s="24">
        <f>Contributions_Data!C279</f>
        <v>45490</v>
      </c>
      <c r="H285" s="27">
        <f>Contributions_Data!D279</f>
        <v>9889.85</v>
      </c>
      <c r="I285" s="27">
        <v>0</v>
      </c>
    </row>
    <row r="286" spans="3:9">
      <c r="C286" s="23">
        <v>279</v>
      </c>
      <c r="D286" s="23" t="s">
        <v>132</v>
      </c>
      <c r="E286" s="23" t="str">
        <f>Contributions_Data!A280</f>
        <v>DA-001</v>
      </c>
      <c r="F286" s="23" t="str">
        <f>Contributions_Data!B280</f>
        <v>DA-001-M0024</v>
      </c>
      <c r="G286" s="24">
        <f>Contributions_Data!C280</f>
        <v>45652</v>
      </c>
      <c r="H286" s="27">
        <f>Contributions_Data!D280</f>
        <v>14833.36</v>
      </c>
      <c r="I286" s="27">
        <v>0</v>
      </c>
    </row>
    <row r="287" spans="3:9">
      <c r="C287" s="23">
        <v>280</v>
      </c>
      <c r="D287" s="23" t="s">
        <v>132</v>
      </c>
      <c r="E287" s="23" t="str">
        <f>Contributions_Data!A281</f>
        <v>DA-001</v>
      </c>
      <c r="F287" s="23" t="str">
        <f>Contributions_Data!B281</f>
        <v>DA-001-M0024</v>
      </c>
      <c r="G287" s="24">
        <f>Contributions_Data!C281</f>
        <v>45642</v>
      </c>
      <c r="H287" s="27">
        <f>Contributions_Data!D281</f>
        <v>16152.2</v>
      </c>
      <c r="I287" s="27">
        <v>0</v>
      </c>
    </row>
    <row r="288" spans="3:9">
      <c r="C288" s="23">
        <v>281</v>
      </c>
      <c r="D288" s="23" t="s">
        <v>132</v>
      </c>
      <c r="E288" s="23" t="str">
        <f>Contributions_Data!A282</f>
        <v>DA-001</v>
      </c>
      <c r="F288" s="23" t="str">
        <f>Contributions_Data!B282</f>
        <v>DA-001-M0024</v>
      </c>
      <c r="G288" s="24">
        <f>Contributions_Data!C282</f>
        <v>45470</v>
      </c>
      <c r="H288" s="27">
        <f>Contributions_Data!D282</f>
        <v>8797.67</v>
      </c>
      <c r="I288" s="27">
        <v>0</v>
      </c>
    </row>
    <row r="289" spans="3:9">
      <c r="C289" s="23">
        <v>282</v>
      </c>
      <c r="D289" s="23" t="s">
        <v>132</v>
      </c>
      <c r="E289" s="23" t="str">
        <f>Contributions_Data!A283</f>
        <v>DA-001</v>
      </c>
      <c r="F289" s="23" t="str">
        <f>Contributions_Data!B283</f>
        <v>DA-001-M0024</v>
      </c>
      <c r="G289" s="24">
        <f>Contributions_Data!C283</f>
        <v>45436</v>
      </c>
      <c r="H289" s="27">
        <f>Contributions_Data!D283</f>
        <v>14732.64</v>
      </c>
      <c r="I289" s="27">
        <v>0</v>
      </c>
    </row>
    <row r="290" spans="3:9">
      <c r="C290" s="23">
        <v>283</v>
      </c>
      <c r="D290" s="23" t="s">
        <v>132</v>
      </c>
      <c r="E290" s="23" t="str">
        <f>Contributions_Data!A284</f>
        <v>DA-001</v>
      </c>
      <c r="F290" s="23" t="str">
        <f>Contributions_Data!B284</f>
        <v>DA-001-M0024</v>
      </c>
      <c r="G290" s="24">
        <f>Contributions_Data!C284</f>
        <v>45483</v>
      </c>
      <c r="H290" s="27">
        <f>Contributions_Data!D284</f>
        <v>17009.02</v>
      </c>
      <c r="I290" s="27">
        <v>0</v>
      </c>
    </row>
    <row r="291" spans="3:9">
      <c r="C291" s="23">
        <v>284</v>
      </c>
      <c r="D291" s="23" t="s">
        <v>132</v>
      </c>
      <c r="E291" s="23" t="str">
        <f>Contributions_Data!A285</f>
        <v>DA-001</v>
      </c>
      <c r="F291" s="23" t="str">
        <f>Contributions_Data!B285</f>
        <v>DA-001-M0024</v>
      </c>
      <c r="G291" s="24">
        <f>Contributions_Data!C285</f>
        <v>45332</v>
      </c>
      <c r="H291" s="27">
        <f>Contributions_Data!D285</f>
        <v>16099.79</v>
      </c>
      <c r="I291" s="27">
        <v>0</v>
      </c>
    </row>
    <row r="292" spans="3:9">
      <c r="C292" s="23">
        <v>285</v>
      </c>
      <c r="D292" s="23" t="s">
        <v>132</v>
      </c>
      <c r="E292" s="23" t="str">
        <f>Contributions_Data!A286</f>
        <v>DA-001</v>
      </c>
      <c r="F292" s="23" t="str">
        <f>Contributions_Data!B286</f>
        <v>DA-001-M0024</v>
      </c>
      <c r="G292" s="24">
        <f>Contributions_Data!C286</f>
        <v>45379</v>
      </c>
      <c r="H292" s="27">
        <f>Contributions_Data!D286</f>
        <v>12180.36</v>
      </c>
      <c r="I292" s="27">
        <v>0</v>
      </c>
    </row>
    <row r="293" spans="3:9">
      <c r="C293" s="23">
        <v>286</v>
      </c>
      <c r="D293" s="23" t="s">
        <v>132</v>
      </c>
      <c r="E293" s="23" t="str">
        <f>Contributions_Data!A287</f>
        <v>DA-001</v>
      </c>
      <c r="F293" s="23" t="str">
        <f>Contributions_Data!B287</f>
        <v>DA-001-M0024</v>
      </c>
      <c r="G293" s="24">
        <f>Contributions_Data!C287</f>
        <v>45599</v>
      </c>
      <c r="H293" s="27">
        <f>Contributions_Data!D287</f>
        <v>11822.36</v>
      </c>
      <c r="I293" s="27">
        <v>0</v>
      </c>
    </row>
    <row r="294" spans="3:9">
      <c r="C294" s="23">
        <v>287</v>
      </c>
      <c r="D294" s="23" t="s">
        <v>132</v>
      </c>
      <c r="E294" s="23" t="str">
        <f>Contributions_Data!A288</f>
        <v>DA-001</v>
      </c>
      <c r="F294" s="23" t="str">
        <f>Contributions_Data!B288</f>
        <v>DA-001-M0024</v>
      </c>
      <c r="G294" s="24">
        <f>Contributions_Data!C288</f>
        <v>45424</v>
      </c>
      <c r="H294" s="27">
        <f>Contributions_Data!D288</f>
        <v>14811.96</v>
      </c>
      <c r="I294" s="27">
        <v>0</v>
      </c>
    </row>
    <row r="295" spans="3:9">
      <c r="C295" s="23">
        <v>288</v>
      </c>
      <c r="D295" s="23" t="s">
        <v>132</v>
      </c>
      <c r="E295" s="23" t="str">
        <f>Contributions_Data!A289</f>
        <v>DA-001</v>
      </c>
      <c r="F295" s="23" t="str">
        <f>Contributions_Data!B289</f>
        <v>DA-001-M0024</v>
      </c>
      <c r="G295" s="24">
        <f>Contributions_Data!C289</f>
        <v>45531</v>
      </c>
      <c r="H295" s="27">
        <f>Contributions_Data!D289</f>
        <v>12042.82</v>
      </c>
      <c r="I295" s="27">
        <v>0</v>
      </c>
    </row>
    <row r="296" spans="3:9">
      <c r="C296" s="23">
        <v>289</v>
      </c>
      <c r="D296" s="23" t="s">
        <v>132</v>
      </c>
      <c r="E296" s="23" t="str">
        <f>Contributions_Data!A290</f>
        <v>DA-001</v>
      </c>
      <c r="F296" s="23" t="str">
        <f>Contributions_Data!B290</f>
        <v>DA-001-M0025</v>
      </c>
      <c r="G296" s="24">
        <f>Contributions_Data!C290</f>
        <v>45448</v>
      </c>
      <c r="H296" s="27">
        <f>Contributions_Data!D290</f>
        <v>16512.14</v>
      </c>
      <c r="I296" s="27">
        <v>0</v>
      </c>
    </row>
    <row r="297" spans="3:9">
      <c r="C297" s="23">
        <v>290</v>
      </c>
      <c r="D297" s="23" t="s">
        <v>132</v>
      </c>
      <c r="E297" s="23" t="str">
        <f>Contributions_Data!A291</f>
        <v>DA-001</v>
      </c>
      <c r="F297" s="23" t="str">
        <f>Contributions_Data!B291</f>
        <v>DA-001-M0025</v>
      </c>
      <c r="G297" s="24">
        <f>Contributions_Data!C291</f>
        <v>45476</v>
      </c>
      <c r="H297" s="27">
        <f>Contributions_Data!D291</f>
        <v>13409.23</v>
      </c>
      <c r="I297" s="27">
        <v>0</v>
      </c>
    </row>
    <row r="298" spans="3:9">
      <c r="C298" s="23">
        <v>291</v>
      </c>
      <c r="D298" s="23" t="s">
        <v>132</v>
      </c>
      <c r="E298" s="23" t="str">
        <f>Contributions_Data!A292</f>
        <v>DA-001</v>
      </c>
      <c r="F298" s="23" t="str">
        <f>Contributions_Data!B292</f>
        <v>DA-001-M0025</v>
      </c>
      <c r="G298" s="24">
        <f>Contributions_Data!C292</f>
        <v>45406</v>
      </c>
      <c r="H298" s="27">
        <f>Contributions_Data!D292</f>
        <v>14678.91</v>
      </c>
      <c r="I298" s="27">
        <v>0</v>
      </c>
    </row>
    <row r="299" spans="3:9">
      <c r="C299" s="23">
        <v>292</v>
      </c>
      <c r="D299" s="23" t="s">
        <v>132</v>
      </c>
      <c r="E299" s="23" t="str">
        <f>Contributions_Data!A293</f>
        <v>DA-001</v>
      </c>
      <c r="F299" s="23" t="str">
        <f>Contributions_Data!B293</f>
        <v>DA-001-M0025</v>
      </c>
      <c r="G299" s="24">
        <f>Contributions_Data!C293</f>
        <v>45542</v>
      </c>
      <c r="H299" s="27">
        <f>Contributions_Data!D293</f>
        <v>11894.27</v>
      </c>
      <c r="I299" s="27">
        <v>0</v>
      </c>
    </row>
    <row r="300" spans="3:9">
      <c r="C300" s="23">
        <v>293</v>
      </c>
      <c r="D300" s="23" t="s">
        <v>132</v>
      </c>
      <c r="E300" s="23" t="str">
        <f>Contributions_Data!A294</f>
        <v>DA-001</v>
      </c>
      <c r="F300" s="23" t="str">
        <f>Contributions_Data!B294</f>
        <v>DA-001-M0025</v>
      </c>
      <c r="G300" s="24">
        <f>Contributions_Data!C294</f>
        <v>45495</v>
      </c>
      <c r="H300" s="27">
        <f>Contributions_Data!D294</f>
        <v>11406.37</v>
      </c>
      <c r="I300" s="27">
        <v>0</v>
      </c>
    </row>
    <row r="301" spans="3:9">
      <c r="C301" s="23">
        <v>294</v>
      </c>
      <c r="D301" s="23" t="s">
        <v>132</v>
      </c>
      <c r="E301" s="23" t="str">
        <f>Contributions_Data!A295</f>
        <v>DA-001</v>
      </c>
      <c r="F301" s="23" t="str">
        <f>Contributions_Data!B295</f>
        <v>DA-001-M0025</v>
      </c>
      <c r="G301" s="24">
        <f>Contributions_Data!C295</f>
        <v>45382</v>
      </c>
      <c r="H301" s="27">
        <f>Contributions_Data!D295</f>
        <v>15105.79</v>
      </c>
      <c r="I301" s="27">
        <v>0</v>
      </c>
    </row>
    <row r="302" spans="3:9">
      <c r="C302" s="23">
        <v>295</v>
      </c>
      <c r="D302" s="23" t="s">
        <v>132</v>
      </c>
      <c r="E302" s="23" t="str">
        <f>Contributions_Data!A296</f>
        <v>DA-001</v>
      </c>
      <c r="F302" s="23" t="str">
        <f>Contributions_Data!B296</f>
        <v>DA-001-M0025</v>
      </c>
      <c r="G302" s="24">
        <f>Contributions_Data!C296</f>
        <v>45641</v>
      </c>
      <c r="H302" s="27">
        <f>Contributions_Data!D296</f>
        <v>12900.82</v>
      </c>
      <c r="I302" s="27">
        <v>0</v>
      </c>
    </row>
    <row r="303" spans="3:9">
      <c r="C303" s="23">
        <v>296</v>
      </c>
      <c r="D303" s="23" t="s">
        <v>132</v>
      </c>
      <c r="E303" s="23" t="str">
        <f>Contributions_Data!A297</f>
        <v>DA-001</v>
      </c>
      <c r="F303" s="23" t="str">
        <f>Contributions_Data!B297</f>
        <v>DA-001-M0025</v>
      </c>
      <c r="G303" s="24">
        <f>Contributions_Data!C297</f>
        <v>45398</v>
      </c>
      <c r="H303" s="27">
        <f>Contributions_Data!D297</f>
        <v>15641.94</v>
      </c>
      <c r="I303" s="27">
        <v>0</v>
      </c>
    </row>
    <row r="304" spans="3:9">
      <c r="C304" s="23">
        <v>297</v>
      </c>
      <c r="D304" s="23" t="s">
        <v>132</v>
      </c>
      <c r="E304" s="23" t="str">
        <f>Contributions_Data!A298</f>
        <v>DA-001</v>
      </c>
      <c r="F304" s="23" t="str">
        <f>Contributions_Data!B298</f>
        <v>DA-001-M0025</v>
      </c>
      <c r="G304" s="24">
        <f>Contributions_Data!C298</f>
        <v>45324</v>
      </c>
      <c r="H304" s="27">
        <f>Contributions_Data!D298</f>
        <v>14337.09</v>
      </c>
      <c r="I304" s="27">
        <v>0</v>
      </c>
    </row>
    <row r="305" spans="3:9">
      <c r="C305" s="23">
        <v>298</v>
      </c>
      <c r="D305" s="23" t="s">
        <v>132</v>
      </c>
      <c r="E305" s="23" t="str">
        <f>Contributions_Data!A299</f>
        <v>DA-001</v>
      </c>
      <c r="F305" s="23" t="str">
        <f>Contributions_Data!B299</f>
        <v>DA-001-M0025</v>
      </c>
      <c r="G305" s="24">
        <f>Contributions_Data!C299</f>
        <v>45492</v>
      </c>
      <c r="H305" s="27">
        <f>Contributions_Data!D299</f>
        <v>16842.5</v>
      </c>
      <c r="I305" s="27">
        <v>0</v>
      </c>
    </row>
    <row r="306" spans="3:9">
      <c r="C306" s="23">
        <v>299</v>
      </c>
      <c r="D306" s="23" t="s">
        <v>132</v>
      </c>
      <c r="E306" s="23" t="str">
        <f>Contributions_Data!A300</f>
        <v>DA-001</v>
      </c>
      <c r="F306" s="23" t="str">
        <f>Contributions_Data!B300</f>
        <v>DA-001-M0025</v>
      </c>
      <c r="G306" s="24">
        <f>Contributions_Data!C300</f>
        <v>45630</v>
      </c>
      <c r="H306" s="27">
        <f>Contributions_Data!D300</f>
        <v>17272.52</v>
      </c>
      <c r="I306" s="27">
        <v>0</v>
      </c>
    </row>
    <row r="307" spans="3:9">
      <c r="C307" s="23">
        <v>300</v>
      </c>
      <c r="D307" s="23" t="s">
        <v>132</v>
      </c>
      <c r="E307" s="23" t="str">
        <f>Contributions_Data!A301</f>
        <v>DA-001</v>
      </c>
      <c r="F307" s="23" t="str">
        <f>Contributions_Data!B301</f>
        <v>DA-001-M0025</v>
      </c>
      <c r="G307" s="24">
        <f>Contributions_Data!C301</f>
        <v>45354</v>
      </c>
      <c r="H307" s="27">
        <f>Contributions_Data!D301</f>
        <v>13408.5</v>
      </c>
      <c r="I307" s="27">
        <v>0</v>
      </c>
    </row>
    <row r="308" spans="3:9">
      <c r="C308" s="23">
        <v>301</v>
      </c>
      <c r="D308" s="23" t="s">
        <v>132</v>
      </c>
      <c r="E308" s="23" t="str">
        <f>Contributions_Data!A302</f>
        <v>DA-002</v>
      </c>
      <c r="F308" s="23" t="str">
        <f>Contributions_Data!B302</f>
        <v>DA-002-M0026</v>
      </c>
      <c r="G308" s="24">
        <f>Contributions_Data!C302</f>
        <v>45333</v>
      </c>
      <c r="H308" s="27">
        <f>Contributions_Data!D302</f>
        <v>13272.55</v>
      </c>
      <c r="I308" s="27">
        <v>0</v>
      </c>
    </row>
    <row r="309" spans="3:9">
      <c r="C309" s="23">
        <v>302</v>
      </c>
      <c r="D309" s="23" t="s">
        <v>132</v>
      </c>
      <c r="E309" s="23" t="str">
        <f>Contributions_Data!A303</f>
        <v>DA-002</v>
      </c>
      <c r="F309" s="23" t="str">
        <f>Contributions_Data!B303</f>
        <v>DA-002-M0026</v>
      </c>
      <c r="G309" s="24">
        <f>Contributions_Data!C303</f>
        <v>45485</v>
      </c>
      <c r="H309" s="27">
        <f>Contributions_Data!D303</f>
        <v>14174.84</v>
      </c>
      <c r="I309" s="27">
        <v>0</v>
      </c>
    </row>
    <row r="310" spans="3:9">
      <c r="C310" s="23">
        <v>303</v>
      </c>
      <c r="D310" s="23" t="s">
        <v>132</v>
      </c>
      <c r="E310" s="23" t="str">
        <f>Contributions_Data!A304</f>
        <v>DA-002</v>
      </c>
      <c r="F310" s="23" t="str">
        <f>Contributions_Data!B304</f>
        <v>DA-002-M0026</v>
      </c>
      <c r="G310" s="24">
        <f>Contributions_Data!C304</f>
        <v>45608</v>
      </c>
      <c r="H310" s="27">
        <f>Contributions_Data!D304</f>
        <v>8094.24</v>
      </c>
      <c r="I310" s="27">
        <v>0</v>
      </c>
    </row>
    <row r="311" spans="3:9">
      <c r="C311" s="23">
        <v>304</v>
      </c>
      <c r="D311" s="23" t="s">
        <v>132</v>
      </c>
      <c r="E311" s="23" t="str">
        <f>Contributions_Data!A305</f>
        <v>DA-002</v>
      </c>
      <c r="F311" s="23" t="str">
        <f>Contributions_Data!B305</f>
        <v>DA-002-M0026</v>
      </c>
      <c r="G311" s="24">
        <f>Contributions_Data!C305</f>
        <v>45526</v>
      </c>
      <c r="H311" s="27">
        <f>Contributions_Data!D305</f>
        <v>10454.43</v>
      </c>
      <c r="I311" s="27">
        <v>0</v>
      </c>
    </row>
    <row r="312" spans="3:9">
      <c r="C312" s="23">
        <v>305</v>
      </c>
      <c r="D312" s="23" t="s">
        <v>132</v>
      </c>
      <c r="E312" s="23" t="str">
        <f>Contributions_Data!A306</f>
        <v>DA-002</v>
      </c>
      <c r="F312" s="23" t="str">
        <f>Contributions_Data!B306</f>
        <v>DA-002-M0026</v>
      </c>
      <c r="G312" s="24">
        <f>Contributions_Data!C306</f>
        <v>45524</v>
      </c>
      <c r="H312" s="27">
        <f>Contributions_Data!D306</f>
        <v>19934.900000000001</v>
      </c>
      <c r="I312" s="27">
        <v>0</v>
      </c>
    </row>
    <row r="313" spans="3:9">
      <c r="C313" s="23">
        <v>306</v>
      </c>
      <c r="D313" s="23" t="s">
        <v>132</v>
      </c>
      <c r="E313" s="23" t="str">
        <f>Contributions_Data!A307</f>
        <v>DA-002</v>
      </c>
      <c r="F313" s="23" t="str">
        <f>Contributions_Data!B307</f>
        <v>DA-002-M0026</v>
      </c>
      <c r="G313" s="24">
        <f>Contributions_Data!C307</f>
        <v>45346</v>
      </c>
      <c r="H313" s="27">
        <f>Contributions_Data!D307</f>
        <v>16729.669999999998</v>
      </c>
      <c r="I313" s="27">
        <v>0</v>
      </c>
    </row>
    <row r="314" spans="3:9">
      <c r="C314" s="23">
        <v>307</v>
      </c>
      <c r="D314" s="23" t="s">
        <v>132</v>
      </c>
      <c r="E314" s="23" t="str">
        <f>Contributions_Data!A308</f>
        <v>DA-002</v>
      </c>
      <c r="F314" s="23" t="str">
        <f>Contributions_Data!B308</f>
        <v>DA-002-M0026</v>
      </c>
      <c r="G314" s="24">
        <f>Contributions_Data!C308</f>
        <v>45298</v>
      </c>
      <c r="H314" s="27">
        <f>Contributions_Data!D308</f>
        <v>15933.75</v>
      </c>
      <c r="I314" s="27">
        <v>0</v>
      </c>
    </row>
    <row r="315" spans="3:9">
      <c r="C315" s="23">
        <v>308</v>
      </c>
      <c r="D315" s="23" t="s">
        <v>132</v>
      </c>
      <c r="E315" s="23" t="str">
        <f>Contributions_Data!A309</f>
        <v>DA-002</v>
      </c>
      <c r="F315" s="23" t="str">
        <f>Contributions_Data!B309</f>
        <v>DA-002-M0026</v>
      </c>
      <c r="G315" s="24">
        <f>Contributions_Data!C309</f>
        <v>45333</v>
      </c>
      <c r="H315" s="27">
        <f>Contributions_Data!D309</f>
        <v>24236.639999999999</v>
      </c>
      <c r="I315" s="27">
        <v>0</v>
      </c>
    </row>
    <row r="316" spans="3:9">
      <c r="C316" s="23">
        <v>309</v>
      </c>
      <c r="D316" s="23" t="s">
        <v>132</v>
      </c>
      <c r="E316" s="23" t="str">
        <f>Contributions_Data!A310</f>
        <v>DA-002</v>
      </c>
      <c r="F316" s="23" t="str">
        <f>Contributions_Data!B310</f>
        <v>DA-002-M0026</v>
      </c>
      <c r="G316" s="24">
        <f>Contributions_Data!C310</f>
        <v>45469</v>
      </c>
      <c r="H316" s="27">
        <f>Contributions_Data!D310</f>
        <v>18358.72</v>
      </c>
      <c r="I316" s="27">
        <v>0</v>
      </c>
    </row>
    <row r="317" spans="3:9">
      <c r="C317" s="23">
        <v>310</v>
      </c>
      <c r="D317" s="23" t="s">
        <v>132</v>
      </c>
      <c r="E317" s="23" t="str">
        <f>Contributions_Data!A311</f>
        <v>DA-002</v>
      </c>
      <c r="F317" s="23" t="str">
        <f>Contributions_Data!B311</f>
        <v>DA-002-M0026</v>
      </c>
      <c r="G317" s="24">
        <f>Contributions_Data!C311</f>
        <v>45521</v>
      </c>
      <c r="H317" s="27">
        <f>Contributions_Data!D311</f>
        <v>14616.25</v>
      </c>
      <c r="I317" s="27">
        <v>0</v>
      </c>
    </row>
    <row r="318" spans="3:9">
      <c r="C318" s="23">
        <v>311</v>
      </c>
      <c r="D318" s="23" t="s">
        <v>132</v>
      </c>
      <c r="E318" s="23" t="str">
        <f>Contributions_Data!A312</f>
        <v>DA-002</v>
      </c>
      <c r="F318" s="23" t="str">
        <f>Contributions_Data!B312</f>
        <v>DA-002-M0026</v>
      </c>
      <c r="G318" s="24">
        <f>Contributions_Data!C312</f>
        <v>45372</v>
      </c>
      <c r="H318" s="27">
        <f>Contributions_Data!D312</f>
        <v>12133.38</v>
      </c>
      <c r="I318" s="27">
        <v>0</v>
      </c>
    </row>
    <row r="319" spans="3:9">
      <c r="C319" s="23">
        <v>312</v>
      </c>
      <c r="D319" s="23" t="s">
        <v>132</v>
      </c>
      <c r="E319" s="23" t="str">
        <f>Contributions_Data!A313</f>
        <v>DA-002</v>
      </c>
      <c r="F319" s="23" t="str">
        <f>Contributions_Data!B313</f>
        <v>DA-002-M0026</v>
      </c>
      <c r="G319" s="24">
        <f>Contributions_Data!C313</f>
        <v>45315</v>
      </c>
      <c r="H319" s="27">
        <f>Contributions_Data!D313</f>
        <v>10180.66</v>
      </c>
      <c r="I319" s="27">
        <v>0</v>
      </c>
    </row>
    <row r="320" spans="3:9">
      <c r="C320" s="23">
        <v>313</v>
      </c>
      <c r="D320" s="23" t="s">
        <v>132</v>
      </c>
      <c r="E320" s="23" t="str">
        <f>Contributions_Data!A314</f>
        <v>DA-002</v>
      </c>
      <c r="F320" s="23" t="str">
        <f>Contributions_Data!B314</f>
        <v>DA-002-M0027</v>
      </c>
      <c r="G320" s="24">
        <f>Contributions_Data!C314</f>
        <v>45337</v>
      </c>
      <c r="H320" s="27">
        <f>Contributions_Data!D314</f>
        <v>12730.95</v>
      </c>
      <c r="I320" s="27">
        <v>0</v>
      </c>
    </row>
    <row r="321" spans="3:9">
      <c r="C321" s="23">
        <v>314</v>
      </c>
      <c r="D321" s="23" t="s">
        <v>132</v>
      </c>
      <c r="E321" s="23" t="str">
        <f>Contributions_Data!A315</f>
        <v>DA-002</v>
      </c>
      <c r="F321" s="23" t="str">
        <f>Contributions_Data!B315</f>
        <v>DA-002-M0027</v>
      </c>
      <c r="G321" s="24">
        <f>Contributions_Data!C315</f>
        <v>45548</v>
      </c>
      <c r="H321" s="27">
        <f>Contributions_Data!D315</f>
        <v>13060.28</v>
      </c>
      <c r="I321" s="27">
        <v>0</v>
      </c>
    </row>
    <row r="322" spans="3:9">
      <c r="C322" s="23">
        <v>315</v>
      </c>
      <c r="D322" s="23" t="s">
        <v>132</v>
      </c>
      <c r="E322" s="23" t="str">
        <f>Contributions_Data!A316</f>
        <v>DA-002</v>
      </c>
      <c r="F322" s="23" t="str">
        <f>Contributions_Data!B316</f>
        <v>DA-002-M0027</v>
      </c>
      <c r="G322" s="24">
        <f>Contributions_Data!C316</f>
        <v>45592</v>
      </c>
      <c r="H322" s="27">
        <f>Contributions_Data!D316</f>
        <v>20061.419999999998</v>
      </c>
      <c r="I322" s="27">
        <v>0</v>
      </c>
    </row>
    <row r="323" spans="3:9">
      <c r="C323" s="23">
        <v>316</v>
      </c>
      <c r="D323" s="23" t="s">
        <v>132</v>
      </c>
      <c r="E323" s="23" t="str">
        <f>Contributions_Data!A317</f>
        <v>DA-002</v>
      </c>
      <c r="F323" s="23" t="str">
        <f>Contributions_Data!B317</f>
        <v>DA-002-M0027</v>
      </c>
      <c r="G323" s="24">
        <f>Contributions_Data!C317</f>
        <v>45514</v>
      </c>
      <c r="H323" s="27">
        <f>Contributions_Data!D317</f>
        <v>17644.919999999998</v>
      </c>
      <c r="I323" s="27">
        <v>0</v>
      </c>
    </row>
    <row r="324" spans="3:9">
      <c r="C324" s="23">
        <v>317</v>
      </c>
      <c r="D324" s="23" t="s">
        <v>132</v>
      </c>
      <c r="E324" s="23" t="str">
        <f>Contributions_Data!A318</f>
        <v>DA-002</v>
      </c>
      <c r="F324" s="23" t="str">
        <f>Contributions_Data!B318</f>
        <v>DA-002-M0027</v>
      </c>
      <c r="G324" s="24">
        <f>Contributions_Data!C318</f>
        <v>45497</v>
      </c>
      <c r="H324" s="27">
        <f>Contributions_Data!D318</f>
        <v>14976.08</v>
      </c>
      <c r="I324" s="27">
        <v>0</v>
      </c>
    </row>
    <row r="325" spans="3:9">
      <c r="C325" s="23">
        <v>318</v>
      </c>
      <c r="D325" s="23" t="s">
        <v>132</v>
      </c>
      <c r="E325" s="23" t="str">
        <f>Contributions_Data!A319</f>
        <v>DA-002</v>
      </c>
      <c r="F325" s="23" t="str">
        <f>Contributions_Data!B319</f>
        <v>DA-002-M0027</v>
      </c>
      <c r="G325" s="24">
        <f>Contributions_Data!C319</f>
        <v>45319</v>
      </c>
      <c r="H325" s="27">
        <f>Contributions_Data!D319</f>
        <v>19439.830000000002</v>
      </c>
      <c r="I325" s="27">
        <v>0</v>
      </c>
    </row>
    <row r="326" spans="3:9">
      <c r="C326" s="23">
        <v>319</v>
      </c>
      <c r="D326" s="23" t="s">
        <v>132</v>
      </c>
      <c r="E326" s="23" t="str">
        <f>Contributions_Data!A320</f>
        <v>DA-002</v>
      </c>
      <c r="F326" s="23" t="str">
        <f>Contributions_Data!B320</f>
        <v>DA-002-M0027</v>
      </c>
      <c r="G326" s="24">
        <f>Contributions_Data!C320</f>
        <v>45606</v>
      </c>
      <c r="H326" s="27">
        <f>Contributions_Data!D320</f>
        <v>15232.1</v>
      </c>
      <c r="I326" s="27">
        <v>0</v>
      </c>
    </row>
    <row r="327" spans="3:9">
      <c r="C327" s="23">
        <v>320</v>
      </c>
      <c r="D327" s="23" t="s">
        <v>132</v>
      </c>
      <c r="E327" s="23" t="str">
        <f>Contributions_Data!A321</f>
        <v>DA-002</v>
      </c>
      <c r="F327" s="23" t="str">
        <f>Contributions_Data!B321</f>
        <v>DA-002-M0027</v>
      </c>
      <c r="G327" s="24">
        <f>Contributions_Data!C321</f>
        <v>45519</v>
      </c>
      <c r="H327" s="27">
        <f>Contributions_Data!D321</f>
        <v>12416.15</v>
      </c>
      <c r="I327" s="27">
        <v>0</v>
      </c>
    </row>
    <row r="328" spans="3:9">
      <c r="C328" s="23">
        <v>321</v>
      </c>
      <c r="D328" s="23" t="s">
        <v>132</v>
      </c>
      <c r="E328" s="23" t="str">
        <f>Contributions_Data!A322</f>
        <v>DA-002</v>
      </c>
      <c r="F328" s="23" t="str">
        <f>Contributions_Data!B322</f>
        <v>DA-002-M0027</v>
      </c>
      <c r="G328" s="24">
        <f>Contributions_Data!C322</f>
        <v>45509</v>
      </c>
      <c r="H328" s="27">
        <f>Contributions_Data!D322</f>
        <v>19569.37</v>
      </c>
      <c r="I328" s="27">
        <v>0</v>
      </c>
    </row>
    <row r="329" spans="3:9">
      <c r="C329" s="23">
        <v>322</v>
      </c>
      <c r="D329" s="23" t="s">
        <v>132</v>
      </c>
      <c r="E329" s="23" t="str">
        <f>Contributions_Data!A323</f>
        <v>DA-002</v>
      </c>
      <c r="F329" s="23" t="str">
        <f>Contributions_Data!B323</f>
        <v>DA-002-M0027</v>
      </c>
      <c r="G329" s="24">
        <f>Contributions_Data!C323</f>
        <v>45322</v>
      </c>
      <c r="H329" s="27">
        <f>Contributions_Data!D323</f>
        <v>16616.73</v>
      </c>
      <c r="I329" s="27">
        <v>0</v>
      </c>
    </row>
    <row r="330" spans="3:9">
      <c r="C330" s="23">
        <v>323</v>
      </c>
      <c r="D330" s="23" t="s">
        <v>132</v>
      </c>
      <c r="E330" s="23" t="str">
        <f>Contributions_Data!A324</f>
        <v>DA-002</v>
      </c>
      <c r="F330" s="23" t="str">
        <f>Contributions_Data!B324</f>
        <v>DA-002-M0027</v>
      </c>
      <c r="G330" s="24">
        <f>Contributions_Data!C324</f>
        <v>45537</v>
      </c>
      <c r="H330" s="27">
        <f>Contributions_Data!D324</f>
        <v>11888.26</v>
      </c>
      <c r="I330" s="27">
        <v>0</v>
      </c>
    </row>
    <row r="331" spans="3:9">
      <c r="C331" s="23">
        <v>324</v>
      </c>
      <c r="D331" s="23" t="s">
        <v>132</v>
      </c>
      <c r="E331" s="23" t="str">
        <f>Contributions_Data!A325</f>
        <v>DA-002</v>
      </c>
      <c r="F331" s="23" t="str">
        <f>Contributions_Data!B325</f>
        <v>DA-002-M0027</v>
      </c>
      <c r="G331" s="24">
        <f>Contributions_Data!C325</f>
        <v>45423</v>
      </c>
      <c r="H331" s="27">
        <f>Contributions_Data!D325</f>
        <v>14428.98</v>
      </c>
      <c r="I331" s="27">
        <v>0</v>
      </c>
    </row>
    <row r="332" spans="3:9">
      <c r="C332" s="23">
        <v>325</v>
      </c>
      <c r="D332" s="23" t="s">
        <v>132</v>
      </c>
      <c r="E332" s="23" t="str">
        <f>Contributions_Data!A326</f>
        <v>DA-003</v>
      </c>
      <c r="F332" s="23" t="str">
        <f>Contributions_Data!B326</f>
        <v>DA-003-M0028</v>
      </c>
      <c r="G332" s="24">
        <f>Contributions_Data!C326</f>
        <v>45372</v>
      </c>
      <c r="H332" s="27">
        <f>Contributions_Data!D326</f>
        <v>12373.15</v>
      </c>
      <c r="I332" s="27">
        <v>0</v>
      </c>
    </row>
    <row r="333" spans="3:9">
      <c r="C333" s="23">
        <v>326</v>
      </c>
      <c r="D333" s="23" t="s">
        <v>132</v>
      </c>
      <c r="E333" s="23" t="str">
        <f>Contributions_Data!A327</f>
        <v>DA-003</v>
      </c>
      <c r="F333" s="23" t="str">
        <f>Contributions_Data!B327</f>
        <v>DA-003-M0028</v>
      </c>
      <c r="G333" s="24">
        <f>Contributions_Data!C327</f>
        <v>45564</v>
      </c>
      <c r="H333" s="27">
        <f>Contributions_Data!D327</f>
        <v>17778.53</v>
      </c>
      <c r="I333" s="27">
        <v>0</v>
      </c>
    </row>
    <row r="334" spans="3:9">
      <c r="C334" s="23">
        <v>327</v>
      </c>
      <c r="D334" s="23" t="s">
        <v>132</v>
      </c>
      <c r="E334" s="23" t="str">
        <f>Contributions_Data!A328</f>
        <v>DA-003</v>
      </c>
      <c r="F334" s="23" t="str">
        <f>Contributions_Data!B328</f>
        <v>DA-003-M0028</v>
      </c>
      <c r="G334" s="24">
        <f>Contributions_Data!C328</f>
        <v>45626</v>
      </c>
      <c r="H334" s="27">
        <f>Contributions_Data!D328</f>
        <v>10804.3</v>
      </c>
      <c r="I334" s="27">
        <v>0</v>
      </c>
    </row>
    <row r="335" spans="3:9">
      <c r="C335" s="23">
        <v>328</v>
      </c>
      <c r="D335" s="23" t="s">
        <v>132</v>
      </c>
      <c r="E335" s="23" t="str">
        <f>Contributions_Data!A329</f>
        <v>DA-003</v>
      </c>
      <c r="F335" s="23" t="str">
        <f>Contributions_Data!B329</f>
        <v>DA-003-M0028</v>
      </c>
      <c r="G335" s="24">
        <f>Contributions_Data!C329</f>
        <v>45410</v>
      </c>
      <c r="H335" s="27">
        <f>Contributions_Data!D329</f>
        <v>13048.07</v>
      </c>
      <c r="I335" s="27">
        <v>0</v>
      </c>
    </row>
    <row r="336" spans="3:9">
      <c r="C336" s="23">
        <v>329</v>
      </c>
      <c r="D336" s="23" t="s">
        <v>132</v>
      </c>
      <c r="E336" s="23" t="str">
        <f>Contributions_Data!A330</f>
        <v>DA-003</v>
      </c>
      <c r="F336" s="23" t="str">
        <f>Contributions_Data!B330</f>
        <v>DA-003-M0028</v>
      </c>
      <c r="G336" s="24">
        <f>Contributions_Data!C330</f>
        <v>45456</v>
      </c>
      <c r="H336" s="27">
        <f>Contributions_Data!D330</f>
        <v>13538.62</v>
      </c>
      <c r="I336" s="27">
        <v>0</v>
      </c>
    </row>
    <row r="337" spans="3:9">
      <c r="C337" s="23">
        <v>330</v>
      </c>
      <c r="D337" s="23" t="s">
        <v>132</v>
      </c>
      <c r="E337" s="23" t="str">
        <f>Contributions_Data!A331</f>
        <v>DA-003</v>
      </c>
      <c r="F337" s="23" t="str">
        <f>Contributions_Data!B331</f>
        <v>DA-003-M0028</v>
      </c>
      <c r="G337" s="24">
        <f>Contributions_Data!C331</f>
        <v>45489</v>
      </c>
      <c r="H337" s="27">
        <f>Contributions_Data!D331</f>
        <v>12408.03</v>
      </c>
      <c r="I337" s="27">
        <v>0</v>
      </c>
    </row>
    <row r="338" spans="3:9">
      <c r="C338" s="23">
        <v>331</v>
      </c>
      <c r="D338" s="23" t="s">
        <v>132</v>
      </c>
      <c r="E338" s="23" t="str">
        <f>Contributions_Data!A332</f>
        <v>DA-003</v>
      </c>
      <c r="F338" s="23" t="str">
        <f>Contributions_Data!B332</f>
        <v>DA-003-M0028</v>
      </c>
      <c r="G338" s="24">
        <f>Contributions_Data!C332</f>
        <v>45418</v>
      </c>
      <c r="H338" s="27">
        <f>Contributions_Data!D332</f>
        <v>15145.56</v>
      </c>
      <c r="I338" s="27">
        <v>0</v>
      </c>
    </row>
    <row r="339" spans="3:9">
      <c r="C339" s="23">
        <v>332</v>
      </c>
      <c r="D339" s="23" t="s">
        <v>132</v>
      </c>
      <c r="E339" s="23" t="str">
        <f>Contributions_Data!A333</f>
        <v>DA-003</v>
      </c>
      <c r="F339" s="23" t="str">
        <f>Contributions_Data!B333</f>
        <v>DA-003-M0028</v>
      </c>
      <c r="G339" s="24">
        <f>Contributions_Data!C333</f>
        <v>45455</v>
      </c>
      <c r="H339" s="27">
        <f>Contributions_Data!D333</f>
        <v>12507.15</v>
      </c>
      <c r="I339" s="27">
        <v>0</v>
      </c>
    </row>
    <row r="340" spans="3:9">
      <c r="C340" s="23">
        <v>333</v>
      </c>
      <c r="D340" s="23" t="s">
        <v>132</v>
      </c>
      <c r="E340" s="23" t="str">
        <f>Contributions_Data!A334</f>
        <v>DA-003</v>
      </c>
      <c r="F340" s="23" t="str">
        <f>Contributions_Data!B334</f>
        <v>DA-003-M0028</v>
      </c>
      <c r="G340" s="24">
        <f>Contributions_Data!C334</f>
        <v>45380</v>
      </c>
      <c r="H340" s="27">
        <f>Contributions_Data!D334</f>
        <v>14849.29</v>
      </c>
      <c r="I340" s="27">
        <v>0</v>
      </c>
    </row>
    <row r="341" spans="3:9">
      <c r="C341" s="23">
        <v>334</v>
      </c>
      <c r="D341" s="23" t="s">
        <v>132</v>
      </c>
      <c r="E341" s="23" t="str">
        <f>Contributions_Data!A335</f>
        <v>DA-003</v>
      </c>
      <c r="F341" s="23" t="str">
        <f>Contributions_Data!B335</f>
        <v>DA-003-M0028</v>
      </c>
      <c r="G341" s="24">
        <f>Contributions_Data!C335</f>
        <v>45374</v>
      </c>
      <c r="H341" s="27">
        <f>Contributions_Data!D335</f>
        <v>14283.16</v>
      </c>
      <c r="I341" s="27">
        <v>0</v>
      </c>
    </row>
    <row r="342" spans="3:9">
      <c r="C342" s="23">
        <v>335</v>
      </c>
      <c r="D342" s="23" t="s">
        <v>132</v>
      </c>
      <c r="E342" s="23" t="str">
        <f>Contributions_Data!A336</f>
        <v>DA-003</v>
      </c>
      <c r="F342" s="23" t="str">
        <f>Contributions_Data!B336</f>
        <v>DA-003-M0028</v>
      </c>
      <c r="G342" s="24">
        <f>Contributions_Data!C336</f>
        <v>45355</v>
      </c>
      <c r="H342" s="27">
        <f>Contributions_Data!D336</f>
        <v>12277.31</v>
      </c>
      <c r="I342" s="27">
        <v>0</v>
      </c>
    </row>
    <row r="343" spans="3:9">
      <c r="C343" s="23">
        <v>336</v>
      </c>
      <c r="D343" s="23" t="s">
        <v>132</v>
      </c>
      <c r="E343" s="23" t="str">
        <f>Contributions_Data!A337</f>
        <v>DA-003</v>
      </c>
      <c r="F343" s="23" t="str">
        <f>Contributions_Data!B337</f>
        <v>DA-003-M0028</v>
      </c>
      <c r="G343" s="24">
        <f>Contributions_Data!C337</f>
        <v>45600</v>
      </c>
      <c r="H343" s="27">
        <f>Contributions_Data!D337</f>
        <v>13269.69</v>
      </c>
      <c r="I343" s="27">
        <v>0</v>
      </c>
    </row>
    <row r="344" spans="3:9">
      <c r="C344" s="23">
        <v>337</v>
      </c>
      <c r="D344" s="23" t="s">
        <v>132</v>
      </c>
      <c r="E344" s="23" t="str">
        <f>Contributions_Data!A338</f>
        <v>DA-003</v>
      </c>
      <c r="F344" s="23" t="str">
        <f>Contributions_Data!B338</f>
        <v>DA-003-M0029</v>
      </c>
      <c r="G344" s="24">
        <f>Contributions_Data!C338</f>
        <v>45453</v>
      </c>
      <c r="H344" s="27">
        <f>Contributions_Data!D338</f>
        <v>17266.169999999998</v>
      </c>
      <c r="I344" s="27">
        <v>0</v>
      </c>
    </row>
    <row r="345" spans="3:9">
      <c r="C345" s="23">
        <v>338</v>
      </c>
      <c r="D345" s="23" t="s">
        <v>132</v>
      </c>
      <c r="E345" s="23" t="str">
        <f>Contributions_Data!A339</f>
        <v>DA-003</v>
      </c>
      <c r="F345" s="23" t="str">
        <f>Contributions_Data!B339</f>
        <v>DA-003-M0029</v>
      </c>
      <c r="G345" s="24">
        <f>Contributions_Data!C339</f>
        <v>45428</v>
      </c>
      <c r="H345" s="27">
        <f>Contributions_Data!D339</f>
        <v>12067.33</v>
      </c>
      <c r="I345" s="27">
        <v>0</v>
      </c>
    </row>
    <row r="346" spans="3:9">
      <c r="C346" s="23">
        <v>339</v>
      </c>
      <c r="D346" s="23" t="s">
        <v>132</v>
      </c>
      <c r="E346" s="23" t="str">
        <f>Contributions_Data!A340</f>
        <v>DA-003</v>
      </c>
      <c r="F346" s="23" t="str">
        <f>Contributions_Data!B340</f>
        <v>DA-003-M0029</v>
      </c>
      <c r="G346" s="24">
        <f>Contributions_Data!C340</f>
        <v>45504</v>
      </c>
      <c r="H346" s="27">
        <f>Contributions_Data!D340</f>
        <v>17254.16</v>
      </c>
      <c r="I346" s="27">
        <v>0</v>
      </c>
    </row>
    <row r="347" spans="3:9">
      <c r="C347" s="23">
        <v>340</v>
      </c>
      <c r="D347" s="23" t="s">
        <v>132</v>
      </c>
      <c r="E347" s="23" t="str">
        <f>Contributions_Data!A341</f>
        <v>DA-003</v>
      </c>
      <c r="F347" s="23" t="str">
        <f>Contributions_Data!B341</f>
        <v>DA-003-M0029</v>
      </c>
      <c r="G347" s="24">
        <f>Contributions_Data!C341</f>
        <v>45343</v>
      </c>
      <c r="H347" s="27">
        <f>Contributions_Data!D341</f>
        <v>9991.7800000000007</v>
      </c>
      <c r="I347" s="27">
        <v>0</v>
      </c>
    </row>
    <row r="348" spans="3:9">
      <c r="C348" s="23">
        <v>341</v>
      </c>
      <c r="D348" s="23" t="s">
        <v>132</v>
      </c>
      <c r="E348" s="23" t="str">
        <f>Contributions_Data!A342</f>
        <v>DA-003</v>
      </c>
      <c r="F348" s="23" t="str">
        <f>Contributions_Data!B342</f>
        <v>DA-003-M0029</v>
      </c>
      <c r="G348" s="24">
        <f>Contributions_Data!C342</f>
        <v>45380</v>
      </c>
      <c r="H348" s="27">
        <f>Contributions_Data!D342</f>
        <v>16630.080000000002</v>
      </c>
      <c r="I348" s="27">
        <v>0</v>
      </c>
    </row>
    <row r="349" spans="3:9">
      <c r="C349" s="23">
        <v>342</v>
      </c>
      <c r="D349" s="23" t="s">
        <v>132</v>
      </c>
      <c r="E349" s="23" t="str">
        <f>Contributions_Data!A343</f>
        <v>DA-003</v>
      </c>
      <c r="F349" s="23" t="str">
        <f>Contributions_Data!B343</f>
        <v>DA-003-M0029</v>
      </c>
      <c r="G349" s="24">
        <f>Contributions_Data!C343</f>
        <v>45295</v>
      </c>
      <c r="H349" s="27">
        <f>Contributions_Data!D343</f>
        <v>13012.13</v>
      </c>
      <c r="I349" s="27">
        <v>0</v>
      </c>
    </row>
    <row r="350" spans="3:9">
      <c r="C350" s="23">
        <v>343</v>
      </c>
      <c r="D350" s="23" t="s">
        <v>132</v>
      </c>
      <c r="E350" s="23" t="str">
        <f>Contributions_Data!A344</f>
        <v>DA-003</v>
      </c>
      <c r="F350" s="23" t="str">
        <f>Contributions_Data!B344</f>
        <v>DA-003-M0029</v>
      </c>
      <c r="G350" s="24">
        <f>Contributions_Data!C344</f>
        <v>45480</v>
      </c>
      <c r="H350" s="27">
        <f>Contributions_Data!D344</f>
        <v>16711.8</v>
      </c>
      <c r="I350" s="27">
        <v>0</v>
      </c>
    </row>
    <row r="351" spans="3:9">
      <c r="C351" s="23">
        <v>344</v>
      </c>
      <c r="D351" s="23" t="s">
        <v>132</v>
      </c>
      <c r="E351" s="23" t="str">
        <f>Contributions_Data!A345</f>
        <v>DA-003</v>
      </c>
      <c r="F351" s="23" t="str">
        <f>Contributions_Data!B345</f>
        <v>DA-003-M0029</v>
      </c>
      <c r="G351" s="24">
        <f>Contributions_Data!C345</f>
        <v>45387</v>
      </c>
      <c r="H351" s="27">
        <f>Contributions_Data!D345</f>
        <v>9585.35</v>
      </c>
      <c r="I351" s="27">
        <v>0</v>
      </c>
    </row>
    <row r="352" spans="3:9">
      <c r="C352" s="23">
        <v>345</v>
      </c>
      <c r="D352" s="23" t="s">
        <v>132</v>
      </c>
      <c r="E352" s="23" t="str">
        <f>Contributions_Data!A346</f>
        <v>DA-003</v>
      </c>
      <c r="F352" s="23" t="str">
        <f>Contributions_Data!B346</f>
        <v>DA-003-M0029</v>
      </c>
      <c r="G352" s="24">
        <f>Contributions_Data!C346</f>
        <v>45656</v>
      </c>
      <c r="H352" s="27">
        <f>Contributions_Data!D346</f>
        <v>10117.370000000001</v>
      </c>
      <c r="I352" s="27">
        <v>0</v>
      </c>
    </row>
    <row r="353" spans="3:9">
      <c r="C353" s="23">
        <v>346</v>
      </c>
      <c r="D353" s="23" t="s">
        <v>132</v>
      </c>
      <c r="E353" s="23" t="str">
        <f>Contributions_Data!A347</f>
        <v>DA-003</v>
      </c>
      <c r="F353" s="23" t="str">
        <f>Contributions_Data!B347</f>
        <v>DA-003-M0029</v>
      </c>
      <c r="G353" s="24">
        <f>Contributions_Data!C347</f>
        <v>45317</v>
      </c>
      <c r="H353" s="27">
        <f>Contributions_Data!D347</f>
        <v>15779.17</v>
      </c>
      <c r="I353" s="27">
        <v>0</v>
      </c>
    </row>
    <row r="354" spans="3:9">
      <c r="C354" s="23">
        <v>347</v>
      </c>
      <c r="D354" s="23" t="s">
        <v>132</v>
      </c>
      <c r="E354" s="23" t="str">
        <f>Contributions_Data!A348</f>
        <v>DA-003</v>
      </c>
      <c r="F354" s="23" t="str">
        <f>Contributions_Data!B348</f>
        <v>DA-003-M0029</v>
      </c>
      <c r="G354" s="24">
        <f>Contributions_Data!C348</f>
        <v>45418</v>
      </c>
      <c r="H354" s="27">
        <f>Contributions_Data!D348</f>
        <v>12287.05</v>
      </c>
      <c r="I354" s="27">
        <v>0</v>
      </c>
    </row>
    <row r="355" spans="3:9">
      <c r="C355" s="23">
        <v>348</v>
      </c>
      <c r="D355" s="23" t="s">
        <v>132</v>
      </c>
      <c r="E355" s="23" t="str">
        <f>Contributions_Data!A349</f>
        <v>DA-003</v>
      </c>
      <c r="F355" s="23" t="str">
        <f>Contributions_Data!B349</f>
        <v>DA-003-M0029</v>
      </c>
      <c r="G355" s="24">
        <f>Contributions_Data!C349</f>
        <v>45308</v>
      </c>
      <c r="H355" s="27">
        <f>Contributions_Data!D349</f>
        <v>16915.78</v>
      </c>
      <c r="I355" s="27">
        <v>0</v>
      </c>
    </row>
    <row r="356" spans="3:9">
      <c r="C356" s="23">
        <v>349</v>
      </c>
      <c r="D356" s="23" t="s">
        <v>132</v>
      </c>
      <c r="E356" s="23" t="str">
        <f>Contributions_Data!A350</f>
        <v>DA-002</v>
      </c>
      <c r="F356" s="23" t="str">
        <f>Contributions_Data!B350</f>
        <v>DA-002-M0030</v>
      </c>
      <c r="G356" s="24">
        <f>Contributions_Data!C350</f>
        <v>45537</v>
      </c>
      <c r="H356" s="27">
        <f>Contributions_Data!D350</f>
        <v>14801.76</v>
      </c>
      <c r="I356" s="27">
        <v>0</v>
      </c>
    </row>
    <row r="357" spans="3:9">
      <c r="C357" s="23">
        <v>350</v>
      </c>
      <c r="D357" s="23" t="s">
        <v>132</v>
      </c>
      <c r="E357" s="23" t="str">
        <f>Contributions_Data!A351</f>
        <v>DA-002</v>
      </c>
      <c r="F357" s="23" t="str">
        <f>Contributions_Data!B351</f>
        <v>DA-002-M0030</v>
      </c>
      <c r="G357" s="24">
        <f>Contributions_Data!C351</f>
        <v>45608</v>
      </c>
      <c r="H357" s="27">
        <f>Contributions_Data!D351</f>
        <v>13044.49</v>
      </c>
      <c r="I357" s="27">
        <v>0</v>
      </c>
    </row>
    <row r="358" spans="3:9">
      <c r="C358" s="23">
        <v>351</v>
      </c>
      <c r="D358" s="23" t="s">
        <v>132</v>
      </c>
      <c r="E358" s="23" t="str">
        <f>Contributions_Data!A352</f>
        <v>DA-002</v>
      </c>
      <c r="F358" s="23" t="str">
        <f>Contributions_Data!B352</f>
        <v>DA-002-M0030</v>
      </c>
      <c r="G358" s="24">
        <f>Contributions_Data!C352</f>
        <v>45465</v>
      </c>
      <c r="H358" s="27">
        <f>Contributions_Data!D352</f>
        <v>12418.76</v>
      </c>
      <c r="I358" s="27">
        <v>0</v>
      </c>
    </row>
    <row r="359" spans="3:9">
      <c r="C359" s="23">
        <v>352</v>
      </c>
      <c r="D359" s="23" t="s">
        <v>132</v>
      </c>
      <c r="E359" s="23" t="str">
        <f>Contributions_Data!A353</f>
        <v>DA-002</v>
      </c>
      <c r="F359" s="23" t="str">
        <f>Contributions_Data!B353</f>
        <v>DA-002-M0030</v>
      </c>
      <c r="G359" s="24">
        <f>Contributions_Data!C353</f>
        <v>45377</v>
      </c>
      <c r="H359" s="27">
        <f>Contributions_Data!D353</f>
        <v>13846.33</v>
      </c>
      <c r="I359" s="27">
        <v>0</v>
      </c>
    </row>
    <row r="360" spans="3:9">
      <c r="C360" s="23">
        <v>353</v>
      </c>
      <c r="D360" s="23" t="s">
        <v>132</v>
      </c>
      <c r="E360" s="23" t="str">
        <f>Contributions_Data!A354</f>
        <v>DA-002</v>
      </c>
      <c r="F360" s="23" t="str">
        <f>Contributions_Data!B354</f>
        <v>DA-002-M0030</v>
      </c>
      <c r="G360" s="24">
        <f>Contributions_Data!C354</f>
        <v>45414</v>
      </c>
      <c r="H360" s="27">
        <f>Contributions_Data!D354</f>
        <v>18018.88</v>
      </c>
      <c r="I360" s="27">
        <v>0</v>
      </c>
    </row>
    <row r="361" spans="3:9">
      <c r="C361" s="23">
        <v>354</v>
      </c>
      <c r="D361" s="23" t="s">
        <v>132</v>
      </c>
      <c r="E361" s="23" t="str">
        <f>Contributions_Data!A355</f>
        <v>DA-002</v>
      </c>
      <c r="F361" s="23" t="str">
        <f>Contributions_Data!B355</f>
        <v>DA-002-M0030</v>
      </c>
      <c r="G361" s="24">
        <f>Contributions_Data!C355</f>
        <v>45566</v>
      </c>
      <c r="H361" s="27">
        <f>Contributions_Data!D355</f>
        <v>13269.32</v>
      </c>
      <c r="I361" s="27">
        <v>0</v>
      </c>
    </row>
    <row r="362" spans="3:9">
      <c r="C362" s="23">
        <v>355</v>
      </c>
      <c r="D362" s="23" t="s">
        <v>132</v>
      </c>
      <c r="E362" s="23" t="str">
        <f>Contributions_Data!A356</f>
        <v>DA-002</v>
      </c>
      <c r="F362" s="23" t="str">
        <f>Contributions_Data!B356</f>
        <v>DA-002-M0030</v>
      </c>
      <c r="G362" s="24">
        <f>Contributions_Data!C356</f>
        <v>45297</v>
      </c>
      <c r="H362" s="27">
        <f>Contributions_Data!D356</f>
        <v>11610.88</v>
      </c>
      <c r="I362" s="27">
        <v>0</v>
      </c>
    </row>
    <row r="363" spans="3:9">
      <c r="C363" s="23">
        <v>356</v>
      </c>
      <c r="D363" s="23" t="s">
        <v>132</v>
      </c>
      <c r="E363" s="23" t="str">
        <f>Contributions_Data!A357</f>
        <v>DA-002</v>
      </c>
      <c r="F363" s="23" t="str">
        <f>Contributions_Data!B357</f>
        <v>DA-002-M0030</v>
      </c>
      <c r="G363" s="24">
        <f>Contributions_Data!C357</f>
        <v>45308</v>
      </c>
      <c r="H363" s="27">
        <f>Contributions_Data!D357</f>
        <v>19324.71</v>
      </c>
      <c r="I363" s="27">
        <v>0</v>
      </c>
    </row>
    <row r="364" spans="3:9">
      <c r="C364" s="23">
        <v>357</v>
      </c>
      <c r="D364" s="23" t="s">
        <v>132</v>
      </c>
      <c r="E364" s="23" t="str">
        <f>Contributions_Data!A358</f>
        <v>DA-002</v>
      </c>
      <c r="F364" s="23" t="str">
        <f>Contributions_Data!B358</f>
        <v>DA-002-M0030</v>
      </c>
      <c r="G364" s="24">
        <f>Contributions_Data!C358</f>
        <v>45370</v>
      </c>
      <c r="H364" s="27">
        <f>Contributions_Data!D358</f>
        <v>7585.07</v>
      </c>
      <c r="I364" s="27">
        <v>0</v>
      </c>
    </row>
    <row r="365" spans="3:9">
      <c r="C365" s="23">
        <v>358</v>
      </c>
      <c r="D365" s="23" t="s">
        <v>132</v>
      </c>
      <c r="E365" s="23" t="str">
        <f>Contributions_Data!A359</f>
        <v>DA-002</v>
      </c>
      <c r="F365" s="23" t="str">
        <f>Contributions_Data!B359</f>
        <v>DA-002-M0030</v>
      </c>
      <c r="G365" s="24">
        <f>Contributions_Data!C359</f>
        <v>45399</v>
      </c>
      <c r="H365" s="27">
        <f>Contributions_Data!D359</f>
        <v>12609.31</v>
      </c>
      <c r="I365" s="27">
        <v>0</v>
      </c>
    </row>
    <row r="366" spans="3:9">
      <c r="C366" s="23">
        <v>359</v>
      </c>
      <c r="D366" s="23" t="s">
        <v>132</v>
      </c>
      <c r="E366" s="23" t="str">
        <f>Contributions_Data!A360</f>
        <v>DA-002</v>
      </c>
      <c r="F366" s="23" t="str">
        <f>Contributions_Data!B360</f>
        <v>DA-002-M0030</v>
      </c>
      <c r="G366" s="24">
        <f>Contributions_Data!C360</f>
        <v>45370</v>
      </c>
      <c r="H366" s="27">
        <f>Contributions_Data!D360</f>
        <v>16731.22</v>
      </c>
      <c r="I366" s="27">
        <v>0</v>
      </c>
    </row>
    <row r="367" spans="3:9">
      <c r="C367" s="23">
        <v>360</v>
      </c>
      <c r="D367" s="23" t="s">
        <v>132</v>
      </c>
      <c r="E367" s="23" t="str">
        <f>Contributions_Data!A361</f>
        <v>DA-002</v>
      </c>
      <c r="F367" s="23" t="str">
        <f>Contributions_Data!B361</f>
        <v>DA-002-M0030</v>
      </c>
      <c r="G367" s="24">
        <f>Contributions_Data!C361</f>
        <v>45293</v>
      </c>
      <c r="H367" s="27">
        <f>Contributions_Data!D361</f>
        <v>14390.86</v>
      </c>
      <c r="I367" s="27">
        <v>0</v>
      </c>
    </row>
    <row r="368" spans="3:9">
      <c r="C368" s="23">
        <v>361</v>
      </c>
      <c r="D368" s="23" t="s">
        <v>132</v>
      </c>
      <c r="E368" s="23" t="str">
        <f>Contributions_Data!A362</f>
        <v>DA-003</v>
      </c>
      <c r="F368" s="23" t="str">
        <f>Contributions_Data!B362</f>
        <v>DA-003-M0031</v>
      </c>
      <c r="G368" s="24">
        <f>Contributions_Data!C362</f>
        <v>45378</v>
      </c>
      <c r="H368" s="27">
        <f>Contributions_Data!D362</f>
        <v>16113.44</v>
      </c>
      <c r="I368" s="27">
        <v>0</v>
      </c>
    </row>
    <row r="369" spans="3:9">
      <c r="C369" s="23">
        <v>362</v>
      </c>
      <c r="D369" s="23" t="s">
        <v>132</v>
      </c>
      <c r="E369" s="23" t="str">
        <f>Contributions_Data!A363</f>
        <v>DA-003</v>
      </c>
      <c r="F369" s="23" t="str">
        <f>Contributions_Data!B363</f>
        <v>DA-003-M0031</v>
      </c>
      <c r="G369" s="24">
        <f>Contributions_Data!C363</f>
        <v>45495</v>
      </c>
      <c r="H369" s="27">
        <f>Contributions_Data!D363</f>
        <v>15259.77</v>
      </c>
      <c r="I369" s="27">
        <v>0</v>
      </c>
    </row>
    <row r="370" spans="3:9">
      <c r="C370" s="23">
        <v>363</v>
      </c>
      <c r="D370" s="23" t="s">
        <v>132</v>
      </c>
      <c r="E370" s="23" t="str">
        <f>Contributions_Data!A364</f>
        <v>DA-003</v>
      </c>
      <c r="F370" s="23" t="str">
        <f>Contributions_Data!B364</f>
        <v>DA-003-M0031</v>
      </c>
      <c r="G370" s="24">
        <f>Contributions_Data!C364</f>
        <v>45417</v>
      </c>
      <c r="H370" s="27">
        <f>Contributions_Data!D364</f>
        <v>14532.97</v>
      </c>
      <c r="I370" s="27">
        <v>0</v>
      </c>
    </row>
    <row r="371" spans="3:9">
      <c r="C371" s="23">
        <v>364</v>
      </c>
      <c r="D371" s="23" t="s">
        <v>132</v>
      </c>
      <c r="E371" s="23" t="str">
        <f>Contributions_Data!A365</f>
        <v>DA-003</v>
      </c>
      <c r="F371" s="23" t="str">
        <f>Contributions_Data!B365</f>
        <v>DA-003-M0031</v>
      </c>
      <c r="G371" s="24">
        <f>Contributions_Data!C365</f>
        <v>45377</v>
      </c>
      <c r="H371" s="27">
        <f>Contributions_Data!D365</f>
        <v>18503.349999999999</v>
      </c>
      <c r="I371" s="27">
        <v>0</v>
      </c>
    </row>
    <row r="372" spans="3:9">
      <c r="C372" s="23">
        <v>365</v>
      </c>
      <c r="D372" s="23" t="s">
        <v>132</v>
      </c>
      <c r="E372" s="23" t="str">
        <f>Contributions_Data!A366</f>
        <v>DA-003</v>
      </c>
      <c r="F372" s="23" t="str">
        <f>Contributions_Data!B366</f>
        <v>DA-003-M0031</v>
      </c>
      <c r="G372" s="24">
        <f>Contributions_Data!C366</f>
        <v>45479</v>
      </c>
      <c r="H372" s="27">
        <f>Contributions_Data!D366</f>
        <v>16012.81</v>
      </c>
      <c r="I372" s="27">
        <v>0</v>
      </c>
    </row>
    <row r="373" spans="3:9">
      <c r="C373" s="23">
        <v>366</v>
      </c>
      <c r="D373" s="23" t="s">
        <v>132</v>
      </c>
      <c r="E373" s="23" t="str">
        <f>Contributions_Data!A367</f>
        <v>DA-003</v>
      </c>
      <c r="F373" s="23" t="str">
        <f>Contributions_Data!B367</f>
        <v>DA-003-M0031</v>
      </c>
      <c r="G373" s="24">
        <f>Contributions_Data!C367</f>
        <v>45632</v>
      </c>
      <c r="H373" s="27">
        <f>Contributions_Data!D367</f>
        <v>13764.37</v>
      </c>
      <c r="I373" s="27">
        <v>0</v>
      </c>
    </row>
    <row r="374" spans="3:9">
      <c r="C374" s="23">
        <v>367</v>
      </c>
      <c r="D374" s="23" t="s">
        <v>132</v>
      </c>
      <c r="E374" s="23" t="str">
        <f>Contributions_Data!A368</f>
        <v>DA-003</v>
      </c>
      <c r="F374" s="23" t="str">
        <f>Contributions_Data!B368</f>
        <v>DA-003-M0031</v>
      </c>
      <c r="G374" s="24">
        <f>Contributions_Data!C368</f>
        <v>45432</v>
      </c>
      <c r="H374" s="27">
        <f>Contributions_Data!D368</f>
        <v>13537.18</v>
      </c>
      <c r="I374" s="27">
        <v>0</v>
      </c>
    </row>
    <row r="375" spans="3:9">
      <c r="C375" s="23">
        <v>368</v>
      </c>
      <c r="D375" s="23" t="s">
        <v>132</v>
      </c>
      <c r="E375" s="23" t="str">
        <f>Contributions_Data!A369</f>
        <v>DA-003</v>
      </c>
      <c r="F375" s="23" t="str">
        <f>Contributions_Data!B369</f>
        <v>DA-003-M0031</v>
      </c>
      <c r="G375" s="24">
        <f>Contributions_Data!C369</f>
        <v>45640</v>
      </c>
      <c r="H375" s="27">
        <f>Contributions_Data!D369</f>
        <v>13702.33</v>
      </c>
      <c r="I375" s="27">
        <v>0</v>
      </c>
    </row>
    <row r="376" spans="3:9">
      <c r="C376" s="23">
        <v>369</v>
      </c>
      <c r="D376" s="23" t="s">
        <v>132</v>
      </c>
      <c r="E376" s="23" t="str">
        <f>Contributions_Data!A370</f>
        <v>DA-003</v>
      </c>
      <c r="F376" s="23" t="str">
        <f>Contributions_Data!B370</f>
        <v>DA-003-M0031</v>
      </c>
      <c r="G376" s="24">
        <f>Contributions_Data!C370</f>
        <v>45609</v>
      </c>
      <c r="H376" s="27">
        <f>Contributions_Data!D370</f>
        <v>16183.36</v>
      </c>
      <c r="I376" s="27">
        <v>0</v>
      </c>
    </row>
    <row r="377" spans="3:9">
      <c r="C377" s="23">
        <v>370</v>
      </c>
      <c r="D377" s="23" t="s">
        <v>132</v>
      </c>
      <c r="E377" s="23" t="str">
        <f>Contributions_Data!A371</f>
        <v>DA-003</v>
      </c>
      <c r="F377" s="23" t="str">
        <f>Contributions_Data!B371</f>
        <v>DA-003-M0031</v>
      </c>
      <c r="G377" s="24">
        <f>Contributions_Data!C371</f>
        <v>45323</v>
      </c>
      <c r="H377" s="27">
        <f>Contributions_Data!D371</f>
        <v>13737.05</v>
      </c>
      <c r="I377" s="27">
        <v>0</v>
      </c>
    </row>
    <row r="378" spans="3:9">
      <c r="C378" s="23">
        <v>371</v>
      </c>
      <c r="D378" s="23" t="s">
        <v>132</v>
      </c>
      <c r="E378" s="23" t="str">
        <f>Contributions_Data!A372</f>
        <v>DA-003</v>
      </c>
      <c r="F378" s="23" t="str">
        <f>Contributions_Data!B372</f>
        <v>DA-003-M0031</v>
      </c>
      <c r="G378" s="24">
        <f>Contributions_Data!C372</f>
        <v>45591</v>
      </c>
      <c r="H378" s="27">
        <f>Contributions_Data!D372</f>
        <v>21226.2</v>
      </c>
      <c r="I378" s="27">
        <v>0</v>
      </c>
    </row>
    <row r="379" spans="3:9">
      <c r="C379" s="23">
        <v>372</v>
      </c>
      <c r="D379" s="23" t="s">
        <v>132</v>
      </c>
      <c r="E379" s="23" t="str">
        <f>Contributions_Data!A373</f>
        <v>DA-003</v>
      </c>
      <c r="F379" s="23" t="str">
        <f>Contributions_Data!B373</f>
        <v>DA-003-M0031</v>
      </c>
      <c r="G379" s="24">
        <f>Contributions_Data!C373</f>
        <v>45499</v>
      </c>
      <c r="H379" s="27">
        <f>Contributions_Data!D373</f>
        <v>17613.37</v>
      </c>
      <c r="I379" s="27">
        <v>0</v>
      </c>
    </row>
    <row r="380" spans="3:9">
      <c r="C380" s="23">
        <v>373</v>
      </c>
      <c r="D380" s="23" t="s">
        <v>132</v>
      </c>
      <c r="E380" s="23" t="str">
        <f>Contributions_Data!A374</f>
        <v>DA-003</v>
      </c>
      <c r="F380" s="23" t="str">
        <f>Contributions_Data!B374</f>
        <v>DA-003-M0032</v>
      </c>
      <c r="G380" s="24">
        <f>Contributions_Data!C374</f>
        <v>45343</v>
      </c>
      <c r="H380" s="27">
        <f>Contributions_Data!D374</f>
        <v>14021.93</v>
      </c>
      <c r="I380" s="27">
        <v>0</v>
      </c>
    </row>
    <row r="381" spans="3:9">
      <c r="C381" s="23">
        <v>374</v>
      </c>
      <c r="D381" s="23" t="s">
        <v>132</v>
      </c>
      <c r="E381" s="23" t="str">
        <f>Contributions_Data!A375</f>
        <v>DA-003</v>
      </c>
      <c r="F381" s="23" t="str">
        <f>Contributions_Data!B375</f>
        <v>DA-003-M0032</v>
      </c>
      <c r="G381" s="24">
        <f>Contributions_Data!C375</f>
        <v>45639</v>
      </c>
      <c r="H381" s="27">
        <f>Contributions_Data!D375</f>
        <v>18603.64</v>
      </c>
      <c r="I381" s="27">
        <v>0</v>
      </c>
    </row>
    <row r="382" spans="3:9">
      <c r="C382" s="23">
        <v>375</v>
      </c>
      <c r="D382" s="23" t="s">
        <v>132</v>
      </c>
      <c r="E382" s="23" t="str">
        <f>Contributions_Data!A376</f>
        <v>DA-003</v>
      </c>
      <c r="F382" s="23" t="str">
        <f>Contributions_Data!B376</f>
        <v>DA-003-M0032</v>
      </c>
      <c r="G382" s="24">
        <f>Contributions_Data!C376</f>
        <v>45591</v>
      </c>
      <c r="H382" s="27">
        <f>Contributions_Data!D376</f>
        <v>13775.77</v>
      </c>
      <c r="I382" s="27">
        <v>0</v>
      </c>
    </row>
    <row r="383" spans="3:9">
      <c r="C383" s="23">
        <v>376</v>
      </c>
      <c r="D383" s="23" t="s">
        <v>132</v>
      </c>
      <c r="E383" s="23" t="str">
        <f>Contributions_Data!A377</f>
        <v>DA-003</v>
      </c>
      <c r="F383" s="23" t="str">
        <f>Contributions_Data!B377</f>
        <v>DA-003-M0032</v>
      </c>
      <c r="G383" s="24">
        <f>Contributions_Data!C377</f>
        <v>45465</v>
      </c>
      <c r="H383" s="27">
        <f>Contributions_Data!D377</f>
        <v>8885.6299999999992</v>
      </c>
      <c r="I383" s="27">
        <v>0</v>
      </c>
    </row>
    <row r="384" spans="3:9">
      <c r="C384" s="23">
        <v>377</v>
      </c>
      <c r="D384" s="23" t="s">
        <v>132</v>
      </c>
      <c r="E384" s="23" t="str">
        <f>Contributions_Data!A378</f>
        <v>DA-003</v>
      </c>
      <c r="F384" s="23" t="str">
        <f>Contributions_Data!B378</f>
        <v>DA-003-M0032</v>
      </c>
      <c r="G384" s="24">
        <f>Contributions_Data!C378</f>
        <v>45609</v>
      </c>
      <c r="H384" s="27">
        <f>Contributions_Data!D378</f>
        <v>11975.74</v>
      </c>
      <c r="I384" s="27">
        <v>0</v>
      </c>
    </row>
    <row r="385" spans="3:9">
      <c r="C385" s="23">
        <v>378</v>
      </c>
      <c r="D385" s="23" t="s">
        <v>132</v>
      </c>
      <c r="E385" s="23" t="str">
        <f>Contributions_Data!A379</f>
        <v>DA-003</v>
      </c>
      <c r="F385" s="23" t="str">
        <f>Contributions_Data!B379</f>
        <v>DA-003-M0032</v>
      </c>
      <c r="G385" s="24">
        <f>Contributions_Data!C379</f>
        <v>45347</v>
      </c>
      <c r="H385" s="27">
        <f>Contributions_Data!D379</f>
        <v>13945.46</v>
      </c>
      <c r="I385" s="27">
        <v>0</v>
      </c>
    </row>
    <row r="386" spans="3:9">
      <c r="C386" s="23">
        <v>379</v>
      </c>
      <c r="D386" s="23" t="s">
        <v>132</v>
      </c>
      <c r="E386" s="23" t="str">
        <f>Contributions_Data!A380</f>
        <v>DA-003</v>
      </c>
      <c r="F386" s="23" t="str">
        <f>Contributions_Data!B380</f>
        <v>DA-003-M0032</v>
      </c>
      <c r="G386" s="24">
        <f>Contributions_Data!C380</f>
        <v>45437</v>
      </c>
      <c r="H386" s="27">
        <f>Contributions_Data!D380</f>
        <v>15055.26</v>
      </c>
      <c r="I386" s="27">
        <v>0</v>
      </c>
    </row>
    <row r="387" spans="3:9">
      <c r="C387" s="23">
        <v>380</v>
      </c>
      <c r="D387" s="23" t="s">
        <v>132</v>
      </c>
      <c r="E387" s="23" t="str">
        <f>Contributions_Data!A381</f>
        <v>DA-003</v>
      </c>
      <c r="F387" s="23" t="str">
        <f>Contributions_Data!B381</f>
        <v>DA-003-M0032</v>
      </c>
      <c r="G387" s="24">
        <f>Contributions_Data!C381</f>
        <v>45513</v>
      </c>
      <c r="H387" s="27">
        <f>Contributions_Data!D381</f>
        <v>20029.310000000001</v>
      </c>
      <c r="I387" s="27">
        <v>0</v>
      </c>
    </row>
    <row r="388" spans="3:9">
      <c r="C388" s="23">
        <v>381</v>
      </c>
      <c r="D388" s="23" t="s">
        <v>132</v>
      </c>
      <c r="E388" s="23" t="str">
        <f>Contributions_Data!A382</f>
        <v>DA-003</v>
      </c>
      <c r="F388" s="23" t="str">
        <f>Contributions_Data!B382</f>
        <v>DA-003-M0032</v>
      </c>
      <c r="G388" s="24">
        <f>Contributions_Data!C382</f>
        <v>45370</v>
      </c>
      <c r="H388" s="27">
        <f>Contributions_Data!D382</f>
        <v>15980.78</v>
      </c>
      <c r="I388" s="27">
        <v>0</v>
      </c>
    </row>
    <row r="389" spans="3:9">
      <c r="C389" s="23">
        <v>382</v>
      </c>
      <c r="D389" s="23" t="s">
        <v>132</v>
      </c>
      <c r="E389" s="23" t="str">
        <f>Contributions_Data!A383</f>
        <v>DA-003</v>
      </c>
      <c r="F389" s="23" t="str">
        <f>Contributions_Data!B383</f>
        <v>DA-003-M0032</v>
      </c>
      <c r="G389" s="24">
        <f>Contributions_Data!C383</f>
        <v>45313</v>
      </c>
      <c r="H389" s="27">
        <f>Contributions_Data!D383</f>
        <v>14342.7</v>
      </c>
      <c r="I389" s="27">
        <v>0</v>
      </c>
    </row>
    <row r="390" spans="3:9">
      <c r="C390" s="23">
        <v>383</v>
      </c>
      <c r="D390" s="23" t="s">
        <v>132</v>
      </c>
      <c r="E390" s="23" t="str">
        <f>Contributions_Data!A384</f>
        <v>DA-003</v>
      </c>
      <c r="F390" s="23" t="str">
        <f>Contributions_Data!B384</f>
        <v>DA-003-M0032</v>
      </c>
      <c r="G390" s="24">
        <f>Contributions_Data!C384</f>
        <v>45648</v>
      </c>
      <c r="H390" s="27">
        <f>Contributions_Data!D384</f>
        <v>17488.22</v>
      </c>
      <c r="I390" s="27">
        <v>0</v>
      </c>
    </row>
    <row r="391" spans="3:9">
      <c r="C391" s="23">
        <v>384</v>
      </c>
      <c r="D391" s="23" t="s">
        <v>132</v>
      </c>
      <c r="E391" s="23" t="str">
        <f>Contributions_Data!A385</f>
        <v>DA-003</v>
      </c>
      <c r="F391" s="23" t="str">
        <f>Contributions_Data!B385</f>
        <v>DA-003-M0032</v>
      </c>
      <c r="G391" s="24">
        <f>Contributions_Data!C385</f>
        <v>45443</v>
      </c>
      <c r="H391" s="27">
        <f>Contributions_Data!D385</f>
        <v>8366.59</v>
      </c>
      <c r="I391" s="27">
        <v>0</v>
      </c>
    </row>
    <row r="392" spans="3:9">
      <c r="C392" s="23">
        <v>385</v>
      </c>
      <c r="D392" s="23" t="s">
        <v>132</v>
      </c>
      <c r="E392" s="23" t="str">
        <f>Contributions_Data!A386</f>
        <v>DA-002</v>
      </c>
      <c r="F392" s="23" t="str">
        <f>Contributions_Data!B386</f>
        <v>DA-002-M0033</v>
      </c>
      <c r="G392" s="24">
        <f>Contributions_Data!C386</f>
        <v>45374</v>
      </c>
      <c r="H392" s="27">
        <f>Contributions_Data!D386</f>
        <v>17312.599999999999</v>
      </c>
      <c r="I392" s="27">
        <v>0</v>
      </c>
    </row>
    <row r="393" spans="3:9">
      <c r="C393" s="23">
        <v>386</v>
      </c>
      <c r="D393" s="23" t="s">
        <v>132</v>
      </c>
      <c r="E393" s="23" t="str">
        <f>Contributions_Data!A387</f>
        <v>DA-002</v>
      </c>
      <c r="F393" s="23" t="str">
        <f>Contributions_Data!B387</f>
        <v>DA-002-M0033</v>
      </c>
      <c r="G393" s="24">
        <f>Contributions_Data!C387</f>
        <v>45657</v>
      </c>
      <c r="H393" s="27">
        <f>Contributions_Data!D387</f>
        <v>10564.24</v>
      </c>
      <c r="I393" s="27">
        <v>0</v>
      </c>
    </row>
    <row r="394" spans="3:9">
      <c r="C394" s="23">
        <v>387</v>
      </c>
      <c r="D394" s="23" t="s">
        <v>132</v>
      </c>
      <c r="E394" s="23" t="str">
        <f>Contributions_Data!A388</f>
        <v>DA-002</v>
      </c>
      <c r="F394" s="23" t="str">
        <f>Contributions_Data!B388</f>
        <v>DA-002-M0033</v>
      </c>
      <c r="G394" s="24">
        <f>Contributions_Data!C388</f>
        <v>45506</v>
      </c>
      <c r="H394" s="27">
        <f>Contributions_Data!D388</f>
        <v>18431.259999999998</v>
      </c>
      <c r="I394" s="27">
        <v>0</v>
      </c>
    </row>
    <row r="395" spans="3:9">
      <c r="C395" s="23">
        <v>388</v>
      </c>
      <c r="D395" s="23" t="s">
        <v>132</v>
      </c>
      <c r="E395" s="23" t="str">
        <f>Contributions_Data!A389</f>
        <v>DA-002</v>
      </c>
      <c r="F395" s="23" t="str">
        <f>Contributions_Data!B389</f>
        <v>DA-002-M0033</v>
      </c>
      <c r="G395" s="24">
        <f>Contributions_Data!C389</f>
        <v>45437</v>
      </c>
      <c r="H395" s="27">
        <f>Contributions_Data!D389</f>
        <v>16015.49</v>
      </c>
      <c r="I395" s="27">
        <v>0</v>
      </c>
    </row>
    <row r="396" spans="3:9">
      <c r="C396" s="23">
        <v>389</v>
      </c>
      <c r="D396" s="23" t="s">
        <v>132</v>
      </c>
      <c r="E396" s="23" t="str">
        <f>Contributions_Data!A390</f>
        <v>DA-002</v>
      </c>
      <c r="F396" s="23" t="str">
        <f>Contributions_Data!B390</f>
        <v>DA-002-M0033</v>
      </c>
      <c r="G396" s="24">
        <f>Contributions_Data!C390</f>
        <v>45549</v>
      </c>
      <c r="H396" s="27">
        <f>Contributions_Data!D390</f>
        <v>13754.14</v>
      </c>
      <c r="I396" s="27">
        <v>0</v>
      </c>
    </row>
    <row r="397" spans="3:9">
      <c r="C397" s="23">
        <v>390</v>
      </c>
      <c r="D397" s="23" t="s">
        <v>132</v>
      </c>
      <c r="E397" s="23" t="str">
        <f>Contributions_Data!A391</f>
        <v>DA-002</v>
      </c>
      <c r="F397" s="23" t="str">
        <f>Contributions_Data!B391</f>
        <v>DA-002-M0033</v>
      </c>
      <c r="G397" s="24">
        <f>Contributions_Data!C391</f>
        <v>45500</v>
      </c>
      <c r="H397" s="27">
        <f>Contributions_Data!D391</f>
        <v>16898.349999999999</v>
      </c>
      <c r="I397" s="27">
        <v>0</v>
      </c>
    </row>
    <row r="398" spans="3:9">
      <c r="C398" s="23">
        <v>391</v>
      </c>
      <c r="D398" s="23" t="s">
        <v>132</v>
      </c>
      <c r="E398" s="23" t="str">
        <f>Contributions_Data!A392</f>
        <v>DA-002</v>
      </c>
      <c r="F398" s="23" t="str">
        <f>Contributions_Data!B392</f>
        <v>DA-002-M0033</v>
      </c>
      <c r="G398" s="24">
        <f>Contributions_Data!C392</f>
        <v>45611</v>
      </c>
      <c r="H398" s="27">
        <f>Contributions_Data!D392</f>
        <v>21812.080000000002</v>
      </c>
      <c r="I398" s="27">
        <v>0</v>
      </c>
    </row>
    <row r="399" spans="3:9">
      <c r="C399" s="23">
        <v>392</v>
      </c>
      <c r="D399" s="23" t="s">
        <v>132</v>
      </c>
      <c r="E399" s="23" t="str">
        <f>Contributions_Data!A393</f>
        <v>DA-002</v>
      </c>
      <c r="F399" s="23" t="str">
        <f>Contributions_Data!B393</f>
        <v>DA-002-M0033</v>
      </c>
      <c r="G399" s="24">
        <f>Contributions_Data!C393</f>
        <v>45564</v>
      </c>
      <c r="H399" s="27">
        <f>Contributions_Data!D393</f>
        <v>15744.66</v>
      </c>
      <c r="I399" s="27">
        <v>0</v>
      </c>
    </row>
    <row r="400" spans="3:9">
      <c r="C400" s="23">
        <v>393</v>
      </c>
      <c r="D400" s="23" t="s">
        <v>132</v>
      </c>
      <c r="E400" s="23" t="str">
        <f>Contributions_Data!A394</f>
        <v>DA-002</v>
      </c>
      <c r="F400" s="23" t="str">
        <f>Contributions_Data!B394</f>
        <v>DA-002-M0033</v>
      </c>
      <c r="G400" s="24">
        <f>Contributions_Data!C394</f>
        <v>45355</v>
      </c>
      <c r="H400" s="27">
        <f>Contributions_Data!D394</f>
        <v>12450.47</v>
      </c>
      <c r="I400" s="27">
        <v>0</v>
      </c>
    </row>
    <row r="401" spans="3:9">
      <c r="C401" s="23">
        <v>394</v>
      </c>
      <c r="D401" s="23" t="s">
        <v>132</v>
      </c>
      <c r="E401" s="23" t="str">
        <f>Contributions_Data!A395</f>
        <v>DA-002</v>
      </c>
      <c r="F401" s="23" t="str">
        <f>Contributions_Data!B395</f>
        <v>DA-002-M0033</v>
      </c>
      <c r="G401" s="24">
        <f>Contributions_Data!C395</f>
        <v>45300</v>
      </c>
      <c r="H401" s="27">
        <f>Contributions_Data!D395</f>
        <v>12431.75</v>
      </c>
      <c r="I401" s="27">
        <v>0</v>
      </c>
    </row>
    <row r="402" spans="3:9">
      <c r="C402" s="23">
        <v>395</v>
      </c>
      <c r="D402" s="23" t="s">
        <v>132</v>
      </c>
      <c r="E402" s="23" t="str">
        <f>Contributions_Data!A396</f>
        <v>DA-002</v>
      </c>
      <c r="F402" s="23" t="str">
        <f>Contributions_Data!B396</f>
        <v>DA-002-M0033</v>
      </c>
      <c r="G402" s="24">
        <f>Contributions_Data!C396</f>
        <v>45567</v>
      </c>
      <c r="H402" s="27">
        <f>Contributions_Data!D396</f>
        <v>15214.7</v>
      </c>
      <c r="I402" s="27">
        <v>0</v>
      </c>
    </row>
    <row r="403" spans="3:9">
      <c r="C403" s="23">
        <v>396</v>
      </c>
      <c r="D403" s="23" t="s">
        <v>132</v>
      </c>
      <c r="E403" s="23" t="str">
        <f>Contributions_Data!A397</f>
        <v>DA-002</v>
      </c>
      <c r="F403" s="23" t="str">
        <f>Contributions_Data!B397</f>
        <v>DA-002-M0033</v>
      </c>
      <c r="G403" s="24">
        <f>Contributions_Data!C397</f>
        <v>45563</v>
      </c>
      <c r="H403" s="27">
        <f>Contributions_Data!D397</f>
        <v>13567.03</v>
      </c>
      <c r="I403" s="27">
        <v>0</v>
      </c>
    </row>
    <row r="404" spans="3:9">
      <c r="C404" s="23">
        <v>397</v>
      </c>
      <c r="D404" s="23" t="s">
        <v>132</v>
      </c>
      <c r="E404" s="23" t="str">
        <f>Contributions_Data!A398</f>
        <v>DA-001</v>
      </c>
      <c r="F404" s="23" t="str">
        <f>Contributions_Data!B398</f>
        <v>DA-001-M0034</v>
      </c>
      <c r="G404" s="24">
        <f>Contributions_Data!C398</f>
        <v>45377</v>
      </c>
      <c r="H404" s="27">
        <f>Contributions_Data!D398</f>
        <v>16436.939999999999</v>
      </c>
      <c r="I404" s="27">
        <v>0</v>
      </c>
    </row>
    <row r="405" spans="3:9">
      <c r="C405" s="23">
        <v>398</v>
      </c>
      <c r="D405" s="23" t="s">
        <v>132</v>
      </c>
      <c r="E405" s="23" t="str">
        <f>Contributions_Data!A399</f>
        <v>DA-001</v>
      </c>
      <c r="F405" s="23" t="str">
        <f>Contributions_Data!B399</f>
        <v>DA-001-M0034</v>
      </c>
      <c r="G405" s="24">
        <f>Contributions_Data!C399</f>
        <v>45440</v>
      </c>
      <c r="H405" s="27">
        <f>Contributions_Data!D399</f>
        <v>16000.99</v>
      </c>
      <c r="I405" s="27">
        <v>0</v>
      </c>
    </row>
    <row r="406" spans="3:9">
      <c r="C406" s="23">
        <v>399</v>
      </c>
      <c r="D406" s="23" t="s">
        <v>132</v>
      </c>
      <c r="E406" s="23" t="str">
        <f>Contributions_Data!A400</f>
        <v>DA-001</v>
      </c>
      <c r="F406" s="23" t="str">
        <f>Contributions_Data!B400</f>
        <v>DA-001-M0034</v>
      </c>
      <c r="G406" s="24">
        <f>Contributions_Data!C400</f>
        <v>45324</v>
      </c>
      <c r="H406" s="27">
        <f>Contributions_Data!D400</f>
        <v>18112.62</v>
      </c>
      <c r="I406" s="27">
        <v>0</v>
      </c>
    </row>
    <row r="407" spans="3:9">
      <c r="C407" s="23">
        <v>400</v>
      </c>
      <c r="D407" s="23" t="s">
        <v>132</v>
      </c>
      <c r="E407" s="23" t="str">
        <f>Contributions_Data!A401</f>
        <v>DA-001</v>
      </c>
      <c r="F407" s="23" t="str">
        <f>Contributions_Data!B401</f>
        <v>DA-001-M0034</v>
      </c>
      <c r="G407" s="24">
        <f>Contributions_Data!C401</f>
        <v>45581</v>
      </c>
      <c r="H407" s="27">
        <f>Contributions_Data!D401</f>
        <v>13469.95</v>
      </c>
      <c r="I407" s="27">
        <v>0</v>
      </c>
    </row>
    <row r="408" spans="3:9">
      <c r="C408" s="23">
        <v>401</v>
      </c>
      <c r="D408" s="23" t="s">
        <v>132</v>
      </c>
      <c r="E408" s="23" t="str">
        <f>Contributions_Data!A402</f>
        <v>DA-001</v>
      </c>
      <c r="F408" s="23" t="str">
        <f>Contributions_Data!B402</f>
        <v>DA-001-M0034</v>
      </c>
      <c r="G408" s="24">
        <f>Contributions_Data!C402</f>
        <v>45407</v>
      </c>
      <c r="H408" s="27">
        <f>Contributions_Data!D402</f>
        <v>14190.38</v>
      </c>
      <c r="I408" s="27">
        <v>0</v>
      </c>
    </row>
    <row r="409" spans="3:9">
      <c r="C409" s="23">
        <v>402</v>
      </c>
      <c r="D409" s="23" t="s">
        <v>132</v>
      </c>
      <c r="E409" s="23" t="str">
        <f>Contributions_Data!A403</f>
        <v>DA-001</v>
      </c>
      <c r="F409" s="23" t="str">
        <f>Contributions_Data!B403</f>
        <v>DA-001-M0034</v>
      </c>
      <c r="G409" s="24">
        <f>Contributions_Data!C403</f>
        <v>45329</v>
      </c>
      <c r="H409" s="27">
        <f>Contributions_Data!D403</f>
        <v>13667.12</v>
      </c>
      <c r="I409" s="27">
        <v>0</v>
      </c>
    </row>
    <row r="410" spans="3:9">
      <c r="C410" s="23">
        <v>403</v>
      </c>
      <c r="D410" s="23" t="s">
        <v>132</v>
      </c>
      <c r="E410" s="23" t="str">
        <f>Contributions_Data!A404</f>
        <v>DA-001</v>
      </c>
      <c r="F410" s="23" t="str">
        <f>Contributions_Data!B404</f>
        <v>DA-001-M0034</v>
      </c>
      <c r="G410" s="24">
        <f>Contributions_Data!C404</f>
        <v>45657</v>
      </c>
      <c r="H410" s="27">
        <f>Contributions_Data!D404</f>
        <v>16131.9</v>
      </c>
      <c r="I410" s="27">
        <v>0</v>
      </c>
    </row>
    <row r="411" spans="3:9">
      <c r="C411" s="23">
        <v>404</v>
      </c>
      <c r="D411" s="23" t="s">
        <v>132</v>
      </c>
      <c r="E411" s="23" t="str">
        <f>Contributions_Data!A405</f>
        <v>DA-001</v>
      </c>
      <c r="F411" s="23" t="str">
        <f>Contributions_Data!B405</f>
        <v>DA-001-M0034</v>
      </c>
      <c r="G411" s="24">
        <f>Contributions_Data!C405</f>
        <v>45635</v>
      </c>
      <c r="H411" s="27">
        <f>Contributions_Data!D405</f>
        <v>17270.97</v>
      </c>
      <c r="I411" s="27">
        <v>0</v>
      </c>
    </row>
    <row r="412" spans="3:9">
      <c r="C412" s="23">
        <v>405</v>
      </c>
      <c r="D412" s="23" t="s">
        <v>132</v>
      </c>
      <c r="E412" s="23" t="str">
        <f>Contributions_Data!A406</f>
        <v>DA-001</v>
      </c>
      <c r="F412" s="23" t="str">
        <f>Contributions_Data!B406</f>
        <v>DA-001-M0034</v>
      </c>
      <c r="G412" s="24">
        <f>Contributions_Data!C406</f>
        <v>45449</v>
      </c>
      <c r="H412" s="27">
        <f>Contributions_Data!D406</f>
        <v>17608.82</v>
      </c>
      <c r="I412" s="27">
        <v>0</v>
      </c>
    </row>
    <row r="413" spans="3:9">
      <c r="C413" s="23">
        <v>406</v>
      </c>
      <c r="D413" s="23" t="s">
        <v>132</v>
      </c>
      <c r="E413" s="23" t="str">
        <f>Contributions_Data!A407</f>
        <v>DA-001</v>
      </c>
      <c r="F413" s="23" t="str">
        <f>Contributions_Data!B407</f>
        <v>DA-001-M0034</v>
      </c>
      <c r="G413" s="24">
        <f>Contributions_Data!C407</f>
        <v>45550</v>
      </c>
      <c r="H413" s="27">
        <f>Contributions_Data!D407</f>
        <v>19066.91</v>
      </c>
      <c r="I413" s="27">
        <v>0</v>
      </c>
    </row>
    <row r="414" spans="3:9">
      <c r="C414" s="23">
        <v>407</v>
      </c>
      <c r="D414" s="23" t="s">
        <v>132</v>
      </c>
      <c r="E414" s="23" t="str">
        <f>Contributions_Data!A408</f>
        <v>DA-001</v>
      </c>
      <c r="F414" s="23" t="str">
        <f>Contributions_Data!B408</f>
        <v>DA-001-M0034</v>
      </c>
      <c r="G414" s="24">
        <f>Contributions_Data!C408</f>
        <v>45441</v>
      </c>
      <c r="H414" s="27">
        <f>Contributions_Data!D408</f>
        <v>20630.39</v>
      </c>
      <c r="I414" s="27">
        <v>0</v>
      </c>
    </row>
    <row r="415" spans="3:9">
      <c r="C415" s="23">
        <v>408</v>
      </c>
      <c r="D415" s="23" t="s">
        <v>132</v>
      </c>
      <c r="E415" s="23" t="str">
        <f>Contributions_Data!A409</f>
        <v>DA-001</v>
      </c>
      <c r="F415" s="23" t="str">
        <f>Contributions_Data!B409</f>
        <v>DA-001-M0034</v>
      </c>
      <c r="G415" s="24">
        <f>Contributions_Data!C409</f>
        <v>45544</v>
      </c>
      <c r="H415" s="27">
        <f>Contributions_Data!D409</f>
        <v>12678.63</v>
      </c>
      <c r="I415" s="27">
        <v>0</v>
      </c>
    </row>
    <row r="416" spans="3:9">
      <c r="C416" s="23">
        <v>409</v>
      </c>
      <c r="D416" s="23" t="s">
        <v>132</v>
      </c>
      <c r="E416" s="23" t="str">
        <f>Contributions_Data!A410</f>
        <v>DA-001</v>
      </c>
      <c r="F416" s="23" t="str">
        <f>Contributions_Data!B410</f>
        <v>DA-001-M0035</v>
      </c>
      <c r="G416" s="24">
        <f>Contributions_Data!C410</f>
        <v>45315</v>
      </c>
      <c r="H416" s="27">
        <f>Contributions_Data!D410</f>
        <v>11266.04</v>
      </c>
      <c r="I416" s="27">
        <v>0</v>
      </c>
    </row>
    <row r="417" spans="3:9">
      <c r="C417" s="23">
        <v>410</v>
      </c>
      <c r="D417" s="23" t="s">
        <v>132</v>
      </c>
      <c r="E417" s="23" t="str">
        <f>Contributions_Data!A411</f>
        <v>DA-001</v>
      </c>
      <c r="F417" s="23" t="str">
        <f>Contributions_Data!B411</f>
        <v>DA-001-M0035</v>
      </c>
      <c r="G417" s="24">
        <f>Contributions_Data!C411</f>
        <v>45544</v>
      </c>
      <c r="H417" s="27">
        <f>Contributions_Data!D411</f>
        <v>9663.84</v>
      </c>
      <c r="I417" s="27">
        <v>0</v>
      </c>
    </row>
    <row r="418" spans="3:9">
      <c r="C418" s="23">
        <v>411</v>
      </c>
      <c r="D418" s="23" t="s">
        <v>132</v>
      </c>
      <c r="E418" s="23" t="str">
        <f>Contributions_Data!A412</f>
        <v>DA-001</v>
      </c>
      <c r="F418" s="23" t="str">
        <f>Contributions_Data!B412</f>
        <v>DA-001-M0035</v>
      </c>
      <c r="G418" s="24">
        <f>Contributions_Data!C412</f>
        <v>45620</v>
      </c>
      <c r="H418" s="27">
        <f>Contributions_Data!D412</f>
        <v>19488.13</v>
      </c>
      <c r="I418" s="27">
        <v>0</v>
      </c>
    </row>
    <row r="419" spans="3:9">
      <c r="C419" s="23">
        <v>412</v>
      </c>
      <c r="D419" s="23" t="s">
        <v>132</v>
      </c>
      <c r="E419" s="23" t="str">
        <f>Contributions_Data!A413</f>
        <v>DA-001</v>
      </c>
      <c r="F419" s="23" t="str">
        <f>Contributions_Data!B413</f>
        <v>DA-001-M0035</v>
      </c>
      <c r="G419" s="24">
        <f>Contributions_Data!C413</f>
        <v>45394</v>
      </c>
      <c r="H419" s="27">
        <f>Contributions_Data!D413</f>
        <v>16963.099999999999</v>
      </c>
      <c r="I419" s="27">
        <v>0</v>
      </c>
    </row>
    <row r="420" spans="3:9">
      <c r="C420" s="23">
        <v>413</v>
      </c>
      <c r="D420" s="23" t="s">
        <v>132</v>
      </c>
      <c r="E420" s="23" t="str">
        <f>Contributions_Data!A414</f>
        <v>DA-001</v>
      </c>
      <c r="F420" s="23" t="str">
        <f>Contributions_Data!B414</f>
        <v>DA-001-M0035</v>
      </c>
      <c r="G420" s="24">
        <f>Contributions_Data!C414</f>
        <v>45382</v>
      </c>
      <c r="H420" s="27">
        <f>Contributions_Data!D414</f>
        <v>14833.25</v>
      </c>
      <c r="I420" s="27">
        <v>0</v>
      </c>
    </row>
    <row r="421" spans="3:9">
      <c r="C421" s="23">
        <v>414</v>
      </c>
      <c r="D421" s="23" t="s">
        <v>132</v>
      </c>
      <c r="E421" s="23" t="str">
        <f>Contributions_Data!A415</f>
        <v>DA-001</v>
      </c>
      <c r="F421" s="23" t="str">
        <f>Contributions_Data!B415</f>
        <v>DA-001-M0035</v>
      </c>
      <c r="G421" s="24">
        <f>Contributions_Data!C415</f>
        <v>45656</v>
      </c>
      <c r="H421" s="27">
        <f>Contributions_Data!D415</f>
        <v>15839.91</v>
      </c>
      <c r="I421" s="27">
        <v>0</v>
      </c>
    </row>
    <row r="422" spans="3:9">
      <c r="C422" s="23">
        <v>415</v>
      </c>
      <c r="D422" s="23" t="s">
        <v>132</v>
      </c>
      <c r="E422" s="23" t="str">
        <f>Contributions_Data!A416</f>
        <v>DA-001</v>
      </c>
      <c r="F422" s="23" t="str">
        <f>Contributions_Data!B416</f>
        <v>DA-001-M0035</v>
      </c>
      <c r="G422" s="24">
        <f>Contributions_Data!C416</f>
        <v>45460</v>
      </c>
      <c r="H422" s="27">
        <f>Contributions_Data!D416</f>
        <v>22337.26</v>
      </c>
      <c r="I422" s="27">
        <v>0</v>
      </c>
    </row>
    <row r="423" spans="3:9">
      <c r="C423" s="23">
        <v>416</v>
      </c>
      <c r="D423" s="23" t="s">
        <v>132</v>
      </c>
      <c r="E423" s="23" t="str">
        <f>Contributions_Data!A417</f>
        <v>DA-001</v>
      </c>
      <c r="F423" s="23" t="str">
        <f>Contributions_Data!B417</f>
        <v>DA-001-M0035</v>
      </c>
      <c r="G423" s="24">
        <f>Contributions_Data!C417</f>
        <v>45571</v>
      </c>
      <c r="H423" s="27">
        <f>Contributions_Data!D417</f>
        <v>15387.66</v>
      </c>
      <c r="I423" s="27">
        <v>0</v>
      </c>
    </row>
    <row r="424" spans="3:9">
      <c r="C424" s="23">
        <v>417</v>
      </c>
      <c r="D424" s="23" t="s">
        <v>132</v>
      </c>
      <c r="E424" s="23" t="str">
        <f>Contributions_Data!A418</f>
        <v>DA-001</v>
      </c>
      <c r="F424" s="23" t="str">
        <f>Contributions_Data!B418</f>
        <v>DA-001-M0035</v>
      </c>
      <c r="G424" s="24">
        <f>Contributions_Data!C418</f>
        <v>45399</v>
      </c>
      <c r="H424" s="27">
        <f>Contributions_Data!D418</f>
        <v>17177.3</v>
      </c>
      <c r="I424" s="27">
        <v>0</v>
      </c>
    </row>
    <row r="425" spans="3:9">
      <c r="C425" s="23">
        <v>418</v>
      </c>
      <c r="D425" s="23" t="s">
        <v>132</v>
      </c>
      <c r="E425" s="23" t="str">
        <f>Contributions_Data!A419</f>
        <v>DA-001</v>
      </c>
      <c r="F425" s="23" t="str">
        <f>Contributions_Data!B419</f>
        <v>DA-001-M0035</v>
      </c>
      <c r="G425" s="24">
        <f>Contributions_Data!C419</f>
        <v>45532</v>
      </c>
      <c r="H425" s="27">
        <f>Contributions_Data!D419</f>
        <v>16443.03</v>
      </c>
      <c r="I425" s="27">
        <v>0</v>
      </c>
    </row>
    <row r="426" spans="3:9">
      <c r="C426" s="23">
        <v>419</v>
      </c>
      <c r="D426" s="23" t="s">
        <v>132</v>
      </c>
      <c r="E426" s="23" t="str">
        <f>Contributions_Data!A420</f>
        <v>DA-001</v>
      </c>
      <c r="F426" s="23" t="str">
        <f>Contributions_Data!B420</f>
        <v>DA-001-M0035</v>
      </c>
      <c r="G426" s="24">
        <f>Contributions_Data!C420</f>
        <v>45447</v>
      </c>
      <c r="H426" s="27">
        <f>Contributions_Data!D420</f>
        <v>15671.65</v>
      </c>
      <c r="I426" s="27">
        <v>0</v>
      </c>
    </row>
    <row r="427" spans="3:9">
      <c r="C427" s="23">
        <v>420</v>
      </c>
      <c r="D427" s="23" t="s">
        <v>132</v>
      </c>
      <c r="E427" s="23" t="str">
        <f>Contributions_Data!A421</f>
        <v>DA-001</v>
      </c>
      <c r="F427" s="23" t="str">
        <f>Contributions_Data!B421</f>
        <v>DA-001-M0035</v>
      </c>
      <c r="G427" s="24">
        <f>Contributions_Data!C421</f>
        <v>45627</v>
      </c>
      <c r="H427" s="27">
        <f>Contributions_Data!D421</f>
        <v>12628.58</v>
      </c>
      <c r="I427" s="27">
        <v>0</v>
      </c>
    </row>
    <row r="428" spans="3:9">
      <c r="C428" s="23">
        <v>421</v>
      </c>
      <c r="D428" s="23" t="s">
        <v>132</v>
      </c>
      <c r="E428" s="23" t="str">
        <f>Contributions_Data!A422</f>
        <v>DA-003</v>
      </c>
      <c r="F428" s="23" t="str">
        <f>Contributions_Data!B422</f>
        <v>DA-003-M0036</v>
      </c>
      <c r="G428" s="24">
        <f>Contributions_Data!C422</f>
        <v>45543</v>
      </c>
      <c r="H428" s="27">
        <f>Contributions_Data!D422</f>
        <v>16414.41</v>
      </c>
      <c r="I428" s="27">
        <v>0</v>
      </c>
    </row>
    <row r="429" spans="3:9">
      <c r="C429" s="23">
        <v>422</v>
      </c>
      <c r="D429" s="23" t="s">
        <v>132</v>
      </c>
      <c r="E429" s="23" t="str">
        <f>Contributions_Data!A423</f>
        <v>DA-003</v>
      </c>
      <c r="F429" s="23" t="str">
        <f>Contributions_Data!B423</f>
        <v>DA-003-M0036</v>
      </c>
      <c r="G429" s="24">
        <f>Contributions_Data!C423</f>
        <v>45636</v>
      </c>
      <c r="H429" s="27">
        <f>Contributions_Data!D423</f>
        <v>20646.07</v>
      </c>
      <c r="I429" s="27">
        <v>0</v>
      </c>
    </row>
    <row r="430" spans="3:9">
      <c r="C430" s="23">
        <v>423</v>
      </c>
      <c r="D430" s="23" t="s">
        <v>132</v>
      </c>
      <c r="E430" s="23" t="str">
        <f>Contributions_Data!A424</f>
        <v>DA-003</v>
      </c>
      <c r="F430" s="23" t="str">
        <f>Contributions_Data!B424</f>
        <v>DA-003-M0036</v>
      </c>
      <c r="G430" s="24">
        <f>Contributions_Data!C424</f>
        <v>45508</v>
      </c>
      <c r="H430" s="27">
        <f>Contributions_Data!D424</f>
        <v>19036.259999999998</v>
      </c>
      <c r="I430" s="27">
        <v>0</v>
      </c>
    </row>
    <row r="431" spans="3:9">
      <c r="C431" s="23">
        <v>424</v>
      </c>
      <c r="D431" s="23" t="s">
        <v>132</v>
      </c>
      <c r="E431" s="23" t="str">
        <f>Contributions_Data!A425</f>
        <v>DA-003</v>
      </c>
      <c r="F431" s="23" t="str">
        <f>Contributions_Data!B425</f>
        <v>DA-003-M0036</v>
      </c>
      <c r="G431" s="24">
        <f>Contributions_Data!C425</f>
        <v>45443</v>
      </c>
      <c r="H431" s="27">
        <f>Contributions_Data!D425</f>
        <v>19779.560000000001</v>
      </c>
      <c r="I431" s="27">
        <v>0</v>
      </c>
    </row>
    <row r="432" spans="3:9">
      <c r="C432" s="23">
        <v>425</v>
      </c>
      <c r="D432" s="23" t="s">
        <v>132</v>
      </c>
      <c r="E432" s="23" t="str">
        <f>Contributions_Data!A426</f>
        <v>DA-003</v>
      </c>
      <c r="F432" s="23" t="str">
        <f>Contributions_Data!B426</f>
        <v>DA-003-M0036</v>
      </c>
      <c r="G432" s="24">
        <f>Contributions_Data!C426</f>
        <v>45338</v>
      </c>
      <c r="H432" s="27">
        <f>Contributions_Data!D426</f>
        <v>12031.19</v>
      </c>
      <c r="I432" s="27">
        <v>0</v>
      </c>
    </row>
    <row r="433" spans="3:9">
      <c r="C433" s="23">
        <v>426</v>
      </c>
      <c r="D433" s="23" t="s">
        <v>132</v>
      </c>
      <c r="E433" s="23" t="str">
        <f>Contributions_Data!A427</f>
        <v>DA-003</v>
      </c>
      <c r="F433" s="23" t="str">
        <f>Contributions_Data!B427</f>
        <v>DA-003-M0036</v>
      </c>
      <c r="G433" s="24">
        <f>Contributions_Data!C427</f>
        <v>45523</v>
      </c>
      <c r="H433" s="27">
        <f>Contributions_Data!D427</f>
        <v>15167.17</v>
      </c>
      <c r="I433" s="27">
        <v>0</v>
      </c>
    </row>
    <row r="434" spans="3:9">
      <c r="C434" s="23">
        <v>427</v>
      </c>
      <c r="D434" s="23" t="s">
        <v>132</v>
      </c>
      <c r="E434" s="23" t="str">
        <f>Contributions_Data!A428</f>
        <v>DA-003</v>
      </c>
      <c r="F434" s="23" t="str">
        <f>Contributions_Data!B428</f>
        <v>DA-003-M0036</v>
      </c>
      <c r="G434" s="24">
        <f>Contributions_Data!C428</f>
        <v>45436</v>
      </c>
      <c r="H434" s="27">
        <f>Contributions_Data!D428</f>
        <v>9922.61</v>
      </c>
      <c r="I434" s="27">
        <v>0</v>
      </c>
    </row>
    <row r="435" spans="3:9">
      <c r="C435" s="23">
        <v>428</v>
      </c>
      <c r="D435" s="23" t="s">
        <v>132</v>
      </c>
      <c r="E435" s="23" t="str">
        <f>Contributions_Data!A429</f>
        <v>DA-003</v>
      </c>
      <c r="F435" s="23" t="str">
        <f>Contributions_Data!B429</f>
        <v>DA-003-M0036</v>
      </c>
      <c r="G435" s="24">
        <f>Contributions_Data!C429</f>
        <v>45405</v>
      </c>
      <c r="H435" s="27">
        <f>Contributions_Data!D429</f>
        <v>19588.650000000001</v>
      </c>
      <c r="I435" s="27">
        <v>0</v>
      </c>
    </row>
    <row r="436" spans="3:9">
      <c r="C436" s="23">
        <v>429</v>
      </c>
      <c r="D436" s="23" t="s">
        <v>132</v>
      </c>
      <c r="E436" s="23" t="str">
        <f>Contributions_Data!A430</f>
        <v>DA-003</v>
      </c>
      <c r="F436" s="23" t="str">
        <f>Contributions_Data!B430</f>
        <v>DA-003-M0036</v>
      </c>
      <c r="G436" s="24">
        <f>Contributions_Data!C430</f>
        <v>45600</v>
      </c>
      <c r="H436" s="27">
        <f>Contributions_Data!D430</f>
        <v>14525.98</v>
      </c>
      <c r="I436" s="27">
        <v>0</v>
      </c>
    </row>
    <row r="437" spans="3:9">
      <c r="C437" s="23">
        <v>430</v>
      </c>
      <c r="D437" s="23" t="s">
        <v>132</v>
      </c>
      <c r="E437" s="23" t="str">
        <f>Contributions_Data!A431</f>
        <v>DA-003</v>
      </c>
      <c r="F437" s="23" t="str">
        <f>Contributions_Data!B431</f>
        <v>DA-003-M0036</v>
      </c>
      <c r="G437" s="24">
        <f>Contributions_Data!C431</f>
        <v>45446</v>
      </c>
      <c r="H437" s="27">
        <f>Contributions_Data!D431</f>
        <v>13719.36</v>
      </c>
      <c r="I437" s="27">
        <v>0</v>
      </c>
    </row>
    <row r="438" spans="3:9">
      <c r="C438" s="23">
        <v>431</v>
      </c>
      <c r="D438" s="23" t="s">
        <v>132</v>
      </c>
      <c r="E438" s="23" t="str">
        <f>Contributions_Data!A432</f>
        <v>DA-003</v>
      </c>
      <c r="F438" s="23" t="str">
        <f>Contributions_Data!B432</f>
        <v>DA-003-M0036</v>
      </c>
      <c r="G438" s="24">
        <f>Contributions_Data!C432</f>
        <v>45574</v>
      </c>
      <c r="H438" s="27">
        <f>Contributions_Data!D432</f>
        <v>10035.43</v>
      </c>
      <c r="I438" s="27">
        <v>0</v>
      </c>
    </row>
    <row r="439" spans="3:9">
      <c r="C439" s="23">
        <v>432</v>
      </c>
      <c r="D439" s="23" t="s">
        <v>132</v>
      </c>
      <c r="E439" s="23" t="str">
        <f>Contributions_Data!A433</f>
        <v>DA-003</v>
      </c>
      <c r="F439" s="23" t="str">
        <f>Contributions_Data!B433</f>
        <v>DA-003-M0036</v>
      </c>
      <c r="G439" s="24">
        <f>Contributions_Data!C433</f>
        <v>45423</v>
      </c>
      <c r="H439" s="27">
        <f>Contributions_Data!D433</f>
        <v>17469.509999999998</v>
      </c>
      <c r="I439" s="27">
        <v>0</v>
      </c>
    </row>
    <row r="440" spans="3:9">
      <c r="C440" s="23">
        <v>433</v>
      </c>
      <c r="D440" s="23" t="s">
        <v>132</v>
      </c>
      <c r="E440" s="23" t="str">
        <f>Contributions_Data!A434</f>
        <v>DA-002</v>
      </c>
      <c r="F440" s="23" t="str">
        <f>Contributions_Data!B434</f>
        <v>DA-002-M0037</v>
      </c>
      <c r="G440" s="24">
        <f>Contributions_Data!C434</f>
        <v>45392</v>
      </c>
      <c r="H440" s="27">
        <f>Contributions_Data!D434</f>
        <v>15219.95</v>
      </c>
      <c r="I440" s="27">
        <v>0</v>
      </c>
    </row>
    <row r="441" spans="3:9">
      <c r="C441" s="23">
        <v>434</v>
      </c>
      <c r="D441" s="23" t="s">
        <v>132</v>
      </c>
      <c r="E441" s="23" t="str">
        <f>Contributions_Data!A435</f>
        <v>DA-002</v>
      </c>
      <c r="F441" s="23" t="str">
        <f>Contributions_Data!B435</f>
        <v>DA-002-M0037</v>
      </c>
      <c r="G441" s="24">
        <f>Contributions_Data!C435</f>
        <v>45404</v>
      </c>
      <c r="H441" s="27">
        <f>Contributions_Data!D435</f>
        <v>11130.12</v>
      </c>
      <c r="I441" s="27">
        <v>0</v>
      </c>
    </row>
    <row r="442" spans="3:9">
      <c r="C442" s="23">
        <v>435</v>
      </c>
      <c r="D442" s="23" t="s">
        <v>132</v>
      </c>
      <c r="E442" s="23" t="str">
        <f>Contributions_Data!A436</f>
        <v>DA-002</v>
      </c>
      <c r="F442" s="23" t="str">
        <f>Contributions_Data!B436</f>
        <v>DA-002-M0037</v>
      </c>
      <c r="G442" s="24">
        <f>Contributions_Data!C436</f>
        <v>45511</v>
      </c>
      <c r="H442" s="27">
        <f>Contributions_Data!D436</f>
        <v>11114.76</v>
      </c>
      <c r="I442" s="27">
        <v>0</v>
      </c>
    </row>
    <row r="443" spans="3:9">
      <c r="C443" s="23">
        <v>436</v>
      </c>
      <c r="D443" s="23" t="s">
        <v>132</v>
      </c>
      <c r="E443" s="23" t="str">
        <f>Contributions_Data!A437</f>
        <v>DA-002</v>
      </c>
      <c r="F443" s="23" t="str">
        <f>Contributions_Data!B437</f>
        <v>DA-002-M0037</v>
      </c>
      <c r="G443" s="24">
        <f>Contributions_Data!C437</f>
        <v>45477</v>
      </c>
      <c r="H443" s="27">
        <f>Contributions_Data!D437</f>
        <v>20007.060000000001</v>
      </c>
      <c r="I443" s="27">
        <v>0</v>
      </c>
    </row>
    <row r="444" spans="3:9">
      <c r="C444" s="23">
        <v>437</v>
      </c>
      <c r="D444" s="23" t="s">
        <v>132</v>
      </c>
      <c r="E444" s="23" t="str">
        <f>Contributions_Data!A438</f>
        <v>DA-002</v>
      </c>
      <c r="F444" s="23" t="str">
        <f>Contributions_Data!B438</f>
        <v>DA-002-M0037</v>
      </c>
      <c r="G444" s="24">
        <f>Contributions_Data!C438</f>
        <v>45576</v>
      </c>
      <c r="H444" s="27">
        <f>Contributions_Data!D438</f>
        <v>14221.23</v>
      </c>
      <c r="I444" s="27">
        <v>0</v>
      </c>
    </row>
    <row r="445" spans="3:9">
      <c r="C445" s="23">
        <v>438</v>
      </c>
      <c r="D445" s="23" t="s">
        <v>132</v>
      </c>
      <c r="E445" s="23" t="str">
        <f>Contributions_Data!A439</f>
        <v>DA-002</v>
      </c>
      <c r="F445" s="23" t="str">
        <f>Contributions_Data!B439</f>
        <v>DA-002-M0037</v>
      </c>
      <c r="G445" s="24">
        <f>Contributions_Data!C439</f>
        <v>45419</v>
      </c>
      <c r="H445" s="27">
        <f>Contributions_Data!D439</f>
        <v>14262.77</v>
      </c>
      <c r="I445" s="27">
        <v>0</v>
      </c>
    </row>
    <row r="446" spans="3:9">
      <c r="C446" s="23">
        <v>439</v>
      </c>
      <c r="D446" s="23" t="s">
        <v>132</v>
      </c>
      <c r="E446" s="23" t="str">
        <f>Contributions_Data!A440</f>
        <v>DA-002</v>
      </c>
      <c r="F446" s="23" t="str">
        <f>Contributions_Data!B440</f>
        <v>DA-002-M0037</v>
      </c>
      <c r="G446" s="24">
        <f>Contributions_Data!C440</f>
        <v>45368</v>
      </c>
      <c r="H446" s="27">
        <f>Contributions_Data!D440</f>
        <v>6909.34</v>
      </c>
      <c r="I446" s="27">
        <v>0</v>
      </c>
    </row>
    <row r="447" spans="3:9">
      <c r="C447" s="23">
        <v>440</v>
      </c>
      <c r="D447" s="23" t="s">
        <v>132</v>
      </c>
      <c r="E447" s="23" t="str">
        <f>Contributions_Data!A441</f>
        <v>DA-002</v>
      </c>
      <c r="F447" s="23" t="str">
        <f>Contributions_Data!B441</f>
        <v>DA-002-M0037</v>
      </c>
      <c r="G447" s="24">
        <f>Contributions_Data!C441</f>
        <v>45296</v>
      </c>
      <c r="H447" s="27">
        <f>Contributions_Data!D441</f>
        <v>14837.12</v>
      </c>
      <c r="I447" s="27">
        <v>0</v>
      </c>
    </row>
    <row r="448" spans="3:9">
      <c r="C448" s="23">
        <v>441</v>
      </c>
      <c r="D448" s="23" t="s">
        <v>132</v>
      </c>
      <c r="E448" s="23" t="str">
        <f>Contributions_Data!A442</f>
        <v>DA-002</v>
      </c>
      <c r="F448" s="23" t="str">
        <f>Contributions_Data!B442</f>
        <v>DA-002-M0037</v>
      </c>
      <c r="G448" s="24">
        <f>Contributions_Data!C442</f>
        <v>45444</v>
      </c>
      <c r="H448" s="27">
        <f>Contributions_Data!D442</f>
        <v>17088.62</v>
      </c>
      <c r="I448" s="27">
        <v>0</v>
      </c>
    </row>
    <row r="449" spans="3:9">
      <c r="C449" s="23">
        <v>442</v>
      </c>
      <c r="D449" s="23" t="s">
        <v>132</v>
      </c>
      <c r="E449" s="23" t="str">
        <f>Contributions_Data!A443</f>
        <v>DA-002</v>
      </c>
      <c r="F449" s="23" t="str">
        <f>Contributions_Data!B443</f>
        <v>DA-002-M0037</v>
      </c>
      <c r="G449" s="24">
        <f>Contributions_Data!C443</f>
        <v>45514</v>
      </c>
      <c r="H449" s="27">
        <f>Contributions_Data!D443</f>
        <v>20546.87</v>
      </c>
      <c r="I449" s="27">
        <v>0</v>
      </c>
    </row>
    <row r="450" spans="3:9">
      <c r="C450" s="23">
        <v>443</v>
      </c>
      <c r="D450" s="23" t="s">
        <v>132</v>
      </c>
      <c r="E450" s="23" t="str">
        <f>Contributions_Data!A444</f>
        <v>DA-002</v>
      </c>
      <c r="F450" s="23" t="str">
        <f>Contributions_Data!B444</f>
        <v>DA-002-M0037</v>
      </c>
      <c r="G450" s="24">
        <f>Contributions_Data!C444</f>
        <v>45571</v>
      </c>
      <c r="H450" s="27">
        <f>Contributions_Data!D444</f>
        <v>18379.7</v>
      </c>
      <c r="I450" s="27">
        <v>0</v>
      </c>
    </row>
    <row r="451" spans="3:9">
      <c r="C451" s="23">
        <v>444</v>
      </c>
      <c r="D451" s="23" t="s">
        <v>132</v>
      </c>
      <c r="E451" s="23" t="str">
        <f>Contributions_Data!A445</f>
        <v>DA-002</v>
      </c>
      <c r="F451" s="23" t="str">
        <f>Contributions_Data!B445</f>
        <v>DA-002-M0037</v>
      </c>
      <c r="G451" s="24">
        <f>Contributions_Data!C445</f>
        <v>45651</v>
      </c>
      <c r="H451" s="27">
        <f>Contributions_Data!D445</f>
        <v>14193.33</v>
      </c>
      <c r="I451" s="27">
        <v>0</v>
      </c>
    </row>
    <row r="452" spans="3:9">
      <c r="C452" s="23">
        <v>445</v>
      </c>
      <c r="D452" s="23" t="s">
        <v>132</v>
      </c>
      <c r="E452" s="23" t="str">
        <f>Contributions_Data!A446</f>
        <v>DA-001</v>
      </c>
      <c r="F452" s="23" t="str">
        <f>Contributions_Data!B446</f>
        <v>DA-001-M0038</v>
      </c>
      <c r="G452" s="24">
        <f>Contributions_Data!C446</f>
        <v>45509</v>
      </c>
      <c r="H452" s="27">
        <f>Contributions_Data!D446</f>
        <v>22720.080000000002</v>
      </c>
      <c r="I452" s="27">
        <v>0</v>
      </c>
    </row>
    <row r="453" spans="3:9">
      <c r="C453" s="23">
        <v>446</v>
      </c>
      <c r="D453" s="23" t="s">
        <v>132</v>
      </c>
      <c r="E453" s="23" t="str">
        <f>Contributions_Data!A447</f>
        <v>DA-001</v>
      </c>
      <c r="F453" s="23" t="str">
        <f>Contributions_Data!B447</f>
        <v>DA-001-M0038</v>
      </c>
      <c r="G453" s="24">
        <f>Contributions_Data!C447</f>
        <v>45355</v>
      </c>
      <c r="H453" s="27">
        <f>Contributions_Data!D447</f>
        <v>15177.66</v>
      </c>
      <c r="I453" s="27">
        <v>0</v>
      </c>
    </row>
    <row r="454" spans="3:9">
      <c r="C454" s="23">
        <v>447</v>
      </c>
      <c r="D454" s="23" t="s">
        <v>132</v>
      </c>
      <c r="E454" s="23" t="str">
        <f>Contributions_Data!A448</f>
        <v>DA-001</v>
      </c>
      <c r="F454" s="23" t="str">
        <f>Contributions_Data!B448</f>
        <v>DA-001-M0038</v>
      </c>
      <c r="G454" s="24">
        <f>Contributions_Data!C448</f>
        <v>45387</v>
      </c>
      <c r="H454" s="27">
        <f>Contributions_Data!D448</f>
        <v>14927.62</v>
      </c>
      <c r="I454" s="27">
        <v>0</v>
      </c>
    </row>
    <row r="455" spans="3:9">
      <c r="C455" s="23">
        <v>448</v>
      </c>
      <c r="D455" s="23" t="s">
        <v>132</v>
      </c>
      <c r="E455" s="23" t="str">
        <f>Contributions_Data!A449</f>
        <v>DA-001</v>
      </c>
      <c r="F455" s="23" t="str">
        <f>Contributions_Data!B449</f>
        <v>DA-001-M0038</v>
      </c>
      <c r="G455" s="24">
        <f>Contributions_Data!C449</f>
        <v>45527</v>
      </c>
      <c r="H455" s="27">
        <f>Contributions_Data!D449</f>
        <v>15594.25</v>
      </c>
      <c r="I455" s="27">
        <v>0</v>
      </c>
    </row>
    <row r="456" spans="3:9">
      <c r="C456" s="23">
        <v>449</v>
      </c>
      <c r="D456" s="23" t="s">
        <v>132</v>
      </c>
      <c r="E456" s="23" t="str">
        <f>Contributions_Data!A450</f>
        <v>DA-001</v>
      </c>
      <c r="F456" s="23" t="str">
        <f>Contributions_Data!B450</f>
        <v>DA-001-M0038</v>
      </c>
      <c r="G456" s="24">
        <f>Contributions_Data!C450</f>
        <v>45466</v>
      </c>
      <c r="H456" s="27">
        <f>Contributions_Data!D450</f>
        <v>14566.92</v>
      </c>
      <c r="I456" s="27">
        <v>0</v>
      </c>
    </row>
    <row r="457" spans="3:9">
      <c r="C457" s="23">
        <v>450</v>
      </c>
      <c r="D457" s="23" t="s">
        <v>132</v>
      </c>
      <c r="E457" s="23" t="str">
        <f>Contributions_Data!A451</f>
        <v>DA-001</v>
      </c>
      <c r="F457" s="23" t="str">
        <f>Contributions_Data!B451</f>
        <v>DA-001-M0038</v>
      </c>
      <c r="G457" s="24">
        <f>Contributions_Data!C451</f>
        <v>45510</v>
      </c>
      <c r="H457" s="27">
        <f>Contributions_Data!D451</f>
        <v>13279.01</v>
      </c>
      <c r="I457" s="27">
        <v>0</v>
      </c>
    </row>
    <row r="458" spans="3:9">
      <c r="C458" s="23">
        <v>451</v>
      </c>
      <c r="D458" s="23" t="s">
        <v>132</v>
      </c>
      <c r="E458" s="23" t="str">
        <f>Contributions_Data!A452</f>
        <v>DA-001</v>
      </c>
      <c r="F458" s="23" t="str">
        <f>Contributions_Data!B452</f>
        <v>DA-001-M0038</v>
      </c>
      <c r="G458" s="24">
        <f>Contributions_Data!C452</f>
        <v>45568</v>
      </c>
      <c r="H458" s="27">
        <f>Contributions_Data!D452</f>
        <v>14901.74</v>
      </c>
      <c r="I458" s="27">
        <v>0</v>
      </c>
    </row>
    <row r="459" spans="3:9">
      <c r="C459" s="23">
        <v>452</v>
      </c>
      <c r="D459" s="23" t="s">
        <v>132</v>
      </c>
      <c r="E459" s="23" t="str">
        <f>Contributions_Data!A453</f>
        <v>DA-001</v>
      </c>
      <c r="F459" s="23" t="str">
        <f>Contributions_Data!B453</f>
        <v>DA-001-M0038</v>
      </c>
      <c r="G459" s="24">
        <f>Contributions_Data!C453</f>
        <v>45472</v>
      </c>
      <c r="H459" s="27">
        <f>Contributions_Data!D453</f>
        <v>12861.46</v>
      </c>
      <c r="I459" s="27">
        <v>0</v>
      </c>
    </row>
    <row r="460" spans="3:9">
      <c r="C460" s="23">
        <v>453</v>
      </c>
      <c r="D460" s="23" t="s">
        <v>132</v>
      </c>
      <c r="E460" s="23" t="str">
        <f>Contributions_Data!A454</f>
        <v>DA-001</v>
      </c>
      <c r="F460" s="23" t="str">
        <f>Contributions_Data!B454</f>
        <v>DA-001-M0038</v>
      </c>
      <c r="G460" s="24">
        <f>Contributions_Data!C454</f>
        <v>45491</v>
      </c>
      <c r="H460" s="27">
        <f>Contributions_Data!D454</f>
        <v>15319.29</v>
      </c>
      <c r="I460" s="27">
        <v>0</v>
      </c>
    </row>
    <row r="461" spans="3:9">
      <c r="C461" s="23">
        <v>454</v>
      </c>
      <c r="D461" s="23" t="s">
        <v>132</v>
      </c>
      <c r="E461" s="23" t="str">
        <f>Contributions_Data!A455</f>
        <v>DA-001</v>
      </c>
      <c r="F461" s="23" t="str">
        <f>Contributions_Data!B455</f>
        <v>DA-001-M0038</v>
      </c>
      <c r="G461" s="24">
        <f>Contributions_Data!C455</f>
        <v>45626</v>
      </c>
      <c r="H461" s="27">
        <f>Contributions_Data!D455</f>
        <v>14235.07</v>
      </c>
      <c r="I461" s="27">
        <v>0</v>
      </c>
    </row>
    <row r="462" spans="3:9">
      <c r="C462" s="23">
        <v>455</v>
      </c>
      <c r="D462" s="23" t="s">
        <v>132</v>
      </c>
      <c r="E462" s="23" t="str">
        <f>Contributions_Data!A456</f>
        <v>DA-001</v>
      </c>
      <c r="F462" s="23" t="str">
        <f>Contributions_Data!B456</f>
        <v>DA-001-M0038</v>
      </c>
      <c r="G462" s="24">
        <f>Contributions_Data!C456</f>
        <v>45295</v>
      </c>
      <c r="H462" s="27">
        <f>Contributions_Data!D456</f>
        <v>19511.98</v>
      </c>
      <c r="I462" s="27">
        <v>0</v>
      </c>
    </row>
    <row r="463" spans="3:9">
      <c r="C463" s="23">
        <v>456</v>
      </c>
      <c r="D463" s="23" t="s">
        <v>132</v>
      </c>
      <c r="E463" s="23" t="str">
        <f>Contributions_Data!A457</f>
        <v>DA-001</v>
      </c>
      <c r="F463" s="23" t="str">
        <f>Contributions_Data!B457</f>
        <v>DA-001-M0038</v>
      </c>
      <c r="G463" s="24">
        <f>Contributions_Data!C457</f>
        <v>45403</v>
      </c>
      <c r="H463" s="27">
        <f>Contributions_Data!D457</f>
        <v>18274.52</v>
      </c>
      <c r="I463" s="27">
        <v>0</v>
      </c>
    </row>
    <row r="464" spans="3:9">
      <c r="C464" s="23">
        <v>457</v>
      </c>
      <c r="D464" s="23" t="s">
        <v>132</v>
      </c>
      <c r="E464" s="23" t="str">
        <f>Contributions_Data!A458</f>
        <v>DA-002</v>
      </c>
      <c r="F464" s="23" t="str">
        <f>Contributions_Data!B458</f>
        <v>DA-002-M0039</v>
      </c>
      <c r="G464" s="24">
        <f>Contributions_Data!C458</f>
        <v>45471</v>
      </c>
      <c r="H464" s="27">
        <f>Contributions_Data!D458</f>
        <v>18738.259999999998</v>
      </c>
      <c r="I464" s="27">
        <v>0</v>
      </c>
    </row>
    <row r="465" spans="3:9">
      <c r="C465" s="23">
        <v>458</v>
      </c>
      <c r="D465" s="23" t="s">
        <v>132</v>
      </c>
      <c r="E465" s="23" t="str">
        <f>Contributions_Data!A459</f>
        <v>DA-002</v>
      </c>
      <c r="F465" s="23" t="str">
        <f>Contributions_Data!B459</f>
        <v>DA-002-M0039</v>
      </c>
      <c r="G465" s="24">
        <f>Contributions_Data!C459</f>
        <v>45361</v>
      </c>
      <c r="H465" s="27">
        <f>Contributions_Data!D459</f>
        <v>13971.94</v>
      </c>
      <c r="I465" s="27">
        <v>0</v>
      </c>
    </row>
    <row r="466" spans="3:9">
      <c r="C466" s="23">
        <v>459</v>
      </c>
      <c r="D466" s="23" t="s">
        <v>132</v>
      </c>
      <c r="E466" s="23" t="str">
        <f>Contributions_Data!A460</f>
        <v>DA-002</v>
      </c>
      <c r="F466" s="23" t="str">
        <f>Contributions_Data!B460</f>
        <v>DA-002-M0039</v>
      </c>
      <c r="G466" s="24">
        <f>Contributions_Data!C460</f>
        <v>45305</v>
      </c>
      <c r="H466" s="27">
        <f>Contributions_Data!D460</f>
        <v>13885.68</v>
      </c>
      <c r="I466" s="27">
        <v>0</v>
      </c>
    </row>
    <row r="467" spans="3:9">
      <c r="C467" s="23">
        <v>460</v>
      </c>
      <c r="D467" s="23" t="s">
        <v>132</v>
      </c>
      <c r="E467" s="23" t="str">
        <f>Contributions_Data!A461</f>
        <v>DA-002</v>
      </c>
      <c r="F467" s="23" t="str">
        <f>Contributions_Data!B461</f>
        <v>DA-002-M0039</v>
      </c>
      <c r="G467" s="24">
        <f>Contributions_Data!C461</f>
        <v>45626</v>
      </c>
      <c r="H467" s="27">
        <f>Contributions_Data!D461</f>
        <v>10777.46</v>
      </c>
      <c r="I467" s="27">
        <v>0</v>
      </c>
    </row>
    <row r="468" spans="3:9">
      <c r="C468" s="23">
        <v>461</v>
      </c>
      <c r="D468" s="23" t="s">
        <v>132</v>
      </c>
      <c r="E468" s="23" t="str">
        <f>Contributions_Data!A462</f>
        <v>DA-002</v>
      </c>
      <c r="F468" s="23" t="str">
        <f>Contributions_Data!B462</f>
        <v>DA-002-M0039</v>
      </c>
      <c r="G468" s="24">
        <f>Contributions_Data!C462</f>
        <v>45413</v>
      </c>
      <c r="H468" s="27">
        <f>Contributions_Data!D462</f>
        <v>12666.55</v>
      </c>
      <c r="I468" s="27">
        <v>0</v>
      </c>
    </row>
    <row r="469" spans="3:9">
      <c r="C469" s="23">
        <v>462</v>
      </c>
      <c r="D469" s="23" t="s">
        <v>132</v>
      </c>
      <c r="E469" s="23" t="str">
        <f>Contributions_Data!A463</f>
        <v>DA-002</v>
      </c>
      <c r="F469" s="23" t="str">
        <f>Contributions_Data!B463</f>
        <v>DA-002-M0039</v>
      </c>
      <c r="G469" s="24">
        <f>Contributions_Data!C463</f>
        <v>45315</v>
      </c>
      <c r="H469" s="27">
        <f>Contributions_Data!D463</f>
        <v>20256.810000000001</v>
      </c>
      <c r="I469" s="27">
        <v>0</v>
      </c>
    </row>
    <row r="470" spans="3:9">
      <c r="C470" s="23">
        <v>463</v>
      </c>
      <c r="D470" s="23" t="s">
        <v>132</v>
      </c>
      <c r="E470" s="23" t="str">
        <f>Contributions_Data!A464</f>
        <v>DA-002</v>
      </c>
      <c r="F470" s="23" t="str">
        <f>Contributions_Data!B464</f>
        <v>DA-002-M0039</v>
      </c>
      <c r="G470" s="24">
        <f>Contributions_Data!C464</f>
        <v>45508</v>
      </c>
      <c r="H470" s="27">
        <f>Contributions_Data!D464</f>
        <v>17807.04</v>
      </c>
      <c r="I470" s="27">
        <v>0</v>
      </c>
    </row>
    <row r="471" spans="3:9">
      <c r="C471" s="23">
        <v>464</v>
      </c>
      <c r="D471" s="23" t="s">
        <v>132</v>
      </c>
      <c r="E471" s="23" t="str">
        <f>Contributions_Data!A465</f>
        <v>DA-002</v>
      </c>
      <c r="F471" s="23" t="str">
        <f>Contributions_Data!B465</f>
        <v>DA-002-M0039</v>
      </c>
      <c r="G471" s="24">
        <f>Contributions_Data!C465</f>
        <v>45394</v>
      </c>
      <c r="H471" s="27">
        <f>Contributions_Data!D465</f>
        <v>18814.669999999998</v>
      </c>
      <c r="I471" s="27">
        <v>0</v>
      </c>
    </row>
    <row r="472" spans="3:9">
      <c r="C472" s="23">
        <v>465</v>
      </c>
      <c r="D472" s="23" t="s">
        <v>132</v>
      </c>
      <c r="E472" s="23" t="str">
        <f>Contributions_Data!A466</f>
        <v>DA-002</v>
      </c>
      <c r="F472" s="23" t="str">
        <f>Contributions_Data!B466</f>
        <v>DA-002-M0039</v>
      </c>
      <c r="G472" s="24">
        <f>Contributions_Data!C466</f>
        <v>45646</v>
      </c>
      <c r="H472" s="27">
        <f>Contributions_Data!D466</f>
        <v>17165.02</v>
      </c>
      <c r="I472" s="27">
        <v>0</v>
      </c>
    </row>
    <row r="473" spans="3:9">
      <c r="C473" s="23">
        <v>466</v>
      </c>
      <c r="D473" s="23" t="s">
        <v>132</v>
      </c>
      <c r="E473" s="23" t="str">
        <f>Contributions_Data!A467</f>
        <v>DA-002</v>
      </c>
      <c r="F473" s="23" t="str">
        <f>Contributions_Data!B467</f>
        <v>DA-002-M0039</v>
      </c>
      <c r="G473" s="24">
        <f>Contributions_Data!C467</f>
        <v>45454</v>
      </c>
      <c r="H473" s="27">
        <f>Contributions_Data!D467</f>
        <v>11612.84</v>
      </c>
      <c r="I473" s="27">
        <v>0</v>
      </c>
    </row>
    <row r="474" spans="3:9">
      <c r="C474" s="23">
        <v>467</v>
      </c>
      <c r="D474" s="23" t="s">
        <v>132</v>
      </c>
      <c r="E474" s="23" t="str">
        <f>Contributions_Data!A468</f>
        <v>DA-002</v>
      </c>
      <c r="F474" s="23" t="str">
        <f>Contributions_Data!B468</f>
        <v>DA-002-M0039</v>
      </c>
      <c r="G474" s="24">
        <f>Contributions_Data!C468</f>
        <v>45301</v>
      </c>
      <c r="H474" s="27">
        <f>Contributions_Data!D468</f>
        <v>13426.44</v>
      </c>
      <c r="I474" s="27">
        <v>0</v>
      </c>
    </row>
    <row r="475" spans="3:9">
      <c r="C475" s="23">
        <v>468</v>
      </c>
      <c r="D475" s="23" t="s">
        <v>132</v>
      </c>
      <c r="E475" s="23" t="str">
        <f>Contributions_Data!A469</f>
        <v>DA-002</v>
      </c>
      <c r="F475" s="23" t="str">
        <f>Contributions_Data!B469</f>
        <v>DA-002-M0039</v>
      </c>
      <c r="G475" s="24">
        <f>Contributions_Data!C469</f>
        <v>45555</v>
      </c>
      <c r="H475" s="27">
        <f>Contributions_Data!D469</f>
        <v>16468.12</v>
      </c>
      <c r="I475" s="27">
        <v>0</v>
      </c>
    </row>
    <row r="476" spans="3:9">
      <c r="C476" s="23">
        <v>469</v>
      </c>
      <c r="D476" s="23" t="s">
        <v>132</v>
      </c>
      <c r="E476" s="23" t="str">
        <f>Contributions_Data!A470</f>
        <v>DA-002</v>
      </c>
      <c r="F476" s="23" t="str">
        <f>Contributions_Data!B470</f>
        <v>DA-002-M0040</v>
      </c>
      <c r="G476" s="24">
        <f>Contributions_Data!C470</f>
        <v>45406</v>
      </c>
      <c r="H476" s="27">
        <f>Contributions_Data!D470</f>
        <v>17139</v>
      </c>
      <c r="I476" s="27">
        <v>0</v>
      </c>
    </row>
    <row r="477" spans="3:9">
      <c r="C477" s="23">
        <v>470</v>
      </c>
      <c r="D477" s="23" t="s">
        <v>132</v>
      </c>
      <c r="E477" s="23" t="str">
        <f>Contributions_Data!A471</f>
        <v>DA-002</v>
      </c>
      <c r="F477" s="23" t="str">
        <f>Contributions_Data!B471</f>
        <v>DA-002-M0040</v>
      </c>
      <c r="G477" s="24">
        <f>Contributions_Data!C471</f>
        <v>45649</v>
      </c>
      <c r="H477" s="27">
        <f>Contributions_Data!D471</f>
        <v>14279.02</v>
      </c>
      <c r="I477" s="27">
        <v>0</v>
      </c>
    </row>
    <row r="478" spans="3:9">
      <c r="C478" s="23">
        <v>471</v>
      </c>
      <c r="D478" s="23" t="s">
        <v>132</v>
      </c>
      <c r="E478" s="23" t="str">
        <f>Contributions_Data!A472</f>
        <v>DA-002</v>
      </c>
      <c r="F478" s="23" t="str">
        <f>Contributions_Data!B472</f>
        <v>DA-002-M0040</v>
      </c>
      <c r="G478" s="24">
        <f>Contributions_Data!C472</f>
        <v>45580</v>
      </c>
      <c r="H478" s="27">
        <f>Contributions_Data!D472</f>
        <v>13875.54</v>
      </c>
      <c r="I478" s="27">
        <v>0</v>
      </c>
    </row>
    <row r="479" spans="3:9">
      <c r="C479" s="23">
        <v>472</v>
      </c>
      <c r="D479" s="23" t="s">
        <v>132</v>
      </c>
      <c r="E479" s="23" t="str">
        <f>Contributions_Data!A473</f>
        <v>DA-002</v>
      </c>
      <c r="F479" s="23" t="str">
        <f>Contributions_Data!B473</f>
        <v>DA-002-M0040</v>
      </c>
      <c r="G479" s="24">
        <f>Contributions_Data!C473</f>
        <v>45339</v>
      </c>
      <c r="H479" s="27">
        <f>Contributions_Data!D473</f>
        <v>17132.88</v>
      </c>
      <c r="I479" s="27">
        <v>0</v>
      </c>
    </row>
    <row r="480" spans="3:9">
      <c r="C480" s="23">
        <v>473</v>
      </c>
      <c r="D480" s="23" t="s">
        <v>132</v>
      </c>
      <c r="E480" s="23" t="str">
        <f>Contributions_Data!A474</f>
        <v>DA-002</v>
      </c>
      <c r="F480" s="23" t="str">
        <f>Contributions_Data!B474</f>
        <v>DA-002-M0040</v>
      </c>
      <c r="G480" s="24">
        <f>Contributions_Data!C474</f>
        <v>45579</v>
      </c>
      <c r="H480" s="27">
        <f>Contributions_Data!D474</f>
        <v>16332.79</v>
      </c>
      <c r="I480" s="27">
        <v>0</v>
      </c>
    </row>
    <row r="481" spans="3:9">
      <c r="C481" s="23">
        <v>474</v>
      </c>
      <c r="D481" s="23" t="s">
        <v>132</v>
      </c>
      <c r="E481" s="23" t="str">
        <f>Contributions_Data!A475</f>
        <v>DA-002</v>
      </c>
      <c r="F481" s="23" t="str">
        <f>Contributions_Data!B475</f>
        <v>DA-002-M0040</v>
      </c>
      <c r="G481" s="24">
        <f>Contributions_Data!C475</f>
        <v>45568</v>
      </c>
      <c r="H481" s="27">
        <f>Contributions_Data!D475</f>
        <v>13917.1</v>
      </c>
      <c r="I481" s="27">
        <v>0</v>
      </c>
    </row>
    <row r="482" spans="3:9">
      <c r="C482" s="23">
        <v>475</v>
      </c>
      <c r="D482" s="23" t="s">
        <v>132</v>
      </c>
      <c r="E482" s="23" t="str">
        <f>Contributions_Data!A476</f>
        <v>DA-002</v>
      </c>
      <c r="F482" s="23" t="str">
        <f>Contributions_Data!B476</f>
        <v>DA-002-M0040</v>
      </c>
      <c r="G482" s="24">
        <f>Contributions_Data!C476</f>
        <v>45481</v>
      </c>
      <c r="H482" s="27">
        <f>Contributions_Data!D476</f>
        <v>18477.990000000002</v>
      </c>
      <c r="I482" s="27">
        <v>0</v>
      </c>
    </row>
    <row r="483" spans="3:9">
      <c r="C483" s="23">
        <v>476</v>
      </c>
      <c r="D483" s="23" t="s">
        <v>132</v>
      </c>
      <c r="E483" s="23" t="str">
        <f>Contributions_Data!A477</f>
        <v>DA-002</v>
      </c>
      <c r="F483" s="23" t="str">
        <f>Contributions_Data!B477</f>
        <v>DA-002-M0040</v>
      </c>
      <c r="G483" s="24">
        <f>Contributions_Data!C477</f>
        <v>45558</v>
      </c>
      <c r="H483" s="27">
        <f>Contributions_Data!D477</f>
        <v>16847.810000000001</v>
      </c>
      <c r="I483" s="27">
        <v>0</v>
      </c>
    </row>
    <row r="484" spans="3:9">
      <c r="C484" s="23">
        <v>477</v>
      </c>
      <c r="D484" s="23" t="s">
        <v>132</v>
      </c>
      <c r="E484" s="23" t="str">
        <f>Contributions_Data!A478</f>
        <v>DA-002</v>
      </c>
      <c r="F484" s="23" t="str">
        <f>Contributions_Data!B478</f>
        <v>DA-002-M0040</v>
      </c>
      <c r="G484" s="24">
        <f>Contributions_Data!C478</f>
        <v>45599</v>
      </c>
      <c r="H484" s="27">
        <f>Contributions_Data!D478</f>
        <v>14071.36</v>
      </c>
      <c r="I484" s="27">
        <v>0</v>
      </c>
    </row>
    <row r="485" spans="3:9">
      <c r="C485" s="23">
        <v>478</v>
      </c>
      <c r="D485" s="23" t="s">
        <v>132</v>
      </c>
      <c r="E485" s="23" t="str">
        <f>Contributions_Data!A479</f>
        <v>DA-002</v>
      </c>
      <c r="F485" s="23" t="str">
        <f>Contributions_Data!B479</f>
        <v>DA-002-M0040</v>
      </c>
      <c r="G485" s="24">
        <f>Contributions_Data!C479</f>
        <v>45328</v>
      </c>
      <c r="H485" s="27">
        <f>Contributions_Data!D479</f>
        <v>11246.66</v>
      </c>
      <c r="I485" s="27">
        <v>0</v>
      </c>
    </row>
    <row r="486" spans="3:9">
      <c r="C486" s="23">
        <v>479</v>
      </c>
      <c r="D486" s="23" t="s">
        <v>132</v>
      </c>
      <c r="E486" s="23" t="str">
        <f>Contributions_Data!A480</f>
        <v>DA-002</v>
      </c>
      <c r="F486" s="23" t="str">
        <f>Contributions_Data!B480</f>
        <v>DA-002-M0040</v>
      </c>
      <c r="G486" s="24">
        <f>Contributions_Data!C480</f>
        <v>45456</v>
      </c>
      <c r="H486" s="27">
        <f>Contributions_Data!D480</f>
        <v>17772.080000000002</v>
      </c>
      <c r="I486" s="27">
        <v>0</v>
      </c>
    </row>
    <row r="487" spans="3:9">
      <c r="C487" s="23">
        <v>480</v>
      </c>
      <c r="D487" s="23" t="s">
        <v>132</v>
      </c>
      <c r="E487" s="23" t="str">
        <f>Contributions_Data!A481</f>
        <v>DA-002</v>
      </c>
      <c r="F487" s="23" t="str">
        <f>Contributions_Data!B481</f>
        <v>DA-002-M0040</v>
      </c>
      <c r="G487" s="24">
        <f>Contributions_Data!C481</f>
        <v>45564</v>
      </c>
      <c r="H487" s="27">
        <f>Contributions_Data!D481</f>
        <v>13431.83</v>
      </c>
      <c r="I487" s="27">
        <v>0</v>
      </c>
    </row>
    <row r="488" spans="3:9">
      <c r="C488" s="23">
        <v>481</v>
      </c>
      <c r="D488" s="23" t="s">
        <v>132</v>
      </c>
      <c r="E488" s="23" t="str">
        <f>Contributions_Data!A482</f>
        <v>DA-002</v>
      </c>
      <c r="F488" s="23" t="str">
        <f>Contributions_Data!B482</f>
        <v>DA-002-M0041</v>
      </c>
      <c r="G488" s="24">
        <f>Contributions_Data!C482</f>
        <v>45625</v>
      </c>
      <c r="H488" s="27">
        <f>Contributions_Data!D482</f>
        <v>18147.03</v>
      </c>
      <c r="I488" s="27">
        <v>0</v>
      </c>
    </row>
    <row r="489" spans="3:9">
      <c r="C489" s="23">
        <v>482</v>
      </c>
      <c r="D489" s="23" t="s">
        <v>132</v>
      </c>
      <c r="E489" s="23" t="str">
        <f>Contributions_Data!A483</f>
        <v>DA-002</v>
      </c>
      <c r="F489" s="23" t="str">
        <f>Contributions_Data!B483</f>
        <v>DA-002-M0041</v>
      </c>
      <c r="G489" s="24">
        <f>Contributions_Data!C483</f>
        <v>45402</v>
      </c>
      <c r="H489" s="27">
        <f>Contributions_Data!D483</f>
        <v>12886.97</v>
      </c>
      <c r="I489" s="27">
        <v>0</v>
      </c>
    </row>
    <row r="490" spans="3:9">
      <c r="C490" s="23">
        <v>483</v>
      </c>
      <c r="D490" s="23" t="s">
        <v>132</v>
      </c>
      <c r="E490" s="23" t="str">
        <f>Contributions_Data!A484</f>
        <v>DA-002</v>
      </c>
      <c r="F490" s="23" t="str">
        <f>Contributions_Data!B484</f>
        <v>DA-002-M0041</v>
      </c>
      <c r="G490" s="24">
        <f>Contributions_Data!C484</f>
        <v>45371</v>
      </c>
      <c r="H490" s="27">
        <f>Contributions_Data!D484</f>
        <v>10330.11</v>
      </c>
      <c r="I490" s="27">
        <v>0</v>
      </c>
    </row>
    <row r="491" spans="3:9">
      <c r="C491" s="23">
        <v>484</v>
      </c>
      <c r="D491" s="23" t="s">
        <v>132</v>
      </c>
      <c r="E491" s="23" t="str">
        <f>Contributions_Data!A485</f>
        <v>DA-002</v>
      </c>
      <c r="F491" s="23" t="str">
        <f>Contributions_Data!B485</f>
        <v>DA-002-M0041</v>
      </c>
      <c r="G491" s="24">
        <f>Contributions_Data!C485</f>
        <v>45436</v>
      </c>
      <c r="H491" s="27">
        <f>Contributions_Data!D485</f>
        <v>11158.71</v>
      </c>
      <c r="I491" s="27">
        <v>0</v>
      </c>
    </row>
    <row r="492" spans="3:9">
      <c r="C492" s="23">
        <v>485</v>
      </c>
      <c r="D492" s="23" t="s">
        <v>132</v>
      </c>
      <c r="E492" s="23" t="str">
        <f>Contributions_Data!A486</f>
        <v>DA-002</v>
      </c>
      <c r="F492" s="23" t="str">
        <f>Contributions_Data!B486</f>
        <v>DA-002-M0041</v>
      </c>
      <c r="G492" s="24">
        <f>Contributions_Data!C486</f>
        <v>45637</v>
      </c>
      <c r="H492" s="27">
        <f>Contributions_Data!D486</f>
        <v>20264.38</v>
      </c>
      <c r="I492" s="27">
        <v>0</v>
      </c>
    </row>
    <row r="493" spans="3:9">
      <c r="C493" s="23">
        <v>486</v>
      </c>
      <c r="D493" s="23" t="s">
        <v>132</v>
      </c>
      <c r="E493" s="23" t="str">
        <f>Contributions_Data!A487</f>
        <v>DA-002</v>
      </c>
      <c r="F493" s="23" t="str">
        <f>Contributions_Data!B487</f>
        <v>DA-002-M0041</v>
      </c>
      <c r="G493" s="24">
        <f>Contributions_Data!C487</f>
        <v>45348</v>
      </c>
      <c r="H493" s="27">
        <f>Contributions_Data!D487</f>
        <v>8754.2099999999991</v>
      </c>
      <c r="I493" s="27">
        <v>0</v>
      </c>
    </row>
    <row r="494" spans="3:9">
      <c r="C494" s="23">
        <v>487</v>
      </c>
      <c r="D494" s="23" t="s">
        <v>132</v>
      </c>
      <c r="E494" s="23" t="str">
        <f>Contributions_Data!A488</f>
        <v>DA-002</v>
      </c>
      <c r="F494" s="23" t="str">
        <f>Contributions_Data!B488</f>
        <v>DA-002-M0041</v>
      </c>
      <c r="G494" s="24">
        <f>Contributions_Data!C488</f>
        <v>45338</v>
      </c>
      <c r="H494" s="27">
        <f>Contributions_Data!D488</f>
        <v>20089.37</v>
      </c>
      <c r="I494" s="27">
        <v>0</v>
      </c>
    </row>
    <row r="495" spans="3:9">
      <c r="C495" s="23">
        <v>488</v>
      </c>
      <c r="D495" s="23" t="s">
        <v>132</v>
      </c>
      <c r="E495" s="23" t="str">
        <f>Contributions_Data!A489</f>
        <v>DA-002</v>
      </c>
      <c r="F495" s="23" t="str">
        <f>Contributions_Data!B489</f>
        <v>DA-002-M0041</v>
      </c>
      <c r="G495" s="24">
        <f>Contributions_Data!C489</f>
        <v>45593</v>
      </c>
      <c r="H495" s="27">
        <f>Contributions_Data!D489</f>
        <v>15633.05</v>
      </c>
      <c r="I495" s="27">
        <v>0</v>
      </c>
    </row>
    <row r="496" spans="3:9">
      <c r="C496" s="23">
        <v>489</v>
      </c>
      <c r="D496" s="23" t="s">
        <v>132</v>
      </c>
      <c r="E496" s="23" t="str">
        <f>Contributions_Data!A490</f>
        <v>DA-002</v>
      </c>
      <c r="F496" s="23" t="str">
        <f>Contributions_Data!B490</f>
        <v>DA-002-M0041</v>
      </c>
      <c r="G496" s="24">
        <f>Contributions_Data!C490</f>
        <v>45423</v>
      </c>
      <c r="H496" s="27">
        <f>Contributions_Data!D490</f>
        <v>14709.86</v>
      </c>
      <c r="I496" s="27">
        <v>0</v>
      </c>
    </row>
    <row r="497" spans="3:9">
      <c r="C497" s="23">
        <v>490</v>
      </c>
      <c r="D497" s="23" t="s">
        <v>132</v>
      </c>
      <c r="E497" s="23" t="str">
        <f>Contributions_Data!A491</f>
        <v>DA-002</v>
      </c>
      <c r="F497" s="23" t="str">
        <f>Contributions_Data!B491</f>
        <v>DA-002-M0041</v>
      </c>
      <c r="G497" s="24">
        <f>Contributions_Data!C491</f>
        <v>45339</v>
      </c>
      <c r="H497" s="27">
        <f>Contributions_Data!D491</f>
        <v>13365.24</v>
      </c>
      <c r="I497" s="27">
        <v>0</v>
      </c>
    </row>
    <row r="498" spans="3:9">
      <c r="C498" s="23">
        <v>491</v>
      </c>
      <c r="D498" s="23" t="s">
        <v>132</v>
      </c>
      <c r="E498" s="23" t="str">
        <f>Contributions_Data!A492</f>
        <v>DA-002</v>
      </c>
      <c r="F498" s="23" t="str">
        <f>Contributions_Data!B492</f>
        <v>DA-002-M0041</v>
      </c>
      <c r="G498" s="24">
        <f>Contributions_Data!C492</f>
        <v>45447</v>
      </c>
      <c r="H498" s="27">
        <f>Contributions_Data!D492</f>
        <v>16197.41</v>
      </c>
      <c r="I498" s="27">
        <v>0</v>
      </c>
    </row>
    <row r="499" spans="3:9">
      <c r="C499" s="23">
        <v>492</v>
      </c>
      <c r="D499" s="23" t="s">
        <v>132</v>
      </c>
      <c r="E499" s="23" t="str">
        <f>Contributions_Data!A493</f>
        <v>DA-002</v>
      </c>
      <c r="F499" s="23" t="str">
        <f>Contributions_Data!B493</f>
        <v>DA-002-M0041</v>
      </c>
      <c r="G499" s="24">
        <f>Contributions_Data!C493</f>
        <v>45363</v>
      </c>
      <c r="H499" s="27">
        <f>Contributions_Data!D493</f>
        <v>14887.1</v>
      </c>
      <c r="I499" s="27">
        <v>0</v>
      </c>
    </row>
    <row r="500" spans="3:9">
      <c r="C500" s="23">
        <v>493</v>
      </c>
      <c r="D500" s="23" t="s">
        <v>132</v>
      </c>
      <c r="E500" s="23" t="str">
        <f>Contributions_Data!A494</f>
        <v>DA-002</v>
      </c>
      <c r="F500" s="23" t="str">
        <f>Contributions_Data!B494</f>
        <v>DA-002-M0042</v>
      </c>
      <c r="G500" s="24">
        <f>Contributions_Data!C494</f>
        <v>45387</v>
      </c>
      <c r="H500" s="27">
        <f>Contributions_Data!D494</f>
        <v>18309.91</v>
      </c>
      <c r="I500" s="27">
        <v>0</v>
      </c>
    </row>
    <row r="501" spans="3:9">
      <c r="C501" s="23">
        <v>494</v>
      </c>
      <c r="D501" s="23" t="s">
        <v>132</v>
      </c>
      <c r="E501" s="23" t="str">
        <f>Contributions_Data!A495</f>
        <v>DA-002</v>
      </c>
      <c r="F501" s="23" t="str">
        <f>Contributions_Data!B495</f>
        <v>DA-002-M0042</v>
      </c>
      <c r="G501" s="24">
        <f>Contributions_Data!C495</f>
        <v>45618</v>
      </c>
      <c r="H501" s="27">
        <f>Contributions_Data!D495</f>
        <v>15342.68</v>
      </c>
      <c r="I501" s="27">
        <v>0</v>
      </c>
    </row>
    <row r="502" spans="3:9">
      <c r="C502" s="23">
        <v>495</v>
      </c>
      <c r="D502" s="23" t="s">
        <v>132</v>
      </c>
      <c r="E502" s="23" t="str">
        <f>Contributions_Data!A496</f>
        <v>DA-002</v>
      </c>
      <c r="F502" s="23" t="str">
        <f>Contributions_Data!B496</f>
        <v>DA-002-M0042</v>
      </c>
      <c r="G502" s="24">
        <f>Contributions_Data!C496</f>
        <v>45535</v>
      </c>
      <c r="H502" s="27">
        <f>Contributions_Data!D496</f>
        <v>15450.91</v>
      </c>
      <c r="I502" s="27">
        <v>0</v>
      </c>
    </row>
    <row r="503" spans="3:9">
      <c r="C503" s="23">
        <v>496</v>
      </c>
      <c r="D503" s="23" t="s">
        <v>132</v>
      </c>
      <c r="E503" s="23" t="str">
        <f>Contributions_Data!A497</f>
        <v>DA-002</v>
      </c>
      <c r="F503" s="23" t="str">
        <f>Contributions_Data!B497</f>
        <v>DA-002-M0042</v>
      </c>
      <c r="G503" s="24">
        <f>Contributions_Data!C497</f>
        <v>45380</v>
      </c>
      <c r="H503" s="27">
        <f>Contributions_Data!D497</f>
        <v>13909.16</v>
      </c>
      <c r="I503" s="27">
        <v>0</v>
      </c>
    </row>
    <row r="504" spans="3:9">
      <c r="C504" s="23">
        <v>497</v>
      </c>
      <c r="D504" s="23" t="s">
        <v>132</v>
      </c>
      <c r="E504" s="23" t="str">
        <f>Contributions_Data!A498</f>
        <v>DA-002</v>
      </c>
      <c r="F504" s="23" t="str">
        <f>Contributions_Data!B498</f>
        <v>DA-002-M0042</v>
      </c>
      <c r="G504" s="24">
        <f>Contributions_Data!C498</f>
        <v>45331</v>
      </c>
      <c r="H504" s="27">
        <f>Contributions_Data!D498</f>
        <v>14829.16</v>
      </c>
      <c r="I504" s="27">
        <v>0</v>
      </c>
    </row>
    <row r="505" spans="3:9">
      <c r="C505" s="23">
        <v>498</v>
      </c>
      <c r="D505" s="23" t="s">
        <v>132</v>
      </c>
      <c r="E505" s="23" t="str">
        <f>Contributions_Data!A499</f>
        <v>DA-002</v>
      </c>
      <c r="F505" s="23" t="str">
        <f>Contributions_Data!B499</f>
        <v>DA-002-M0042</v>
      </c>
      <c r="G505" s="24">
        <f>Contributions_Data!C499</f>
        <v>45497</v>
      </c>
      <c r="H505" s="27">
        <f>Contributions_Data!D499</f>
        <v>9869.49</v>
      </c>
      <c r="I505" s="27">
        <v>0</v>
      </c>
    </row>
    <row r="506" spans="3:9">
      <c r="C506" s="23">
        <v>499</v>
      </c>
      <c r="D506" s="23" t="s">
        <v>132</v>
      </c>
      <c r="E506" s="23" t="str">
        <f>Contributions_Data!A500</f>
        <v>DA-002</v>
      </c>
      <c r="F506" s="23" t="str">
        <f>Contributions_Data!B500</f>
        <v>DA-002-M0042</v>
      </c>
      <c r="G506" s="24">
        <f>Contributions_Data!C500</f>
        <v>45404</v>
      </c>
      <c r="H506" s="27">
        <f>Contributions_Data!D500</f>
        <v>10955.44</v>
      </c>
      <c r="I506" s="27">
        <v>0</v>
      </c>
    </row>
    <row r="507" spans="3:9">
      <c r="C507" s="23">
        <v>500</v>
      </c>
      <c r="D507" s="23" t="s">
        <v>132</v>
      </c>
      <c r="E507" s="23" t="str">
        <f>Contributions_Data!A501</f>
        <v>DA-002</v>
      </c>
      <c r="F507" s="23" t="str">
        <f>Contributions_Data!B501</f>
        <v>DA-002-M0042</v>
      </c>
      <c r="G507" s="24">
        <f>Contributions_Data!C501</f>
        <v>45636</v>
      </c>
      <c r="H507" s="27">
        <f>Contributions_Data!D501</f>
        <v>17229.79</v>
      </c>
      <c r="I507" s="27">
        <v>0</v>
      </c>
    </row>
    <row r="508" spans="3:9">
      <c r="C508" s="23">
        <v>501</v>
      </c>
      <c r="D508" s="23" t="s">
        <v>132</v>
      </c>
      <c r="E508" s="23" t="str">
        <f>Contributions_Data!A502</f>
        <v>DA-002</v>
      </c>
      <c r="F508" s="23" t="str">
        <f>Contributions_Data!B502</f>
        <v>DA-002-M0042</v>
      </c>
      <c r="G508" s="24">
        <f>Contributions_Data!C502</f>
        <v>45367</v>
      </c>
      <c r="H508" s="27">
        <f>Contributions_Data!D502</f>
        <v>15512.6</v>
      </c>
      <c r="I508" s="27">
        <v>0</v>
      </c>
    </row>
    <row r="509" spans="3:9">
      <c r="C509" s="23">
        <v>502</v>
      </c>
      <c r="D509" s="23" t="s">
        <v>132</v>
      </c>
      <c r="E509" s="23" t="str">
        <f>Contributions_Data!A503</f>
        <v>DA-002</v>
      </c>
      <c r="F509" s="23" t="str">
        <f>Contributions_Data!B503</f>
        <v>DA-002-M0042</v>
      </c>
      <c r="G509" s="24">
        <f>Contributions_Data!C503</f>
        <v>45443</v>
      </c>
      <c r="H509" s="27">
        <f>Contributions_Data!D503</f>
        <v>14448.05</v>
      </c>
      <c r="I509" s="27">
        <v>0</v>
      </c>
    </row>
    <row r="510" spans="3:9">
      <c r="C510" s="23">
        <v>503</v>
      </c>
      <c r="D510" s="23" t="s">
        <v>132</v>
      </c>
      <c r="E510" s="23" t="str">
        <f>Contributions_Data!A504</f>
        <v>DA-002</v>
      </c>
      <c r="F510" s="23" t="str">
        <f>Contributions_Data!B504</f>
        <v>DA-002-M0042</v>
      </c>
      <c r="G510" s="24">
        <f>Contributions_Data!C504</f>
        <v>45393</v>
      </c>
      <c r="H510" s="27">
        <f>Contributions_Data!D504</f>
        <v>15055.3</v>
      </c>
      <c r="I510" s="27">
        <v>0</v>
      </c>
    </row>
    <row r="511" spans="3:9">
      <c r="C511" s="23">
        <v>504</v>
      </c>
      <c r="D511" s="23" t="s">
        <v>132</v>
      </c>
      <c r="E511" s="23" t="str">
        <f>Contributions_Data!A505</f>
        <v>DA-002</v>
      </c>
      <c r="F511" s="23" t="str">
        <f>Contributions_Data!B505</f>
        <v>DA-002-M0042</v>
      </c>
      <c r="G511" s="24">
        <f>Contributions_Data!C505</f>
        <v>45405</v>
      </c>
      <c r="H511" s="27">
        <f>Contributions_Data!D505</f>
        <v>16042.75</v>
      </c>
      <c r="I511" s="27">
        <v>0</v>
      </c>
    </row>
    <row r="512" spans="3:9">
      <c r="C512" s="23">
        <v>505</v>
      </c>
      <c r="D512" s="23" t="s">
        <v>132</v>
      </c>
      <c r="E512" s="23" t="str">
        <f>Contributions_Data!A506</f>
        <v>DA-001</v>
      </c>
      <c r="F512" s="23" t="str">
        <f>Contributions_Data!B506</f>
        <v>DA-001-M0043</v>
      </c>
      <c r="G512" s="24">
        <f>Contributions_Data!C506</f>
        <v>45656</v>
      </c>
      <c r="H512" s="27">
        <f>Contributions_Data!D506</f>
        <v>13380.72</v>
      </c>
      <c r="I512" s="27">
        <v>0</v>
      </c>
    </row>
    <row r="513" spans="3:9">
      <c r="C513" s="23">
        <v>506</v>
      </c>
      <c r="D513" s="23" t="s">
        <v>132</v>
      </c>
      <c r="E513" s="23" t="str">
        <f>Contributions_Data!A507</f>
        <v>DA-001</v>
      </c>
      <c r="F513" s="23" t="str">
        <f>Contributions_Data!B507</f>
        <v>DA-001-M0043</v>
      </c>
      <c r="G513" s="24">
        <f>Contributions_Data!C507</f>
        <v>45456</v>
      </c>
      <c r="H513" s="27">
        <f>Contributions_Data!D507</f>
        <v>12665.09</v>
      </c>
      <c r="I513" s="27">
        <v>0</v>
      </c>
    </row>
    <row r="514" spans="3:9">
      <c r="C514" s="23">
        <v>507</v>
      </c>
      <c r="D514" s="23" t="s">
        <v>132</v>
      </c>
      <c r="E514" s="23" t="str">
        <f>Contributions_Data!A508</f>
        <v>DA-001</v>
      </c>
      <c r="F514" s="23" t="str">
        <f>Contributions_Data!B508</f>
        <v>DA-001-M0043</v>
      </c>
      <c r="G514" s="24">
        <f>Contributions_Data!C508</f>
        <v>45369</v>
      </c>
      <c r="H514" s="27">
        <f>Contributions_Data!D508</f>
        <v>12064.88</v>
      </c>
      <c r="I514" s="27">
        <v>0</v>
      </c>
    </row>
    <row r="515" spans="3:9">
      <c r="C515" s="23">
        <v>508</v>
      </c>
      <c r="D515" s="23" t="s">
        <v>132</v>
      </c>
      <c r="E515" s="23" t="str">
        <f>Contributions_Data!A509</f>
        <v>DA-001</v>
      </c>
      <c r="F515" s="23" t="str">
        <f>Contributions_Data!B509</f>
        <v>DA-001-M0043</v>
      </c>
      <c r="G515" s="24">
        <f>Contributions_Data!C509</f>
        <v>45422</v>
      </c>
      <c r="H515" s="27">
        <f>Contributions_Data!D509</f>
        <v>16224.76</v>
      </c>
      <c r="I515" s="27">
        <v>0</v>
      </c>
    </row>
    <row r="516" spans="3:9">
      <c r="C516" s="23">
        <v>509</v>
      </c>
      <c r="D516" s="23" t="s">
        <v>132</v>
      </c>
      <c r="E516" s="23" t="str">
        <f>Contributions_Data!A510</f>
        <v>DA-001</v>
      </c>
      <c r="F516" s="23" t="str">
        <f>Contributions_Data!B510</f>
        <v>DA-001-M0043</v>
      </c>
      <c r="G516" s="24">
        <f>Contributions_Data!C510</f>
        <v>45407</v>
      </c>
      <c r="H516" s="27">
        <f>Contributions_Data!D510</f>
        <v>18087.47</v>
      </c>
      <c r="I516" s="27">
        <v>0</v>
      </c>
    </row>
    <row r="517" spans="3:9">
      <c r="C517" s="23">
        <v>510</v>
      </c>
      <c r="D517" s="23" t="s">
        <v>132</v>
      </c>
      <c r="E517" s="23" t="str">
        <f>Contributions_Data!A511</f>
        <v>DA-001</v>
      </c>
      <c r="F517" s="23" t="str">
        <f>Contributions_Data!B511</f>
        <v>DA-001-M0043</v>
      </c>
      <c r="G517" s="24">
        <f>Contributions_Data!C511</f>
        <v>45295</v>
      </c>
      <c r="H517" s="27">
        <f>Contributions_Data!D511</f>
        <v>16417.79</v>
      </c>
      <c r="I517" s="27">
        <v>0</v>
      </c>
    </row>
    <row r="518" spans="3:9">
      <c r="C518" s="23">
        <v>511</v>
      </c>
      <c r="D518" s="23" t="s">
        <v>132</v>
      </c>
      <c r="E518" s="23" t="str">
        <f>Contributions_Data!A512</f>
        <v>DA-001</v>
      </c>
      <c r="F518" s="23" t="str">
        <f>Contributions_Data!B512</f>
        <v>DA-001-M0043</v>
      </c>
      <c r="G518" s="24">
        <f>Contributions_Data!C512</f>
        <v>45488</v>
      </c>
      <c r="H518" s="27">
        <f>Contributions_Data!D512</f>
        <v>15768.09</v>
      </c>
      <c r="I518" s="27">
        <v>0</v>
      </c>
    </row>
    <row r="519" spans="3:9">
      <c r="C519" s="23">
        <v>512</v>
      </c>
      <c r="D519" s="23" t="s">
        <v>132</v>
      </c>
      <c r="E519" s="23" t="str">
        <f>Contributions_Data!A513</f>
        <v>DA-001</v>
      </c>
      <c r="F519" s="23" t="str">
        <f>Contributions_Data!B513</f>
        <v>DA-001-M0043</v>
      </c>
      <c r="G519" s="24">
        <f>Contributions_Data!C513</f>
        <v>45395</v>
      </c>
      <c r="H519" s="27">
        <f>Contributions_Data!D513</f>
        <v>17948.07</v>
      </c>
      <c r="I519" s="27">
        <v>0</v>
      </c>
    </row>
    <row r="520" spans="3:9">
      <c r="C520" s="23">
        <v>513</v>
      </c>
      <c r="D520" s="23" t="s">
        <v>132</v>
      </c>
      <c r="E520" s="23" t="str">
        <f>Contributions_Data!A514</f>
        <v>DA-001</v>
      </c>
      <c r="F520" s="23" t="str">
        <f>Contributions_Data!B514</f>
        <v>DA-001-M0043</v>
      </c>
      <c r="G520" s="24">
        <f>Contributions_Data!C514</f>
        <v>45604</v>
      </c>
      <c r="H520" s="27">
        <f>Contributions_Data!D514</f>
        <v>18043.11</v>
      </c>
      <c r="I520" s="27">
        <v>0</v>
      </c>
    </row>
    <row r="521" spans="3:9">
      <c r="C521" s="23">
        <v>514</v>
      </c>
      <c r="D521" s="23" t="s">
        <v>132</v>
      </c>
      <c r="E521" s="23" t="str">
        <f>Contributions_Data!A515</f>
        <v>DA-001</v>
      </c>
      <c r="F521" s="23" t="str">
        <f>Contributions_Data!B515</f>
        <v>DA-001-M0043</v>
      </c>
      <c r="G521" s="24">
        <f>Contributions_Data!C515</f>
        <v>45554</v>
      </c>
      <c r="H521" s="27">
        <f>Contributions_Data!D515</f>
        <v>9477.3799999999992</v>
      </c>
      <c r="I521" s="27">
        <v>0</v>
      </c>
    </row>
    <row r="522" spans="3:9">
      <c r="C522" s="23">
        <v>515</v>
      </c>
      <c r="D522" s="23" t="s">
        <v>132</v>
      </c>
      <c r="E522" s="23" t="str">
        <f>Contributions_Data!A516</f>
        <v>DA-001</v>
      </c>
      <c r="F522" s="23" t="str">
        <f>Contributions_Data!B516</f>
        <v>DA-001-M0043</v>
      </c>
      <c r="G522" s="24">
        <f>Contributions_Data!C516</f>
        <v>45385</v>
      </c>
      <c r="H522" s="27">
        <f>Contributions_Data!D516</f>
        <v>11161.27</v>
      </c>
      <c r="I522" s="27">
        <v>0</v>
      </c>
    </row>
    <row r="523" spans="3:9">
      <c r="C523" s="23">
        <v>516</v>
      </c>
      <c r="D523" s="23" t="s">
        <v>132</v>
      </c>
      <c r="E523" s="23" t="str">
        <f>Contributions_Data!A517</f>
        <v>DA-001</v>
      </c>
      <c r="F523" s="23" t="str">
        <f>Contributions_Data!B517</f>
        <v>DA-001-M0043</v>
      </c>
      <c r="G523" s="24">
        <f>Contributions_Data!C517</f>
        <v>45386</v>
      </c>
      <c r="H523" s="27">
        <f>Contributions_Data!D517</f>
        <v>13125.54</v>
      </c>
      <c r="I523" s="27">
        <v>0</v>
      </c>
    </row>
    <row r="524" spans="3:9">
      <c r="C524" s="23">
        <v>517</v>
      </c>
      <c r="D524" s="23" t="s">
        <v>132</v>
      </c>
      <c r="E524" s="23" t="str">
        <f>Contributions_Data!A518</f>
        <v>DA-002</v>
      </c>
      <c r="F524" s="23" t="str">
        <f>Contributions_Data!B518</f>
        <v>DA-002-M0044</v>
      </c>
      <c r="G524" s="24">
        <f>Contributions_Data!C518</f>
        <v>45497</v>
      </c>
      <c r="H524" s="27">
        <f>Contributions_Data!D518</f>
        <v>15078.27</v>
      </c>
      <c r="I524" s="27">
        <v>0</v>
      </c>
    </row>
    <row r="525" spans="3:9">
      <c r="C525" s="23">
        <v>518</v>
      </c>
      <c r="D525" s="23" t="s">
        <v>132</v>
      </c>
      <c r="E525" s="23" t="str">
        <f>Contributions_Data!A519</f>
        <v>DA-002</v>
      </c>
      <c r="F525" s="23" t="str">
        <f>Contributions_Data!B519</f>
        <v>DA-002-M0044</v>
      </c>
      <c r="G525" s="24">
        <f>Contributions_Data!C519</f>
        <v>45600</v>
      </c>
      <c r="H525" s="27">
        <f>Contributions_Data!D519</f>
        <v>16552.98</v>
      </c>
      <c r="I525" s="27">
        <v>0</v>
      </c>
    </row>
    <row r="526" spans="3:9">
      <c r="C526" s="23">
        <v>519</v>
      </c>
      <c r="D526" s="23" t="s">
        <v>132</v>
      </c>
      <c r="E526" s="23" t="str">
        <f>Contributions_Data!A520</f>
        <v>DA-002</v>
      </c>
      <c r="F526" s="23" t="str">
        <f>Contributions_Data!B520</f>
        <v>DA-002-M0044</v>
      </c>
      <c r="G526" s="24">
        <f>Contributions_Data!C520</f>
        <v>45575</v>
      </c>
      <c r="H526" s="27">
        <f>Contributions_Data!D520</f>
        <v>12822.77</v>
      </c>
      <c r="I526" s="27">
        <v>0</v>
      </c>
    </row>
    <row r="527" spans="3:9">
      <c r="C527" s="23">
        <v>520</v>
      </c>
      <c r="D527" s="23" t="s">
        <v>132</v>
      </c>
      <c r="E527" s="23" t="str">
        <f>Contributions_Data!A521</f>
        <v>DA-002</v>
      </c>
      <c r="F527" s="23" t="str">
        <f>Contributions_Data!B521</f>
        <v>DA-002-M0044</v>
      </c>
      <c r="G527" s="24">
        <f>Contributions_Data!C521</f>
        <v>45612</v>
      </c>
      <c r="H527" s="27">
        <f>Contributions_Data!D521</f>
        <v>12733.85</v>
      </c>
      <c r="I527" s="27">
        <v>0</v>
      </c>
    </row>
    <row r="528" spans="3:9">
      <c r="C528" s="23">
        <v>521</v>
      </c>
      <c r="D528" s="23" t="s">
        <v>132</v>
      </c>
      <c r="E528" s="23" t="str">
        <f>Contributions_Data!A522</f>
        <v>DA-002</v>
      </c>
      <c r="F528" s="23" t="str">
        <f>Contributions_Data!B522</f>
        <v>DA-002-M0044</v>
      </c>
      <c r="G528" s="24">
        <f>Contributions_Data!C522</f>
        <v>45504</v>
      </c>
      <c r="H528" s="27">
        <f>Contributions_Data!D522</f>
        <v>13165.45</v>
      </c>
      <c r="I528" s="27">
        <v>0</v>
      </c>
    </row>
    <row r="529" spans="3:9">
      <c r="C529" s="23">
        <v>522</v>
      </c>
      <c r="D529" s="23" t="s">
        <v>132</v>
      </c>
      <c r="E529" s="23" t="str">
        <f>Contributions_Data!A523</f>
        <v>DA-002</v>
      </c>
      <c r="F529" s="23" t="str">
        <f>Contributions_Data!B523</f>
        <v>DA-002-M0044</v>
      </c>
      <c r="G529" s="24">
        <f>Contributions_Data!C523</f>
        <v>45323</v>
      </c>
      <c r="H529" s="27">
        <f>Contributions_Data!D523</f>
        <v>12230.3</v>
      </c>
      <c r="I529" s="27">
        <v>0</v>
      </c>
    </row>
    <row r="530" spans="3:9">
      <c r="C530" s="23">
        <v>523</v>
      </c>
      <c r="D530" s="23" t="s">
        <v>132</v>
      </c>
      <c r="E530" s="23" t="str">
        <f>Contributions_Data!A524</f>
        <v>DA-002</v>
      </c>
      <c r="F530" s="23" t="str">
        <f>Contributions_Data!B524</f>
        <v>DA-002-M0044</v>
      </c>
      <c r="G530" s="24">
        <f>Contributions_Data!C524</f>
        <v>45362</v>
      </c>
      <c r="H530" s="27">
        <f>Contributions_Data!D524</f>
        <v>10944.95</v>
      </c>
      <c r="I530" s="27">
        <v>0</v>
      </c>
    </row>
    <row r="531" spans="3:9">
      <c r="C531" s="23">
        <v>524</v>
      </c>
      <c r="D531" s="23" t="s">
        <v>132</v>
      </c>
      <c r="E531" s="23" t="str">
        <f>Contributions_Data!A525</f>
        <v>DA-002</v>
      </c>
      <c r="F531" s="23" t="str">
        <f>Contributions_Data!B525</f>
        <v>DA-002-M0044</v>
      </c>
      <c r="G531" s="24">
        <f>Contributions_Data!C525</f>
        <v>45467</v>
      </c>
      <c r="H531" s="27">
        <f>Contributions_Data!D525</f>
        <v>12072.38</v>
      </c>
      <c r="I531" s="27">
        <v>0</v>
      </c>
    </row>
    <row r="532" spans="3:9">
      <c r="C532" s="23">
        <v>525</v>
      </c>
      <c r="D532" s="23" t="s">
        <v>132</v>
      </c>
      <c r="E532" s="23" t="str">
        <f>Contributions_Data!A526</f>
        <v>DA-002</v>
      </c>
      <c r="F532" s="23" t="str">
        <f>Contributions_Data!B526</f>
        <v>DA-002-M0044</v>
      </c>
      <c r="G532" s="24">
        <f>Contributions_Data!C526</f>
        <v>45412</v>
      </c>
      <c r="H532" s="27">
        <f>Contributions_Data!D526</f>
        <v>12151.8</v>
      </c>
      <c r="I532" s="27">
        <v>0</v>
      </c>
    </row>
    <row r="533" spans="3:9">
      <c r="C533" s="23">
        <v>526</v>
      </c>
      <c r="D533" s="23" t="s">
        <v>132</v>
      </c>
      <c r="E533" s="23" t="str">
        <f>Contributions_Data!A527</f>
        <v>DA-002</v>
      </c>
      <c r="F533" s="23" t="str">
        <f>Contributions_Data!B527</f>
        <v>DA-002-M0044</v>
      </c>
      <c r="G533" s="24">
        <f>Contributions_Data!C527</f>
        <v>45544</v>
      </c>
      <c r="H533" s="27">
        <f>Contributions_Data!D527</f>
        <v>22897.15</v>
      </c>
      <c r="I533" s="27">
        <v>0</v>
      </c>
    </row>
    <row r="534" spans="3:9">
      <c r="C534" s="23">
        <v>527</v>
      </c>
      <c r="D534" s="23" t="s">
        <v>132</v>
      </c>
      <c r="E534" s="23" t="str">
        <f>Contributions_Data!A528</f>
        <v>DA-002</v>
      </c>
      <c r="F534" s="23" t="str">
        <f>Contributions_Data!B528</f>
        <v>DA-002-M0044</v>
      </c>
      <c r="G534" s="24">
        <f>Contributions_Data!C528</f>
        <v>45445</v>
      </c>
      <c r="H534" s="27">
        <f>Contributions_Data!D528</f>
        <v>16479.95</v>
      </c>
      <c r="I534" s="27">
        <v>0</v>
      </c>
    </row>
    <row r="535" spans="3:9">
      <c r="C535" s="23">
        <v>528</v>
      </c>
      <c r="D535" s="23" t="s">
        <v>132</v>
      </c>
      <c r="E535" s="23" t="str">
        <f>Contributions_Data!A529</f>
        <v>DA-002</v>
      </c>
      <c r="F535" s="23" t="str">
        <f>Contributions_Data!B529</f>
        <v>DA-002-M0044</v>
      </c>
      <c r="G535" s="24">
        <f>Contributions_Data!C529</f>
        <v>45514</v>
      </c>
      <c r="H535" s="27">
        <f>Contributions_Data!D529</f>
        <v>15554.51</v>
      </c>
      <c r="I535" s="27">
        <v>0</v>
      </c>
    </row>
    <row r="536" spans="3:9">
      <c r="C536" s="23">
        <v>529</v>
      </c>
      <c r="D536" s="23" t="s">
        <v>132</v>
      </c>
      <c r="E536" s="23" t="str">
        <f>Contributions_Data!A530</f>
        <v>DA-003</v>
      </c>
      <c r="F536" s="23" t="str">
        <f>Contributions_Data!B530</f>
        <v>DA-003-M0045</v>
      </c>
      <c r="G536" s="24">
        <f>Contributions_Data!C530</f>
        <v>45550</v>
      </c>
      <c r="H536" s="27">
        <f>Contributions_Data!D530</f>
        <v>12424.93</v>
      </c>
      <c r="I536" s="27">
        <v>0</v>
      </c>
    </row>
    <row r="537" spans="3:9">
      <c r="C537" s="23">
        <v>530</v>
      </c>
      <c r="D537" s="23" t="s">
        <v>132</v>
      </c>
      <c r="E537" s="23" t="str">
        <f>Contributions_Data!A531</f>
        <v>DA-003</v>
      </c>
      <c r="F537" s="23" t="str">
        <f>Contributions_Data!B531</f>
        <v>DA-003-M0045</v>
      </c>
      <c r="G537" s="24">
        <f>Contributions_Data!C531</f>
        <v>45310</v>
      </c>
      <c r="H537" s="27">
        <f>Contributions_Data!D531</f>
        <v>17100.93</v>
      </c>
      <c r="I537" s="27">
        <v>0</v>
      </c>
    </row>
    <row r="538" spans="3:9">
      <c r="C538" s="23">
        <v>531</v>
      </c>
      <c r="D538" s="23" t="s">
        <v>132</v>
      </c>
      <c r="E538" s="23" t="str">
        <f>Contributions_Data!A532</f>
        <v>DA-003</v>
      </c>
      <c r="F538" s="23" t="str">
        <f>Contributions_Data!B532</f>
        <v>DA-003-M0045</v>
      </c>
      <c r="G538" s="24">
        <f>Contributions_Data!C532</f>
        <v>45350</v>
      </c>
      <c r="H538" s="27">
        <f>Contributions_Data!D532</f>
        <v>13273.09</v>
      </c>
      <c r="I538" s="27">
        <v>0</v>
      </c>
    </row>
    <row r="539" spans="3:9">
      <c r="C539" s="23">
        <v>532</v>
      </c>
      <c r="D539" s="23" t="s">
        <v>132</v>
      </c>
      <c r="E539" s="23" t="str">
        <f>Contributions_Data!A533</f>
        <v>DA-003</v>
      </c>
      <c r="F539" s="23" t="str">
        <f>Contributions_Data!B533</f>
        <v>DA-003-M0045</v>
      </c>
      <c r="G539" s="24">
        <f>Contributions_Data!C533</f>
        <v>45652</v>
      </c>
      <c r="H539" s="27">
        <f>Contributions_Data!D533</f>
        <v>22680.25</v>
      </c>
      <c r="I539" s="27">
        <v>0</v>
      </c>
    </row>
    <row r="540" spans="3:9">
      <c r="C540" s="23">
        <v>533</v>
      </c>
      <c r="D540" s="23" t="s">
        <v>132</v>
      </c>
      <c r="E540" s="23" t="str">
        <f>Contributions_Data!A534</f>
        <v>DA-003</v>
      </c>
      <c r="F540" s="23" t="str">
        <f>Contributions_Data!B534</f>
        <v>DA-003-M0045</v>
      </c>
      <c r="G540" s="24">
        <f>Contributions_Data!C534</f>
        <v>45443</v>
      </c>
      <c r="H540" s="27">
        <f>Contributions_Data!D534</f>
        <v>14711.82</v>
      </c>
      <c r="I540" s="27">
        <v>0</v>
      </c>
    </row>
    <row r="541" spans="3:9">
      <c r="C541" s="23">
        <v>534</v>
      </c>
      <c r="D541" s="23" t="s">
        <v>132</v>
      </c>
      <c r="E541" s="23" t="str">
        <f>Contributions_Data!A535</f>
        <v>DA-003</v>
      </c>
      <c r="F541" s="23" t="str">
        <f>Contributions_Data!B535</f>
        <v>DA-003-M0045</v>
      </c>
      <c r="G541" s="24">
        <f>Contributions_Data!C535</f>
        <v>45506</v>
      </c>
      <c r="H541" s="27">
        <f>Contributions_Data!D535</f>
        <v>18447.82</v>
      </c>
      <c r="I541" s="27">
        <v>0</v>
      </c>
    </row>
    <row r="542" spans="3:9">
      <c r="C542" s="23">
        <v>535</v>
      </c>
      <c r="D542" s="23" t="s">
        <v>132</v>
      </c>
      <c r="E542" s="23" t="str">
        <f>Contributions_Data!A536</f>
        <v>DA-003</v>
      </c>
      <c r="F542" s="23" t="str">
        <f>Contributions_Data!B536</f>
        <v>DA-003-M0045</v>
      </c>
      <c r="G542" s="24">
        <f>Contributions_Data!C536</f>
        <v>45527</v>
      </c>
      <c r="H542" s="27">
        <f>Contributions_Data!D536</f>
        <v>14895.03</v>
      </c>
      <c r="I542" s="27">
        <v>0</v>
      </c>
    </row>
    <row r="543" spans="3:9">
      <c r="C543" s="23">
        <v>536</v>
      </c>
      <c r="D543" s="23" t="s">
        <v>132</v>
      </c>
      <c r="E543" s="23" t="str">
        <f>Contributions_Data!A537</f>
        <v>DA-003</v>
      </c>
      <c r="F543" s="23" t="str">
        <f>Contributions_Data!B537</f>
        <v>DA-003-M0045</v>
      </c>
      <c r="G543" s="24">
        <f>Contributions_Data!C537</f>
        <v>45344</v>
      </c>
      <c r="H543" s="27">
        <f>Contributions_Data!D537</f>
        <v>20312.400000000001</v>
      </c>
      <c r="I543" s="27">
        <v>0</v>
      </c>
    </row>
    <row r="544" spans="3:9">
      <c r="C544" s="23">
        <v>537</v>
      </c>
      <c r="D544" s="23" t="s">
        <v>132</v>
      </c>
      <c r="E544" s="23" t="str">
        <f>Contributions_Data!A538</f>
        <v>DA-003</v>
      </c>
      <c r="F544" s="23" t="str">
        <f>Contributions_Data!B538</f>
        <v>DA-003-M0045</v>
      </c>
      <c r="G544" s="24">
        <f>Contributions_Data!C538</f>
        <v>45355</v>
      </c>
      <c r="H544" s="27">
        <f>Contributions_Data!D538</f>
        <v>13119.1</v>
      </c>
      <c r="I544" s="27">
        <v>0</v>
      </c>
    </row>
    <row r="545" spans="3:9">
      <c r="C545" s="23">
        <v>538</v>
      </c>
      <c r="D545" s="23" t="s">
        <v>132</v>
      </c>
      <c r="E545" s="23" t="str">
        <f>Contributions_Data!A539</f>
        <v>DA-003</v>
      </c>
      <c r="F545" s="23" t="str">
        <f>Contributions_Data!B539</f>
        <v>DA-003-M0045</v>
      </c>
      <c r="G545" s="24">
        <f>Contributions_Data!C539</f>
        <v>45439</v>
      </c>
      <c r="H545" s="27">
        <f>Contributions_Data!D539</f>
        <v>20437.349999999999</v>
      </c>
      <c r="I545" s="27">
        <v>0</v>
      </c>
    </row>
    <row r="546" spans="3:9">
      <c r="C546" s="23">
        <v>539</v>
      </c>
      <c r="D546" s="23" t="s">
        <v>132</v>
      </c>
      <c r="E546" s="23" t="str">
        <f>Contributions_Data!A540</f>
        <v>DA-003</v>
      </c>
      <c r="F546" s="23" t="str">
        <f>Contributions_Data!B540</f>
        <v>DA-003-M0045</v>
      </c>
      <c r="G546" s="24">
        <f>Contributions_Data!C540</f>
        <v>45466</v>
      </c>
      <c r="H546" s="27">
        <f>Contributions_Data!D540</f>
        <v>17123.259999999998</v>
      </c>
      <c r="I546" s="27">
        <v>0</v>
      </c>
    </row>
    <row r="547" spans="3:9">
      <c r="C547" s="23">
        <v>540</v>
      </c>
      <c r="D547" s="23" t="s">
        <v>132</v>
      </c>
      <c r="E547" s="23" t="str">
        <f>Contributions_Data!A541</f>
        <v>DA-003</v>
      </c>
      <c r="F547" s="23" t="str">
        <f>Contributions_Data!B541</f>
        <v>DA-003-M0045</v>
      </c>
      <c r="G547" s="24">
        <f>Contributions_Data!C541</f>
        <v>45457</v>
      </c>
      <c r="H547" s="27">
        <f>Contributions_Data!D541</f>
        <v>13312.6</v>
      </c>
      <c r="I547" s="27">
        <v>0</v>
      </c>
    </row>
    <row r="548" spans="3:9">
      <c r="C548" s="23">
        <v>541</v>
      </c>
      <c r="D548" s="23" t="s">
        <v>132</v>
      </c>
      <c r="E548" s="23" t="str">
        <f>Contributions_Data!A542</f>
        <v>DA-001</v>
      </c>
      <c r="F548" s="23" t="str">
        <f>Contributions_Data!B542</f>
        <v>DA-001-M0046</v>
      </c>
      <c r="G548" s="24">
        <f>Contributions_Data!C542</f>
        <v>45554</v>
      </c>
      <c r="H548" s="27">
        <f>Contributions_Data!D542</f>
        <v>16897.22</v>
      </c>
      <c r="I548" s="27">
        <v>0</v>
      </c>
    </row>
    <row r="549" spans="3:9">
      <c r="C549" s="23">
        <v>542</v>
      </c>
      <c r="D549" s="23" t="s">
        <v>132</v>
      </c>
      <c r="E549" s="23" t="str">
        <f>Contributions_Data!A543</f>
        <v>DA-001</v>
      </c>
      <c r="F549" s="23" t="str">
        <f>Contributions_Data!B543</f>
        <v>DA-001-M0046</v>
      </c>
      <c r="G549" s="24">
        <f>Contributions_Data!C543</f>
        <v>45494</v>
      </c>
      <c r="H549" s="27">
        <f>Contributions_Data!D543</f>
        <v>17917.66</v>
      </c>
      <c r="I549" s="27">
        <v>0</v>
      </c>
    </row>
    <row r="550" spans="3:9">
      <c r="C550" s="23">
        <v>543</v>
      </c>
      <c r="D550" s="23" t="s">
        <v>132</v>
      </c>
      <c r="E550" s="23" t="str">
        <f>Contributions_Data!A544</f>
        <v>DA-001</v>
      </c>
      <c r="F550" s="23" t="str">
        <f>Contributions_Data!B544</f>
        <v>DA-001-M0046</v>
      </c>
      <c r="G550" s="24">
        <f>Contributions_Data!C544</f>
        <v>45486</v>
      </c>
      <c r="H550" s="27">
        <f>Contributions_Data!D544</f>
        <v>16865.43</v>
      </c>
      <c r="I550" s="27">
        <v>0</v>
      </c>
    </row>
    <row r="551" spans="3:9">
      <c r="C551" s="23">
        <v>544</v>
      </c>
      <c r="D551" s="23" t="s">
        <v>132</v>
      </c>
      <c r="E551" s="23" t="str">
        <f>Contributions_Data!A545</f>
        <v>DA-001</v>
      </c>
      <c r="F551" s="23" t="str">
        <f>Contributions_Data!B545</f>
        <v>DA-001-M0046</v>
      </c>
      <c r="G551" s="24">
        <f>Contributions_Data!C545</f>
        <v>45405</v>
      </c>
      <c r="H551" s="27">
        <f>Contributions_Data!D545</f>
        <v>10289.33</v>
      </c>
      <c r="I551" s="27">
        <v>0</v>
      </c>
    </row>
    <row r="552" spans="3:9">
      <c r="C552" s="23">
        <v>545</v>
      </c>
      <c r="D552" s="23" t="s">
        <v>132</v>
      </c>
      <c r="E552" s="23" t="str">
        <f>Contributions_Data!A546</f>
        <v>DA-001</v>
      </c>
      <c r="F552" s="23" t="str">
        <f>Contributions_Data!B546</f>
        <v>DA-001-M0046</v>
      </c>
      <c r="G552" s="24">
        <f>Contributions_Data!C546</f>
        <v>45374</v>
      </c>
      <c r="H552" s="27">
        <f>Contributions_Data!D546</f>
        <v>12818.59</v>
      </c>
      <c r="I552" s="27">
        <v>0</v>
      </c>
    </row>
    <row r="553" spans="3:9">
      <c r="C553" s="23">
        <v>546</v>
      </c>
      <c r="D553" s="23" t="s">
        <v>132</v>
      </c>
      <c r="E553" s="23" t="str">
        <f>Contributions_Data!A547</f>
        <v>DA-001</v>
      </c>
      <c r="F553" s="23" t="str">
        <f>Contributions_Data!B547</f>
        <v>DA-001-M0046</v>
      </c>
      <c r="G553" s="24">
        <f>Contributions_Data!C547</f>
        <v>45373</v>
      </c>
      <c r="H553" s="27">
        <f>Contributions_Data!D547</f>
        <v>14257.44</v>
      </c>
      <c r="I553" s="27">
        <v>0</v>
      </c>
    </row>
    <row r="554" spans="3:9">
      <c r="C554" s="23">
        <v>547</v>
      </c>
      <c r="D554" s="23" t="s">
        <v>132</v>
      </c>
      <c r="E554" s="23" t="str">
        <f>Contributions_Data!A548</f>
        <v>DA-001</v>
      </c>
      <c r="F554" s="23" t="str">
        <f>Contributions_Data!B548</f>
        <v>DA-001-M0046</v>
      </c>
      <c r="G554" s="24">
        <f>Contributions_Data!C548</f>
        <v>45308</v>
      </c>
      <c r="H554" s="27">
        <f>Contributions_Data!D548</f>
        <v>14776.7</v>
      </c>
      <c r="I554" s="27">
        <v>0</v>
      </c>
    </row>
    <row r="555" spans="3:9">
      <c r="C555" s="23">
        <v>548</v>
      </c>
      <c r="D555" s="23" t="s">
        <v>132</v>
      </c>
      <c r="E555" s="23" t="str">
        <f>Contributions_Data!A549</f>
        <v>DA-001</v>
      </c>
      <c r="F555" s="23" t="str">
        <f>Contributions_Data!B549</f>
        <v>DA-001-M0046</v>
      </c>
      <c r="G555" s="24">
        <f>Contributions_Data!C549</f>
        <v>45518</v>
      </c>
      <c r="H555" s="27">
        <f>Contributions_Data!D549</f>
        <v>15533.1</v>
      </c>
      <c r="I555" s="27">
        <v>0</v>
      </c>
    </row>
    <row r="556" spans="3:9">
      <c r="C556" s="23">
        <v>549</v>
      </c>
      <c r="D556" s="23" t="s">
        <v>132</v>
      </c>
      <c r="E556" s="23" t="str">
        <f>Contributions_Data!A550</f>
        <v>DA-001</v>
      </c>
      <c r="F556" s="23" t="str">
        <f>Contributions_Data!B550</f>
        <v>DA-001-M0046</v>
      </c>
      <c r="G556" s="24">
        <f>Contributions_Data!C550</f>
        <v>45637</v>
      </c>
      <c r="H556" s="27">
        <f>Contributions_Data!D550</f>
        <v>10993.97</v>
      </c>
      <c r="I556" s="27">
        <v>0</v>
      </c>
    </row>
    <row r="557" spans="3:9">
      <c r="C557" s="23">
        <v>550</v>
      </c>
      <c r="D557" s="23" t="s">
        <v>132</v>
      </c>
      <c r="E557" s="23" t="str">
        <f>Contributions_Data!A551</f>
        <v>DA-001</v>
      </c>
      <c r="F557" s="23" t="str">
        <f>Contributions_Data!B551</f>
        <v>DA-001-M0046</v>
      </c>
      <c r="G557" s="24">
        <f>Contributions_Data!C551</f>
        <v>45524</v>
      </c>
      <c r="H557" s="27">
        <f>Contributions_Data!D551</f>
        <v>16140.59</v>
      </c>
      <c r="I557" s="27">
        <v>0</v>
      </c>
    </row>
    <row r="558" spans="3:9">
      <c r="C558" s="23">
        <v>551</v>
      </c>
      <c r="D558" s="23" t="s">
        <v>132</v>
      </c>
      <c r="E558" s="23" t="str">
        <f>Contributions_Data!A552</f>
        <v>DA-001</v>
      </c>
      <c r="F558" s="23" t="str">
        <f>Contributions_Data!B552</f>
        <v>DA-001-M0046</v>
      </c>
      <c r="G558" s="24">
        <f>Contributions_Data!C552</f>
        <v>45528</v>
      </c>
      <c r="H558" s="27">
        <f>Contributions_Data!D552</f>
        <v>16831.759999999998</v>
      </c>
      <c r="I558" s="27">
        <v>0</v>
      </c>
    </row>
    <row r="559" spans="3:9">
      <c r="C559" s="23">
        <v>552</v>
      </c>
      <c r="D559" s="23" t="s">
        <v>132</v>
      </c>
      <c r="E559" s="23" t="str">
        <f>Contributions_Data!A553</f>
        <v>DA-001</v>
      </c>
      <c r="F559" s="23" t="str">
        <f>Contributions_Data!B553</f>
        <v>DA-001-M0046</v>
      </c>
      <c r="G559" s="24">
        <f>Contributions_Data!C553</f>
        <v>45293</v>
      </c>
      <c r="H559" s="27">
        <f>Contributions_Data!D553</f>
        <v>18242.34</v>
      </c>
      <c r="I559" s="27">
        <v>0</v>
      </c>
    </row>
    <row r="560" spans="3:9">
      <c r="C560" s="23">
        <v>553</v>
      </c>
      <c r="D560" s="23" t="s">
        <v>132</v>
      </c>
      <c r="E560" s="23" t="str">
        <f>Contributions_Data!A554</f>
        <v>DA-003</v>
      </c>
      <c r="F560" s="23" t="str">
        <f>Contributions_Data!B554</f>
        <v>DA-003-M0047</v>
      </c>
      <c r="G560" s="24">
        <f>Contributions_Data!C554</f>
        <v>45439</v>
      </c>
      <c r="H560" s="27">
        <f>Contributions_Data!D554</f>
        <v>17501.77</v>
      </c>
      <c r="I560" s="27">
        <v>0</v>
      </c>
    </row>
    <row r="561" spans="3:9">
      <c r="C561" s="23">
        <v>554</v>
      </c>
      <c r="D561" s="23" t="s">
        <v>132</v>
      </c>
      <c r="E561" s="23" t="str">
        <f>Contributions_Data!A555</f>
        <v>DA-003</v>
      </c>
      <c r="F561" s="23" t="str">
        <f>Contributions_Data!B555</f>
        <v>DA-003-M0047</v>
      </c>
      <c r="G561" s="24">
        <f>Contributions_Data!C555</f>
        <v>45378</v>
      </c>
      <c r="H561" s="27">
        <f>Contributions_Data!D555</f>
        <v>16377.54</v>
      </c>
      <c r="I561" s="27">
        <v>0</v>
      </c>
    </row>
    <row r="562" spans="3:9">
      <c r="C562" s="23">
        <v>555</v>
      </c>
      <c r="D562" s="23" t="s">
        <v>132</v>
      </c>
      <c r="E562" s="23" t="str">
        <f>Contributions_Data!A556</f>
        <v>DA-003</v>
      </c>
      <c r="F562" s="23" t="str">
        <f>Contributions_Data!B556</f>
        <v>DA-003-M0047</v>
      </c>
      <c r="G562" s="24">
        <f>Contributions_Data!C556</f>
        <v>45613</v>
      </c>
      <c r="H562" s="27">
        <f>Contributions_Data!D556</f>
        <v>14789.5</v>
      </c>
      <c r="I562" s="27">
        <v>0</v>
      </c>
    </row>
    <row r="563" spans="3:9">
      <c r="C563" s="23">
        <v>556</v>
      </c>
      <c r="D563" s="23" t="s">
        <v>132</v>
      </c>
      <c r="E563" s="23" t="str">
        <f>Contributions_Data!A557</f>
        <v>DA-003</v>
      </c>
      <c r="F563" s="23" t="str">
        <f>Contributions_Data!B557</f>
        <v>DA-003-M0047</v>
      </c>
      <c r="G563" s="24">
        <f>Contributions_Data!C557</f>
        <v>45521</v>
      </c>
      <c r="H563" s="27">
        <f>Contributions_Data!D557</f>
        <v>10017.120000000001</v>
      </c>
      <c r="I563" s="27">
        <v>0</v>
      </c>
    </row>
    <row r="564" spans="3:9">
      <c r="C564" s="23">
        <v>557</v>
      </c>
      <c r="D564" s="23" t="s">
        <v>132</v>
      </c>
      <c r="E564" s="23" t="str">
        <f>Contributions_Data!A558</f>
        <v>DA-003</v>
      </c>
      <c r="F564" s="23" t="str">
        <f>Contributions_Data!B558</f>
        <v>DA-003-M0047</v>
      </c>
      <c r="G564" s="24">
        <f>Contributions_Data!C558</f>
        <v>45411</v>
      </c>
      <c r="H564" s="27">
        <f>Contributions_Data!D558</f>
        <v>15623.06</v>
      </c>
      <c r="I564" s="27">
        <v>0</v>
      </c>
    </row>
    <row r="565" spans="3:9">
      <c r="C565" s="23">
        <v>558</v>
      </c>
      <c r="D565" s="23" t="s">
        <v>132</v>
      </c>
      <c r="E565" s="23" t="str">
        <f>Contributions_Data!A559</f>
        <v>DA-003</v>
      </c>
      <c r="F565" s="23" t="str">
        <f>Contributions_Data!B559</f>
        <v>DA-003-M0047</v>
      </c>
      <c r="G565" s="24">
        <f>Contributions_Data!C559</f>
        <v>45571</v>
      </c>
      <c r="H565" s="27">
        <f>Contributions_Data!D559</f>
        <v>15814.74</v>
      </c>
      <c r="I565" s="27">
        <v>0</v>
      </c>
    </row>
    <row r="566" spans="3:9">
      <c r="C566" s="23">
        <v>559</v>
      </c>
      <c r="D566" s="23" t="s">
        <v>132</v>
      </c>
      <c r="E566" s="23" t="str">
        <f>Contributions_Data!A560</f>
        <v>DA-003</v>
      </c>
      <c r="F566" s="23" t="str">
        <f>Contributions_Data!B560</f>
        <v>DA-003-M0047</v>
      </c>
      <c r="G566" s="24">
        <f>Contributions_Data!C560</f>
        <v>45559</v>
      </c>
      <c r="H566" s="27">
        <f>Contributions_Data!D560</f>
        <v>11756.83</v>
      </c>
      <c r="I566" s="27">
        <v>0</v>
      </c>
    </row>
    <row r="567" spans="3:9">
      <c r="C567" s="23">
        <v>560</v>
      </c>
      <c r="D567" s="23" t="s">
        <v>132</v>
      </c>
      <c r="E567" s="23" t="str">
        <f>Contributions_Data!A561</f>
        <v>DA-003</v>
      </c>
      <c r="F567" s="23" t="str">
        <f>Contributions_Data!B561</f>
        <v>DA-003-M0047</v>
      </c>
      <c r="G567" s="24">
        <f>Contributions_Data!C561</f>
        <v>45569</v>
      </c>
      <c r="H567" s="27">
        <f>Contributions_Data!D561</f>
        <v>18159.46</v>
      </c>
      <c r="I567" s="27">
        <v>0</v>
      </c>
    </row>
    <row r="568" spans="3:9">
      <c r="C568" s="23">
        <v>561</v>
      </c>
      <c r="D568" s="23" t="s">
        <v>132</v>
      </c>
      <c r="E568" s="23" t="str">
        <f>Contributions_Data!A562</f>
        <v>DA-003</v>
      </c>
      <c r="F568" s="23" t="str">
        <f>Contributions_Data!B562</f>
        <v>DA-003-M0047</v>
      </c>
      <c r="G568" s="24">
        <f>Contributions_Data!C562</f>
        <v>45409</v>
      </c>
      <c r="H568" s="27">
        <f>Contributions_Data!D562</f>
        <v>17044.5</v>
      </c>
      <c r="I568" s="27">
        <v>0</v>
      </c>
    </row>
    <row r="569" spans="3:9">
      <c r="C569" s="23">
        <v>562</v>
      </c>
      <c r="D569" s="23" t="s">
        <v>132</v>
      </c>
      <c r="E569" s="23" t="str">
        <f>Contributions_Data!A563</f>
        <v>DA-003</v>
      </c>
      <c r="F569" s="23" t="str">
        <f>Contributions_Data!B563</f>
        <v>DA-003-M0047</v>
      </c>
      <c r="G569" s="24">
        <f>Contributions_Data!C563</f>
        <v>45566</v>
      </c>
      <c r="H569" s="27">
        <f>Contributions_Data!D563</f>
        <v>15089.27</v>
      </c>
      <c r="I569" s="27">
        <v>0</v>
      </c>
    </row>
    <row r="570" spans="3:9">
      <c r="C570" s="23">
        <v>563</v>
      </c>
      <c r="D570" s="23" t="s">
        <v>132</v>
      </c>
      <c r="E570" s="23" t="str">
        <f>Contributions_Data!A564</f>
        <v>DA-003</v>
      </c>
      <c r="F570" s="23" t="str">
        <f>Contributions_Data!B564</f>
        <v>DA-003-M0047</v>
      </c>
      <c r="G570" s="24">
        <f>Contributions_Data!C564</f>
        <v>45529</v>
      </c>
      <c r="H570" s="27">
        <f>Contributions_Data!D564</f>
        <v>17814.849999999999</v>
      </c>
      <c r="I570" s="27">
        <v>0</v>
      </c>
    </row>
    <row r="571" spans="3:9">
      <c r="C571" s="23">
        <v>564</v>
      </c>
      <c r="D571" s="23" t="s">
        <v>132</v>
      </c>
      <c r="E571" s="23" t="str">
        <f>Contributions_Data!A565</f>
        <v>DA-003</v>
      </c>
      <c r="F571" s="23" t="str">
        <f>Contributions_Data!B565</f>
        <v>DA-003-M0047</v>
      </c>
      <c r="G571" s="24">
        <f>Contributions_Data!C565</f>
        <v>45502</v>
      </c>
      <c r="H571" s="27">
        <f>Contributions_Data!D565</f>
        <v>13451.87</v>
      </c>
      <c r="I571" s="27">
        <v>0</v>
      </c>
    </row>
    <row r="572" spans="3:9">
      <c r="C572" s="23">
        <v>565</v>
      </c>
      <c r="D572" s="23" t="s">
        <v>132</v>
      </c>
      <c r="E572" s="23" t="str">
        <f>Contributions_Data!A566</f>
        <v>DA-003</v>
      </c>
      <c r="F572" s="23" t="str">
        <f>Contributions_Data!B566</f>
        <v>DA-003-M0048</v>
      </c>
      <c r="G572" s="24">
        <f>Contributions_Data!C566</f>
        <v>45534</v>
      </c>
      <c r="H572" s="27">
        <f>Contributions_Data!D566</f>
        <v>13613.17</v>
      </c>
      <c r="I572" s="27">
        <v>0</v>
      </c>
    </row>
    <row r="573" spans="3:9">
      <c r="C573" s="23">
        <v>566</v>
      </c>
      <c r="D573" s="23" t="s">
        <v>132</v>
      </c>
      <c r="E573" s="23" t="str">
        <f>Contributions_Data!A567</f>
        <v>DA-003</v>
      </c>
      <c r="F573" s="23" t="str">
        <f>Contributions_Data!B567</f>
        <v>DA-003-M0048</v>
      </c>
      <c r="G573" s="24">
        <f>Contributions_Data!C567</f>
        <v>45518</v>
      </c>
      <c r="H573" s="27">
        <f>Contributions_Data!D567</f>
        <v>14072.48</v>
      </c>
      <c r="I573" s="27">
        <v>0</v>
      </c>
    </row>
    <row r="574" spans="3:9">
      <c r="C574" s="23">
        <v>567</v>
      </c>
      <c r="D574" s="23" t="s">
        <v>132</v>
      </c>
      <c r="E574" s="23" t="str">
        <f>Contributions_Data!A568</f>
        <v>DA-003</v>
      </c>
      <c r="F574" s="23" t="str">
        <f>Contributions_Data!B568</f>
        <v>DA-003-M0048</v>
      </c>
      <c r="G574" s="24">
        <f>Contributions_Data!C568</f>
        <v>45512</v>
      </c>
      <c r="H574" s="27">
        <f>Contributions_Data!D568</f>
        <v>13563.75</v>
      </c>
      <c r="I574" s="27">
        <v>0</v>
      </c>
    </row>
    <row r="575" spans="3:9">
      <c r="C575" s="23">
        <v>568</v>
      </c>
      <c r="D575" s="23" t="s">
        <v>132</v>
      </c>
      <c r="E575" s="23" t="str">
        <f>Contributions_Data!A569</f>
        <v>DA-003</v>
      </c>
      <c r="F575" s="23" t="str">
        <f>Contributions_Data!B569</f>
        <v>DA-003-M0048</v>
      </c>
      <c r="G575" s="24">
        <f>Contributions_Data!C569</f>
        <v>45435</v>
      </c>
      <c r="H575" s="27">
        <f>Contributions_Data!D569</f>
        <v>12316.18</v>
      </c>
      <c r="I575" s="27">
        <v>0</v>
      </c>
    </row>
    <row r="576" spans="3:9">
      <c r="C576" s="23">
        <v>569</v>
      </c>
      <c r="D576" s="23" t="s">
        <v>132</v>
      </c>
      <c r="E576" s="23" t="str">
        <f>Contributions_Data!A570</f>
        <v>DA-003</v>
      </c>
      <c r="F576" s="23" t="str">
        <f>Contributions_Data!B570</f>
        <v>DA-003-M0048</v>
      </c>
      <c r="G576" s="24">
        <f>Contributions_Data!C570</f>
        <v>45650</v>
      </c>
      <c r="H576" s="27">
        <f>Contributions_Data!D570</f>
        <v>14439.39</v>
      </c>
      <c r="I576" s="27">
        <v>0</v>
      </c>
    </row>
    <row r="577" spans="3:9">
      <c r="C577" s="23">
        <v>570</v>
      </c>
      <c r="D577" s="23" t="s">
        <v>132</v>
      </c>
      <c r="E577" s="23" t="str">
        <f>Contributions_Data!A571</f>
        <v>DA-003</v>
      </c>
      <c r="F577" s="23" t="str">
        <f>Contributions_Data!B571</f>
        <v>DA-003-M0048</v>
      </c>
      <c r="G577" s="24">
        <f>Contributions_Data!C571</f>
        <v>45487</v>
      </c>
      <c r="H577" s="27">
        <f>Contributions_Data!D571</f>
        <v>13680.81</v>
      </c>
      <c r="I577" s="27">
        <v>0</v>
      </c>
    </row>
    <row r="578" spans="3:9">
      <c r="C578" s="23">
        <v>571</v>
      </c>
      <c r="D578" s="23" t="s">
        <v>132</v>
      </c>
      <c r="E578" s="23" t="str">
        <f>Contributions_Data!A572</f>
        <v>DA-003</v>
      </c>
      <c r="F578" s="23" t="str">
        <f>Contributions_Data!B572</f>
        <v>DA-003-M0048</v>
      </c>
      <c r="G578" s="24">
        <f>Contributions_Data!C572</f>
        <v>45476</v>
      </c>
      <c r="H578" s="27">
        <f>Contributions_Data!D572</f>
        <v>19340.93</v>
      </c>
      <c r="I578" s="27">
        <v>0</v>
      </c>
    </row>
    <row r="579" spans="3:9">
      <c r="C579" s="23">
        <v>572</v>
      </c>
      <c r="D579" s="23" t="s">
        <v>132</v>
      </c>
      <c r="E579" s="23" t="str">
        <f>Contributions_Data!A573</f>
        <v>DA-003</v>
      </c>
      <c r="F579" s="23" t="str">
        <f>Contributions_Data!B573</f>
        <v>DA-003-M0048</v>
      </c>
      <c r="G579" s="24">
        <f>Contributions_Data!C573</f>
        <v>45432</v>
      </c>
      <c r="H579" s="27">
        <f>Contributions_Data!D573</f>
        <v>18095.53</v>
      </c>
      <c r="I579" s="27">
        <v>0</v>
      </c>
    </row>
    <row r="580" spans="3:9">
      <c r="C580" s="23">
        <v>573</v>
      </c>
      <c r="D580" s="23" t="s">
        <v>132</v>
      </c>
      <c r="E580" s="23" t="str">
        <f>Contributions_Data!A574</f>
        <v>DA-003</v>
      </c>
      <c r="F580" s="23" t="str">
        <f>Contributions_Data!B574</f>
        <v>DA-003-M0048</v>
      </c>
      <c r="G580" s="24">
        <f>Contributions_Data!C574</f>
        <v>45294</v>
      </c>
      <c r="H580" s="27">
        <f>Contributions_Data!D574</f>
        <v>10543.32</v>
      </c>
      <c r="I580" s="27">
        <v>0</v>
      </c>
    </row>
    <row r="581" spans="3:9">
      <c r="C581" s="23">
        <v>574</v>
      </c>
      <c r="D581" s="23" t="s">
        <v>132</v>
      </c>
      <c r="E581" s="23" t="str">
        <f>Contributions_Data!A575</f>
        <v>DA-003</v>
      </c>
      <c r="F581" s="23" t="str">
        <f>Contributions_Data!B575</f>
        <v>DA-003-M0048</v>
      </c>
      <c r="G581" s="24">
        <f>Contributions_Data!C575</f>
        <v>45314</v>
      </c>
      <c r="H581" s="27">
        <f>Contributions_Data!D575</f>
        <v>15801.15</v>
      </c>
      <c r="I581" s="27">
        <v>0</v>
      </c>
    </row>
    <row r="582" spans="3:9">
      <c r="C582" s="23">
        <v>575</v>
      </c>
      <c r="D582" s="23" t="s">
        <v>132</v>
      </c>
      <c r="E582" s="23" t="str">
        <f>Contributions_Data!A576</f>
        <v>DA-003</v>
      </c>
      <c r="F582" s="23" t="str">
        <f>Contributions_Data!B576</f>
        <v>DA-003-M0048</v>
      </c>
      <c r="G582" s="24">
        <f>Contributions_Data!C576</f>
        <v>45582</v>
      </c>
      <c r="H582" s="27">
        <f>Contributions_Data!D576</f>
        <v>17668.89</v>
      </c>
      <c r="I582" s="27">
        <v>0</v>
      </c>
    </row>
    <row r="583" spans="3:9">
      <c r="C583" s="23">
        <v>576</v>
      </c>
      <c r="D583" s="23" t="s">
        <v>132</v>
      </c>
      <c r="E583" s="23" t="str">
        <f>Contributions_Data!A577</f>
        <v>DA-003</v>
      </c>
      <c r="F583" s="23" t="str">
        <f>Contributions_Data!B577</f>
        <v>DA-003-M0048</v>
      </c>
      <c r="G583" s="24">
        <f>Contributions_Data!C577</f>
        <v>45560</v>
      </c>
      <c r="H583" s="27">
        <f>Contributions_Data!D577</f>
        <v>15246.85</v>
      </c>
      <c r="I583" s="27">
        <v>0</v>
      </c>
    </row>
    <row r="584" spans="3:9">
      <c r="C584" s="23">
        <v>577</v>
      </c>
      <c r="D584" s="23" t="s">
        <v>132</v>
      </c>
      <c r="E584" s="23" t="str">
        <f>Contributions_Data!A578</f>
        <v>DA-001</v>
      </c>
      <c r="F584" s="23" t="str">
        <f>Contributions_Data!B578</f>
        <v>DA-001-M0049</v>
      </c>
      <c r="G584" s="24">
        <f>Contributions_Data!C578</f>
        <v>45378</v>
      </c>
      <c r="H584" s="27">
        <f>Contributions_Data!D578</f>
        <v>13448.13</v>
      </c>
      <c r="I584" s="27">
        <v>0</v>
      </c>
    </row>
    <row r="585" spans="3:9">
      <c r="C585" s="23">
        <v>578</v>
      </c>
      <c r="D585" s="23" t="s">
        <v>132</v>
      </c>
      <c r="E585" s="23" t="str">
        <f>Contributions_Data!A579</f>
        <v>DA-001</v>
      </c>
      <c r="F585" s="23" t="str">
        <f>Contributions_Data!B579</f>
        <v>DA-001-M0049</v>
      </c>
      <c r="G585" s="24">
        <f>Contributions_Data!C579</f>
        <v>45385</v>
      </c>
      <c r="H585" s="27">
        <f>Contributions_Data!D579</f>
        <v>19228.04</v>
      </c>
      <c r="I585" s="27">
        <v>0</v>
      </c>
    </row>
    <row r="586" spans="3:9">
      <c r="C586" s="23">
        <v>579</v>
      </c>
      <c r="D586" s="23" t="s">
        <v>132</v>
      </c>
      <c r="E586" s="23" t="str">
        <f>Contributions_Data!A580</f>
        <v>DA-001</v>
      </c>
      <c r="F586" s="23" t="str">
        <f>Contributions_Data!B580</f>
        <v>DA-001-M0049</v>
      </c>
      <c r="G586" s="24">
        <f>Contributions_Data!C580</f>
        <v>45625</v>
      </c>
      <c r="H586" s="27">
        <f>Contributions_Data!D580</f>
        <v>21896.69</v>
      </c>
      <c r="I586" s="27">
        <v>0</v>
      </c>
    </row>
    <row r="587" spans="3:9">
      <c r="C587" s="23">
        <v>580</v>
      </c>
      <c r="D587" s="23" t="s">
        <v>132</v>
      </c>
      <c r="E587" s="23" t="str">
        <f>Contributions_Data!A581</f>
        <v>DA-001</v>
      </c>
      <c r="F587" s="23" t="str">
        <f>Contributions_Data!B581</f>
        <v>DA-001-M0049</v>
      </c>
      <c r="G587" s="24">
        <f>Contributions_Data!C581</f>
        <v>45443</v>
      </c>
      <c r="H587" s="27">
        <f>Contributions_Data!D581</f>
        <v>13911.48</v>
      </c>
      <c r="I587" s="27">
        <v>0</v>
      </c>
    </row>
    <row r="588" spans="3:9">
      <c r="C588" s="23">
        <v>581</v>
      </c>
      <c r="D588" s="23" t="s">
        <v>132</v>
      </c>
      <c r="E588" s="23" t="str">
        <f>Contributions_Data!A582</f>
        <v>DA-001</v>
      </c>
      <c r="F588" s="23" t="str">
        <f>Contributions_Data!B582</f>
        <v>DA-001-M0049</v>
      </c>
      <c r="G588" s="24">
        <f>Contributions_Data!C582</f>
        <v>45496</v>
      </c>
      <c r="H588" s="27">
        <f>Contributions_Data!D582</f>
        <v>19360.150000000001</v>
      </c>
      <c r="I588" s="27">
        <v>0</v>
      </c>
    </row>
    <row r="589" spans="3:9">
      <c r="C589" s="23">
        <v>582</v>
      </c>
      <c r="D589" s="23" t="s">
        <v>132</v>
      </c>
      <c r="E589" s="23" t="str">
        <f>Contributions_Data!A583</f>
        <v>DA-001</v>
      </c>
      <c r="F589" s="23" t="str">
        <f>Contributions_Data!B583</f>
        <v>DA-001-M0049</v>
      </c>
      <c r="G589" s="24">
        <f>Contributions_Data!C583</f>
        <v>45323</v>
      </c>
      <c r="H589" s="27">
        <f>Contributions_Data!D583</f>
        <v>13431.42</v>
      </c>
      <c r="I589" s="27">
        <v>0</v>
      </c>
    </row>
    <row r="590" spans="3:9">
      <c r="C590" s="23">
        <v>583</v>
      </c>
      <c r="D590" s="23" t="s">
        <v>132</v>
      </c>
      <c r="E590" s="23" t="str">
        <f>Contributions_Data!A584</f>
        <v>DA-001</v>
      </c>
      <c r="F590" s="23" t="str">
        <f>Contributions_Data!B584</f>
        <v>DA-001-M0049</v>
      </c>
      <c r="G590" s="24">
        <f>Contributions_Data!C584</f>
        <v>45599</v>
      </c>
      <c r="H590" s="27">
        <f>Contributions_Data!D584</f>
        <v>13739.44</v>
      </c>
      <c r="I590" s="27">
        <v>0</v>
      </c>
    </row>
    <row r="591" spans="3:9">
      <c r="C591" s="23">
        <v>584</v>
      </c>
      <c r="D591" s="23" t="s">
        <v>132</v>
      </c>
      <c r="E591" s="23" t="str">
        <f>Contributions_Data!A585</f>
        <v>DA-001</v>
      </c>
      <c r="F591" s="23" t="str">
        <f>Contributions_Data!B585</f>
        <v>DA-001-M0049</v>
      </c>
      <c r="G591" s="24">
        <f>Contributions_Data!C585</f>
        <v>45403</v>
      </c>
      <c r="H591" s="27">
        <f>Contributions_Data!D585</f>
        <v>14154.65</v>
      </c>
      <c r="I591" s="27">
        <v>0</v>
      </c>
    </row>
    <row r="592" spans="3:9">
      <c r="C592" s="23">
        <v>585</v>
      </c>
      <c r="D592" s="23" t="s">
        <v>132</v>
      </c>
      <c r="E592" s="23" t="str">
        <f>Contributions_Data!A586</f>
        <v>DA-001</v>
      </c>
      <c r="F592" s="23" t="str">
        <f>Contributions_Data!B586</f>
        <v>DA-001-M0049</v>
      </c>
      <c r="G592" s="24">
        <f>Contributions_Data!C586</f>
        <v>45314</v>
      </c>
      <c r="H592" s="27">
        <f>Contributions_Data!D586</f>
        <v>10966.65</v>
      </c>
      <c r="I592" s="27">
        <v>0</v>
      </c>
    </row>
    <row r="593" spans="3:9">
      <c r="C593" s="23">
        <v>586</v>
      </c>
      <c r="D593" s="23" t="s">
        <v>132</v>
      </c>
      <c r="E593" s="23" t="str">
        <f>Contributions_Data!A587</f>
        <v>DA-001</v>
      </c>
      <c r="F593" s="23" t="str">
        <f>Contributions_Data!B587</f>
        <v>DA-001-M0049</v>
      </c>
      <c r="G593" s="24">
        <f>Contributions_Data!C587</f>
        <v>45426</v>
      </c>
      <c r="H593" s="27">
        <f>Contributions_Data!D587</f>
        <v>12244.04</v>
      </c>
      <c r="I593" s="27">
        <v>0</v>
      </c>
    </row>
    <row r="594" spans="3:9">
      <c r="C594" s="23">
        <v>587</v>
      </c>
      <c r="D594" s="23" t="s">
        <v>132</v>
      </c>
      <c r="E594" s="23" t="str">
        <f>Contributions_Data!A588</f>
        <v>DA-001</v>
      </c>
      <c r="F594" s="23" t="str">
        <f>Contributions_Data!B588</f>
        <v>DA-001-M0049</v>
      </c>
      <c r="G594" s="24">
        <f>Contributions_Data!C588</f>
        <v>45595</v>
      </c>
      <c r="H594" s="27">
        <f>Contributions_Data!D588</f>
        <v>11987.58</v>
      </c>
      <c r="I594" s="27">
        <v>0</v>
      </c>
    </row>
    <row r="595" spans="3:9">
      <c r="C595" s="23">
        <v>588</v>
      </c>
      <c r="D595" s="23" t="s">
        <v>132</v>
      </c>
      <c r="E595" s="23" t="str">
        <f>Contributions_Data!A589</f>
        <v>DA-001</v>
      </c>
      <c r="F595" s="23" t="str">
        <f>Contributions_Data!B589</f>
        <v>DA-001-M0049</v>
      </c>
      <c r="G595" s="24">
        <f>Contributions_Data!C589</f>
        <v>45495</v>
      </c>
      <c r="H595" s="27">
        <f>Contributions_Data!D589</f>
        <v>12696.61</v>
      </c>
      <c r="I595" s="27">
        <v>0</v>
      </c>
    </row>
    <row r="596" spans="3:9">
      <c r="C596" s="23">
        <v>589</v>
      </c>
      <c r="D596" s="23" t="s">
        <v>132</v>
      </c>
      <c r="E596" s="23" t="str">
        <f>Contributions_Data!A590</f>
        <v>DA-002</v>
      </c>
      <c r="F596" s="23" t="str">
        <f>Contributions_Data!B590</f>
        <v>DA-002-M0050</v>
      </c>
      <c r="G596" s="24">
        <f>Contributions_Data!C590</f>
        <v>45575</v>
      </c>
      <c r="H596" s="27">
        <f>Contributions_Data!D590</f>
        <v>14895.95</v>
      </c>
      <c r="I596" s="27">
        <v>0</v>
      </c>
    </row>
    <row r="597" spans="3:9">
      <c r="C597" s="23">
        <v>590</v>
      </c>
      <c r="D597" s="23" t="s">
        <v>132</v>
      </c>
      <c r="E597" s="23" t="str">
        <f>Contributions_Data!A591</f>
        <v>DA-002</v>
      </c>
      <c r="F597" s="23" t="str">
        <f>Contributions_Data!B591</f>
        <v>DA-002-M0050</v>
      </c>
      <c r="G597" s="24">
        <f>Contributions_Data!C591</f>
        <v>45311</v>
      </c>
      <c r="H597" s="27">
        <f>Contributions_Data!D591</f>
        <v>15702.64</v>
      </c>
      <c r="I597" s="27">
        <v>0</v>
      </c>
    </row>
    <row r="598" spans="3:9">
      <c r="C598" s="23">
        <v>591</v>
      </c>
      <c r="D598" s="23" t="s">
        <v>132</v>
      </c>
      <c r="E598" s="23" t="str">
        <f>Contributions_Data!A592</f>
        <v>DA-002</v>
      </c>
      <c r="F598" s="23" t="str">
        <f>Contributions_Data!B592</f>
        <v>DA-002-M0050</v>
      </c>
      <c r="G598" s="24">
        <f>Contributions_Data!C592</f>
        <v>45558</v>
      </c>
      <c r="H598" s="27">
        <f>Contributions_Data!D592</f>
        <v>19651.5</v>
      </c>
      <c r="I598" s="27">
        <v>0</v>
      </c>
    </row>
    <row r="599" spans="3:9">
      <c r="C599" s="23">
        <v>592</v>
      </c>
      <c r="D599" s="23" t="s">
        <v>132</v>
      </c>
      <c r="E599" s="23" t="str">
        <f>Contributions_Data!A593</f>
        <v>DA-002</v>
      </c>
      <c r="F599" s="23" t="str">
        <f>Contributions_Data!B593</f>
        <v>DA-002-M0050</v>
      </c>
      <c r="G599" s="24">
        <f>Contributions_Data!C593</f>
        <v>45628</v>
      </c>
      <c r="H599" s="27">
        <f>Contributions_Data!D593</f>
        <v>12004.94</v>
      </c>
      <c r="I599" s="27">
        <v>0</v>
      </c>
    </row>
    <row r="600" spans="3:9">
      <c r="C600" s="23">
        <v>593</v>
      </c>
      <c r="D600" s="23" t="s">
        <v>132</v>
      </c>
      <c r="E600" s="23" t="str">
        <f>Contributions_Data!A594</f>
        <v>DA-002</v>
      </c>
      <c r="F600" s="23" t="str">
        <f>Contributions_Data!B594</f>
        <v>DA-002-M0050</v>
      </c>
      <c r="G600" s="24">
        <f>Contributions_Data!C594</f>
        <v>45652</v>
      </c>
      <c r="H600" s="27">
        <f>Contributions_Data!D594</f>
        <v>17952.97</v>
      </c>
      <c r="I600" s="27">
        <v>0</v>
      </c>
    </row>
    <row r="601" spans="3:9">
      <c r="C601" s="23">
        <v>594</v>
      </c>
      <c r="D601" s="23" t="s">
        <v>132</v>
      </c>
      <c r="E601" s="23" t="str">
        <f>Contributions_Data!A595</f>
        <v>DA-002</v>
      </c>
      <c r="F601" s="23" t="str">
        <f>Contributions_Data!B595</f>
        <v>DA-002-M0050</v>
      </c>
      <c r="G601" s="24">
        <f>Contributions_Data!C595</f>
        <v>45634</v>
      </c>
      <c r="H601" s="27">
        <f>Contributions_Data!D595</f>
        <v>14358.03</v>
      </c>
      <c r="I601" s="27">
        <v>0</v>
      </c>
    </row>
    <row r="602" spans="3:9">
      <c r="C602" s="23">
        <v>595</v>
      </c>
      <c r="D602" s="23" t="s">
        <v>132</v>
      </c>
      <c r="E602" s="23" t="str">
        <f>Contributions_Data!A596</f>
        <v>DA-002</v>
      </c>
      <c r="F602" s="23" t="str">
        <f>Contributions_Data!B596</f>
        <v>DA-002-M0050</v>
      </c>
      <c r="G602" s="24">
        <f>Contributions_Data!C596</f>
        <v>45601</v>
      </c>
      <c r="H602" s="27">
        <f>Contributions_Data!D596</f>
        <v>17024.46</v>
      </c>
      <c r="I602" s="27">
        <v>0</v>
      </c>
    </row>
    <row r="603" spans="3:9">
      <c r="C603" s="23">
        <v>596</v>
      </c>
      <c r="D603" s="23" t="s">
        <v>132</v>
      </c>
      <c r="E603" s="23" t="str">
        <f>Contributions_Data!A597</f>
        <v>DA-002</v>
      </c>
      <c r="F603" s="23" t="str">
        <f>Contributions_Data!B597</f>
        <v>DA-002-M0050</v>
      </c>
      <c r="G603" s="24">
        <f>Contributions_Data!C597</f>
        <v>45347</v>
      </c>
      <c r="H603" s="27">
        <f>Contributions_Data!D597</f>
        <v>16147.23</v>
      </c>
      <c r="I603" s="27">
        <v>0</v>
      </c>
    </row>
    <row r="604" spans="3:9">
      <c r="C604" s="23">
        <v>597</v>
      </c>
      <c r="D604" s="23" t="s">
        <v>132</v>
      </c>
      <c r="E604" s="23" t="str">
        <f>Contributions_Data!A598</f>
        <v>DA-002</v>
      </c>
      <c r="F604" s="23" t="str">
        <f>Contributions_Data!B598</f>
        <v>DA-002-M0050</v>
      </c>
      <c r="G604" s="24">
        <f>Contributions_Data!C598</f>
        <v>45556</v>
      </c>
      <c r="H604" s="27">
        <f>Contributions_Data!D598</f>
        <v>15499.36</v>
      </c>
      <c r="I604" s="27">
        <v>0</v>
      </c>
    </row>
    <row r="605" spans="3:9">
      <c r="C605" s="23">
        <v>598</v>
      </c>
      <c r="D605" s="23" t="s">
        <v>132</v>
      </c>
      <c r="E605" s="23" t="str">
        <f>Contributions_Data!A599</f>
        <v>DA-002</v>
      </c>
      <c r="F605" s="23" t="str">
        <f>Contributions_Data!B599</f>
        <v>DA-002-M0050</v>
      </c>
      <c r="G605" s="24">
        <f>Contributions_Data!C599</f>
        <v>45316</v>
      </c>
      <c r="H605" s="27">
        <f>Contributions_Data!D599</f>
        <v>16477.349999999999</v>
      </c>
      <c r="I605" s="27">
        <v>0</v>
      </c>
    </row>
    <row r="606" spans="3:9">
      <c r="C606" s="23">
        <v>599</v>
      </c>
      <c r="D606" s="23" t="s">
        <v>132</v>
      </c>
      <c r="E606" s="23" t="str">
        <f>Contributions_Data!A600</f>
        <v>DA-002</v>
      </c>
      <c r="F606" s="23" t="str">
        <f>Contributions_Data!B600</f>
        <v>DA-002-M0050</v>
      </c>
      <c r="G606" s="24">
        <f>Contributions_Data!C600</f>
        <v>45570</v>
      </c>
      <c r="H606" s="27">
        <f>Contributions_Data!D600</f>
        <v>15867.51</v>
      </c>
      <c r="I606" s="27">
        <v>0</v>
      </c>
    </row>
    <row r="607" spans="3:9">
      <c r="C607" s="23">
        <v>600</v>
      </c>
      <c r="D607" s="23" t="s">
        <v>132</v>
      </c>
      <c r="E607" s="23" t="str">
        <f>Contributions_Data!A601</f>
        <v>DA-002</v>
      </c>
      <c r="F607" s="23" t="str">
        <f>Contributions_Data!B601</f>
        <v>DA-002-M0050</v>
      </c>
      <c r="G607" s="24">
        <f>Contributions_Data!C601</f>
        <v>45349</v>
      </c>
      <c r="H607" s="27">
        <f>Contributions_Data!D601</f>
        <v>22365.9</v>
      </c>
      <c r="I607" s="27">
        <v>0</v>
      </c>
    </row>
    <row r="608" spans="3:9">
      <c r="C608" s="23">
        <v>601</v>
      </c>
      <c r="D608" s="23" t="s">
        <v>132</v>
      </c>
      <c r="E608" s="23" t="str">
        <f>Contributions_Data!A602</f>
        <v>DA-002</v>
      </c>
      <c r="F608" s="23" t="str">
        <f>Contributions_Data!B602</f>
        <v>DA-002-M0051</v>
      </c>
      <c r="G608" s="24">
        <f>Contributions_Data!C602</f>
        <v>45314</v>
      </c>
      <c r="H608" s="27">
        <f>Contributions_Data!D602</f>
        <v>13086.78</v>
      </c>
      <c r="I608" s="27">
        <v>0</v>
      </c>
    </row>
    <row r="609" spans="3:9">
      <c r="C609" s="23">
        <v>602</v>
      </c>
      <c r="D609" s="23" t="s">
        <v>132</v>
      </c>
      <c r="E609" s="23" t="str">
        <f>Contributions_Data!A603</f>
        <v>DA-002</v>
      </c>
      <c r="F609" s="23" t="str">
        <f>Contributions_Data!B603</f>
        <v>DA-002-M0051</v>
      </c>
      <c r="G609" s="24">
        <f>Contributions_Data!C603</f>
        <v>45407</v>
      </c>
      <c r="H609" s="27">
        <f>Contributions_Data!D603</f>
        <v>13407.01</v>
      </c>
      <c r="I609" s="27">
        <v>0</v>
      </c>
    </row>
    <row r="610" spans="3:9">
      <c r="C610" s="23">
        <v>603</v>
      </c>
      <c r="D610" s="23" t="s">
        <v>132</v>
      </c>
      <c r="E610" s="23" t="str">
        <f>Contributions_Data!A604</f>
        <v>DA-002</v>
      </c>
      <c r="F610" s="23" t="str">
        <f>Contributions_Data!B604</f>
        <v>DA-002-M0051</v>
      </c>
      <c r="G610" s="24">
        <f>Contributions_Data!C604</f>
        <v>45456</v>
      </c>
      <c r="H610" s="27">
        <f>Contributions_Data!D604</f>
        <v>13130.58</v>
      </c>
      <c r="I610" s="27">
        <v>0</v>
      </c>
    </row>
    <row r="611" spans="3:9">
      <c r="C611" s="23">
        <v>604</v>
      </c>
      <c r="D611" s="23" t="s">
        <v>132</v>
      </c>
      <c r="E611" s="23" t="str">
        <f>Contributions_Data!A605</f>
        <v>DA-002</v>
      </c>
      <c r="F611" s="23" t="str">
        <f>Contributions_Data!B605</f>
        <v>DA-002-M0051</v>
      </c>
      <c r="G611" s="24">
        <f>Contributions_Data!C605</f>
        <v>45601</v>
      </c>
      <c r="H611" s="27">
        <f>Contributions_Data!D605</f>
        <v>13333.57</v>
      </c>
      <c r="I611" s="27">
        <v>0</v>
      </c>
    </row>
    <row r="612" spans="3:9">
      <c r="C612" s="23">
        <v>605</v>
      </c>
      <c r="D612" s="23" t="s">
        <v>132</v>
      </c>
      <c r="E612" s="23" t="str">
        <f>Contributions_Data!A606</f>
        <v>DA-002</v>
      </c>
      <c r="F612" s="23" t="str">
        <f>Contributions_Data!B606</f>
        <v>DA-002-M0051</v>
      </c>
      <c r="G612" s="24">
        <f>Contributions_Data!C606</f>
        <v>45629</v>
      </c>
      <c r="H612" s="27">
        <f>Contributions_Data!D606</f>
        <v>18567.05</v>
      </c>
      <c r="I612" s="27">
        <v>0</v>
      </c>
    </row>
    <row r="613" spans="3:9">
      <c r="C613" s="23">
        <v>606</v>
      </c>
      <c r="D613" s="23" t="s">
        <v>132</v>
      </c>
      <c r="E613" s="23" t="str">
        <f>Contributions_Data!A607</f>
        <v>DA-002</v>
      </c>
      <c r="F613" s="23" t="str">
        <f>Contributions_Data!B607</f>
        <v>DA-002-M0051</v>
      </c>
      <c r="G613" s="24">
        <f>Contributions_Data!C607</f>
        <v>45657</v>
      </c>
      <c r="H613" s="27">
        <f>Contributions_Data!D607</f>
        <v>13287.76</v>
      </c>
      <c r="I613" s="27">
        <v>0</v>
      </c>
    </row>
    <row r="614" spans="3:9">
      <c r="C614" s="23">
        <v>607</v>
      </c>
      <c r="D614" s="23" t="s">
        <v>132</v>
      </c>
      <c r="E614" s="23" t="str">
        <f>Contributions_Data!A608</f>
        <v>DA-002</v>
      </c>
      <c r="F614" s="23" t="str">
        <f>Contributions_Data!B608</f>
        <v>DA-002-M0051</v>
      </c>
      <c r="G614" s="24">
        <f>Contributions_Data!C608</f>
        <v>45406</v>
      </c>
      <c r="H614" s="27">
        <f>Contributions_Data!D608</f>
        <v>12502.93</v>
      </c>
      <c r="I614" s="27">
        <v>0</v>
      </c>
    </row>
    <row r="615" spans="3:9">
      <c r="C615" s="23">
        <v>608</v>
      </c>
      <c r="D615" s="23" t="s">
        <v>132</v>
      </c>
      <c r="E615" s="23" t="str">
        <f>Contributions_Data!A609</f>
        <v>DA-002</v>
      </c>
      <c r="F615" s="23" t="str">
        <f>Contributions_Data!B609</f>
        <v>DA-002-M0051</v>
      </c>
      <c r="G615" s="24">
        <f>Contributions_Data!C609</f>
        <v>45397</v>
      </c>
      <c r="H615" s="27">
        <f>Contributions_Data!D609</f>
        <v>13343.33</v>
      </c>
      <c r="I615" s="27">
        <v>0</v>
      </c>
    </row>
    <row r="616" spans="3:9">
      <c r="C616" s="23">
        <v>609</v>
      </c>
      <c r="D616" s="23" t="s">
        <v>132</v>
      </c>
      <c r="E616" s="23" t="str">
        <f>Contributions_Data!A610</f>
        <v>DA-002</v>
      </c>
      <c r="F616" s="23" t="str">
        <f>Contributions_Data!B610</f>
        <v>DA-002-M0051</v>
      </c>
      <c r="G616" s="24">
        <f>Contributions_Data!C610</f>
        <v>45629</v>
      </c>
      <c r="H616" s="27">
        <f>Contributions_Data!D610</f>
        <v>16898.8</v>
      </c>
      <c r="I616" s="27">
        <v>0</v>
      </c>
    </row>
    <row r="617" spans="3:9">
      <c r="C617" s="23">
        <v>610</v>
      </c>
      <c r="D617" s="23" t="s">
        <v>132</v>
      </c>
      <c r="E617" s="23" t="str">
        <f>Contributions_Data!A611</f>
        <v>DA-002</v>
      </c>
      <c r="F617" s="23" t="str">
        <f>Contributions_Data!B611</f>
        <v>DA-002-M0051</v>
      </c>
      <c r="G617" s="24">
        <f>Contributions_Data!C611</f>
        <v>45603</v>
      </c>
      <c r="H617" s="27">
        <f>Contributions_Data!D611</f>
        <v>15608.77</v>
      </c>
      <c r="I617" s="27">
        <v>0</v>
      </c>
    </row>
    <row r="618" spans="3:9">
      <c r="C618" s="23">
        <v>611</v>
      </c>
      <c r="D618" s="23" t="s">
        <v>132</v>
      </c>
      <c r="E618" s="23" t="str">
        <f>Contributions_Data!A612</f>
        <v>DA-002</v>
      </c>
      <c r="F618" s="23" t="str">
        <f>Contributions_Data!B612</f>
        <v>DA-002-M0051</v>
      </c>
      <c r="G618" s="24">
        <f>Contributions_Data!C612</f>
        <v>45624</v>
      </c>
      <c r="H618" s="27">
        <f>Contributions_Data!D612</f>
        <v>10452.77</v>
      </c>
      <c r="I618" s="27">
        <v>0</v>
      </c>
    </row>
    <row r="619" spans="3:9">
      <c r="C619" s="23">
        <v>612</v>
      </c>
      <c r="D619" s="23" t="s">
        <v>132</v>
      </c>
      <c r="E619" s="23" t="str">
        <f>Contributions_Data!A613</f>
        <v>DA-002</v>
      </c>
      <c r="F619" s="23" t="str">
        <f>Contributions_Data!B613</f>
        <v>DA-002-M0051</v>
      </c>
      <c r="G619" s="24">
        <f>Contributions_Data!C613</f>
        <v>45634</v>
      </c>
      <c r="H619" s="27">
        <f>Contributions_Data!D613</f>
        <v>19642.52</v>
      </c>
      <c r="I619" s="27">
        <v>0</v>
      </c>
    </row>
    <row r="620" spans="3:9">
      <c r="C620" s="23">
        <v>613</v>
      </c>
      <c r="D620" s="23" t="s">
        <v>132</v>
      </c>
      <c r="E620" s="23" t="str">
        <f>Contributions_Data!A614</f>
        <v>DA-003</v>
      </c>
      <c r="F620" s="23" t="str">
        <f>Contributions_Data!B614</f>
        <v>DA-003-M0052</v>
      </c>
      <c r="G620" s="24">
        <f>Contributions_Data!C614</f>
        <v>45443</v>
      </c>
      <c r="H620" s="27">
        <f>Contributions_Data!D614</f>
        <v>20387.63</v>
      </c>
      <c r="I620" s="27">
        <v>0</v>
      </c>
    </row>
    <row r="621" spans="3:9">
      <c r="C621" s="23">
        <v>614</v>
      </c>
      <c r="D621" s="23" t="s">
        <v>132</v>
      </c>
      <c r="E621" s="23" t="str">
        <f>Contributions_Data!A615</f>
        <v>DA-003</v>
      </c>
      <c r="F621" s="23" t="str">
        <f>Contributions_Data!B615</f>
        <v>DA-003-M0052</v>
      </c>
      <c r="G621" s="24">
        <f>Contributions_Data!C615</f>
        <v>45410</v>
      </c>
      <c r="H621" s="27">
        <f>Contributions_Data!D615</f>
        <v>13161.63</v>
      </c>
      <c r="I621" s="27">
        <v>0</v>
      </c>
    </row>
    <row r="622" spans="3:9">
      <c r="C622" s="23">
        <v>615</v>
      </c>
      <c r="D622" s="23" t="s">
        <v>132</v>
      </c>
      <c r="E622" s="23" t="str">
        <f>Contributions_Data!A616</f>
        <v>DA-003</v>
      </c>
      <c r="F622" s="23" t="str">
        <f>Contributions_Data!B616</f>
        <v>DA-003-M0052</v>
      </c>
      <c r="G622" s="24">
        <f>Contributions_Data!C616</f>
        <v>45436</v>
      </c>
      <c r="H622" s="27">
        <f>Contributions_Data!D616</f>
        <v>15857.6</v>
      </c>
      <c r="I622" s="27">
        <v>0</v>
      </c>
    </row>
    <row r="623" spans="3:9">
      <c r="C623" s="23">
        <v>616</v>
      </c>
      <c r="D623" s="23" t="s">
        <v>132</v>
      </c>
      <c r="E623" s="23" t="str">
        <f>Contributions_Data!A617</f>
        <v>DA-003</v>
      </c>
      <c r="F623" s="23" t="str">
        <f>Contributions_Data!B617</f>
        <v>DA-003-M0052</v>
      </c>
      <c r="G623" s="24">
        <f>Contributions_Data!C617</f>
        <v>45346</v>
      </c>
      <c r="H623" s="27">
        <f>Contributions_Data!D617</f>
        <v>16003.37</v>
      </c>
      <c r="I623" s="27">
        <v>0</v>
      </c>
    </row>
    <row r="624" spans="3:9">
      <c r="C624" s="23">
        <v>617</v>
      </c>
      <c r="D624" s="23" t="s">
        <v>132</v>
      </c>
      <c r="E624" s="23" t="str">
        <f>Contributions_Data!A618</f>
        <v>DA-003</v>
      </c>
      <c r="F624" s="23" t="str">
        <f>Contributions_Data!B618</f>
        <v>DA-003-M0052</v>
      </c>
      <c r="G624" s="24">
        <f>Contributions_Data!C618</f>
        <v>45406</v>
      </c>
      <c r="H624" s="27">
        <f>Contributions_Data!D618</f>
        <v>21030.61</v>
      </c>
      <c r="I624" s="27">
        <v>0</v>
      </c>
    </row>
    <row r="625" spans="3:9">
      <c r="C625" s="23">
        <v>618</v>
      </c>
      <c r="D625" s="23" t="s">
        <v>132</v>
      </c>
      <c r="E625" s="23" t="str">
        <f>Contributions_Data!A619</f>
        <v>DA-003</v>
      </c>
      <c r="F625" s="23" t="str">
        <f>Contributions_Data!B619</f>
        <v>DA-003-M0052</v>
      </c>
      <c r="G625" s="24">
        <f>Contributions_Data!C619</f>
        <v>45566</v>
      </c>
      <c r="H625" s="27">
        <f>Contributions_Data!D619</f>
        <v>14469.16</v>
      </c>
      <c r="I625" s="27">
        <v>0</v>
      </c>
    </row>
    <row r="626" spans="3:9">
      <c r="C626" s="23">
        <v>619</v>
      </c>
      <c r="D626" s="23" t="s">
        <v>132</v>
      </c>
      <c r="E626" s="23" t="str">
        <f>Contributions_Data!A620</f>
        <v>DA-003</v>
      </c>
      <c r="F626" s="23" t="str">
        <f>Contributions_Data!B620</f>
        <v>DA-003-M0052</v>
      </c>
      <c r="G626" s="24">
        <f>Contributions_Data!C620</f>
        <v>45350</v>
      </c>
      <c r="H626" s="27">
        <f>Contributions_Data!D620</f>
        <v>12605.11</v>
      </c>
      <c r="I626" s="27">
        <v>0</v>
      </c>
    </row>
    <row r="627" spans="3:9">
      <c r="C627" s="23">
        <v>620</v>
      </c>
      <c r="D627" s="23" t="s">
        <v>132</v>
      </c>
      <c r="E627" s="23" t="str">
        <f>Contributions_Data!A621</f>
        <v>DA-003</v>
      </c>
      <c r="F627" s="23" t="str">
        <f>Contributions_Data!B621</f>
        <v>DA-003-M0052</v>
      </c>
      <c r="G627" s="24">
        <f>Contributions_Data!C621</f>
        <v>45592</v>
      </c>
      <c r="H627" s="27">
        <f>Contributions_Data!D621</f>
        <v>10862.04</v>
      </c>
      <c r="I627" s="27">
        <v>0</v>
      </c>
    </row>
    <row r="628" spans="3:9">
      <c r="C628" s="23">
        <v>621</v>
      </c>
      <c r="D628" s="23" t="s">
        <v>132</v>
      </c>
      <c r="E628" s="23" t="str">
        <f>Contributions_Data!A622</f>
        <v>DA-003</v>
      </c>
      <c r="F628" s="23" t="str">
        <f>Contributions_Data!B622</f>
        <v>DA-003-M0052</v>
      </c>
      <c r="G628" s="24">
        <f>Contributions_Data!C622</f>
        <v>45381</v>
      </c>
      <c r="H628" s="27">
        <f>Contributions_Data!D622</f>
        <v>12807.21</v>
      </c>
      <c r="I628" s="27">
        <v>0</v>
      </c>
    </row>
    <row r="629" spans="3:9">
      <c r="C629" s="23">
        <v>622</v>
      </c>
      <c r="D629" s="23" t="s">
        <v>132</v>
      </c>
      <c r="E629" s="23" t="str">
        <f>Contributions_Data!A623</f>
        <v>DA-003</v>
      </c>
      <c r="F629" s="23" t="str">
        <f>Contributions_Data!B623</f>
        <v>DA-003-M0052</v>
      </c>
      <c r="G629" s="24">
        <f>Contributions_Data!C623</f>
        <v>45366</v>
      </c>
      <c r="H629" s="27">
        <f>Contributions_Data!D623</f>
        <v>14900.62</v>
      </c>
      <c r="I629" s="27">
        <v>0</v>
      </c>
    </row>
    <row r="630" spans="3:9">
      <c r="C630" s="23">
        <v>623</v>
      </c>
      <c r="D630" s="23" t="s">
        <v>132</v>
      </c>
      <c r="E630" s="23" t="str">
        <f>Contributions_Data!A624</f>
        <v>DA-003</v>
      </c>
      <c r="F630" s="23" t="str">
        <f>Contributions_Data!B624</f>
        <v>DA-003-M0052</v>
      </c>
      <c r="G630" s="24">
        <f>Contributions_Data!C624</f>
        <v>45353</v>
      </c>
      <c r="H630" s="27">
        <f>Contributions_Data!D624</f>
        <v>20383.669999999998</v>
      </c>
      <c r="I630" s="27">
        <v>0</v>
      </c>
    </row>
    <row r="631" spans="3:9">
      <c r="C631" s="23">
        <v>624</v>
      </c>
      <c r="D631" s="23" t="s">
        <v>132</v>
      </c>
      <c r="E631" s="23" t="str">
        <f>Contributions_Data!A625</f>
        <v>DA-003</v>
      </c>
      <c r="F631" s="23" t="str">
        <f>Contributions_Data!B625</f>
        <v>DA-003-M0052</v>
      </c>
      <c r="G631" s="24">
        <f>Contributions_Data!C625</f>
        <v>45363</v>
      </c>
      <c r="H631" s="27">
        <f>Contributions_Data!D625</f>
        <v>13447.17</v>
      </c>
      <c r="I631" s="27">
        <v>0</v>
      </c>
    </row>
    <row r="632" spans="3:9">
      <c r="C632" s="23">
        <v>625</v>
      </c>
      <c r="D632" s="23" t="s">
        <v>132</v>
      </c>
      <c r="E632" s="23" t="str">
        <f>Contributions_Data!A626</f>
        <v>DA-001</v>
      </c>
      <c r="F632" s="23" t="str">
        <f>Contributions_Data!B626</f>
        <v>DA-001-M0053</v>
      </c>
      <c r="G632" s="24">
        <f>Contributions_Data!C626</f>
        <v>45350</v>
      </c>
      <c r="H632" s="27">
        <f>Contributions_Data!D626</f>
        <v>15671.36</v>
      </c>
      <c r="I632" s="27">
        <v>0</v>
      </c>
    </row>
    <row r="633" spans="3:9">
      <c r="C633" s="23">
        <v>626</v>
      </c>
      <c r="D633" s="23" t="s">
        <v>132</v>
      </c>
      <c r="E633" s="23" t="str">
        <f>Contributions_Data!A627</f>
        <v>DA-001</v>
      </c>
      <c r="F633" s="23" t="str">
        <f>Contributions_Data!B627</f>
        <v>DA-001-M0053</v>
      </c>
      <c r="G633" s="24">
        <f>Contributions_Data!C627</f>
        <v>45635</v>
      </c>
      <c r="H633" s="27">
        <f>Contributions_Data!D627</f>
        <v>14950.73</v>
      </c>
      <c r="I633" s="27">
        <v>0</v>
      </c>
    </row>
    <row r="634" spans="3:9">
      <c r="C634" s="23">
        <v>627</v>
      </c>
      <c r="D634" s="23" t="s">
        <v>132</v>
      </c>
      <c r="E634" s="23" t="str">
        <f>Contributions_Data!A628</f>
        <v>DA-001</v>
      </c>
      <c r="F634" s="23" t="str">
        <f>Contributions_Data!B628</f>
        <v>DA-001-M0053</v>
      </c>
      <c r="G634" s="24">
        <f>Contributions_Data!C628</f>
        <v>45631</v>
      </c>
      <c r="H634" s="27">
        <f>Contributions_Data!D628</f>
        <v>18565.18</v>
      </c>
      <c r="I634" s="27">
        <v>0</v>
      </c>
    </row>
    <row r="635" spans="3:9">
      <c r="C635" s="23">
        <v>628</v>
      </c>
      <c r="D635" s="23" t="s">
        <v>132</v>
      </c>
      <c r="E635" s="23" t="str">
        <f>Contributions_Data!A629</f>
        <v>DA-001</v>
      </c>
      <c r="F635" s="23" t="str">
        <f>Contributions_Data!B629</f>
        <v>DA-001-M0053</v>
      </c>
      <c r="G635" s="24">
        <f>Contributions_Data!C629</f>
        <v>45313</v>
      </c>
      <c r="H635" s="27">
        <f>Contributions_Data!D629</f>
        <v>13407.39</v>
      </c>
      <c r="I635" s="27">
        <v>0</v>
      </c>
    </row>
    <row r="636" spans="3:9">
      <c r="C636" s="23">
        <v>629</v>
      </c>
      <c r="D636" s="23" t="s">
        <v>132</v>
      </c>
      <c r="E636" s="23" t="str">
        <f>Contributions_Data!A630</f>
        <v>DA-001</v>
      </c>
      <c r="F636" s="23" t="str">
        <f>Contributions_Data!B630</f>
        <v>DA-001-M0053</v>
      </c>
      <c r="G636" s="24">
        <f>Contributions_Data!C630</f>
        <v>45326</v>
      </c>
      <c r="H636" s="27">
        <f>Contributions_Data!D630</f>
        <v>18132.48</v>
      </c>
      <c r="I636" s="27">
        <v>0</v>
      </c>
    </row>
    <row r="637" spans="3:9">
      <c r="C637" s="23">
        <v>630</v>
      </c>
      <c r="D637" s="23" t="s">
        <v>132</v>
      </c>
      <c r="E637" s="23" t="str">
        <f>Contributions_Data!A631</f>
        <v>DA-001</v>
      </c>
      <c r="F637" s="23" t="str">
        <f>Contributions_Data!B631</f>
        <v>DA-001-M0053</v>
      </c>
      <c r="G637" s="24">
        <f>Contributions_Data!C631</f>
        <v>45652</v>
      </c>
      <c r="H637" s="27">
        <f>Contributions_Data!D631</f>
        <v>17045.669999999998</v>
      </c>
      <c r="I637" s="27">
        <v>0</v>
      </c>
    </row>
    <row r="638" spans="3:9">
      <c r="C638" s="23">
        <v>631</v>
      </c>
      <c r="D638" s="23" t="s">
        <v>132</v>
      </c>
      <c r="E638" s="23" t="str">
        <f>Contributions_Data!A632</f>
        <v>DA-001</v>
      </c>
      <c r="F638" s="23" t="str">
        <f>Contributions_Data!B632</f>
        <v>DA-001-M0053</v>
      </c>
      <c r="G638" s="24">
        <f>Contributions_Data!C632</f>
        <v>45565</v>
      </c>
      <c r="H638" s="27">
        <f>Contributions_Data!D632</f>
        <v>20540.12</v>
      </c>
      <c r="I638" s="27">
        <v>0</v>
      </c>
    </row>
    <row r="639" spans="3:9">
      <c r="C639" s="23">
        <v>632</v>
      </c>
      <c r="D639" s="23" t="s">
        <v>132</v>
      </c>
      <c r="E639" s="23" t="str">
        <f>Contributions_Data!A633</f>
        <v>DA-001</v>
      </c>
      <c r="F639" s="23" t="str">
        <f>Contributions_Data!B633</f>
        <v>DA-001-M0053</v>
      </c>
      <c r="G639" s="24">
        <f>Contributions_Data!C633</f>
        <v>45579</v>
      </c>
      <c r="H639" s="27">
        <f>Contributions_Data!D633</f>
        <v>16751.78</v>
      </c>
      <c r="I639" s="27">
        <v>0</v>
      </c>
    </row>
    <row r="640" spans="3:9">
      <c r="C640" s="23">
        <v>633</v>
      </c>
      <c r="D640" s="23" t="s">
        <v>132</v>
      </c>
      <c r="E640" s="23" t="str">
        <f>Contributions_Data!A634</f>
        <v>DA-001</v>
      </c>
      <c r="F640" s="23" t="str">
        <f>Contributions_Data!B634</f>
        <v>DA-001-M0053</v>
      </c>
      <c r="G640" s="24">
        <f>Contributions_Data!C634</f>
        <v>45592</v>
      </c>
      <c r="H640" s="27">
        <f>Contributions_Data!D634</f>
        <v>13922.12</v>
      </c>
      <c r="I640" s="27">
        <v>0</v>
      </c>
    </row>
    <row r="641" spans="3:9">
      <c r="C641" s="23">
        <v>634</v>
      </c>
      <c r="D641" s="23" t="s">
        <v>132</v>
      </c>
      <c r="E641" s="23" t="str">
        <f>Contributions_Data!A635</f>
        <v>DA-001</v>
      </c>
      <c r="F641" s="23" t="str">
        <f>Contributions_Data!B635</f>
        <v>DA-001-M0053</v>
      </c>
      <c r="G641" s="24">
        <f>Contributions_Data!C635</f>
        <v>45315</v>
      </c>
      <c r="H641" s="27">
        <f>Contributions_Data!D635</f>
        <v>18326.11</v>
      </c>
      <c r="I641" s="27">
        <v>0</v>
      </c>
    </row>
    <row r="642" spans="3:9">
      <c r="C642" s="23">
        <v>635</v>
      </c>
      <c r="D642" s="23" t="s">
        <v>132</v>
      </c>
      <c r="E642" s="23" t="str">
        <f>Contributions_Data!A636</f>
        <v>DA-001</v>
      </c>
      <c r="F642" s="23" t="str">
        <f>Contributions_Data!B636</f>
        <v>DA-001-M0053</v>
      </c>
      <c r="G642" s="24">
        <f>Contributions_Data!C636</f>
        <v>45339</v>
      </c>
      <c r="H642" s="27">
        <f>Contributions_Data!D636</f>
        <v>17461.45</v>
      </c>
      <c r="I642" s="27">
        <v>0</v>
      </c>
    </row>
    <row r="643" spans="3:9">
      <c r="C643" s="23">
        <v>636</v>
      </c>
      <c r="D643" s="23" t="s">
        <v>132</v>
      </c>
      <c r="E643" s="23" t="str">
        <f>Contributions_Data!A637</f>
        <v>DA-001</v>
      </c>
      <c r="F643" s="23" t="str">
        <f>Contributions_Data!B637</f>
        <v>DA-001-M0053</v>
      </c>
      <c r="G643" s="24">
        <f>Contributions_Data!C637</f>
        <v>45572</v>
      </c>
      <c r="H643" s="27">
        <f>Contributions_Data!D637</f>
        <v>18200.02</v>
      </c>
      <c r="I643" s="27">
        <v>0</v>
      </c>
    </row>
    <row r="644" spans="3:9">
      <c r="C644" s="23">
        <v>637</v>
      </c>
      <c r="D644" s="23" t="s">
        <v>132</v>
      </c>
      <c r="E644" s="23" t="str">
        <f>Contributions_Data!A638</f>
        <v>DA-002</v>
      </c>
      <c r="F644" s="23" t="str">
        <f>Contributions_Data!B638</f>
        <v>DA-002-M0054</v>
      </c>
      <c r="G644" s="24">
        <f>Contributions_Data!C638</f>
        <v>45299</v>
      </c>
      <c r="H644" s="27">
        <f>Contributions_Data!D638</f>
        <v>18507.89</v>
      </c>
      <c r="I644" s="27">
        <v>0</v>
      </c>
    </row>
    <row r="645" spans="3:9">
      <c r="C645" s="23">
        <v>638</v>
      </c>
      <c r="D645" s="23" t="s">
        <v>132</v>
      </c>
      <c r="E645" s="23" t="str">
        <f>Contributions_Data!A639</f>
        <v>DA-002</v>
      </c>
      <c r="F645" s="23" t="str">
        <f>Contributions_Data!B639</f>
        <v>DA-002-M0054</v>
      </c>
      <c r="G645" s="24">
        <f>Contributions_Data!C639</f>
        <v>45309</v>
      </c>
      <c r="H645" s="27">
        <f>Contributions_Data!D639</f>
        <v>19146.48</v>
      </c>
      <c r="I645" s="27">
        <v>0</v>
      </c>
    </row>
    <row r="646" spans="3:9">
      <c r="C646" s="23">
        <v>639</v>
      </c>
      <c r="D646" s="23" t="s">
        <v>132</v>
      </c>
      <c r="E646" s="23" t="str">
        <f>Contributions_Data!A640</f>
        <v>DA-002</v>
      </c>
      <c r="F646" s="23" t="str">
        <f>Contributions_Data!B640</f>
        <v>DA-002-M0054</v>
      </c>
      <c r="G646" s="24">
        <f>Contributions_Data!C640</f>
        <v>45624</v>
      </c>
      <c r="H646" s="27">
        <f>Contributions_Data!D640</f>
        <v>14498.65</v>
      </c>
      <c r="I646" s="27">
        <v>0</v>
      </c>
    </row>
    <row r="647" spans="3:9">
      <c r="C647" s="23">
        <v>640</v>
      </c>
      <c r="D647" s="23" t="s">
        <v>132</v>
      </c>
      <c r="E647" s="23" t="str">
        <f>Contributions_Data!A641</f>
        <v>DA-002</v>
      </c>
      <c r="F647" s="23" t="str">
        <f>Contributions_Data!B641</f>
        <v>DA-002-M0054</v>
      </c>
      <c r="G647" s="24">
        <f>Contributions_Data!C641</f>
        <v>45540</v>
      </c>
      <c r="H647" s="27">
        <f>Contributions_Data!D641</f>
        <v>18619.53</v>
      </c>
      <c r="I647" s="27">
        <v>0</v>
      </c>
    </row>
    <row r="648" spans="3:9">
      <c r="C648" s="23">
        <v>641</v>
      </c>
      <c r="D648" s="23" t="s">
        <v>132</v>
      </c>
      <c r="E648" s="23" t="str">
        <f>Contributions_Data!A642</f>
        <v>DA-002</v>
      </c>
      <c r="F648" s="23" t="str">
        <f>Contributions_Data!B642</f>
        <v>DA-002-M0054</v>
      </c>
      <c r="G648" s="24">
        <f>Contributions_Data!C642</f>
        <v>45568</v>
      </c>
      <c r="H648" s="27">
        <f>Contributions_Data!D642</f>
        <v>12549.19</v>
      </c>
      <c r="I648" s="27">
        <v>0</v>
      </c>
    </row>
    <row r="649" spans="3:9">
      <c r="C649" s="23">
        <v>642</v>
      </c>
      <c r="D649" s="23" t="s">
        <v>132</v>
      </c>
      <c r="E649" s="23" t="str">
        <f>Contributions_Data!A643</f>
        <v>DA-002</v>
      </c>
      <c r="F649" s="23" t="str">
        <f>Contributions_Data!B643</f>
        <v>DA-002-M0054</v>
      </c>
      <c r="G649" s="24">
        <f>Contributions_Data!C643</f>
        <v>45647</v>
      </c>
      <c r="H649" s="27">
        <f>Contributions_Data!D643</f>
        <v>13819.98</v>
      </c>
      <c r="I649" s="27">
        <v>0</v>
      </c>
    </row>
    <row r="650" spans="3:9">
      <c r="C650" s="23">
        <v>643</v>
      </c>
      <c r="D650" s="23" t="s">
        <v>132</v>
      </c>
      <c r="E650" s="23" t="str">
        <f>Contributions_Data!A644</f>
        <v>DA-002</v>
      </c>
      <c r="F650" s="23" t="str">
        <f>Contributions_Data!B644</f>
        <v>DA-002-M0054</v>
      </c>
      <c r="G650" s="24">
        <f>Contributions_Data!C644</f>
        <v>45353</v>
      </c>
      <c r="H650" s="27">
        <f>Contributions_Data!D644</f>
        <v>15086.23</v>
      </c>
      <c r="I650" s="27">
        <v>0</v>
      </c>
    </row>
    <row r="651" spans="3:9">
      <c r="C651" s="23">
        <v>644</v>
      </c>
      <c r="D651" s="23" t="s">
        <v>132</v>
      </c>
      <c r="E651" s="23" t="str">
        <f>Contributions_Data!A645</f>
        <v>DA-002</v>
      </c>
      <c r="F651" s="23" t="str">
        <f>Contributions_Data!B645</f>
        <v>DA-002-M0054</v>
      </c>
      <c r="G651" s="24">
        <f>Contributions_Data!C645</f>
        <v>45297</v>
      </c>
      <c r="H651" s="27">
        <f>Contributions_Data!D645</f>
        <v>18835.36</v>
      </c>
      <c r="I651" s="27">
        <v>0</v>
      </c>
    </row>
    <row r="652" spans="3:9">
      <c r="C652" s="23">
        <v>645</v>
      </c>
      <c r="D652" s="23" t="s">
        <v>132</v>
      </c>
      <c r="E652" s="23" t="str">
        <f>Contributions_Data!A646</f>
        <v>DA-002</v>
      </c>
      <c r="F652" s="23" t="str">
        <f>Contributions_Data!B646</f>
        <v>DA-002-M0054</v>
      </c>
      <c r="G652" s="24">
        <f>Contributions_Data!C646</f>
        <v>45366</v>
      </c>
      <c r="H652" s="27">
        <f>Contributions_Data!D646</f>
        <v>15139.31</v>
      </c>
      <c r="I652" s="27">
        <v>0</v>
      </c>
    </row>
    <row r="653" spans="3:9">
      <c r="C653" s="23">
        <v>646</v>
      </c>
      <c r="D653" s="23" t="s">
        <v>132</v>
      </c>
      <c r="E653" s="23" t="str">
        <f>Contributions_Data!A647</f>
        <v>DA-002</v>
      </c>
      <c r="F653" s="23" t="str">
        <f>Contributions_Data!B647</f>
        <v>DA-002-M0054</v>
      </c>
      <c r="G653" s="24">
        <f>Contributions_Data!C647</f>
        <v>45397</v>
      </c>
      <c r="H653" s="27">
        <f>Contributions_Data!D647</f>
        <v>17238.759999999998</v>
      </c>
      <c r="I653" s="27">
        <v>0</v>
      </c>
    </row>
    <row r="654" spans="3:9">
      <c r="C654" s="23">
        <v>647</v>
      </c>
      <c r="D654" s="23" t="s">
        <v>132</v>
      </c>
      <c r="E654" s="23" t="str">
        <f>Contributions_Data!A648</f>
        <v>DA-002</v>
      </c>
      <c r="F654" s="23" t="str">
        <f>Contributions_Data!B648</f>
        <v>DA-002-M0054</v>
      </c>
      <c r="G654" s="24">
        <f>Contributions_Data!C648</f>
        <v>45310</v>
      </c>
      <c r="H654" s="27">
        <f>Contributions_Data!D648</f>
        <v>16936.45</v>
      </c>
      <c r="I654" s="27">
        <v>0</v>
      </c>
    </row>
    <row r="655" spans="3:9">
      <c r="C655" s="23">
        <v>648</v>
      </c>
      <c r="D655" s="23" t="s">
        <v>132</v>
      </c>
      <c r="E655" s="23" t="str">
        <f>Contributions_Data!A649</f>
        <v>DA-002</v>
      </c>
      <c r="F655" s="23" t="str">
        <f>Contributions_Data!B649</f>
        <v>DA-002-M0054</v>
      </c>
      <c r="G655" s="24">
        <f>Contributions_Data!C649</f>
        <v>45624</v>
      </c>
      <c r="H655" s="27">
        <f>Contributions_Data!D649</f>
        <v>21489.759999999998</v>
      </c>
      <c r="I655" s="27">
        <v>0</v>
      </c>
    </row>
    <row r="656" spans="3:9">
      <c r="C656" s="23">
        <v>649</v>
      </c>
      <c r="D656" s="23" t="s">
        <v>132</v>
      </c>
      <c r="E656" s="23" t="str">
        <f>Contributions_Data!A650</f>
        <v>DA-001</v>
      </c>
      <c r="F656" s="23" t="str">
        <f>Contributions_Data!B650</f>
        <v>DA-001-M0055</v>
      </c>
      <c r="G656" s="24">
        <f>Contributions_Data!C650</f>
        <v>45637</v>
      </c>
      <c r="H656" s="27">
        <f>Contributions_Data!D650</f>
        <v>14076.67</v>
      </c>
      <c r="I656" s="27">
        <v>0</v>
      </c>
    </row>
    <row r="657" spans="3:9">
      <c r="C657" s="23">
        <v>650</v>
      </c>
      <c r="D657" s="23" t="s">
        <v>132</v>
      </c>
      <c r="E657" s="23" t="str">
        <f>Contributions_Data!A651</f>
        <v>DA-001</v>
      </c>
      <c r="F657" s="23" t="str">
        <f>Contributions_Data!B651</f>
        <v>DA-001-M0055</v>
      </c>
      <c r="G657" s="24">
        <f>Contributions_Data!C651</f>
        <v>45657</v>
      </c>
      <c r="H657" s="27">
        <f>Contributions_Data!D651</f>
        <v>15657.45</v>
      </c>
      <c r="I657" s="27">
        <v>0</v>
      </c>
    </row>
    <row r="658" spans="3:9">
      <c r="C658" s="23">
        <v>651</v>
      </c>
      <c r="D658" s="23" t="s">
        <v>132</v>
      </c>
      <c r="E658" s="23" t="str">
        <f>Contributions_Data!A652</f>
        <v>DA-001</v>
      </c>
      <c r="F658" s="23" t="str">
        <f>Contributions_Data!B652</f>
        <v>DA-001-M0055</v>
      </c>
      <c r="G658" s="24">
        <f>Contributions_Data!C652</f>
        <v>45463</v>
      </c>
      <c r="H658" s="27">
        <f>Contributions_Data!D652</f>
        <v>19732.36</v>
      </c>
      <c r="I658" s="27">
        <v>0</v>
      </c>
    </row>
    <row r="659" spans="3:9">
      <c r="C659" s="23">
        <v>652</v>
      </c>
      <c r="D659" s="23" t="s">
        <v>132</v>
      </c>
      <c r="E659" s="23" t="str">
        <f>Contributions_Data!A653</f>
        <v>DA-001</v>
      </c>
      <c r="F659" s="23" t="str">
        <f>Contributions_Data!B653</f>
        <v>DA-001-M0055</v>
      </c>
      <c r="G659" s="24">
        <f>Contributions_Data!C653</f>
        <v>45425</v>
      </c>
      <c r="H659" s="27">
        <f>Contributions_Data!D653</f>
        <v>15837.06</v>
      </c>
      <c r="I659" s="27">
        <v>0</v>
      </c>
    </row>
    <row r="660" spans="3:9">
      <c r="C660" s="23">
        <v>653</v>
      </c>
      <c r="D660" s="23" t="s">
        <v>132</v>
      </c>
      <c r="E660" s="23" t="str">
        <f>Contributions_Data!A654</f>
        <v>DA-001</v>
      </c>
      <c r="F660" s="23" t="str">
        <f>Contributions_Data!B654</f>
        <v>DA-001-M0055</v>
      </c>
      <c r="G660" s="24">
        <f>Contributions_Data!C654</f>
        <v>45352</v>
      </c>
      <c r="H660" s="27">
        <f>Contributions_Data!D654</f>
        <v>16823.689999999999</v>
      </c>
      <c r="I660" s="27">
        <v>0</v>
      </c>
    </row>
    <row r="661" spans="3:9">
      <c r="C661" s="23">
        <v>654</v>
      </c>
      <c r="D661" s="23" t="s">
        <v>132</v>
      </c>
      <c r="E661" s="23" t="str">
        <f>Contributions_Data!A655</f>
        <v>DA-001</v>
      </c>
      <c r="F661" s="23" t="str">
        <f>Contributions_Data!B655</f>
        <v>DA-001-M0055</v>
      </c>
      <c r="G661" s="24">
        <f>Contributions_Data!C655</f>
        <v>45649</v>
      </c>
      <c r="H661" s="27">
        <f>Contributions_Data!D655</f>
        <v>15559.83</v>
      </c>
      <c r="I661" s="27">
        <v>0</v>
      </c>
    </row>
    <row r="662" spans="3:9">
      <c r="C662" s="23">
        <v>655</v>
      </c>
      <c r="D662" s="23" t="s">
        <v>132</v>
      </c>
      <c r="E662" s="23" t="str">
        <f>Contributions_Data!A656</f>
        <v>DA-001</v>
      </c>
      <c r="F662" s="23" t="str">
        <f>Contributions_Data!B656</f>
        <v>DA-001-M0055</v>
      </c>
      <c r="G662" s="24">
        <f>Contributions_Data!C656</f>
        <v>45463</v>
      </c>
      <c r="H662" s="27">
        <f>Contributions_Data!D656</f>
        <v>13660.7</v>
      </c>
      <c r="I662" s="27">
        <v>0</v>
      </c>
    </row>
    <row r="663" spans="3:9">
      <c r="C663" s="23">
        <v>656</v>
      </c>
      <c r="D663" s="23" t="s">
        <v>132</v>
      </c>
      <c r="E663" s="23" t="str">
        <f>Contributions_Data!A657</f>
        <v>DA-001</v>
      </c>
      <c r="F663" s="23" t="str">
        <f>Contributions_Data!B657</f>
        <v>DA-001-M0055</v>
      </c>
      <c r="G663" s="24">
        <f>Contributions_Data!C657</f>
        <v>45339</v>
      </c>
      <c r="H663" s="27">
        <f>Contributions_Data!D657</f>
        <v>18220.900000000001</v>
      </c>
      <c r="I663" s="27">
        <v>0</v>
      </c>
    </row>
    <row r="664" spans="3:9">
      <c r="C664" s="23">
        <v>657</v>
      </c>
      <c r="D664" s="23" t="s">
        <v>132</v>
      </c>
      <c r="E664" s="23" t="str">
        <f>Contributions_Data!A658</f>
        <v>DA-001</v>
      </c>
      <c r="F664" s="23" t="str">
        <f>Contributions_Data!B658</f>
        <v>DA-001-M0055</v>
      </c>
      <c r="G664" s="24">
        <f>Contributions_Data!C658</f>
        <v>45532</v>
      </c>
      <c r="H664" s="27">
        <f>Contributions_Data!D658</f>
        <v>15398.91</v>
      </c>
      <c r="I664" s="27">
        <v>0</v>
      </c>
    </row>
    <row r="665" spans="3:9">
      <c r="C665" s="23">
        <v>658</v>
      </c>
      <c r="D665" s="23" t="s">
        <v>132</v>
      </c>
      <c r="E665" s="23" t="str">
        <f>Contributions_Data!A659</f>
        <v>DA-001</v>
      </c>
      <c r="F665" s="23" t="str">
        <f>Contributions_Data!B659</f>
        <v>DA-001-M0055</v>
      </c>
      <c r="G665" s="24">
        <f>Contributions_Data!C659</f>
        <v>45596</v>
      </c>
      <c r="H665" s="27">
        <f>Contributions_Data!D659</f>
        <v>12899.64</v>
      </c>
      <c r="I665" s="27">
        <v>0</v>
      </c>
    </row>
    <row r="666" spans="3:9">
      <c r="C666" s="23">
        <v>659</v>
      </c>
      <c r="D666" s="23" t="s">
        <v>132</v>
      </c>
      <c r="E666" s="23" t="str">
        <f>Contributions_Data!A660</f>
        <v>DA-001</v>
      </c>
      <c r="F666" s="23" t="str">
        <f>Contributions_Data!B660</f>
        <v>DA-001-M0055</v>
      </c>
      <c r="G666" s="24">
        <f>Contributions_Data!C660</f>
        <v>45637</v>
      </c>
      <c r="H666" s="27">
        <f>Contributions_Data!D660</f>
        <v>18585.14</v>
      </c>
      <c r="I666" s="27">
        <v>0</v>
      </c>
    </row>
    <row r="667" spans="3:9">
      <c r="C667" s="23">
        <v>660</v>
      </c>
      <c r="D667" s="23" t="s">
        <v>132</v>
      </c>
      <c r="E667" s="23" t="str">
        <f>Contributions_Data!A661</f>
        <v>DA-001</v>
      </c>
      <c r="F667" s="23" t="str">
        <f>Contributions_Data!B661</f>
        <v>DA-001-M0055</v>
      </c>
      <c r="G667" s="24">
        <f>Contributions_Data!C661</f>
        <v>45565</v>
      </c>
      <c r="H667" s="27">
        <f>Contributions_Data!D661</f>
        <v>13323.23</v>
      </c>
      <c r="I667" s="27">
        <v>0</v>
      </c>
    </row>
    <row r="668" spans="3:9">
      <c r="C668" s="23">
        <v>661</v>
      </c>
      <c r="D668" s="23" t="s">
        <v>132</v>
      </c>
      <c r="E668" s="23" t="str">
        <f>Contributions_Data!A662</f>
        <v>DA-001</v>
      </c>
      <c r="F668" s="23" t="str">
        <f>Contributions_Data!B662</f>
        <v>DA-001-M0056</v>
      </c>
      <c r="G668" s="24">
        <f>Contributions_Data!C662</f>
        <v>45606</v>
      </c>
      <c r="H668" s="27">
        <f>Contributions_Data!D662</f>
        <v>16131.64</v>
      </c>
      <c r="I668" s="27">
        <v>0</v>
      </c>
    </row>
    <row r="669" spans="3:9">
      <c r="C669" s="23">
        <v>662</v>
      </c>
      <c r="D669" s="23" t="s">
        <v>132</v>
      </c>
      <c r="E669" s="23" t="str">
        <f>Contributions_Data!A663</f>
        <v>DA-001</v>
      </c>
      <c r="F669" s="23" t="str">
        <f>Contributions_Data!B663</f>
        <v>DA-001-M0056</v>
      </c>
      <c r="G669" s="24">
        <f>Contributions_Data!C663</f>
        <v>45543</v>
      </c>
      <c r="H669" s="27">
        <f>Contributions_Data!D663</f>
        <v>19696.57</v>
      </c>
      <c r="I669" s="27">
        <v>0</v>
      </c>
    </row>
    <row r="670" spans="3:9">
      <c r="C670" s="23">
        <v>663</v>
      </c>
      <c r="D670" s="23" t="s">
        <v>132</v>
      </c>
      <c r="E670" s="23" t="str">
        <f>Contributions_Data!A664</f>
        <v>DA-001</v>
      </c>
      <c r="F670" s="23" t="str">
        <f>Contributions_Data!B664</f>
        <v>DA-001-M0056</v>
      </c>
      <c r="G670" s="24">
        <f>Contributions_Data!C664</f>
        <v>45461</v>
      </c>
      <c r="H670" s="27">
        <f>Contributions_Data!D664</f>
        <v>14802.75</v>
      </c>
      <c r="I670" s="27">
        <v>0</v>
      </c>
    </row>
    <row r="671" spans="3:9">
      <c r="C671" s="23">
        <v>664</v>
      </c>
      <c r="D671" s="23" t="s">
        <v>132</v>
      </c>
      <c r="E671" s="23" t="str">
        <f>Contributions_Data!A665</f>
        <v>DA-001</v>
      </c>
      <c r="F671" s="23" t="str">
        <f>Contributions_Data!B665</f>
        <v>DA-001-M0056</v>
      </c>
      <c r="G671" s="24">
        <f>Contributions_Data!C665</f>
        <v>45412</v>
      </c>
      <c r="H671" s="27">
        <f>Contributions_Data!D665</f>
        <v>13334.4</v>
      </c>
      <c r="I671" s="27">
        <v>0</v>
      </c>
    </row>
    <row r="672" spans="3:9">
      <c r="C672" s="23">
        <v>665</v>
      </c>
      <c r="D672" s="23" t="s">
        <v>132</v>
      </c>
      <c r="E672" s="23" t="str">
        <f>Contributions_Data!A666</f>
        <v>DA-001</v>
      </c>
      <c r="F672" s="23" t="str">
        <f>Contributions_Data!B666</f>
        <v>DA-001-M0056</v>
      </c>
      <c r="G672" s="24">
        <f>Contributions_Data!C666</f>
        <v>45502</v>
      </c>
      <c r="H672" s="27">
        <f>Contributions_Data!D666</f>
        <v>20643.47</v>
      </c>
      <c r="I672" s="27">
        <v>0</v>
      </c>
    </row>
    <row r="673" spans="3:9">
      <c r="C673" s="23">
        <v>666</v>
      </c>
      <c r="D673" s="23" t="s">
        <v>132</v>
      </c>
      <c r="E673" s="23" t="str">
        <f>Contributions_Data!A667</f>
        <v>DA-001</v>
      </c>
      <c r="F673" s="23" t="str">
        <f>Contributions_Data!B667</f>
        <v>DA-001-M0056</v>
      </c>
      <c r="G673" s="24">
        <f>Contributions_Data!C667</f>
        <v>45656</v>
      </c>
      <c r="H673" s="27">
        <f>Contributions_Data!D667</f>
        <v>8403.58</v>
      </c>
      <c r="I673" s="27">
        <v>0</v>
      </c>
    </row>
    <row r="674" spans="3:9">
      <c r="C674" s="23">
        <v>667</v>
      </c>
      <c r="D674" s="23" t="s">
        <v>132</v>
      </c>
      <c r="E674" s="23" t="str">
        <f>Contributions_Data!A668</f>
        <v>DA-001</v>
      </c>
      <c r="F674" s="23" t="str">
        <f>Contributions_Data!B668</f>
        <v>DA-001-M0056</v>
      </c>
      <c r="G674" s="24">
        <f>Contributions_Data!C668</f>
        <v>45311</v>
      </c>
      <c r="H674" s="27">
        <f>Contributions_Data!D668</f>
        <v>16320.04</v>
      </c>
      <c r="I674" s="27">
        <v>0</v>
      </c>
    </row>
    <row r="675" spans="3:9">
      <c r="C675" s="23">
        <v>668</v>
      </c>
      <c r="D675" s="23" t="s">
        <v>132</v>
      </c>
      <c r="E675" s="23" t="str">
        <f>Contributions_Data!A669</f>
        <v>DA-001</v>
      </c>
      <c r="F675" s="23" t="str">
        <f>Contributions_Data!B669</f>
        <v>DA-001-M0056</v>
      </c>
      <c r="G675" s="24">
        <f>Contributions_Data!C669</f>
        <v>45452</v>
      </c>
      <c r="H675" s="27">
        <f>Contributions_Data!D669</f>
        <v>13493.84</v>
      </c>
      <c r="I675" s="27">
        <v>0</v>
      </c>
    </row>
    <row r="676" spans="3:9">
      <c r="C676" s="23">
        <v>669</v>
      </c>
      <c r="D676" s="23" t="s">
        <v>132</v>
      </c>
      <c r="E676" s="23" t="str">
        <f>Contributions_Data!A670</f>
        <v>DA-001</v>
      </c>
      <c r="F676" s="23" t="str">
        <f>Contributions_Data!B670</f>
        <v>DA-001-M0056</v>
      </c>
      <c r="G676" s="24">
        <f>Contributions_Data!C670</f>
        <v>45297</v>
      </c>
      <c r="H676" s="27">
        <f>Contributions_Data!D670</f>
        <v>11936.3</v>
      </c>
      <c r="I676" s="27">
        <v>0</v>
      </c>
    </row>
    <row r="677" spans="3:9">
      <c r="C677" s="23">
        <v>670</v>
      </c>
      <c r="D677" s="23" t="s">
        <v>132</v>
      </c>
      <c r="E677" s="23" t="str">
        <f>Contributions_Data!A671</f>
        <v>DA-001</v>
      </c>
      <c r="F677" s="23" t="str">
        <f>Contributions_Data!B671</f>
        <v>DA-001-M0056</v>
      </c>
      <c r="G677" s="24">
        <f>Contributions_Data!C671</f>
        <v>45449</v>
      </c>
      <c r="H677" s="27">
        <f>Contributions_Data!D671</f>
        <v>15731.4</v>
      </c>
      <c r="I677" s="27">
        <v>0</v>
      </c>
    </row>
    <row r="678" spans="3:9">
      <c r="C678" s="23">
        <v>671</v>
      </c>
      <c r="D678" s="23" t="s">
        <v>132</v>
      </c>
      <c r="E678" s="23" t="str">
        <f>Contributions_Data!A672</f>
        <v>DA-001</v>
      </c>
      <c r="F678" s="23" t="str">
        <f>Contributions_Data!B672</f>
        <v>DA-001-M0056</v>
      </c>
      <c r="G678" s="24">
        <f>Contributions_Data!C672</f>
        <v>45514</v>
      </c>
      <c r="H678" s="27">
        <f>Contributions_Data!D672</f>
        <v>13307.76</v>
      </c>
      <c r="I678" s="27">
        <v>0</v>
      </c>
    </row>
    <row r="679" spans="3:9">
      <c r="C679" s="23">
        <v>672</v>
      </c>
      <c r="D679" s="23" t="s">
        <v>132</v>
      </c>
      <c r="E679" s="23" t="str">
        <f>Contributions_Data!A673</f>
        <v>DA-001</v>
      </c>
      <c r="F679" s="23" t="str">
        <f>Contributions_Data!B673</f>
        <v>DA-001-M0056</v>
      </c>
      <c r="G679" s="24">
        <f>Contributions_Data!C673</f>
        <v>45323</v>
      </c>
      <c r="H679" s="27">
        <f>Contributions_Data!D673</f>
        <v>17617.37</v>
      </c>
      <c r="I679" s="27">
        <v>0</v>
      </c>
    </row>
    <row r="680" spans="3:9">
      <c r="C680" s="23">
        <v>673</v>
      </c>
      <c r="D680" s="23" t="s">
        <v>132</v>
      </c>
      <c r="E680" s="23" t="str">
        <f>Contributions_Data!A674</f>
        <v>DA-002</v>
      </c>
      <c r="F680" s="23" t="str">
        <f>Contributions_Data!B674</f>
        <v>DA-002-M0057</v>
      </c>
      <c r="G680" s="24">
        <f>Contributions_Data!C674</f>
        <v>45302</v>
      </c>
      <c r="H680" s="27">
        <f>Contributions_Data!D674</f>
        <v>16950.599999999999</v>
      </c>
      <c r="I680" s="27">
        <v>0</v>
      </c>
    </row>
    <row r="681" spans="3:9">
      <c r="C681" s="23">
        <v>674</v>
      </c>
      <c r="D681" s="23" t="s">
        <v>132</v>
      </c>
      <c r="E681" s="23" t="str">
        <f>Contributions_Data!A675</f>
        <v>DA-002</v>
      </c>
      <c r="F681" s="23" t="str">
        <f>Contributions_Data!B675</f>
        <v>DA-002-M0057</v>
      </c>
      <c r="G681" s="24">
        <f>Contributions_Data!C675</f>
        <v>45363</v>
      </c>
      <c r="H681" s="27">
        <f>Contributions_Data!D675</f>
        <v>14702.47</v>
      </c>
      <c r="I681" s="27">
        <v>0</v>
      </c>
    </row>
    <row r="682" spans="3:9">
      <c r="C682" s="23">
        <v>675</v>
      </c>
      <c r="D682" s="23" t="s">
        <v>132</v>
      </c>
      <c r="E682" s="23" t="str">
        <f>Contributions_Data!A676</f>
        <v>DA-002</v>
      </c>
      <c r="F682" s="23" t="str">
        <f>Contributions_Data!B676</f>
        <v>DA-002-M0057</v>
      </c>
      <c r="G682" s="24">
        <f>Contributions_Data!C676</f>
        <v>45475</v>
      </c>
      <c r="H682" s="27">
        <f>Contributions_Data!D676</f>
        <v>20539.91</v>
      </c>
      <c r="I682" s="27">
        <v>0</v>
      </c>
    </row>
    <row r="683" spans="3:9">
      <c r="C683" s="23">
        <v>676</v>
      </c>
      <c r="D683" s="23" t="s">
        <v>132</v>
      </c>
      <c r="E683" s="23" t="str">
        <f>Contributions_Data!A677</f>
        <v>DA-002</v>
      </c>
      <c r="F683" s="23" t="str">
        <f>Contributions_Data!B677</f>
        <v>DA-002-M0057</v>
      </c>
      <c r="G683" s="24">
        <f>Contributions_Data!C677</f>
        <v>45641</v>
      </c>
      <c r="H683" s="27">
        <f>Contributions_Data!D677</f>
        <v>11789.75</v>
      </c>
      <c r="I683" s="27">
        <v>0</v>
      </c>
    </row>
    <row r="684" spans="3:9">
      <c r="C684" s="23">
        <v>677</v>
      </c>
      <c r="D684" s="23" t="s">
        <v>132</v>
      </c>
      <c r="E684" s="23" t="str">
        <f>Contributions_Data!A678</f>
        <v>DA-002</v>
      </c>
      <c r="F684" s="23" t="str">
        <f>Contributions_Data!B678</f>
        <v>DA-002-M0057</v>
      </c>
      <c r="G684" s="24">
        <f>Contributions_Data!C678</f>
        <v>45545</v>
      </c>
      <c r="H684" s="27">
        <f>Contributions_Data!D678</f>
        <v>10423.42</v>
      </c>
      <c r="I684" s="27">
        <v>0</v>
      </c>
    </row>
    <row r="685" spans="3:9">
      <c r="C685" s="23">
        <v>678</v>
      </c>
      <c r="D685" s="23" t="s">
        <v>132</v>
      </c>
      <c r="E685" s="23" t="str">
        <f>Contributions_Data!A679</f>
        <v>DA-002</v>
      </c>
      <c r="F685" s="23" t="str">
        <f>Contributions_Data!B679</f>
        <v>DA-002-M0057</v>
      </c>
      <c r="G685" s="24">
        <f>Contributions_Data!C679</f>
        <v>45481</v>
      </c>
      <c r="H685" s="27">
        <f>Contributions_Data!D679</f>
        <v>12924.28</v>
      </c>
      <c r="I685" s="27">
        <v>0</v>
      </c>
    </row>
    <row r="686" spans="3:9">
      <c r="C686" s="23">
        <v>679</v>
      </c>
      <c r="D686" s="23" t="s">
        <v>132</v>
      </c>
      <c r="E686" s="23" t="str">
        <f>Contributions_Data!A680</f>
        <v>DA-002</v>
      </c>
      <c r="F686" s="23" t="str">
        <f>Contributions_Data!B680</f>
        <v>DA-002-M0057</v>
      </c>
      <c r="G686" s="24">
        <f>Contributions_Data!C680</f>
        <v>45625</v>
      </c>
      <c r="H686" s="27">
        <f>Contributions_Data!D680</f>
        <v>14863.24</v>
      </c>
      <c r="I686" s="27">
        <v>0</v>
      </c>
    </row>
    <row r="687" spans="3:9">
      <c r="C687" s="23">
        <v>680</v>
      </c>
      <c r="D687" s="23" t="s">
        <v>132</v>
      </c>
      <c r="E687" s="23" t="str">
        <f>Contributions_Data!A681</f>
        <v>DA-002</v>
      </c>
      <c r="F687" s="23" t="str">
        <f>Contributions_Data!B681</f>
        <v>DA-002-M0057</v>
      </c>
      <c r="G687" s="24">
        <f>Contributions_Data!C681</f>
        <v>45540</v>
      </c>
      <c r="H687" s="27">
        <f>Contributions_Data!D681</f>
        <v>15730.02</v>
      </c>
      <c r="I687" s="27">
        <v>0</v>
      </c>
    </row>
    <row r="688" spans="3:9">
      <c r="C688" s="23">
        <v>681</v>
      </c>
      <c r="D688" s="23" t="s">
        <v>132</v>
      </c>
      <c r="E688" s="23" t="str">
        <f>Contributions_Data!A682</f>
        <v>DA-002</v>
      </c>
      <c r="F688" s="23" t="str">
        <f>Contributions_Data!B682</f>
        <v>DA-002-M0057</v>
      </c>
      <c r="G688" s="24">
        <f>Contributions_Data!C682</f>
        <v>45532</v>
      </c>
      <c r="H688" s="27">
        <f>Contributions_Data!D682</f>
        <v>16056.17</v>
      </c>
      <c r="I688" s="27">
        <v>0</v>
      </c>
    </row>
    <row r="689" spans="3:9">
      <c r="C689" s="23">
        <v>682</v>
      </c>
      <c r="D689" s="23" t="s">
        <v>132</v>
      </c>
      <c r="E689" s="23" t="str">
        <f>Contributions_Data!A683</f>
        <v>DA-002</v>
      </c>
      <c r="F689" s="23" t="str">
        <f>Contributions_Data!B683</f>
        <v>DA-002-M0057</v>
      </c>
      <c r="G689" s="24">
        <f>Contributions_Data!C683</f>
        <v>45500</v>
      </c>
      <c r="H689" s="27">
        <f>Contributions_Data!D683</f>
        <v>11245.38</v>
      </c>
      <c r="I689" s="27">
        <v>0</v>
      </c>
    </row>
    <row r="690" spans="3:9">
      <c r="C690" s="23">
        <v>683</v>
      </c>
      <c r="D690" s="23" t="s">
        <v>132</v>
      </c>
      <c r="E690" s="23" t="str">
        <f>Contributions_Data!A684</f>
        <v>DA-002</v>
      </c>
      <c r="F690" s="23" t="str">
        <f>Contributions_Data!B684</f>
        <v>DA-002-M0057</v>
      </c>
      <c r="G690" s="24">
        <f>Contributions_Data!C684</f>
        <v>45330</v>
      </c>
      <c r="H690" s="27">
        <f>Contributions_Data!D684</f>
        <v>19331.29</v>
      </c>
      <c r="I690" s="27">
        <v>0</v>
      </c>
    </row>
    <row r="691" spans="3:9">
      <c r="C691" s="23">
        <v>684</v>
      </c>
      <c r="D691" s="23" t="s">
        <v>132</v>
      </c>
      <c r="E691" s="23" t="str">
        <f>Contributions_Data!A685</f>
        <v>DA-002</v>
      </c>
      <c r="F691" s="23" t="str">
        <f>Contributions_Data!B685</f>
        <v>DA-002-M0057</v>
      </c>
      <c r="G691" s="24">
        <f>Contributions_Data!C685</f>
        <v>45532</v>
      </c>
      <c r="H691" s="27">
        <f>Contributions_Data!D685</f>
        <v>14753.55</v>
      </c>
      <c r="I691" s="27">
        <v>0</v>
      </c>
    </row>
    <row r="692" spans="3:9">
      <c r="C692" s="23">
        <v>685</v>
      </c>
      <c r="D692" s="23" t="s">
        <v>132</v>
      </c>
      <c r="E692" s="23" t="str">
        <f>Contributions_Data!A686</f>
        <v>DA-001</v>
      </c>
      <c r="F692" s="23" t="str">
        <f>Contributions_Data!B686</f>
        <v>DA-001-M0058</v>
      </c>
      <c r="G692" s="24">
        <f>Contributions_Data!C686</f>
        <v>45581</v>
      </c>
      <c r="H692" s="27">
        <f>Contributions_Data!D686</f>
        <v>18351.89</v>
      </c>
      <c r="I692" s="27">
        <v>0</v>
      </c>
    </row>
    <row r="693" spans="3:9">
      <c r="C693" s="23">
        <v>686</v>
      </c>
      <c r="D693" s="23" t="s">
        <v>132</v>
      </c>
      <c r="E693" s="23" t="str">
        <f>Contributions_Data!A687</f>
        <v>DA-001</v>
      </c>
      <c r="F693" s="23" t="str">
        <f>Contributions_Data!B687</f>
        <v>DA-001-M0058</v>
      </c>
      <c r="G693" s="24">
        <f>Contributions_Data!C687</f>
        <v>45303</v>
      </c>
      <c r="H693" s="27">
        <f>Contributions_Data!D687</f>
        <v>16028.18</v>
      </c>
      <c r="I693" s="27">
        <v>0</v>
      </c>
    </row>
    <row r="694" spans="3:9">
      <c r="C694" s="23">
        <v>687</v>
      </c>
      <c r="D694" s="23" t="s">
        <v>132</v>
      </c>
      <c r="E694" s="23" t="str">
        <f>Contributions_Data!A688</f>
        <v>DA-001</v>
      </c>
      <c r="F694" s="23" t="str">
        <f>Contributions_Data!B688</f>
        <v>DA-001-M0058</v>
      </c>
      <c r="G694" s="24">
        <f>Contributions_Data!C688</f>
        <v>45352</v>
      </c>
      <c r="H694" s="27">
        <f>Contributions_Data!D688</f>
        <v>16370.26</v>
      </c>
      <c r="I694" s="27">
        <v>0</v>
      </c>
    </row>
    <row r="695" spans="3:9">
      <c r="C695" s="23">
        <v>688</v>
      </c>
      <c r="D695" s="23" t="s">
        <v>132</v>
      </c>
      <c r="E695" s="23" t="str">
        <f>Contributions_Data!A689</f>
        <v>DA-001</v>
      </c>
      <c r="F695" s="23" t="str">
        <f>Contributions_Data!B689</f>
        <v>DA-001-M0058</v>
      </c>
      <c r="G695" s="24">
        <f>Contributions_Data!C689</f>
        <v>45470</v>
      </c>
      <c r="H695" s="27">
        <f>Contributions_Data!D689</f>
        <v>16709.3</v>
      </c>
      <c r="I695" s="27">
        <v>0</v>
      </c>
    </row>
    <row r="696" spans="3:9">
      <c r="C696" s="23">
        <v>689</v>
      </c>
      <c r="D696" s="23" t="s">
        <v>132</v>
      </c>
      <c r="E696" s="23" t="str">
        <f>Contributions_Data!A690</f>
        <v>DA-001</v>
      </c>
      <c r="F696" s="23" t="str">
        <f>Contributions_Data!B690</f>
        <v>DA-001-M0058</v>
      </c>
      <c r="G696" s="24">
        <f>Contributions_Data!C690</f>
        <v>45474</v>
      </c>
      <c r="H696" s="27">
        <f>Contributions_Data!D690</f>
        <v>16343.13</v>
      </c>
      <c r="I696" s="27">
        <v>0</v>
      </c>
    </row>
    <row r="697" spans="3:9">
      <c r="C697" s="23">
        <v>690</v>
      </c>
      <c r="D697" s="23" t="s">
        <v>132</v>
      </c>
      <c r="E697" s="23" t="str">
        <f>Contributions_Data!A691</f>
        <v>DA-001</v>
      </c>
      <c r="F697" s="23" t="str">
        <f>Contributions_Data!B691</f>
        <v>DA-001-M0058</v>
      </c>
      <c r="G697" s="24">
        <f>Contributions_Data!C691</f>
        <v>45592</v>
      </c>
      <c r="H697" s="27">
        <f>Contributions_Data!D691</f>
        <v>16928.169999999998</v>
      </c>
      <c r="I697" s="27">
        <v>0</v>
      </c>
    </row>
    <row r="698" spans="3:9">
      <c r="C698" s="23">
        <v>691</v>
      </c>
      <c r="D698" s="23" t="s">
        <v>132</v>
      </c>
      <c r="E698" s="23" t="str">
        <f>Contributions_Data!A692</f>
        <v>DA-001</v>
      </c>
      <c r="F698" s="23" t="str">
        <f>Contributions_Data!B692</f>
        <v>DA-001-M0058</v>
      </c>
      <c r="G698" s="24">
        <f>Contributions_Data!C692</f>
        <v>45343</v>
      </c>
      <c r="H698" s="27">
        <f>Contributions_Data!D692</f>
        <v>18987.46</v>
      </c>
      <c r="I698" s="27">
        <v>0</v>
      </c>
    </row>
    <row r="699" spans="3:9">
      <c r="C699" s="23">
        <v>692</v>
      </c>
      <c r="D699" s="23" t="s">
        <v>132</v>
      </c>
      <c r="E699" s="23" t="str">
        <f>Contributions_Data!A693</f>
        <v>DA-001</v>
      </c>
      <c r="F699" s="23" t="str">
        <f>Contributions_Data!B693</f>
        <v>DA-001-M0058</v>
      </c>
      <c r="G699" s="24">
        <f>Contributions_Data!C693</f>
        <v>45364</v>
      </c>
      <c r="H699" s="27">
        <f>Contributions_Data!D693</f>
        <v>15589.56</v>
      </c>
      <c r="I699" s="27">
        <v>0</v>
      </c>
    </row>
    <row r="700" spans="3:9">
      <c r="C700" s="23">
        <v>693</v>
      </c>
      <c r="D700" s="23" t="s">
        <v>132</v>
      </c>
      <c r="E700" s="23" t="str">
        <f>Contributions_Data!A694</f>
        <v>DA-001</v>
      </c>
      <c r="F700" s="23" t="str">
        <f>Contributions_Data!B694</f>
        <v>DA-001-M0058</v>
      </c>
      <c r="G700" s="24">
        <f>Contributions_Data!C694</f>
        <v>45639</v>
      </c>
      <c r="H700" s="27">
        <f>Contributions_Data!D694</f>
        <v>17127.009999999998</v>
      </c>
      <c r="I700" s="27">
        <v>0</v>
      </c>
    </row>
    <row r="701" spans="3:9">
      <c r="C701" s="23">
        <v>694</v>
      </c>
      <c r="D701" s="23" t="s">
        <v>132</v>
      </c>
      <c r="E701" s="23" t="str">
        <f>Contributions_Data!A695</f>
        <v>DA-001</v>
      </c>
      <c r="F701" s="23" t="str">
        <f>Contributions_Data!B695</f>
        <v>DA-001-M0058</v>
      </c>
      <c r="G701" s="24">
        <f>Contributions_Data!C695</f>
        <v>45595</v>
      </c>
      <c r="H701" s="27">
        <f>Contributions_Data!D695</f>
        <v>14730.79</v>
      </c>
      <c r="I701" s="27">
        <v>0</v>
      </c>
    </row>
    <row r="702" spans="3:9">
      <c r="C702" s="23">
        <v>695</v>
      </c>
      <c r="D702" s="23" t="s">
        <v>132</v>
      </c>
      <c r="E702" s="23" t="str">
        <f>Contributions_Data!A696</f>
        <v>DA-001</v>
      </c>
      <c r="F702" s="23" t="str">
        <f>Contributions_Data!B696</f>
        <v>DA-001-M0058</v>
      </c>
      <c r="G702" s="24">
        <f>Contributions_Data!C696</f>
        <v>45460</v>
      </c>
      <c r="H702" s="27">
        <f>Contributions_Data!D696</f>
        <v>19320.349999999999</v>
      </c>
      <c r="I702" s="27">
        <v>0</v>
      </c>
    </row>
    <row r="703" spans="3:9">
      <c r="C703" s="23">
        <v>696</v>
      </c>
      <c r="D703" s="23" t="s">
        <v>132</v>
      </c>
      <c r="E703" s="23" t="str">
        <f>Contributions_Data!A697</f>
        <v>DA-001</v>
      </c>
      <c r="F703" s="23" t="str">
        <f>Contributions_Data!B697</f>
        <v>DA-001-M0058</v>
      </c>
      <c r="G703" s="24">
        <f>Contributions_Data!C697</f>
        <v>45494</v>
      </c>
      <c r="H703" s="27">
        <f>Contributions_Data!D697</f>
        <v>20402.82</v>
      </c>
      <c r="I703" s="27">
        <v>0</v>
      </c>
    </row>
    <row r="704" spans="3:9">
      <c r="C704" s="23">
        <v>697</v>
      </c>
      <c r="D704" s="23" t="s">
        <v>132</v>
      </c>
      <c r="E704" s="23" t="str">
        <f>Contributions_Data!A698</f>
        <v>DA-003</v>
      </c>
      <c r="F704" s="23" t="str">
        <f>Contributions_Data!B698</f>
        <v>DA-003-M0059</v>
      </c>
      <c r="G704" s="24">
        <f>Contributions_Data!C698</f>
        <v>45416</v>
      </c>
      <c r="H704" s="27">
        <f>Contributions_Data!D698</f>
        <v>14879.53</v>
      </c>
      <c r="I704" s="27">
        <v>0</v>
      </c>
    </row>
    <row r="705" spans="3:9">
      <c r="C705" s="23">
        <v>698</v>
      </c>
      <c r="D705" s="23" t="s">
        <v>132</v>
      </c>
      <c r="E705" s="23" t="str">
        <f>Contributions_Data!A699</f>
        <v>DA-003</v>
      </c>
      <c r="F705" s="23" t="str">
        <f>Contributions_Data!B699</f>
        <v>DA-003-M0059</v>
      </c>
      <c r="G705" s="24">
        <f>Contributions_Data!C699</f>
        <v>45532</v>
      </c>
      <c r="H705" s="27">
        <f>Contributions_Data!D699</f>
        <v>10707.67</v>
      </c>
      <c r="I705" s="27">
        <v>0</v>
      </c>
    </row>
    <row r="706" spans="3:9">
      <c r="C706" s="23">
        <v>699</v>
      </c>
      <c r="D706" s="23" t="s">
        <v>132</v>
      </c>
      <c r="E706" s="23" t="str">
        <f>Contributions_Data!A700</f>
        <v>DA-003</v>
      </c>
      <c r="F706" s="23" t="str">
        <f>Contributions_Data!B700</f>
        <v>DA-003-M0059</v>
      </c>
      <c r="G706" s="24">
        <f>Contributions_Data!C700</f>
        <v>45522</v>
      </c>
      <c r="H706" s="27">
        <f>Contributions_Data!D700</f>
        <v>12956.85</v>
      </c>
      <c r="I706" s="27">
        <v>0</v>
      </c>
    </row>
    <row r="707" spans="3:9">
      <c r="C707" s="23">
        <v>700</v>
      </c>
      <c r="D707" s="23" t="s">
        <v>132</v>
      </c>
      <c r="E707" s="23" t="str">
        <f>Contributions_Data!A701</f>
        <v>DA-003</v>
      </c>
      <c r="F707" s="23" t="str">
        <f>Contributions_Data!B701</f>
        <v>DA-003-M0059</v>
      </c>
      <c r="G707" s="24">
        <f>Contributions_Data!C701</f>
        <v>45609</v>
      </c>
      <c r="H707" s="27">
        <f>Contributions_Data!D701</f>
        <v>17521.93</v>
      </c>
      <c r="I707" s="27">
        <v>0</v>
      </c>
    </row>
    <row r="708" spans="3:9">
      <c r="C708" s="23">
        <v>701</v>
      </c>
      <c r="D708" s="23" t="s">
        <v>132</v>
      </c>
      <c r="E708" s="23" t="str">
        <f>Contributions_Data!A702</f>
        <v>DA-003</v>
      </c>
      <c r="F708" s="23" t="str">
        <f>Contributions_Data!B702</f>
        <v>DA-003-M0059</v>
      </c>
      <c r="G708" s="24">
        <f>Contributions_Data!C702</f>
        <v>45297</v>
      </c>
      <c r="H708" s="27">
        <f>Contributions_Data!D702</f>
        <v>13042.13</v>
      </c>
      <c r="I708" s="27">
        <v>0</v>
      </c>
    </row>
    <row r="709" spans="3:9">
      <c r="C709" s="23">
        <v>702</v>
      </c>
      <c r="D709" s="23" t="s">
        <v>132</v>
      </c>
      <c r="E709" s="23" t="str">
        <f>Contributions_Data!A703</f>
        <v>DA-003</v>
      </c>
      <c r="F709" s="23" t="str">
        <f>Contributions_Data!B703</f>
        <v>DA-003-M0059</v>
      </c>
      <c r="G709" s="24">
        <f>Contributions_Data!C703</f>
        <v>45524</v>
      </c>
      <c r="H709" s="27">
        <f>Contributions_Data!D703</f>
        <v>13661.45</v>
      </c>
      <c r="I709" s="27">
        <v>0</v>
      </c>
    </row>
    <row r="710" spans="3:9">
      <c r="C710" s="23">
        <v>703</v>
      </c>
      <c r="D710" s="23" t="s">
        <v>132</v>
      </c>
      <c r="E710" s="23" t="str">
        <f>Contributions_Data!A704</f>
        <v>DA-003</v>
      </c>
      <c r="F710" s="23" t="str">
        <f>Contributions_Data!B704</f>
        <v>DA-003-M0059</v>
      </c>
      <c r="G710" s="24">
        <f>Contributions_Data!C704</f>
        <v>45565</v>
      </c>
      <c r="H710" s="27">
        <f>Contributions_Data!D704</f>
        <v>9331.3799999999992</v>
      </c>
      <c r="I710" s="27">
        <v>0</v>
      </c>
    </row>
    <row r="711" spans="3:9">
      <c r="C711" s="23">
        <v>704</v>
      </c>
      <c r="D711" s="23" t="s">
        <v>132</v>
      </c>
      <c r="E711" s="23" t="str">
        <f>Contributions_Data!A705</f>
        <v>DA-003</v>
      </c>
      <c r="F711" s="23" t="str">
        <f>Contributions_Data!B705</f>
        <v>DA-003-M0059</v>
      </c>
      <c r="G711" s="24">
        <f>Contributions_Data!C705</f>
        <v>45390</v>
      </c>
      <c r="H711" s="27">
        <f>Contributions_Data!D705</f>
        <v>13643.08</v>
      </c>
      <c r="I711" s="27">
        <v>0</v>
      </c>
    </row>
    <row r="712" spans="3:9">
      <c r="C712" s="23">
        <v>705</v>
      </c>
      <c r="D712" s="23" t="s">
        <v>132</v>
      </c>
      <c r="E712" s="23" t="str">
        <f>Contributions_Data!A706</f>
        <v>DA-003</v>
      </c>
      <c r="F712" s="23" t="str">
        <f>Contributions_Data!B706</f>
        <v>DA-003-M0059</v>
      </c>
      <c r="G712" s="24">
        <f>Contributions_Data!C706</f>
        <v>45601</v>
      </c>
      <c r="H712" s="27">
        <f>Contributions_Data!D706</f>
        <v>10248.290000000001</v>
      </c>
      <c r="I712" s="27">
        <v>0</v>
      </c>
    </row>
    <row r="713" spans="3:9">
      <c r="C713" s="23">
        <v>706</v>
      </c>
      <c r="D713" s="23" t="s">
        <v>132</v>
      </c>
      <c r="E713" s="23" t="str">
        <f>Contributions_Data!A707</f>
        <v>DA-003</v>
      </c>
      <c r="F713" s="23" t="str">
        <f>Contributions_Data!B707</f>
        <v>DA-003-M0059</v>
      </c>
      <c r="G713" s="24">
        <f>Contributions_Data!C707</f>
        <v>45530</v>
      </c>
      <c r="H713" s="27">
        <f>Contributions_Data!D707</f>
        <v>17281.240000000002</v>
      </c>
      <c r="I713" s="27">
        <v>0</v>
      </c>
    </row>
    <row r="714" spans="3:9">
      <c r="C714" s="23">
        <v>707</v>
      </c>
      <c r="D714" s="23" t="s">
        <v>132</v>
      </c>
      <c r="E714" s="23" t="str">
        <f>Contributions_Data!A708</f>
        <v>DA-003</v>
      </c>
      <c r="F714" s="23" t="str">
        <f>Contributions_Data!B708</f>
        <v>DA-003-M0059</v>
      </c>
      <c r="G714" s="24">
        <f>Contributions_Data!C708</f>
        <v>45588</v>
      </c>
      <c r="H714" s="27">
        <f>Contributions_Data!D708</f>
        <v>17357.400000000001</v>
      </c>
      <c r="I714" s="27">
        <v>0</v>
      </c>
    </row>
    <row r="715" spans="3:9">
      <c r="C715" s="23">
        <v>708</v>
      </c>
      <c r="D715" s="23" t="s">
        <v>132</v>
      </c>
      <c r="E715" s="23" t="str">
        <f>Contributions_Data!A709</f>
        <v>DA-003</v>
      </c>
      <c r="F715" s="23" t="str">
        <f>Contributions_Data!B709</f>
        <v>DA-003-M0059</v>
      </c>
      <c r="G715" s="24">
        <f>Contributions_Data!C709</f>
        <v>45483</v>
      </c>
      <c r="H715" s="27">
        <f>Contributions_Data!D709</f>
        <v>12099.07</v>
      </c>
      <c r="I715" s="27">
        <v>0</v>
      </c>
    </row>
    <row r="716" spans="3:9">
      <c r="C716" s="23">
        <v>709</v>
      </c>
      <c r="D716" s="23" t="s">
        <v>132</v>
      </c>
      <c r="E716" s="23" t="str">
        <f>Contributions_Data!A710</f>
        <v>DA-002</v>
      </c>
      <c r="F716" s="23" t="str">
        <f>Contributions_Data!B710</f>
        <v>DA-002-M0060</v>
      </c>
      <c r="G716" s="24">
        <f>Contributions_Data!C710</f>
        <v>45654</v>
      </c>
      <c r="H716" s="27">
        <f>Contributions_Data!D710</f>
        <v>14856.87</v>
      </c>
      <c r="I716" s="27">
        <v>0</v>
      </c>
    </row>
    <row r="717" spans="3:9">
      <c r="C717" s="23">
        <v>710</v>
      </c>
      <c r="D717" s="23" t="s">
        <v>132</v>
      </c>
      <c r="E717" s="23" t="str">
        <f>Contributions_Data!A711</f>
        <v>DA-002</v>
      </c>
      <c r="F717" s="23" t="str">
        <f>Contributions_Data!B711</f>
        <v>DA-002-M0060</v>
      </c>
      <c r="G717" s="24">
        <f>Contributions_Data!C711</f>
        <v>45557</v>
      </c>
      <c r="H717" s="27">
        <f>Contributions_Data!D711</f>
        <v>11524.91</v>
      </c>
      <c r="I717" s="27">
        <v>0</v>
      </c>
    </row>
    <row r="718" spans="3:9">
      <c r="C718" s="23">
        <v>711</v>
      </c>
      <c r="D718" s="23" t="s">
        <v>132</v>
      </c>
      <c r="E718" s="23" t="str">
        <f>Contributions_Data!A712</f>
        <v>DA-002</v>
      </c>
      <c r="F718" s="23" t="str">
        <f>Contributions_Data!B712</f>
        <v>DA-002-M0060</v>
      </c>
      <c r="G718" s="24">
        <f>Contributions_Data!C712</f>
        <v>45494</v>
      </c>
      <c r="H718" s="27">
        <f>Contributions_Data!D712</f>
        <v>17632.09</v>
      </c>
      <c r="I718" s="27">
        <v>0</v>
      </c>
    </row>
    <row r="719" spans="3:9">
      <c r="C719" s="23">
        <v>712</v>
      </c>
      <c r="D719" s="23" t="s">
        <v>132</v>
      </c>
      <c r="E719" s="23" t="str">
        <f>Contributions_Data!A713</f>
        <v>DA-002</v>
      </c>
      <c r="F719" s="23" t="str">
        <f>Contributions_Data!B713</f>
        <v>DA-002-M0060</v>
      </c>
      <c r="G719" s="24">
        <f>Contributions_Data!C713</f>
        <v>45394</v>
      </c>
      <c r="H719" s="27">
        <f>Contributions_Data!D713</f>
        <v>14337.11</v>
      </c>
      <c r="I719" s="27">
        <v>0</v>
      </c>
    </row>
    <row r="720" spans="3:9">
      <c r="C720" s="23">
        <v>713</v>
      </c>
      <c r="D720" s="23" t="s">
        <v>132</v>
      </c>
      <c r="E720" s="23" t="str">
        <f>Contributions_Data!A714</f>
        <v>DA-002</v>
      </c>
      <c r="F720" s="23" t="str">
        <f>Contributions_Data!B714</f>
        <v>DA-002-M0060</v>
      </c>
      <c r="G720" s="24">
        <f>Contributions_Data!C714</f>
        <v>45298</v>
      </c>
      <c r="H720" s="27">
        <f>Contributions_Data!D714</f>
        <v>15080.66</v>
      </c>
      <c r="I720" s="27">
        <v>0</v>
      </c>
    </row>
    <row r="721" spans="3:9">
      <c r="C721" s="23">
        <v>714</v>
      </c>
      <c r="D721" s="23" t="s">
        <v>132</v>
      </c>
      <c r="E721" s="23" t="str">
        <f>Contributions_Data!A715</f>
        <v>DA-002</v>
      </c>
      <c r="F721" s="23" t="str">
        <f>Contributions_Data!B715</f>
        <v>DA-002-M0060</v>
      </c>
      <c r="G721" s="24">
        <f>Contributions_Data!C715</f>
        <v>45329</v>
      </c>
      <c r="H721" s="27">
        <f>Contributions_Data!D715</f>
        <v>15625.15</v>
      </c>
      <c r="I721" s="27">
        <v>0</v>
      </c>
    </row>
    <row r="722" spans="3:9">
      <c r="C722" s="23">
        <v>715</v>
      </c>
      <c r="D722" s="23" t="s">
        <v>132</v>
      </c>
      <c r="E722" s="23" t="str">
        <f>Contributions_Data!A716</f>
        <v>DA-002</v>
      </c>
      <c r="F722" s="23" t="str">
        <f>Contributions_Data!B716</f>
        <v>DA-002-M0060</v>
      </c>
      <c r="G722" s="24">
        <f>Contributions_Data!C716</f>
        <v>45563</v>
      </c>
      <c r="H722" s="27">
        <f>Contributions_Data!D716</f>
        <v>8874.7999999999993</v>
      </c>
      <c r="I722" s="27">
        <v>0</v>
      </c>
    </row>
    <row r="723" spans="3:9">
      <c r="C723" s="23">
        <v>716</v>
      </c>
      <c r="D723" s="23" t="s">
        <v>132</v>
      </c>
      <c r="E723" s="23" t="str">
        <f>Contributions_Data!A717</f>
        <v>DA-002</v>
      </c>
      <c r="F723" s="23" t="str">
        <f>Contributions_Data!B717</f>
        <v>DA-002-M0060</v>
      </c>
      <c r="G723" s="24">
        <f>Contributions_Data!C717</f>
        <v>45584</v>
      </c>
      <c r="H723" s="27">
        <f>Contributions_Data!D717</f>
        <v>14258.47</v>
      </c>
      <c r="I723" s="27">
        <v>0</v>
      </c>
    </row>
    <row r="724" spans="3:9">
      <c r="C724" s="23">
        <v>717</v>
      </c>
      <c r="D724" s="23" t="s">
        <v>132</v>
      </c>
      <c r="E724" s="23" t="str">
        <f>Contributions_Data!A718</f>
        <v>DA-002</v>
      </c>
      <c r="F724" s="23" t="str">
        <f>Contributions_Data!B718</f>
        <v>DA-002-M0060</v>
      </c>
      <c r="G724" s="24">
        <f>Contributions_Data!C718</f>
        <v>45499</v>
      </c>
      <c r="H724" s="27">
        <f>Contributions_Data!D718</f>
        <v>12954.05</v>
      </c>
      <c r="I724" s="27">
        <v>0</v>
      </c>
    </row>
    <row r="725" spans="3:9">
      <c r="C725" s="23">
        <v>718</v>
      </c>
      <c r="D725" s="23" t="s">
        <v>132</v>
      </c>
      <c r="E725" s="23" t="str">
        <f>Contributions_Data!A719</f>
        <v>DA-002</v>
      </c>
      <c r="F725" s="23" t="str">
        <f>Contributions_Data!B719</f>
        <v>DA-002-M0060</v>
      </c>
      <c r="G725" s="24">
        <f>Contributions_Data!C719</f>
        <v>45329</v>
      </c>
      <c r="H725" s="27">
        <f>Contributions_Data!D719</f>
        <v>11995.14</v>
      </c>
      <c r="I725" s="27">
        <v>0</v>
      </c>
    </row>
    <row r="726" spans="3:9">
      <c r="C726" s="23">
        <v>719</v>
      </c>
      <c r="D726" s="23" t="s">
        <v>132</v>
      </c>
      <c r="E726" s="23" t="str">
        <f>Contributions_Data!A720</f>
        <v>DA-002</v>
      </c>
      <c r="F726" s="23" t="str">
        <f>Contributions_Data!B720</f>
        <v>DA-002-M0060</v>
      </c>
      <c r="G726" s="24">
        <f>Contributions_Data!C720</f>
        <v>45505</v>
      </c>
      <c r="H726" s="27">
        <f>Contributions_Data!D720</f>
        <v>20393.060000000001</v>
      </c>
      <c r="I726" s="27">
        <v>0</v>
      </c>
    </row>
    <row r="727" spans="3:9">
      <c r="C727" s="23">
        <v>720</v>
      </c>
      <c r="D727" s="23" t="s">
        <v>132</v>
      </c>
      <c r="E727" s="23" t="str">
        <f>Contributions_Data!A721</f>
        <v>DA-002</v>
      </c>
      <c r="F727" s="23" t="str">
        <f>Contributions_Data!B721</f>
        <v>DA-002-M0060</v>
      </c>
      <c r="G727" s="24">
        <f>Contributions_Data!C721</f>
        <v>45496</v>
      </c>
      <c r="H727" s="27">
        <f>Contributions_Data!D721</f>
        <v>13286.46</v>
      </c>
      <c r="I727" s="27">
        <v>0</v>
      </c>
    </row>
    <row r="728" spans="3:9">
      <c r="C728" s="23">
        <v>721</v>
      </c>
      <c r="D728" s="23" t="s">
        <v>132</v>
      </c>
      <c r="E728" s="23" t="str">
        <f>Contributions_Data!A722</f>
        <v>DA-003</v>
      </c>
      <c r="F728" s="23" t="str">
        <f>Contributions_Data!B722</f>
        <v>DA-003-M0061</v>
      </c>
      <c r="G728" s="24">
        <f>Contributions_Data!C722</f>
        <v>45591</v>
      </c>
      <c r="H728" s="27">
        <f>Contributions_Data!D722</f>
        <v>16717.75</v>
      </c>
      <c r="I728" s="27">
        <v>0</v>
      </c>
    </row>
    <row r="729" spans="3:9">
      <c r="C729" s="23">
        <v>722</v>
      </c>
      <c r="D729" s="23" t="s">
        <v>132</v>
      </c>
      <c r="E729" s="23" t="str">
        <f>Contributions_Data!A723</f>
        <v>DA-003</v>
      </c>
      <c r="F729" s="23" t="str">
        <f>Contributions_Data!B723</f>
        <v>DA-003-M0061</v>
      </c>
      <c r="G729" s="24">
        <f>Contributions_Data!C723</f>
        <v>45559</v>
      </c>
      <c r="H729" s="27">
        <f>Contributions_Data!D723</f>
        <v>19198.07</v>
      </c>
      <c r="I729" s="27">
        <v>0</v>
      </c>
    </row>
    <row r="730" spans="3:9">
      <c r="C730" s="23">
        <v>723</v>
      </c>
      <c r="D730" s="23" t="s">
        <v>132</v>
      </c>
      <c r="E730" s="23" t="str">
        <f>Contributions_Data!A724</f>
        <v>DA-003</v>
      </c>
      <c r="F730" s="23" t="str">
        <f>Contributions_Data!B724</f>
        <v>DA-003-M0061</v>
      </c>
      <c r="G730" s="24">
        <f>Contributions_Data!C724</f>
        <v>45312</v>
      </c>
      <c r="H730" s="27">
        <f>Contributions_Data!D724</f>
        <v>17773.900000000001</v>
      </c>
      <c r="I730" s="27">
        <v>0</v>
      </c>
    </row>
    <row r="731" spans="3:9">
      <c r="C731" s="23">
        <v>724</v>
      </c>
      <c r="D731" s="23" t="s">
        <v>132</v>
      </c>
      <c r="E731" s="23" t="str">
        <f>Contributions_Data!A725</f>
        <v>DA-003</v>
      </c>
      <c r="F731" s="23" t="str">
        <f>Contributions_Data!B725</f>
        <v>DA-003-M0061</v>
      </c>
      <c r="G731" s="24">
        <f>Contributions_Data!C725</f>
        <v>45614</v>
      </c>
      <c r="H731" s="27">
        <f>Contributions_Data!D725</f>
        <v>15178.89</v>
      </c>
      <c r="I731" s="27">
        <v>0</v>
      </c>
    </row>
    <row r="732" spans="3:9">
      <c r="C732" s="23">
        <v>725</v>
      </c>
      <c r="D732" s="23" t="s">
        <v>132</v>
      </c>
      <c r="E732" s="23" t="str">
        <f>Contributions_Data!A726</f>
        <v>DA-003</v>
      </c>
      <c r="F732" s="23" t="str">
        <f>Contributions_Data!B726</f>
        <v>DA-003-M0061</v>
      </c>
      <c r="G732" s="24">
        <f>Contributions_Data!C726</f>
        <v>45468</v>
      </c>
      <c r="H732" s="27">
        <f>Contributions_Data!D726</f>
        <v>13059.19</v>
      </c>
      <c r="I732" s="27">
        <v>0</v>
      </c>
    </row>
    <row r="733" spans="3:9">
      <c r="C733" s="23">
        <v>726</v>
      </c>
      <c r="D733" s="23" t="s">
        <v>132</v>
      </c>
      <c r="E733" s="23" t="str">
        <f>Contributions_Data!A727</f>
        <v>DA-003</v>
      </c>
      <c r="F733" s="23" t="str">
        <f>Contributions_Data!B727</f>
        <v>DA-003-M0061</v>
      </c>
      <c r="G733" s="24">
        <f>Contributions_Data!C727</f>
        <v>45504</v>
      </c>
      <c r="H733" s="27">
        <f>Contributions_Data!D727</f>
        <v>16180.46</v>
      </c>
      <c r="I733" s="27">
        <v>0</v>
      </c>
    </row>
    <row r="734" spans="3:9">
      <c r="C734" s="23">
        <v>727</v>
      </c>
      <c r="D734" s="23" t="s">
        <v>132</v>
      </c>
      <c r="E734" s="23" t="str">
        <f>Contributions_Data!A728</f>
        <v>DA-003</v>
      </c>
      <c r="F734" s="23" t="str">
        <f>Contributions_Data!B728</f>
        <v>DA-003-M0061</v>
      </c>
      <c r="G734" s="24">
        <f>Contributions_Data!C728</f>
        <v>45578</v>
      </c>
      <c r="H734" s="27">
        <f>Contributions_Data!D728</f>
        <v>17685.580000000002</v>
      </c>
      <c r="I734" s="27">
        <v>0</v>
      </c>
    </row>
    <row r="735" spans="3:9">
      <c r="C735" s="23">
        <v>728</v>
      </c>
      <c r="D735" s="23" t="s">
        <v>132</v>
      </c>
      <c r="E735" s="23" t="str">
        <f>Contributions_Data!A729</f>
        <v>DA-003</v>
      </c>
      <c r="F735" s="23" t="str">
        <f>Contributions_Data!B729</f>
        <v>DA-003-M0061</v>
      </c>
      <c r="G735" s="24">
        <f>Contributions_Data!C729</f>
        <v>45300</v>
      </c>
      <c r="H735" s="27">
        <f>Contributions_Data!D729</f>
        <v>16905.52</v>
      </c>
      <c r="I735" s="27">
        <v>0</v>
      </c>
    </row>
    <row r="736" spans="3:9">
      <c r="C736" s="23">
        <v>729</v>
      </c>
      <c r="D736" s="23" t="s">
        <v>132</v>
      </c>
      <c r="E736" s="23" t="str">
        <f>Contributions_Data!A730</f>
        <v>DA-003</v>
      </c>
      <c r="F736" s="23" t="str">
        <f>Contributions_Data!B730</f>
        <v>DA-003-M0061</v>
      </c>
      <c r="G736" s="24">
        <f>Contributions_Data!C730</f>
        <v>45429</v>
      </c>
      <c r="H736" s="27">
        <f>Contributions_Data!D730</f>
        <v>18148.66</v>
      </c>
      <c r="I736" s="27">
        <v>0</v>
      </c>
    </row>
    <row r="737" spans="3:9">
      <c r="C737" s="23">
        <v>730</v>
      </c>
      <c r="D737" s="23" t="s">
        <v>132</v>
      </c>
      <c r="E737" s="23" t="str">
        <f>Contributions_Data!A731</f>
        <v>DA-003</v>
      </c>
      <c r="F737" s="23" t="str">
        <f>Contributions_Data!B731</f>
        <v>DA-003-M0061</v>
      </c>
      <c r="G737" s="24">
        <f>Contributions_Data!C731</f>
        <v>45472</v>
      </c>
      <c r="H737" s="27">
        <f>Contributions_Data!D731</f>
        <v>13394.29</v>
      </c>
      <c r="I737" s="27">
        <v>0</v>
      </c>
    </row>
    <row r="738" spans="3:9">
      <c r="C738" s="23">
        <v>731</v>
      </c>
      <c r="D738" s="23" t="s">
        <v>132</v>
      </c>
      <c r="E738" s="23" t="str">
        <f>Contributions_Data!A732</f>
        <v>DA-003</v>
      </c>
      <c r="F738" s="23" t="str">
        <f>Contributions_Data!B732</f>
        <v>DA-003-M0061</v>
      </c>
      <c r="G738" s="24">
        <f>Contributions_Data!C732</f>
        <v>45318</v>
      </c>
      <c r="H738" s="27">
        <f>Contributions_Data!D732</f>
        <v>18952.18</v>
      </c>
      <c r="I738" s="27">
        <v>0</v>
      </c>
    </row>
    <row r="739" spans="3:9">
      <c r="C739" s="23">
        <v>732</v>
      </c>
      <c r="D739" s="23" t="s">
        <v>132</v>
      </c>
      <c r="E739" s="23" t="str">
        <f>Contributions_Data!A733</f>
        <v>DA-003</v>
      </c>
      <c r="F739" s="23" t="str">
        <f>Contributions_Data!B733</f>
        <v>DA-003-M0061</v>
      </c>
      <c r="G739" s="24">
        <f>Contributions_Data!C733</f>
        <v>45473</v>
      </c>
      <c r="H739" s="27">
        <f>Contributions_Data!D733</f>
        <v>15592.8</v>
      </c>
      <c r="I739" s="27">
        <v>0</v>
      </c>
    </row>
    <row r="740" spans="3:9">
      <c r="C740" s="23">
        <v>733</v>
      </c>
      <c r="D740" s="23" t="s">
        <v>132</v>
      </c>
      <c r="E740" s="23" t="str">
        <f>Contributions_Data!A734</f>
        <v>DA-002</v>
      </c>
      <c r="F740" s="23" t="str">
        <f>Contributions_Data!B734</f>
        <v>DA-002-M0062</v>
      </c>
      <c r="G740" s="24">
        <f>Contributions_Data!C734</f>
        <v>45488</v>
      </c>
      <c r="H740" s="27">
        <f>Contributions_Data!D734</f>
        <v>21225.78</v>
      </c>
      <c r="I740" s="27">
        <v>0</v>
      </c>
    </row>
    <row r="741" spans="3:9">
      <c r="C741" s="23">
        <v>734</v>
      </c>
      <c r="D741" s="23" t="s">
        <v>132</v>
      </c>
      <c r="E741" s="23" t="str">
        <f>Contributions_Data!A735</f>
        <v>DA-002</v>
      </c>
      <c r="F741" s="23" t="str">
        <f>Contributions_Data!B735</f>
        <v>DA-002-M0062</v>
      </c>
      <c r="G741" s="24">
        <f>Contributions_Data!C735</f>
        <v>45511</v>
      </c>
      <c r="H741" s="27">
        <f>Contributions_Data!D735</f>
        <v>12932.44</v>
      </c>
      <c r="I741" s="27">
        <v>0</v>
      </c>
    </row>
    <row r="742" spans="3:9">
      <c r="C742" s="23">
        <v>735</v>
      </c>
      <c r="D742" s="23" t="s">
        <v>132</v>
      </c>
      <c r="E742" s="23" t="str">
        <f>Contributions_Data!A736</f>
        <v>DA-002</v>
      </c>
      <c r="F742" s="23" t="str">
        <f>Contributions_Data!B736</f>
        <v>DA-002-M0062</v>
      </c>
      <c r="G742" s="24">
        <f>Contributions_Data!C736</f>
        <v>45552</v>
      </c>
      <c r="H742" s="27">
        <f>Contributions_Data!D736</f>
        <v>20207.89</v>
      </c>
      <c r="I742" s="27">
        <v>0</v>
      </c>
    </row>
    <row r="743" spans="3:9">
      <c r="C743" s="23">
        <v>736</v>
      </c>
      <c r="D743" s="23" t="s">
        <v>132</v>
      </c>
      <c r="E743" s="23" t="str">
        <f>Contributions_Data!A737</f>
        <v>DA-002</v>
      </c>
      <c r="F743" s="23" t="str">
        <f>Contributions_Data!B737</f>
        <v>DA-002-M0062</v>
      </c>
      <c r="G743" s="24">
        <f>Contributions_Data!C737</f>
        <v>45603</v>
      </c>
      <c r="H743" s="27">
        <f>Contributions_Data!D737</f>
        <v>15593.73</v>
      </c>
      <c r="I743" s="27">
        <v>0</v>
      </c>
    </row>
    <row r="744" spans="3:9">
      <c r="C744" s="23">
        <v>737</v>
      </c>
      <c r="D744" s="23" t="s">
        <v>132</v>
      </c>
      <c r="E744" s="23" t="str">
        <f>Contributions_Data!A738</f>
        <v>DA-002</v>
      </c>
      <c r="F744" s="23" t="str">
        <f>Contributions_Data!B738</f>
        <v>DA-002-M0062</v>
      </c>
      <c r="G744" s="24">
        <f>Contributions_Data!C738</f>
        <v>45363</v>
      </c>
      <c r="H744" s="27">
        <f>Contributions_Data!D738</f>
        <v>13548.34</v>
      </c>
      <c r="I744" s="27">
        <v>0</v>
      </c>
    </row>
    <row r="745" spans="3:9">
      <c r="C745" s="23">
        <v>738</v>
      </c>
      <c r="D745" s="23" t="s">
        <v>132</v>
      </c>
      <c r="E745" s="23" t="str">
        <f>Contributions_Data!A739</f>
        <v>DA-002</v>
      </c>
      <c r="F745" s="23" t="str">
        <f>Contributions_Data!B739</f>
        <v>DA-002-M0062</v>
      </c>
      <c r="G745" s="24">
        <f>Contributions_Data!C739</f>
        <v>45613</v>
      </c>
      <c r="H745" s="27">
        <f>Contributions_Data!D739</f>
        <v>14038.96</v>
      </c>
      <c r="I745" s="27">
        <v>0</v>
      </c>
    </row>
    <row r="746" spans="3:9">
      <c r="C746" s="23">
        <v>739</v>
      </c>
      <c r="D746" s="23" t="s">
        <v>132</v>
      </c>
      <c r="E746" s="23" t="str">
        <f>Contributions_Data!A740</f>
        <v>DA-002</v>
      </c>
      <c r="F746" s="23" t="str">
        <f>Contributions_Data!B740</f>
        <v>DA-002-M0062</v>
      </c>
      <c r="G746" s="24">
        <f>Contributions_Data!C740</f>
        <v>45549</v>
      </c>
      <c r="H746" s="27">
        <f>Contributions_Data!D740</f>
        <v>16272.5</v>
      </c>
      <c r="I746" s="27">
        <v>0</v>
      </c>
    </row>
    <row r="747" spans="3:9">
      <c r="C747" s="23">
        <v>740</v>
      </c>
      <c r="D747" s="23" t="s">
        <v>132</v>
      </c>
      <c r="E747" s="23" t="str">
        <f>Contributions_Data!A741</f>
        <v>DA-002</v>
      </c>
      <c r="F747" s="23" t="str">
        <f>Contributions_Data!B741</f>
        <v>DA-002-M0062</v>
      </c>
      <c r="G747" s="24">
        <f>Contributions_Data!C741</f>
        <v>45359</v>
      </c>
      <c r="H747" s="27">
        <f>Contributions_Data!D741</f>
        <v>16568.509999999998</v>
      </c>
      <c r="I747" s="27">
        <v>0</v>
      </c>
    </row>
    <row r="748" spans="3:9">
      <c r="C748" s="23">
        <v>741</v>
      </c>
      <c r="D748" s="23" t="s">
        <v>132</v>
      </c>
      <c r="E748" s="23" t="str">
        <f>Contributions_Data!A742</f>
        <v>DA-002</v>
      </c>
      <c r="F748" s="23" t="str">
        <f>Contributions_Data!B742</f>
        <v>DA-002-M0062</v>
      </c>
      <c r="G748" s="24">
        <f>Contributions_Data!C742</f>
        <v>45448</v>
      </c>
      <c r="H748" s="27">
        <f>Contributions_Data!D742</f>
        <v>14926.94</v>
      </c>
      <c r="I748" s="27">
        <v>0</v>
      </c>
    </row>
    <row r="749" spans="3:9">
      <c r="C749" s="23">
        <v>742</v>
      </c>
      <c r="D749" s="23" t="s">
        <v>132</v>
      </c>
      <c r="E749" s="23" t="str">
        <f>Contributions_Data!A743</f>
        <v>DA-002</v>
      </c>
      <c r="F749" s="23" t="str">
        <f>Contributions_Data!B743</f>
        <v>DA-002-M0062</v>
      </c>
      <c r="G749" s="24">
        <f>Contributions_Data!C743</f>
        <v>45396</v>
      </c>
      <c r="H749" s="27">
        <f>Contributions_Data!D743</f>
        <v>20182.63</v>
      </c>
      <c r="I749" s="27">
        <v>0</v>
      </c>
    </row>
    <row r="750" spans="3:9">
      <c r="C750" s="23">
        <v>743</v>
      </c>
      <c r="D750" s="23" t="s">
        <v>132</v>
      </c>
      <c r="E750" s="23" t="str">
        <f>Contributions_Data!A744</f>
        <v>DA-002</v>
      </c>
      <c r="F750" s="23" t="str">
        <f>Contributions_Data!B744</f>
        <v>DA-002-M0062</v>
      </c>
      <c r="G750" s="24">
        <f>Contributions_Data!C744</f>
        <v>45433</v>
      </c>
      <c r="H750" s="27">
        <f>Contributions_Data!D744</f>
        <v>16308.97</v>
      </c>
      <c r="I750" s="27">
        <v>0</v>
      </c>
    </row>
    <row r="751" spans="3:9">
      <c r="C751" s="23">
        <v>744</v>
      </c>
      <c r="D751" s="23" t="s">
        <v>132</v>
      </c>
      <c r="E751" s="23" t="str">
        <f>Contributions_Data!A745</f>
        <v>DA-002</v>
      </c>
      <c r="F751" s="23" t="str">
        <f>Contributions_Data!B745</f>
        <v>DA-002-M0062</v>
      </c>
      <c r="G751" s="24">
        <f>Contributions_Data!C745</f>
        <v>45435</v>
      </c>
      <c r="H751" s="27">
        <f>Contributions_Data!D745</f>
        <v>15114.01</v>
      </c>
      <c r="I751" s="27">
        <v>0</v>
      </c>
    </row>
    <row r="752" spans="3:9">
      <c r="C752" s="23">
        <v>745</v>
      </c>
      <c r="D752" s="23" t="s">
        <v>132</v>
      </c>
      <c r="E752" s="23" t="str">
        <f>Contributions_Data!A746</f>
        <v>DA-002</v>
      </c>
      <c r="F752" s="23" t="str">
        <f>Contributions_Data!B746</f>
        <v>DA-002-M0063</v>
      </c>
      <c r="G752" s="24">
        <f>Contributions_Data!C746</f>
        <v>45637</v>
      </c>
      <c r="H752" s="27">
        <f>Contributions_Data!D746</f>
        <v>15360.09</v>
      </c>
      <c r="I752" s="27">
        <v>0</v>
      </c>
    </row>
    <row r="753" spans="3:9">
      <c r="C753" s="23">
        <v>746</v>
      </c>
      <c r="D753" s="23" t="s">
        <v>132</v>
      </c>
      <c r="E753" s="23" t="str">
        <f>Contributions_Data!A747</f>
        <v>DA-002</v>
      </c>
      <c r="F753" s="23" t="str">
        <f>Contributions_Data!B747</f>
        <v>DA-002-M0063</v>
      </c>
      <c r="G753" s="24">
        <f>Contributions_Data!C747</f>
        <v>45594</v>
      </c>
      <c r="H753" s="27">
        <f>Contributions_Data!D747</f>
        <v>16840.55</v>
      </c>
      <c r="I753" s="27">
        <v>0</v>
      </c>
    </row>
    <row r="754" spans="3:9">
      <c r="C754" s="23">
        <v>747</v>
      </c>
      <c r="D754" s="23" t="s">
        <v>132</v>
      </c>
      <c r="E754" s="23" t="str">
        <f>Contributions_Data!A748</f>
        <v>DA-002</v>
      </c>
      <c r="F754" s="23" t="str">
        <f>Contributions_Data!B748</f>
        <v>DA-002-M0063</v>
      </c>
      <c r="G754" s="24">
        <f>Contributions_Data!C748</f>
        <v>45481</v>
      </c>
      <c r="H754" s="27">
        <f>Contributions_Data!D748</f>
        <v>11931.62</v>
      </c>
      <c r="I754" s="27">
        <v>0</v>
      </c>
    </row>
    <row r="755" spans="3:9">
      <c r="C755" s="23">
        <v>748</v>
      </c>
      <c r="D755" s="23" t="s">
        <v>132</v>
      </c>
      <c r="E755" s="23" t="str">
        <f>Contributions_Data!A749</f>
        <v>DA-002</v>
      </c>
      <c r="F755" s="23" t="str">
        <f>Contributions_Data!B749</f>
        <v>DA-002-M0063</v>
      </c>
      <c r="G755" s="24">
        <f>Contributions_Data!C749</f>
        <v>45595</v>
      </c>
      <c r="H755" s="27">
        <f>Contributions_Data!D749</f>
        <v>14227.87</v>
      </c>
      <c r="I755" s="27">
        <v>0</v>
      </c>
    </row>
    <row r="756" spans="3:9">
      <c r="C756" s="23">
        <v>749</v>
      </c>
      <c r="D756" s="23" t="s">
        <v>132</v>
      </c>
      <c r="E756" s="23" t="str">
        <f>Contributions_Data!A750</f>
        <v>DA-002</v>
      </c>
      <c r="F756" s="23" t="str">
        <f>Contributions_Data!B750</f>
        <v>DA-002-M0063</v>
      </c>
      <c r="G756" s="24">
        <f>Contributions_Data!C750</f>
        <v>45399</v>
      </c>
      <c r="H756" s="27">
        <f>Contributions_Data!D750</f>
        <v>9994.25</v>
      </c>
      <c r="I756" s="27">
        <v>0</v>
      </c>
    </row>
    <row r="757" spans="3:9">
      <c r="C757" s="23">
        <v>750</v>
      </c>
      <c r="D757" s="23" t="s">
        <v>132</v>
      </c>
      <c r="E757" s="23" t="str">
        <f>Contributions_Data!A751</f>
        <v>DA-002</v>
      </c>
      <c r="F757" s="23" t="str">
        <f>Contributions_Data!B751</f>
        <v>DA-002-M0063</v>
      </c>
      <c r="G757" s="24">
        <f>Contributions_Data!C751</f>
        <v>45553</v>
      </c>
      <c r="H757" s="27">
        <f>Contributions_Data!D751</f>
        <v>16197.67</v>
      </c>
      <c r="I757" s="27">
        <v>0</v>
      </c>
    </row>
    <row r="758" spans="3:9">
      <c r="C758" s="23">
        <v>751</v>
      </c>
      <c r="D758" s="23" t="s">
        <v>132</v>
      </c>
      <c r="E758" s="23" t="str">
        <f>Contributions_Data!A752</f>
        <v>DA-002</v>
      </c>
      <c r="F758" s="23" t="str">
        <f>Contributions_Data!B752</f>
        <v>DA-002-M0063</v>
      </c>
      <c r="G758" s="24">
        <f>Contributions_Data!C752</f>
        <v>45586</v>
      </c>
      <c r="H758" s="27">
        <f>Contributions_Data!D752</f>
        <v>16941.59</v>
      </c>
      <c r="I758" s="27">
        <v>0</v>
      </c>
    </row>
    <row r="759" spans="3:9">
      <c r="C759" s="23">
        <v>752</v>
      </c>
      <c r="D759" s="23" t="s">
        <v>132</v>
      </c>
      <c r="E759" s="23" t="str">
        <f>Contributions_Data!A753</f>
        <v>DA-002</v>
      </c>
      <c r="F759" s="23" t="str">
        <f>Contributions_Data!B753</f>
        <v>DA-002-M0063</v>
      </c>
      <c r="G759" s="24">
        <f>Contributions_Data!C753</f>
        <v>45303</v>
      </c>
      <c r="H759" s="27">
        <f>Contributions_Data!D753</f>
        <v>13550.44</v>
      </c>
      <c r="I759" s="27">
        <v>0</v>
      </c>
    </row>
    <row r="760" spans="3:9">
      <c r="C760" s="23">
        <v>753</v>
      </c>
      <c r="D760" s="23" t="s">
        <v>132</v>
      </c>
      <c r="E760" s="23" t="str">
        <f>Contributions_Data!A754</f>
        <v>DA-002</v>
      </c>
      <c r="F760" s="23" t="str">
        <f>Contributions_Data!B754</f>
        <v>DA-002-M0063</v>
      </c>
      <c r="G760" s="24">
        <f>Contributions_Data!C754</f>
        <v>45589</v>
      </c>
      <c r="H760" s="27">
        <f>Contributions_Data!D754</f>
        <v>19721.96</v>
      </c>
      <c r="I760" s="27">
        <v>0</v>
      </c>
    </row>
    <row r="761" spans="3:9">
      <c r="C761" s="23">
        <v>754</v>
      </c>
      <c r="D761" s="23" t="s">
        <v>132</v>
      </c>
      <c r="E761" s="23" t="str">
        <f>Contributions_Data!A755</f>
        <v>DA-002</v>
      </c>
      <c r="F761" s="23" t="str">
        <f>Contributions_Data!B755</f>
        <v>DA-002-M0063</v>
      </c>
      <c r="G761" s="24">
        <f>Contributions_Data!C755</f>
        <v>45337</v>
      </c>
      <c r="H761" s="27">
        <f>Contributions_Data!D755</f>
        <v>10606.88</v>
      </c>
      <c r="I761" s="27">
        <v>0</v>
      </c>
    </row>
    <row r="762" spans="3:9">
      <c r="C762" s="23">
        <v>755</v>
      </c>
      <c r="D762" s="23" t="s">
        <v>132</v>
      </c>
      <c r="E762" s="23" t="str">
        <f>Contributions_Data!A756</f>
        <v>DA-002</v>
      </c>
      <c r="F762" s="23" t="str">
        <f>Contributions_Data!B756</f>
        <v>DA-002-M0063</v>
      </c>
      <c r="G762" s="24">
        <f>Contributions_Data!C756</f>
        <v>45613</v>
      </c>
      <c r="H762" s="27">
        <f>Contributions_Data!D756</f>
        <v>15673.36</v>
      </c>
      <c r="I762" s="27">
        <v>0</v>
      </c>
    </row>
    <row r="763" spans="3:9">
      <c r="C763" s="23">
        <v>756</v>
      </c>
      <c r="D763" s="23" t="s">
        <v>132</v>
      </c>
      <c r="E763" s="23" t="str">
        <f>Contributions_Data!A757</f>
        <v>DA-002</v>
      </c>
      <c r="F763" s="23" t="str">
        <f>Contributions_Data!B757</f>
        <v>DA-002-M0063</v>
      </c>
      <c r="G763" s="24">
        <f>Contributions_Data!C757</f>
        <v>45521</v>
      </c>
      <c r="H763" s="27">
        <f>Contributions_Data!D757</f>
        <v>18141.29</v>
      </c>
      <c r="I763" s="27">
        <v>0</v>
      </c>
    </row>
    <row r="764" spans="3:9">
      <c r="C764" s="23">
        <v>757</v>
      </c>
      <c r="D764" s="23" t="s">
        <v>132</v>
      </c>
      <c r="E764" s="23" t="str">
        <f>Contributions_Data!A758</f>
        <v>DA-002</v>
      </c>
      <c r="F764" s="23" t="str">
        <f>Contributions_Data!B758</f>
        <v>DA-002-M0064</v>
      </c>
      <c r="G764" s="24">
        <f>Contributions_Data!C758</f>
        <v>45401</v>
      </c>
      <c r="H764" s="27">
        <f>Contributions_Data!D758</f>
        <v>20051.78</v>
      </c>
      <c r="I764" s="27">
        <v>0</v>
      </c>
    </row>
    <row r="765" spans="3:9">
      <c r="C765" s="23">
        <v>758</v>
      </c>
      <c r="D765" s="23" t="s">
        <v>132</v>
      </c>
      <c r="E765" s="23" t="str">
        <f>Contributions_Data!A759</f>
        <v>DA-002</v>
      </c>
      <c r="F765" s="23" t="str">
        <f>Contributions_Data!B759</f>
        <v>DA-002-M0064</v>
      </c>
      <c r="G765" s="24">
        <f>Contributions_Data!C759</f>
        <v>45487</v>
      </c>
      <c r="H765" s="27">
        <f>Contributions_Data!D759</f>
        <v>13623.35</v>
      </c>
      <c r="I765" s="27">
        <v>0</v>
      </c>
    </row>
    <row r="766" spans="3:9">
      <c r="C766" s="23">
        <v>759</v>
      </c>
      <c r="D766" s="23" t="s">
        <v>132</v>
      </c>
      <c r="E766" s="23" t="str">
        <f>Contributions_Data!A760</f>
        <v>DA-002</v>
      </c>
      <c r="F766" s="23" t="str">
        <f>Contributions_Data!B760</f>
        <v>DA-002-M0064</v>
      </c>
      <c r="G766" s="24">
        <f>Contributions_Data!C760</f>
        <v>45498</v>
      </c>
      <c r="H766" s="27">
        <f>Contributions_Data!D760</f>
        <v>14884.47</v>
      </c>
      <c r="I766" s="27">
        <v>0</v>
      </c>
    </row>
    <row r="767" spans="3:9">
      <c r="C767" s="23">
        <v>760</v>
      </c>
      <c r="D767" s="23" t="s">
        <v>132</v>
      </c>
      <c r="E767" s="23" t="str">
        <f>Contributions_Data!A761</f>
        <v>DA-002</v>
      </c>
      <c r="F767" s="23" t="str">
        <f>Contributions_Data!B761</f>
        <v>DA-002-M0064</v>
      </c>
      <c r="G767" s="24">
        <f>Contributions_Data!C761</f>
        <v>45320</v>
      </c>
      <c r="H767" s="27">
        <f>Contributions_Data!D761</f>
        <v>14482.12</v>
      </c>
      <c r="I767" s="27">
        <v>0</v>
      </c>
    </row>
    <row r="768" spans="3:9">
      <c r="C768" s="23">
        <v>761</v>
      </c>
      <c r="D768" s="23" t="s">
        <v>132</v>
      </c>
      <c r="E768" s="23" t="str">
        <f>Contributions_Data!A762</f>
        <v>DA-002</v>
      </c>
      <c r="F768" s="23" t="str">
        <f>Contributions_Data!B762</f>
        <v>DA-002-M0064</v>
      </c>
      <c r="G768" s="24">
        <f>Contributions_Data!C762</f>
        <v>45620</v>
      </c>
      <c r="H768" s="27">
        <f>Contributions_Data!D762</f>
        <v>17650.98</v>
      </c>
      <c r="I768" s="27">
        <v>0</v>
      </c>
    </row>
    <row r="769" spans="3:9">
      <c r="C769" s="23">
        <v>762</v>
      </c>
      <c r="D769" s="23" t="s">
        <v>132</v>
      </c>
      <c r="E769" s="23" t="str">
        <f>Contributions_Data!A763</f>
        <v>DA-002</v>
      </c>
      <c r="F769" s="23" t="str">
        <f>Contributions_Data!B763</f>
        <v>DA-002-M0064</v>
      </c>
      <c r="G769" s="24">
        <f>Contributions_Data!C763</f>
        <v>45500</v>
      </c>
      <c r="H769" s="27">
        <f>Contributions_Data!D763</f>
        <v>16956.97</v>
      </c>
      <c r="I769" s="27">
        <v>0</v>
      </c>
    </row>
    <row r="770" spans="3:9">
      <c r="C770" s="23">
        <v>763</v>
      </c>
      <c r="D770" s="23" t="s">
        <v>132</v>
      </c>
      <c r="E770" s="23" t="str">
        <f>Contributions_Data!A764</f>
        <v>DA-002</v>
      </c>
      <c r="F770" s="23" t="str">
        <f>Contributions_Data!B764</f>
        <v>DA-002-M0064</v>
      </c>
      <c r="G770" s="24">
        <f>Contributions_Data!C764</f>
        <v>45476</v>
      </c>
      <c r="H770" s="27">
        <f>Contributions_Data!D764</f>
        <v>19429.62</v>
      </c>
      <c r="I770" s="27">
        <v>0</v>
      </c>
    </row>
    <row r="771" spans="3:9">
      <c r="C771" s="23">
        <v>764</v>
      </c>
      <c r="D771" s="23" t="s">
        <v>132</v>
      </c>
      <c r="E771" s="23" t="str">
        <f>Contributions_Data!A765</f>
        <v>DA-002</v>
      </c>
      <c r="F771" s="23" t="str">
        <f>Contributions_Data!B765</f>
        <v>DA-002-M0064</v>
      </c>
      <c r="G771" s="24">
        <f>Contributions_Data!C765</f>
        <v>45516</v>
      </c>
      <c r="H771" s="27">
        <f>Contributions_Data!D765</f>
        <v>13123.31</v>
      </c>
      <c r="I771" s="27">
        <v>0</v>
      </c>
    </row>
    <row r="772" spans="3:9">
      <c r="C772" s="23">
        <v>765</v>
      </c>
      <c r="D772" s="23" t="s">
        <v>132</v>
      </c>
      <c r="E772" s="23" t="str">
        <f>Contributions_Data!A766</f>
        <v>DA-002</v>
      </c>
      <c r="F772" s="23" t="str">
        <f>Contributions_Data!B766</f>
        <v>DA-002-M0064</v>
      </c>
      <c r="G772" s="24">
        <f>Contributions_Data!C766</f>
        <v>45441</v>
      </c>
      <c r="H772" s="27">
        <f>Contributions_Data!D766</f>
        <v>16187.41</v>
      </c>
      <c r="I772" s="27">
        <v>0</v>
      </c>
    </row>
    <row r="773" spans="3:9">
      <c r="C773" s="23">
        <v>766</v>
      </c>
      <c r="D773" s="23" t="s">
        <v>132</v>
      </c>
      <c r="E773" s="23" t="str">
        <f>Contributions_Data!A767</f>
        <v>DA-002</v>
      </c>
      <c r="F773" s="23" t="str">
        <f>Contributions_Data!B767</f>
        <v>DA-002-M0064</v>
      </c>
      <c r="G773" s="24">
        <f>Contributions_Data!C767</f>
        <v>45310</v>
      </c>
      <c r="H773" s="27">
        <f>Contributions_Data!D767</f>
        <v>16482.09</v>
      </c>
      <c r="I773" s="27">
        <v>0</v>
      </c>
    </row>
    <row r="774" spans="3:9">
      <c r="C774" s="23">
        <v>767</v>
      </c>
      <c r="D774" s="23" t="s">
        <v>132</v>
      </c>
      <c r="E774" s="23" t="str">
        <f>Contributions_Data!A768</f>
        <v>DA-002</v>
      </c>
      <c r="F774" s="23" t="str">
        <f>Contributions_Data!B768</f>
        <v>DA-002-M0064</v>
      </c>
      <c r="G774" s="24">
        <f>Contributions_Data!C768</f>
        <v>45545</v>
      </c>
      <c r="H774" s="27">
        <f>Contributions_Data!D768</f>
        <v>13349.08</v>
      </c>
      <c r="I774" s="27">
        <v>0</v>
      </c>
    </row>
    <row r="775" spans="3:9">
      <c r="C775" s="23">
        <v>768</v>
      </c>
      <c r="D775" s="23" t="s">
        <v>132</v>
      </c>
      <c r="E775" s="23" t="str">
        <f>Contributions_Data!A769</f>
        <v>DA-002</v>
      </c>
      <c r="F775" s="23" t="str">
        <f>Contributions_Data!B769</f>
        <v>DA-002-M0064</v>
      </c>
      <c r="G775" s="24">
        <f>Contributions_Data!C769</f>
        <v>45565</v>
      </c>
      <c r="H775" s="27">
        <f>Contributions_Data!D769</f>
        <v>12985.13</v>
      </c>
      <c r="I775" s="27">
        <v>0</v>
      </c>
    </row>
    <row r="776" spans="3:9">
      <c r="C776" s="23">
        <v>769</v>
      </c>
      <c r="D776" s="23" t="s">
        <v>132</v>
      </c>
      <c r="E776" s="23" t="str">
        <f>Contributions_Data!A770</f>
        <v>DA-001</v>
      </c>
      <c r="F776" s="23" t="str">
        <f>Contributions_Data!B770</f>
        <v>DA-001-M0065</v>
      </c>
      <c r="G776" s="24">
        <f>Contributions_Data!C770</f>
        <v>45627</v>
      </c>
      <c r="H776" s="27">
        <f>Contributions_Data!D770</f>
        <v>14923.34</v>
      </c>
      <c r="I776" s="27">
        <v>0</v>
      </c>
    </row>
    <row r="777" spans="3:9">
      <c r="C777" s="23">
        <v>770</v>
      </c>
      <c r="D777" s="23" t="s">
        <v>132</v>
      </c>
      <c r="E777" s="23" t="str">
        <f>Contributions_Data!A771</f>
        <v>DA-001</v>
      </c>
      <c r="F777" s="23" t="str">
        <f>Contributions_Data!B771</f>
        <v>DA-001-M0065</v>
      </c>
      <c r="G777" s="24">
        <f>Contributions_Data!C771</f>
        <v>45496</v>
      </c>
      <c r="H777" s="27">
        <f>Contributions_Data!D771</f>
        <v>16630.8</v>
      </c>
      <c r="I777" s="27">
        <v>0</v>
      </c>
    </row>
    <row r="778" spans="3:9">
      <c r="C778" s="23">
        <v>771</v>
      </c>
      <c r="D778" s="23" t="s">
        <v>132</v>
      </c>
      <c r="E778" s="23" t="str">
        <f>Contributions_Data!A772</f>
        <v>DA-001</v>
      </c>
      <c r="F778" s="23" t="str">
        <f>Contributions_Data!B772</f>
        <v>DA-001-M0065</v>
      </c>
      <c r="G778" s="24">
        <f>Contributions_Data!C772</f>
        <v>45578</v>
      </c>
      <c r="H778" s="27">
        <f>Contributions_Data!D772</f>
        <v>13888.16</v>
      </c>
      <c r="I778" s="27">
        <v>0</v>
      </c>
    </row>
    <row r="779" spans="3:9">
      <c r="C779" s="23">
        <v>772</v>
      </c>
      <c r="D779" s="23" t="s">
        <v>132</v>
      </c>
      <c r="E779" s="23" t="str">
        <f>Contributions_Data!A773</f>
        <v>DA-001</v>
      </c>
      <c r="F779" s="23" t="str">
        <f>Contributions_Data!B773</f>
        <v>DA-001-M0065</v>
      </c>
      <c r="G779" s="24">
        <f>Contributions_Data!C773</f>
        <v>45526</v>
      </c>
      <c r="H779" s="27">
        <f>Contributions_Data!D773</f>
        <v>17315.099999999999</v>
      </c>
      <c r="I779" s="27">
        <v>0</v>
      </c>
    </row>
    <row r="780" spans="3:9">
      <c r="C780" s="23">
        <v>773</v>
      </c>
      <c r="D780" s="23" t="s">
        <v>132</v>
      </c>
      <c r="E780" s="23" t="str">
        <f>Contributions_Data!A774</f>
        <v>DA-001</v>
      </c>
      <c r="F780" s="23" t="str">
        <f>Contributions_Data!B774</f>
        <v>DA-001-M0065</v>
      </c>
      <c r="G780" s="24">
        <f>Contributions_Data!C774</f>
        <v>45404</v>
      </c>
      <c r="H780" s="27">
        <f>Contributions_Data!D774</f>
        <v>6454.37</v>
      </c>
      <c r="I780" s="27">
        <v>0</v>
      </c>
    </row>
    <row r="781" spans="3:9">
      <c r="C781" s="23">
        <v>774</v>
      </c>
      <c r="D781" s="23" t="s">
        <v>132</v>
      </c>
      <c r="E781" s="23" t="str">
        <f>Contributions_Data!A775</f>
        <v>DA-001</v>
      </c>
      <c r="F781" s="23" t="str">
        <f>Contributions_Data!B775</f>
        <v>DA-001-M0065</v>
      </c>
      <c r="G781" s="24">
        <f>Contributions_Data!C775</f>
        <v>45438</v>
      </c>
      <c r="H781" s="27">
        <f>Contributions_Data!D775</f>
        <v>9780.86</v>
      </c>
      <c r="I781" s="27">
        <v>0</v>
      </c>
    </row>
    <row r="782" spans="3:9">
      <c r="C782" s="23">
        <v>775</v>
      </c>
      <c r="D782" s="23" t="s">
        <v>132</v>
      </c>
      <c r="E782" s="23" t="str">
        <f>Contributions_Data!A776</f>
        <v>DA-001</v>
      </c>
      <c r="F782" s="23" t="str">
        <f>Contributions_Data!B776</f>
        <v>DA-001-M0065</v>
      </c>
      <c r="G782" s="24">
        <f>Contributions_Data!C776</f>
        <v>45400</v>
      </c>
      <c r="H782" s="27">
        <f>Contributions_Data!D776</f>
        <v>13912.68</v>
      </c>
      <c r="I782" s="27">
        <v>0</v>
      </c>
    </row>
    <row r="783" spans="3:9">
      <c r="C783" s="23">
        <v>776</v>
      </c>
      <c r="D783" s="23" t="s">
        <v>132</v>
      </c>
      <c r="E783" s="23" t="str">
        <f>Contributions_Data!A777</f>
        <v>DA-001</v>
      </c>
      <c r="F783" s="23" t="str">
        <f>Contributions_Data!B777</f>
        <v>DA-001-M0065</v>
      </c>
      <c r="G783" s="24">
        <f>Contributions_Data!C777</f>
        <v>45525</v>
      </c>
      <c r="H783" s="27">
        <f>Contributions_Data!D777</f>
        <v>11115.96</v>
      </c>
      <c r="I783" s="27">
        <v>0</v>
      </c>
    </row>
    <row r="784" spans="3:9">
      <c r="C784" s="23">
        <v>777</v>
      </c>
      <c r="D784" s="23" t="s">
        <v>132</v>
      </c>
      <c r="E784" s="23" t="str">
        <f>Contributions_Data!A778</f>
        <v>DA-001</v>
      </c>
      <c r="F784" s="23" t="str">
        <f>Contributions_Data!B778</f>
        <v>DA-001-M0065</v>
      </c>
      <c r="G784" s="24">
        <f>Contributions_Data!C778</f>
        <v>45416</v>
      </c>
      <c r="H784" s="27">
        <f>Contributions_Data!D778</f>
        <v>18482.48</v>
      </c>
      <c r="I784" s="27">
        <v>0</v>
      </c>
    </row>
    <row r="785" spans="3:9">
      <c r="C785" s="23">
        <v>778</v>
      </c>
      <c r="D785" s="23" t="s">
        <v>132</v>
      </c>
      <c r="E785" s="23" t="str">
        <f>Contributions_Data!A779</f>
        <v>DA-001</v>
      </c>
      <c r="F785" s="23" t="str">
        <f>Contributions_Data!B779</f>
        <v>DA-001-M0065</v>
      </c>
      <c r="G785" s="24">
        <f>Contributions_Data!C779</f>
        <v>45520</v>
      </c>
      <c r="H785" s="27">
        <f>Contributions_Data!D779</f>
        <v>16039.51</v>
      </c>
      <c r="I785" s="27">
        <v>0</v>
      </c>
    </row>
    <row r="786" spans="3:9">
      <c r="C786" s="23">
        <v>779</v>
      </c>
      <c r="D786" s="23" t="s">
        <v>132</v>
      </c>
      <c r="E786" s="23" t="str">
        <f>Contributions_Data!A780</f>
        <v>DA-001</v>
      </c>
      <c r="F786" s="23" t="str">
        <f>Contributions_Data!B780</f>
        <v>DA-001-M0065</v>
      </c>
      <c r="G786" s="24">
        <f>Contributions_Data!C780</f>
        <v>45508</v>
      </c>
      <c r="H786" s="27">
        <f>Contributions_Data!D780</f>
        <v>16431.12</v>
      </c>
      <c r="I786" s="27">
        <v>0</v>
      </c>
    </row>
    <row r="787" spans="3:9">
      <c r="C787" s="23">
        <v>780</v>
      </c>
      <c r="D787" s="23" t="s">
        <v>132</v>
      </c>
      <c r="E787" s="23" t="str">
        <f>Contributions_Data!A781</f>
        <v>DA-001</v>
      </c>
      <c r="F787" s="23" t="str">
        <f>Contributions_Data!B781</f>
        <v>DA-001-M0065</v>
      </c>
      <c r="G787" s="24">
        <f>Contributions_Data!C781</f>
        <v>45595</v>
      </c>
      <c r="H787" s="27">
        <f>Contributions_Data!D781</f>
        <v>11151.02</v>
      </c>
      <c r="I787" s="27">
        <v>0</v>
      </c>
    </row>
    <row r="788" spans="3:9">
      <c r="C788" s="23">
        <v>781</v>
      </c>
      <c r="D788" s="23" t="s">
        <v>132</v>
      </c>
      <c r="E788" s="23" t="str">
        <f>Contributions_Data!A782</f>
        <v>DA-003</v>
      </c>
      <c r="F788" s="23" t="str">
        <f>Contributions_Data!B782</f>
        <v>DA-003-M0066</v>
      </c>
      <c r="G788" s="24">
        <f>Contributions_Data!C782</f>
        <v>45650</v>
      </c>
      <c r="H788" s="27">
        <f>Contributions_Data!D782</f>
        <v>17988.8</v>
      </c>
      <c r="I788" s="27">
        <v>0</v>
      </c>
    </row>
    <row r="789" spans="3:9">
      <c r="C789" s="23">
        <v>782</v>
      </c>
      <c r="D789" s="23" t="s">
        <v>132</v>
      </c>
      <c r="E789" s="23" t="str">
        <f>Contributions_Data!A783</f>
        <v>DA-003</v>
      </c>
      <c r="F789" s="23" t="str">
        <f>Contributions_Data!B783</f>
        <v>DA-003-M0066</v>
      </c>
      <c r="G789" s="24">
        <f>Contributions_Data!C783</f>
        <v>45593</v>
      </c>
      <c r="H789" s="27">
        <f>Contributions_Data!D783</f>
        <v>13518.73</v>
      </c>
      <c r="I789" s="27">
        <v>0</v>
      </c>
    </row>
    <row r="790" spans="3:9">
      <c r="C790" s="23">
        <v>783</v>
      </c>
      <c r="D790" s="23" t="s">
        <v>132</v>
      </c>
      <c r="E790" s="23" t="str">
        <f>Contributions_Data!A784</f>
        <v>DA-003</v>
      </c>
      <c r="F790" s="23" t="str">
        <f>Contributions_Data!B784</f>
        <v>DA-003-M0066</v>
      </c>
      <c r="G790" s="24">
        <f>Contributions_Data!C784</f>
        <v>45345</v>
      </c>
      <c r="H790" s="27">
        <f>Contributions_Data!D784</f>
        <v>10330.25</v>
      </c>
      <c r="I790" s="27">
        <v>0</v>
      </c>
    </row>
    <row r="791" spans="3:9">
      <c r="C791" s="23">
        <v>784</v>
      </c>
      <c r="D791" s="23" t="s">
        <v>132</v>
      </c>
      <c r="E791" s="23" t="str">
        <f>Contributions_Data!A785</f>
        <v>DA-003</v>
      </c>
      <c r="F791" s="23" t="str">
        <f>Contributions_Data!B785</f>
        <v>DA-003-M0066</v>
      </c>
      <c r="G791" s="24">
        <f>Contributions_Data!C785</f>
        <v>45342</v>
      </c>
      <c r="H791" s="27">
        <f>Contributions_Data!D785</f>
        <v>13715.65</v>
      </c>
      <c r="I791" s="27">
        <v>0</v>
      </c>
    </row>
    <row r="792" spans="3:9">
      <c r="C792" s="23">
        <v>785</v>
      </c>
      <c r="D792" s="23" t="s">
        <v>132</v>
      </c>
      <c r="E792" s="23" t="str">
        <f>Contributions_Data!A786</f>
        <v>DA-003</v>
      </c>
      <c r="F792" s="23" t="str">
        <f>Contributions_Data!B786</f>
        <v>DA-003-M0066</v>
      </c>
      <c r="G792" s="24">
        <f>Contributions_Data!C786</f>
        <v>45388</v>
      </c>
      <c r="H792" s="27">
        <f>Contributions_Data!D786</f>
        <v>17550.669999999998</v>
      </c>
      <c r="I792" s="27">
        <v>0</v>
      </c>
    </row>
    <row r="793" spans="3:9">
      <c r="C793" s="23">
        <v>786</v>
      </c>
      <c r="D793" s="23" t="s">
        <v>132</v>
      </c>
      <c r="E793" s="23" t="str">
        <f>Contributions_Data!A787</f>
        <v>DA-003</v>
      </c>
      <c r="F793" s="23" t="str">
        <f>Contributions_Data!B787</f>
        <v>DA-003-M0066</v>
      </c>
      <c r="G793" s="24">
        <f>Contributions_Data!C787</f>
        <v>45589</v>
      </c>
      <c r="H793" s="27">
        <f>Contributions_Data!D787</f>
        <v>13952.23</v>
      </c>
      <c r="I793" s="27">
        <v>0</v>
      </c>
    </row>
    <row r="794" spans="3:9">
      <c r="C794" s="23">
        <v>787</v>
      </c>
      <c r="D794" s="23" t="s">
        <v>132</v>
      </c>
      <c r="E794" s="23" t="str">
        <f>Contributions_Data!A788</f>
        <v>DA-003</v>
      </c>
      <c r="F794" s="23" t="str">
        <f>Contributions_Data!B788</f>
        <v>DA-003-M0066</v>
      </c>
      <c r="G794" s="24">
        <f>Contributions_Data!C788</f>
        <v>45457</v>
      </c>
      <c r="H794" s="27">
        <f>Contributions_Data!D788</f>
        <v>14035.09</v>
      </c>
      <c r="I794" s="27">
        <v>0</v>
      </c>
    </row>
    <row r="795" spans="3:9">
      <c r="C795" s="23">
        <v>788</v>
      </c>
      <c r="D795" s="23" t="s">
        <v>132</v>
      </c>
      <c r="E795" s="23" t="str">
        <f>Contributions_Data!A789</f>
        <v>DA-003</v>
      </c>
      <c r="F795" s="23" t="str">
        <f>Contributions_Data!B789</f>
        <v>DA-003-M0066</v>
      </c>
      <c r="G795" s="24">
        <f>Contributions_Data!C789</f>
        <v>45506</v>
      </c>
      <c r="H795" s="27">
        <f>Contributions_Data!D789</f>
        <v>21230.240000000002</v>
      </c>
      <c r="I795" s="27">
        <v>0</v>
      </c>
    </row>
    <row r="796" spans="3:9">
      <c r="C796" s="23">
        <v>789</v>
      </c>
      <c r="D796" s="23" t="s">
        <v>132</v>
      </c>
      <c r="E796" s="23" t="str">
        <f>Contributions_Data!A790</f>
        <v>DA-003</v>
      </c>
      <c r="F796" s="23" t="str">
        <f>Contributions_Data!B790</f>
        <v>DA-003-M0066</v>
      </c>
      <c r="G796" s="24">
        <f>Contributions_Data!C790</f>
        <v>45656</v>
      </c>
      <c r="H796" s="27">
        <f>Contributions_Data!D790</f>
        <v>16145.81</v>
      </c>
      <c r="I796" s="27">
        <v>0</v>
      </c>
    </row>
    <row r="797" spans="3:9">
      <c r="C797" s="23">
        <v>790</v>
      </c>
      <c r="D797" s="23" t="s">
        <v>132</v>
      </c>
      <c r="E797" s="23" t="str">
        <f>Contributions_Data!A791</f>
        <v>DA-003</v>
      </c>
      <c r="F797" s="23" t="str">
        <f>Contributions_Data!B791</f>
        <v>DA-003-M0066</v>
      </c>
      <c r="G797" s="24">
        <f>Contributions_Data!C791</f>
        <v>45378</v>
      </c>
      <c r="H797" s="27">
        <f>Contributions_Data!D791</f>
        <v>18090.849999999999</v>
      </c>
      <c r="I797" s="27">
        <v>0</v>
      </c>
    </row>
    <row r="798" spans="3:9">
      <c r="C798" s="23">
        <v>791</v>
      </c>
      <c r="D798" s="23" t="s">
        <v>132</v>
      </c>
      <c r="E798" s="23" t="str">
        <f>Contributions_Data!A792</f>
        <v>DA-003</v>
      </c>
      <c r="F798" s="23" t="str">
        <f>Contributions_Data!B792</f>
        <v>DA-003-M0066</v>
      </c>
      <c r="G798" s="24">
        <f>Contributions_Data!C792</f>
        <v>45473</v>
      </c>
      <c r="H798" s="27">
        <f>Contributions_Data!D792</f>
        <v>14222.87</v>
      </c>
      <c r="I798" s="27">
        <v>0</v>
      </c>
    </row>
    <row r="799" spans="3:9">
      <c r="C799" s="23">
        <v>792</v>
      </c>
      <c r="D799" s="23" t="s">
        <v>132</v>
      </c>
      <c r="E799" s="23" t="str">
        <f>Contributions_Data!A793</f>
        <v>DA-003</v>
      </c>
      <c r="F799" s="23" t="str">
        <f>Contributions_Data!B793</f>
        <v>DA-003-M0066</v>
      </c>
      <c r="G799" s="24">
        <f>Contributions_Data!C793</f>
        <v>45427</v>
      </c>
      <c r="H799" s="27">
        <f>Contributions_Data!D793</f>
        <v>14410.95</v>
      </c>
      <c r="I799" s="27">
        <v>0</v>
      </c>
    </row>
    <row r="800" spans="3:9">
      <c r="C800" s="23">
        <v>793</v>
      </c>
      <c r="D800" s="23" t="s">
        <v>132</v>
      </c>
      <c r="E800" s="23" t="str">
        <f>Contributions_Data!A794</f>
        <v>DA-002</v>
      </c>
      <c r="F800" s="23" t="str">
        <f>Contributions_Data!B794</f>
        <v>DA-002-M0067</v>
      </c>
      <c r="G800" s="24">
        <f>Contributions_Data!C794</f>
        <v>45345</v>
      </c>
      <c r="H800" s="27">
        <f>Contributions_Data!D794</f>
        <v>14888.33</v>
      </c>
      <c r="I800" s="27">
        <v>0</v>
      </c>
    </row>
    <row r="801" spans="3:9">
      <c r="C801" s="23">
        <v>794</v>
      </c>
      <c r="D801" s="23" t="s">
        <v>132</v>
      </c>
      <c r="E801" s="23" t="str">
        <f>Contributions_Data!A795</f>
        <v>DA-002</v>
      </c>
      <c r="F801" s="23" t="str">
        <f>Contributions_Data!B795</f>
        <v>DA-002-M0067</v>
      </c>
      <c r="G801" s="24">
        <f>Contributions_Data!C795</f>
        <v>45419</v>
      </c>
      <c r="H801" s="27">
        <f>Contributions_Data!D795</f>
        <v>17182.89</v>
      </c>
      <c r="I801" s="27">
        <v>0</v>
      </c>
    </row>
    <row r="802" spans="3:9">
      <c r="C802" s="23">
        <v>795</v>
      </c>
      <c r="D802" s="23" t="s">
        <v>132</v>
      </c>
      <c r="E802" s="23" t="str">
        <f>Contributions_Data!A796</f>
        <v>DA-002</v>
      </c>
      <c r="F802" s="23" t="str">
        <f>Contributions_Data!B796</f>
        <v>DA-002-M0067</v>
      </c>
      <c r="G802" s="24">
        <f>Contributions_Data!C796</f>
        <v>45435</v>
      </c>
      <c r="H802" s="27">
        <f>Contributions_Data!D796</f>
        <v>15155.84</v>
      </c>
      <c r="I802" s="27">
        <v>0</v>
      </c>
    </row>
    <row r="803" spans="3:9">
      <c r="C803" s="23">
        <v>796</v>
      </c>
      <c r="D803" s="23" t="s">
        <v>132</v>
      </c>
      <c r="E803" s="23" t="str">
        <f>Contributions_Data!A797</f>
        <v>DA-002</v>
      </c>
      <c r="F803" s="23" t="str">
        <f>Contributions_Data!B797</f>
        <v>DA-002-M0067</v>
      </c>
      <c r="G803" s="24">
        <f>Contributions_Data!C797</f>
        <v>45635</v>
      </c>
      <c r="H803" s="27">
        <f>Contributions_Data!D797</f>
        <v>17197.919999999998</v>
      </c>
      <c r="I803" s="27">
        <v>0</v>
      </c>
    </row>
    <row r="804" spans="3:9">
      <c r="C804" s="23">
        <v>797</v>
      </c>
      <c r="D804" s="23" t="s">
        <v>132</v>
      </c>
      <c r="E804" s="23" t="str">
        <f>Contributions_Data!A798</f>
        <v>DA-002</v>
      </c>
      <c r="F804" s="23" t="str">
        <f>Contributions_Data!B798</f>
        <v>DA-002-M0067</v>
      </c>
      <c r="G804" s="24">
        <f>Contributions_Data!C798</f>
        <v>45351</v>
      </c>
      <c r="H804" s="27">
        <f>Contributions_Data!D798</f>
        <v>15235.91</v>
      </c>
      <c r="I804" s="27">
        <v>0</v>
      </c>
    </row>
    <row r="805" spans="3:9">
      <c r="C805" s="23">
        <v>798</v>
      </c>
      <c r="D805" s="23" t="s">
        <v>132</v>
      </c>
      <c r="E805" s="23" t="str">
        <f>Contributions_Data!A799</f>
        <v>DA-002</v>
      </c>
      <c r="F805" s="23" t="str">
        <f>Contributions_Data!B799</f>
        <v>DA-002-M0067</v>
      </c>
      <c r="G805" s="24">
        <f>Contributions_Data!C799</f>
        <v>45300</v>
      </c>
      <c r="H805" s="27">
        <f>Contributions_Data!D799</f>
        <v>17748.98</v>
      </c>
      <c r="I805" s="27">
        <v>0</v>
      </c>
    </row>
    <row r="806" spans="3:9">
      <c r="C806" s="23">
        <v>799</v>
      </c>
      <c r="D806" s="23" t="s">
        <v>132</v>
      </c>
      <c r="E806" s="23" t="str">
        <f>Contributions_Data!A800</f>
        <v>DA-002</v>
      </c>
      <c r="F806" s="23" t="str">
        <f>Contributions_Data!B800</f>
        <v>DA-002-M0067</v>
      </c>
      <c r="G806" s="24">
        <f>Contributions_Data!C800</f>
        <v>45632</v>
      </c>
      <c r="H806" s="27">
        <f>Contributions_Data!D800</f>
        <v>17994.03</v>
      </c>
      <c r="I806" s="27">
        <v>0</v>
      </c>
    </row>
    <row r="807" spans="3:9">
      <c r="C807" s="23">
        <v>800</v>
      </c>
      <c r="D807" s="23" t="s">
        <v>132</v>
      </c>
      <c r="E807" s="23" t="str">
        <f>Contributions_Data!A801</f>
        <v>DA-002</v>
      </c>
      <c r="F807" s="23" t="str">
        <f>Contributions_Data!B801</f>
        <v>DA-002-M0067</v>
      </c>
      <c r="G807" s="24">
        <f>Contributions_Data!C801</f>
        <v>45342</v>
      </c>
      <c r="H807" s="27">
        <f>Contributions_Data!D801</f>
        <v>6311.23</v>
      </c>
      <c r="I807" s="27">
        <v>0</v>
      </c>
    </row>
    <row r="808" spans="3:9">
      <c r="C808" s="23">
        <v>801</v>
      </c>
      <c r="D808" s="23" t="s">
        <v>132</v>
      </c>
      <c r="E808" s="23" t="str">
        <f>Contributions_Data!A802</f>
        <v>DA-002</v>
      </c>
      <c r="F808" s="23" t="str">
        <f>Contributions_Data!B802</f>
        <v>DA-002-M0067</v>
      </c>
      <c r="G808" s="24">
        <f>Contributions_Data!C802</f>
        <v>45409</v>
      </c>
      <c r="H808" s="27">
        <f>Contributions_Data!D802</f>
        <v>21265.119999999999</v>
      </c>
      <c r="I808" s="27">
        <v>0</v>
      </c>
    </row>
    <row r="809" spans="3:9">
      <c r="C809" s="23">
        <v>802</v>
      </c>
      <c r="D809" s="23" t="s">
        <v>132</v>
      </c>
      <c r="E809" s="23" t="str">
        <f>Contributions_Data!A803</f>
        <v>DA-002</v>
      </c>
      <c r="F809" s="23" t="str">
        <f>Contributions_Data!B803</f>
        <v>DA-002-M0067</v>
      </c>
      <c r="G809" s="24">
        <f>Contributions_Data!C803</f>
        <v>45476</v>
      </c>
      <c r="H809" s="27">
        <f>Contributions_Data!D803</f>
        <v>14581.23</v>
      </c>
      <c r="I809" s="27">
        <v>0</v>
      </c>
    </row>
    <row r="810" spans="3:9">
      <c r="C810" s="23">
        <v>803</v>
      </c>
      <c r="D810" s="23" t="s">
        <v>132</v>
      </c>
      <c r="E810" s="23" t="str">
        <f>Contributions_Data!A804</f>
        <v>DA-002</v>
      </c>
      <c r="F810" s="23" t="str">
        <f>Contributions_Data!B804</f>
        <v>DA-002-M0067</v>
      </c>
      <c r="G810" s="24">
        <f>Contributions_Data!C804</f>
        <v>45405</v>
      </c>
      <c r="H810" s="27">
        <f>Contributions_Data!D804</f>
        <v>18324.55</v>
      </c>
      <c r="I810" s="27">
        <v>0</v>
      </c>
    </row>
    <row r="811" spans="3:9">
      <c r="C811" s="23">
        <v>804</v>
      </c>
      <c r="D811" s="23" t="s">
        <v>132</v>
      </c>
      <c r="E811" s="23" t="str">
        <f>Contributions_Data!A805</f>
        <v>DA-002</v>
      </c>
      <c r="F811" s="23" t="str">
        <f>Contributions_Data!B805</f>
        <v>DA-002-M0067</v>
      </c>
      <c r="G811" s="24">
        <f>Contributions_Data!C805</f>
        <v>45481</v>
      </c>
      <c r="H811" s="27">
        <f>Contributions_Data!D805</f>
        <v>16838.32</v>
      </c>
      <c r="I811" s="27">
        <v>0</v>
      </c>
    </row>
    <row r="812" spans="3:9">
      <c r="C812" s="23">
        <v>805</v>
      </c>
      <c r="D812" s="23" t="s">
        <v>132</v>
      </c>
      <c r="E812" s="23" t="str">
        <f>Contributions_Data!A806</f>
        <v>DA-003</v>
      </c>
      <c r="F812" s="23" t="str">
        <f>Contributions_Data!B806</f>
        <v>DA-003-M0068</v>
      </c>
      <c r="G812" s="24">
        <f>Contributions_Data!C806</f>
        <v>45339</v>
      </c>
      <c r="H812" s="27">
        <f>Contributions_Data!D806</f>
        <v>11839.75</v>
      </c>
      <c r="I812" s="27">
        <v>0</v>
      </c>
    </row>
    <row r="813" spans="3:9">
      <c r="C813" s="23">
        <v>806</v>
      </c>
      <c r="D813" s="23" t="s">
        <v>132</v>
      </c>
      <c r="E813" s="23" t="str">
        <f>Contributions_Data!A807</f>
        <v>DA-003</v>
      </c>
      <c r="F813" s="23" t="str">
        <f>Contributions_Data!B807</f>
        <v>DA-003-M0068</v>
      </c>
      <c r="G813" s="24">
        <f>Contributions_Data!C807</f>
        <v>45450</v>
      </c>
      <c r="H813" s="27">
        <f>Contributions_Data!D807</f>
        <v>13128.69</v>
      </c>
      <c r="I813" s="27">
        <v>0</v>
      </c>
    </row>
    <row r="814" spans="3:9">
      <c r="C814" s="23">
        <v>807</v>
      </c>
      <c r="D814" s="23" t="s">
        <v>132</v>
      </c>
      <c r="E814" s="23" t="str">
        <f>Contributions_Data!A808</f>
        <v>DA-003</v>
      </c>
      <c r="F814" s="23" t="str">
        <f>Contributions_Data!B808</f>
        <v>DA-003-M0068</v>
      </c>
      <c r="G814" s="24">
        <f>Contributions_Data!C808</f>
        <v>45486</v>
      </c>
      <c r="H814" s="27">
        <f>Contributions_Data!D808</f>
        <v>14427.95</v>
      </c>
      <c r="I814" s="27">
        <v>0</v>
      </c>
    </row>
    <row r="815" spans="3:9">
      <c r="C815" s="23">
        <v>808</v>
      </c>
      <c r="D815" s="23" t="s">
        <v>132</v>
      </c>
      <c r="E815" s="23" t="str">
        <f>Contributions_Data!A809</f>
        <v>DA-003</v>
      </c>
      <c r="F815" s="23" t="str">
        <f>Contributions_Data!B809</f>
        <v>DA-003-M0068</v>
      </c>
      <c r="G815" s="24">
        <f>Contributions_Data!C809</f>
        <v>45544</v>
      </c>
      <c r="H815" s="27">
        <f>Contributions_Data!D809</f>
        <v>15652.3</v>
      </c>
      <c r="I815" s="27">
        <v>0</v>
      </c>
    </row>
    <row r="816" spans="3:9">
      <c r="C816" s="23">
        <v>809</v>
      </c>
      <c r="D816" s="23" t="s">
        <v>132</v>
      </c>
      <c r="E816" s="23" t="str">
        <f>Contributions_Data!A810</f>
        <v>DA-003</v>
      </c>
      <c r="F816" s="23" t="str">
        <f>Contributions_Data!B810</f>
        <v>DA-003-M0068</v>
      </c>
      <c r="G816" s="24">
        <f>Contributions_Data!C810</f>
        <v>45321</v>
      </c>
      <c r="H816" s="27">
        <f>Contributions_Data!D810</f>
        <v>16487.05</v>
      </c>
      <c r="I816" s="27">
        <v>0</v>
      </c>
    </row>
    <row r="817" spans="3:9">
      <c r="C817" s="23">
        <v>810</v>
      </c>
      <c r="D817" s="23" t="s">
        <v>132</v>
      </c>
      <c r="E817" s="23" t="str">
        <f>Contributions_Data!A811</f>
        <v>DA-003</v>
      </c>
      <c r="F817" s="23" t="str">
        <f>Contributions_Data!B811</f>
        <v>DA-003-M0068</v>
      </c>
      <c r="G817" s="24">
        <f>Contributions_Data!C811</f>
        <v>45586</v>
      </c>
      <c r="H817" s="27">
        <f>Contributions_Data!D811</f>
        <v>15451.26</v>
      </c>
      <c r="I817" s="27">
        <v>0</v>
      </c>
    </row>
    <row r="818" spans="3:9">
      <c r="C818" s="23">
        <v>811</v>
      </c>
      <c r="D818" s="23" t="s">
        <v>132</v>
      </c>
      <c r="E818" s="23" t="str">
        <f>Contributions_Data!A812</f>
        <v>DA-003</v>
      </c>
      <c r="F818" s="23" t="str">
        <f>Contributions_Data!B812</f>
        <v>DA-003-M0068</v>
      </c>
      <c r="G818" s="24">
        <f>Contributions_Data!C812</f>
        <v>45406</v>
      </c>
      <c r="H818" s="27">
        <f>Contributions_Data!D812</f>
        <v>22210.25</v>
      </c>
      <c r="I818" s="27">
        <v>0</v>
      </c>
    </row>
    <row r="819" spans="3:9">
      <c r="C819" s="23">
        <v>812</v>
      </c>
      <c r="D819" s="23" t="s">
        <v>132</v>
      </c>
      <c r="E819" s="23" t="str">
        <f>Contributions_Data!A813</f>
        <v>DA-003</v>
      </c>
      <c r="F819" s="23" t="str">
        <f>Contributions_Data!B813</f>
        <v>DA-003-M0068</v>
      </c>
      <c r="G819" s="24">
        <f>Contributions_Data!C813</f>
        <v>45656</v>
      </c>
      <c r="H819" s="27">
        <f>Contributions_Data!D813</f>
        <v>15603.3</v>
      </c>
      <c r="I819" s="27">
        <v>0</v>
      </c>
    </row>
    <row r="820" spans="3:9">
      <c r="C820" s="23">
        <v>813</v>
      </c>
      <c r="D820" s="23" t="s">
        <v>132</v>
      </c>
      <c r="E820" s="23" t="str">
        <f>Contributions_Data!A814</f>
        <v>DA-003</v>
      </c>
      <c r="F820" s="23" t="str">
        <f>Contributions_Data!B814</f>
        <v>DA-003-M0068</v>
      </c>
      <c r="G820" s="24">
        <f>Contributions_Data!C814</f>
        <v>45643</v>
      </c>
      <c r="H820" s="27">
        <f>Contributions_Data!D814</f>
        <v>18151.96</v>
      </c>
      <c r="I820" s="27">
        <v>0</v>
      </c>
    </row>
    <row r="821" spans="3:9">
      <c r="C821" s="23">
        <v>814</v>
      </c>
      <c r="D821" s="23" t="s">
        <v>132</v>
      </c>
      <c r="E821" s="23" t="str">
        <f>Contributions_Data!A815</f>
        <v>DA-003</v>
      </c>
      <c r="F821" s="23" t="str">
        <f>Contributions_Data!B815</f>
        <v>DA-003-M0068</v>
      </c>
      <c r="G821" s="24">
        <f>Contributions_Data!C815</f>
        <v>45418</v>
      </c>
      <c r="H821" s="27">
        <f>Contributions_Data!D815</f>
        <v>18316.580000000002</v>
      </c>
      <c r="I821" s="27">
        <v>0</v>
      </c>
    </row>
    <row r="822" spans="3:9">
      <c r="C822" s="23">
        <v>815</v>
      </c>
      <c r="D822" s="23" t="s">
        <v>132</v>
      </c>
      <c r="E822" s="23" t="str">
        <f>Contributions_Data!A816</f>
        <v>DA-003</v>
      </c>
      <c r="F822" s="23" t="str">
        <f>Contributions_Data!B816</f>
        <v>DA-003-M0068</v>
      </c>
      <c r="G822" s="24">
        <f>Contributions_Data!C816</f>
        <v>45526</v>
      </c>
      <c r="H822" s="27">
        <f>Contributions_Data!D816</f>
        <v>18561.09</v>
      </c>
      <c r="I822" s="27">
        <v>0</v>
      </c>
    </row>
    <row r="823" spans="3:9">
      <c r="C823" s="23">
        <v>816</v>
      </c>
      <c r="D823" s="23" t="s">
        <v>132</v>
      </c>
      <c r="E823" s="23" t="str">
        <f>Contributions_Data!A817</f>
        <v>DA-003</v>
      </c>
      <c r="F823" s="23" t="str">
        <f>Contributions_Data!B817</f>
        <v>DA-003-M0068</v>
      </c>
      <c r="G823" s="24">
        <f>Contributions_Data!C817</f>
        <v>45629</v>
      </c>
      <c r="H823" s="27">
        <f>Contributions_Data!D817</f>
        <v>16916.189999999999</v>
      </c>
      <c r="I823" s="27">
        <v>0</v>
      </c>
    </row>
    <row r="824" spans="3:9">
      <c r="C824" s="23">
        <v>817</v>
      </c>
      <c r="D824" s="23" t="s">
        <v>132</v>
      </c>
      <c r="E824" s="23" t="str">
        <f>Contributions_Data!A818</f>
        <v>DA-003</v>
      </c>
      <c r="F824" s="23" t="str">
        <f>Contributions_Data!B818</f>
        <v>DA-003-M0069</v>
      </c>
      <c r="G824" s="24">
        <f>Contributions_Data!C818</f>
        <v>45576</v>
      </c>
      <c r="H824" s="27">
        <f>Contributions_Data!D818</f>
        <v>19900.29</v>
      </c>
      <c r="I824" s="27">
        <v>0</v>
      </c>
    </row>
    <row r="825" spans="3:9">
      <c r="C825" s="23">
        <v>818</v>
      </c>
      <c r="D825" s="23" t="s">
        <v>132</v>
      </c>
      <c r="E825" s="23" t="str">
        <f>Contributions_Data!A819</f>
        <v>DA-003</v>
      </c>
      <c r="F825" s="23" t="str">
        <f>Contributions_Data!B819</f>
        <v>DA-003-M0069</v>
      </c>
      <c r="G825" s="24">
        <f>Contributions_Data!C819</f>
        <v>45641</v>
      </c>
      <c r="H825" s="27">
        <f>Contributions_Data!D819</f>
        <v>11560.96</v>
      </c>
      <c r="I825" s="27">
        <v>0</v>
      </c>
    </row>
    <row r="826" spans="3:9">
      <c r="C826" s="23">
        <v>819</v>
      </c>
      <c r="D826" s="23" t="s">
        <v>132</v>
      </c>
      <c r="E826" s="23" t="str">
        <f>Contributions_Data!A820</f>
        <v>DA-003</v>
      </c>
      <c r="F826" s="23" t="str">
        <f>Contributions_Data!B820</f>
        <v>DA-003-M0069</v>
      </c>
      <c r="G826" s="24">
        <f>Contributions_Data!C820</f>
        <v>45510</v>
      </c>
      <c r="H826" s="27">
        <f>Contributions_Data!D820</f>
        <v>12737.17</v>
      </c>
      <c r="I826" s="27">
        <v>0</v>
      </c>
    </row>
    <row r="827" spans="3:9">
      <c r="C827" s="23">
        <v>820</v>
      </c>
      <c r="D827" s="23" t="s">
        <v>132</v>
      </c>
      <c r="E827" s="23" t="str">
        <f>Contributions_Data!A821</f>
        <v>DA-003</v>
      </c>
      <c r="F827" s="23" t="str">
        <f>Contributions_Data!B821</f>
        <v>DA-003-M0069</v>
      </c>
      <c r="G827" s="24">
        <f>Contributions_Data!C821</f>
        <v>45572</v>
      </c>
      <c r="H827" s="27">
        <f>Contributions_Data!D821</f>
        <v>15986.29</v>
      </c>
      <c r="I827" s="27">
        <v>0</v>
      </c>
    </row>
    <row r="828" spans="3:9">
      <c r="C828" s="23">
        <v>821</v>
      </c>
      <c r="D828" s="23" t="s">
        <v>132</v>
      </c>
      <c r="E828" s="23" t="str">
        <f>Contributions_Data!A822</f>
        <v>DA-003</v>
      </c>
      <c r="F828" s="23" t="str">
        <f>Contributions_Data!B822</f>
        <v>DA-003-M0069</v>
      </c>
      <c r="G828" s="24">
        <f>Contributions_Data!C822</f>
        <v>45499</v>
      </c>
      <c r="H828" s="27">
        <f>Contributions_Data!D822</f>
        <v>15964.07</v>
      </c>
      <c r="I828" s="27">
        <v>0</v>
      </c>
    </row>
    <row r="829" spans="3:9">
      <c r="C829" s="23">
        <v>822</v>
      </c>
      <c r="D829" s="23" t="s">
        <v>132</v>
      </c>
      <c r="E829" s="23" t="str">
        <f>Contributions_Data!A823</f>
        <v>DA-003</v>
      </c>
      <c r="F829" s="23" t="str">
        <f>Contributions_Data!B823</f>
        <v>DA-003-M0069</v>
      </c>
      <c r="G829" s="24">
        <f>Contributions_Data!C823</f>
        <v>45379</v>
      </c>
      <c r="H829" s="27">
        <f>Contributions_Data!D823</f>
        <v>16265.76</v>
      </c>
      <c r="I829" s="27">
        <v>0</v>
      </c>
    </row>
    <row r="830" spans="3:9">
      <c r="C830" s="23">
        <v>823</v>
      </c>
      <c r="D830" s="23" t="s">
        <v>132</v>
      </c>
      <c r="E830" s="23" t="str">
        <f>Contributions_Data!A824</f>
        <v>DA-003</v>
      </c>
      <c r="F830" s="23" t="str">
        <f>Contributions_Data!B824</f>
        <v>DA-003-M0069</v>
      </c>
      <c r="G830" s="24">
        <f>Contributions_Data!C824</f>
        <v>45482</v>
      </c>
      <c r="H830" s="27">
        <f>Contributions_Data!D824</f>
        <v>19841.13</v>
      </c>
      <c r="I830" s="27">
        <v>0</v>
      </c>
    </row>
    <row r="831" spans="3:9">
      <c r="C831" s="23">
        <v>824</v>
      </c>
      <c r="D831" s="23" t="s">
        <v>132</v>
      </c>
      <c r="E831" s="23" t="str">
        <f>Contributions_Data!A825</f>
        <v>DA-003</v>
      </c>
      <c r="F831" s="23" t="str">
        <f>Contributions_Data!B825</f>
        <v>DA-003-M0069</v>
      </c>
      <c r="G831" s="24">
        <f>Contributions_Data!C825</f>
        <v>45631</v>
      </c>
      <c r="H831" s="27">
        <f>Contributions_Data!D825</f>
        <v>14267.53</v>
      </c>
      <c r="I831" s="27">
        <v>0</v>
      </c>
    </row>
    <row r="832" spans="3:9">
      <c r="C832" s="23">
        <v>825</v>
      </c>
      <c r="D832" s="23" t="s">
        <v>132</v>
      </c>
      <c r="E832" s="23" t="str">
        <f>Contributions_Data!A826</f>
        <v>DA-003</v>
      </c>
      <c r="F832" s="23" t="str">
        <f>Contributions_Data!B826</f>
        <v>DA-003-M0069</v>
      </c>
      <c r="G832" s="24">
        <f>Contributions_Data!C826</f>
        <v>45578</v>
      </c>
      <c r="H832" s="27">
        <f>Contributions_Data!D826</f>
        <v>17892.259999999998</v>
      </c>
      <c r="I832" s="27">
        <v>0</v>
      </c>
    </row>
    <row r="833" spans="3:9">
      <c r="C833" s="23">
        <v>826</v>
      </c>
      <c r="D833" s="23" t="s">
        <v>132</v>
      </c>
      <c r="E833" s="23" t="str">
        <f>Contributions_Data!A827</f>
        <v>DA-003</v>
      </c>
      <c r="F833" s="23" t="str">
        <f>Contributions_Data!B827</f>
        <v>DA-003-M0069</v>
      </c>
      <c r="G833" s="24">
        <f>Contributions_Data!C827</f>
        <v>45486</v>
      </c>
      <c r="H833" s="27">
        <f>Contributions_Data!D827</f>
        <v>18568.41</v>
      </c>
      <c r="I833" s="27">
        <v>0</v>
      </c>
    </row>
    <row r="834" spans="3:9">
      <c r="C834" s="23">
        <v>827</v>
      </c>
      <c r="D834" s="23" t="s">
        <v>132</v>
      </c>
      <c r="E834" s="23" t="str">
        <f>Contributions_Data!A828</f>
        <v>DA-003</v>
      </c>
      <c r="F834" s="23" t="str">
        <f>Contributions_Data!B828</f>
        <v>DA-003-M0069</v>
      </c>
      <c r="G834" s="24">
        <f>Contributions_Data!C828</f>
        <v>45470</v>
      </c>
      <c r="H834" s="27">
        <f>Contributions_Data!D828</f>
        <v>11317.18</v>
      </c>
      <c r="I834" s="27">
        <v>0</v>
      </c>
    </row>
    <row r="835" spans="3:9">
      <c r="C835" s="23">
        <v>828</v>
      </c>
      <c r="D835" s="23" t="s">
        <v>132</v>
      </c>
      <c r="E835" s="23" t="str">
        <f>Contributions_Data!A829</f>
        <v>DA-003</v>
      </c>
      <c r="F835" s="23" t="str">
        <f>Contributions_Data!B829</f>
        <v>DA-003-M0069</v>
      </c>
      <c r="G835" s="24">
        <f>Contributions_Data!C829</f>
        <v>45523</v>
      </c>
      <c r="H835" s="27">
        <f>Contributions_Data!D829</f>
        <v>16792.2</v>
      </c>
      <c r="I835" s="27">
        <v>0</v>
      </c>
    </row>
    <row r="836" spans="3:9">
      <c r="C836" s="23">
        <v>829</v>
      </c>
      <c r="D836" s="23" t="s">
        <v>132</v>
      </c>
      <c r="E836" s="23" t="str">
        <f>Contributions_Data!A830</f>
        <v>DA-002</v>
      </c>
      <c r="F836" s="23" t="str">
        <f>Contributions_Data!B830</f>
        <v>DA-002-M0070</v>
      </c>
      <c r="G836" s="24">
        <f>Contributions_Data!C830</f>
        <v>45531</v>
      </c>
      <c r="H836" s="27">
        <f>Contributions_Data!D830</f>
        <v>17103.52</v>
      </c>
      <c r="I836" s="27">
        <v>0</v>
      </c>
    </row>
    <row r="837" spans="3:9">
      <c r="C837" s="23">
        <v>830</v>
      </c>
      <c r="D837" s="23" t="s">
        <v>132</v>
      </c>
      <c r="E837" s="23" t="str">
        <f>Contributions_Data!A831</f>
        <v>DA-002</v>
      </c>
      <c r="F837" s="23" t="str">
        <f>Contributions_Data!B831</f>
        <v>DA-002-M0070</v>
      </c>
      <c r="G837" s="24">
        <f>Contributions_Data!C831</f>
        <v>45310</v>
      </c>
      <c r="H837" s="27">
        <f>Contributions_Data!D831</f>
        <v>14107.31</v>
      </c>
      <c r="I837" s="27">
        <v>0</v>
      </c>
    </row>
    <row r="838" spans="3:9">
      <c r="C838" s="23">
        <v>831</v>
      </c>
      <c r="D838" s="23" t="s">
        <v>132</v>
      </c>
      <c r="E838" s="23" t="str">
        <f>Contributions_Data!A832</f>
        <v>DA-002</v>
      </c>
      <c r="F838" s="23" t="str">
        <f>Contributions_Data!B832</f>
        <v>DA-002-M0070</v>
      </c>
      <c r="G838" s="24">
        <f>Contributions_Data!C832</f>
        <v>45588</v>
      </c>
      <c r="H838" s="27">
        <f>Contributions_Data!D832</f>
        <v>19127.12</v>
      </c>
      <c r="I838" s="27">
        <v>0</v>
      </c>
    </row>
    <row r="839" spans="3:9">
      <c r="C839" s="23">
        <v>832</v>
      </c>
      <c r="D839" s="23" t="s">
        <v>132</v>
      </c>
      <c r="E839" s="23" t="str">
        <f>Contributions_Data!A833</f>
        <v>DA-002</v>
      </c>
      <c r="F839" s="23" t="str">
        <f>Contributions_Data!B833</f>
        <v>DA-002-M0070</v>
      </c>
      <c r="G839" s="24">
        <f>Contributions_Data!C833</f>
        <v>45418</v>
      </c>
      <c r="H839" s="27">
        <f>Contributions_Data!D833</f>
        <v>15376.73</v>
      </c>
      <c r="I839" s="27">
        <v>0</v>
      </c>
    </row>
    <row r="840" spans="3:9">
      <c r="C840" s="23">
        <v>833</v>
      </c>
      <c r="D840" s="23" t="s">
        <v>132</v>
      </c>
      <c r="E840" s="23" t="str">
        <f>Contributions_Data!A834</f>
        <v>DA-002</v>
      </c>
      <c r="F840" s="23" t="str">
        <f>Contributions_Data!B834</f>
        <v>DA-002-M0070</v>
      </c>
      <c r="G840" s="24">
        <f>Contributions_Data!C834</f>
        <v>45486</v>
      </c>
      <c r="H840" s="27">
        <f>Contributions_Data!D834</f>
        <v>14480.78</v>
      </c>
      <c r="I840" s="27">
        <v>0</v>
      </c>
    </row>
    <row r="841" spans="3:9">
      <c r="C841" s="23">
        <v>834</v>
      </c>
      <c r="D841" s="23" t="s">
        <v>132</v>
      </c>
      <c r="E841" s="23" t="str">
        <f>Contributions_Data!A835</f>
        <v>DA-002</v>
      </c>
      <c r="F841" s="23" t="str">
        <f>Contributions_Data!B835</f>
        <v>DA-002-M0070</v>
      </c>
      <c r="G841" s="24">
        <f>Contributions_Data!C835</f>
        <v>45547</v>
      </c>
      <c r="H841" s="27">
        <f>Contributions_Data!D835</f>
        <v>15046.74</v>
      </c>
      <c r="I841" s="27">
        <v>0</v>
      </c>
    </row>
    <row r="842" spans="3:9">
      <c r="C842" s="23">
        <v>835</v>
      </c>
      <c r="D842" s="23" t="s">
        <v>132</v>
      </c>
      <c r="E842" s="23" t="str">
        <f>Contributions_Data!A836</f>
        <v>DA-002</v>
      </c>
      <c r="F842" s="23" t="str">
        <f>Contributions_Data!B836</f>
        <v>DA-002-M0070</v>
      </c>
      <c r="G842" s="24">
        <f>Contributions_Data!C836</f>
        <v>45450</v>
      </c>
      <c r="H842" s="27">
        <f>Contributions_Data!D836</f>
        <v>10679.85</v>
      </c>
      <c r="I842" s="27">
        <v>0</v>
      </c>
    </row>
    <row r="843" spans="3:9">
      <c r="C843" s="23">
        <v>836</v>
      </c>
      <c r="D843" s="23" t="s">
        <v>132</v>
      </c>
      <c r="E843" s="23" t="str">
        <f>Contributions_Data!A837</f>
        <v>DA-002</v>
      </c>
      <c r="F843" s="23" t="str">
        <f>Contributions_Data!B837</f>
        <v>DA-002-M0070</v>
      </c>
      <c r="G843" s="24">
        <f>Contributions_Data!C837</f>
        <v>45567</v>
      </c>
      <c r="H843" s="27">
        <f>Contributions_Data!D837</f>
        <v>12459.12</v>
      </c>
      <c r="I843" s="27">
        <v>0</v>
      </c>
    </row>
    <row r="844" spans="3:9">
      <c r="C844" s="23">
        <v>837</v>
      </c>
      <c r="D844" s="23" t="s">
        <v>132</v>
      </c>
      <c r="E844" s="23" t="str">
        <f>Contributions_Data!A838</f>
        <v>DA-002</v>
      </c>
      <c r="F844" s="23" t="str">
        <f>Contributions_Data!B838</f>
        <v>DA-002-M0070</v>
      </c>
      <c r="G844" s="24">
        <f>Contributions_Data!C838</f>
        <v>45561</v>
      </c>
      <c r="H844" s="27">
        <f>Contributions_Data!D838</f>
        <v>12025.82</v>
      </c>
      <c r="I844" s="27">
        <v>0</v>
      </c>
    </row>
    <row r="845" spans="3:9">
      <c r="C845" s="23">
        <v>838</v>
      </c>
      <c r="D845" s="23" t="s">
        <v>132</v>
      </c>
      <c r="E845" s="23" t="str">
        <f>Contributions_Data!A839</f>
        <v>DA-002</v>
      </c>
      <c r="F845" s="23" t="str">
        <f>Contributions_Data!B839</f>
        <v>DA-002-M0070</v>
      </c>
      <c r="G845" s="24">
        <f>Contributions_Data!C839</f>
        <v>45326</v>
      </c>
      <c r="H845" s="27">
        <f>Contributions_Data!D839</f>
        <v>8539.83</v>
      </c>
      <c r="I845" s="27">
        <v>0</v>
      </c>
    </row>
    <row r="846" spans="3:9">
      <c r="C846" s="23">
        <v>839</v>
      </c>
      <c r="D846" s="23" t="s">
        <v>132</v>
      </c>
      <c r="E846" s="23" t="str">
        <f>Contributions_Data!A840</f>
        <v>DA-002</v>
      </c>
      <c r="F846" s="23" t="str">
        <f>Contributions_Data!B840</f>
        <v>DA-002-M0070</v>
      </c>
      <c r="G846" s="24">
        <f>Contributions_Data!C840</f>
        <v>45517</v>
      </c>
      <c r="H846" s="27">
        <f>Contributions_Data!D840</f>
        <v>11030.73</v>
      </c>
      <c r="I846" s="27">
        <v>0</v>
      </c>
    </row>
    <row r="847" spans="3:9">
      <c r="C847" s="23">
        <v>840</v>
      </c>
      <c r="D847" s="23" t="s">
        <v>132</v>
      </c>
      <c r="E847" s="23" t="str">
        <f>Contributions_Data!A841</f>
        <v>DA-002</v>
      </c>
      <c r="F847" s="23" t="str">
        <f>Contributions_Data!B841</f>
        <v>DA-002-M0070</v>
      </c>
      <c r="G847" s="24">
        <f>Contributions_Data!C841</f>
        <v>45449</v>
      </c>
      <c r="H847" s="27">
        <f>Contributions_Data!D841</f>
        <v>19926.05</v>
      </c>
      <c r="I847" s="27">
        <v>0</v>
      </c>
    </row>
    <row r="848" spans="3:9">
      <c r="C848" s="23">
        <v>841</v>
      </c>
      <c r="D848" s="23" t="s">
        <v>132</v>
      </c>
      <c r="E848" s="23" t="str">
        <f>Contributions_Data!A842</f>
        <v>DA-001</v>
      </c>
      <c r="F848" s="23" t="str">
        <f>Contributions_Data!B842</f>
        <v>DA-001-M0071</v>
      </c>
      <c r="G848" s="24">
        <f>Contributions_Data!C842</f>
        <v>45527</v>
      </c>
      <c r="H848" s="27">
        <f>Contributions_Data!D842</f>
        <v>18029.45</v>
      </c>
      <c r="I848" s="27">
        <v>0</v>
      </c>
    </row>
    <row r="849" spans="3:9">
      <c r="C849" s="23">
        <v>842</v>
      </c>
      <c r="D849" s="23" t="s">
        <v>132</v>
      </c>
      <c r="E849" s="23" t="str">
        <f>Contributions_Data!A843</f>
        <v>DA-001</v>
      </c>
      <c r="F849" s="23" t="str">
        <f>Contributions_Data!B843</f>
        <v>DA-001-M0071</v>
      </c>
      <c r="G849" s="24">
        <f>Contributions_Data!C843</f>
        <v>45656</v>
      </c>
      <c r="H849" s="27">
        <f>Contributions_Data!D843</f>
        <v>12935.55</v>
      </c>
      <c r="I849" s="27">
        <v>0</v>
      </c>
    </row>
    <row r="850" spans="3:9">
      <c r="C850" s="23">
        <v>843</v>
      </c>
      <c r="D850" s="23" t="s">
        <v>132</v>
      </c>
      <c r="E850" s="23" t="str">
        <f>Contributions_Data!A844</f>
        <v>DA-001</v>
      </c>
      <c r="F850" s="23" t="str">
        <f>Contributions_Data!B844</f>
        <v>DA-001-M0071</v>
      </c>
      <c r="G850" s="24">
        <f>Contributions_Data!C844</f>
        <v>45453</v>
      </c>
      <c r="H850" s="27">
        <f>Contributions_Data!D844</f>
        <v>17945.3</v>
      </c>
      <c r="I850" s="27">
        <v>0</v>
      </c>
    </row>
    <row r="851" spans="3:9">
      <c r="C851" s="23">
        <v>844</v>
      </c>
      <c r="D851" s="23" t="s">
        <v>132</v>
      </c>
      <c r="E851" s="23" t="str">
        <f>Contributions_Data!A845</f>
        <v>DA-001</v>
      </c>
      <c r="F851" s="23" t="str">
        <f>Contributions_Data!B845</f>
        <v>DA-001-M0071</v>
      </c>
      <c r="G851" s="24">
        <f>Contributions_Data!C845</f>
        <v>45536</v>
      </c>
      <c r="H851" s="27">
        <f>Contributions_Data!D845</f>
        <v>14025.51</v>
      </c>
      <c r="I851" s="27">
        <v>0</v>
      </c>
    </row>
    <row r="852" spans="3:9">
      <c r="C852" s="23">
        <v>845</v>
      </c>
      <c r="D852" s="23" t="s">
        <v>132</v>
      </c>
      <c r="E852" s="23" t="str">
        <f>Contributions_Data!A846</f>
        <v>DA-001</v>
      </c>
      <c r="F852" s="23" t="str">
        <f>Contributions_Data!B846</f>
        <v>DA-001-M0071</v>
      </c>
      <c r="G852" s="24">
        <f>Contributions_Data!C846</f>
        <v>45594</v>
      </c>
      <c r="H852" s="27">
        <f>Contributions_Data!D846</f>
        <v>7501.78</v>
      </c>
      <c r="I852" s="27">
        <v>0</v>
      </c>
    </row>
    <row r="853" spans="3:9">
      <c r="C853" s="23">
        <v>846</v>
      </c>
      <c r="D853" s="23" t="s">
        <v>132</v>
      </c>
      <c r="E853" s="23" t="str">
        <f>Contributions_Data!A847</f>
        <v>DA-001</v>
      </c>
      <c r="F853" s="23" t="str">
        <f>Contributions_Data!B847</f>
        <v>DA-001-M0071</v>
      </c>
      <c r="G853" s="24">
        <f>Contributions_Data!C847</f>
        <v>45537</v>
      </c>
      <c r="H853" s="27">
        <f>Contributions_Data!D847</f>
        <v>21872.83</v>
      </c>
      <c r="I853" s="27">
        <v>0</v>
      </c>
    </row>
    <row r="854" spans="3:9">
      <c r="C854" s="23">
        <v>847</v>
      </c>
      <c r="D854" s="23" t="s">
        <v>132</v>
      </c>
      <c r="E854" s="23" t="str">
        <f>Contributions_Data!A848</f>
        <v>DA-001</v>
      </c>
      <c r="F854" s="23" t="str">
        <f>Contributions_Data!B848</f>
        <v>DA-001-M0071</v>
      </c>
      <c r="G854" s="24">
        <f>Contributions_Data!C848</f>
        <v>45626</v>
      </c>
      <c r="H854" s="27">
        <f>Contributions_Data!D848</f>
        <v>10831.28</v>
      </c>
      <c r="I854" s="27">
        <v>0</v>
      </c>
    </row>
    <row r="855" spans="3:9">
      <c r="C855" s="23">
        <v>848</v>
      </c>
      <c r="D855" s="23" t="s">
        <v>132</v>
      </c>
      <c r="E855" s="23" t="str">
        <f>Contributions_Data!A849</f>
        <v>DA-001</v>
      </c>
      <c r="F855" s="23" t="str">
        <f>Contributions_Data!B849</f>
        <v>DA-001-M0071</v>
      </c>
      <c r="G855" s="24">
        <f>Contributions_Data!C849</f>
        <v>45422</v>
      </c>
      <c r="H855" s="27">
        <f>Contributions_Data!D849</f>
        <v>18067.71</v>
      </c>
      <c r="I855" s="27">
        <v>0</v>
      </c>
    </row>
    <row r="856" spans="3:9">
      <c r="C856" s="23">
        <v>849</v>
      </c>
      <c r="D856" s="23" t="s">
        <v>132</v>
      </c>
      <c r="E856" s="23" t="str">
        <f>Contributions_Data!A850</f>
        <v>DA-001</v>
      </c>
      <c r="F856" s="23" t="str">
        <f>Contributions_Data!B850</f>
        <v>DA-001-M0071</v>
      </c>
      <c r="G856" s="24">
        <f>Contributions_Data!C850</f>
        <v>45331</v>
      </c>
      <c r="H856" s="27">
        <f>Contributions_Data!D850</f>
        <v>22319.26</v>
      </c>
      <c r="I856" s="27">
        <v>0</v>
      </c>
    </row>
    <row r="857" spans="3:9">
      <c r="C857" s="23">
        <v>850</v>
      </c>
      <c r="D857" s="23" t="s">
        <v>132</v>
      </c>
      <c r="E857" s="23" t="str">
        <f>Contributions_Data!A851</f>
        <v>DA-001</v>
      </c>
      <c r="F857" s="23" t="str">
        <f>Contributions_Data!B851</f>
        <v>DA-001-M0071</v>
      </c>
      <c r="G857" s="24">
        <f>Contributions_Data!C851</f>
        <v>45491</v>
      </c>
      <c r="H857" s="27">
        <f>Contributions_Data!D851</f>
        <v>19152.82</v>
      </c>
      <c r="I857" s="27">
        <v>0</v>
      </c>
    </row>
    <row r="858" spans="3:9">
      <c r="C858" s="23">
        <v>851</v>
      </c>
      <c r="D858" s="23" t="s">
        <v>132</v>
      </c>
      <c r="E858" s="23" t="str">
        <f>Contributions_Data!A852</f>
        <v>DA-001</v>
      </c>
      <c r="F858" s="23" t="str">
        <f>Contributions_Data!B852</f>
        <v>DA-001-M0071</v>
      </c>
      <c r="G858" s="24">
        <f>Contributions_Data!C852</f>
        <v>45577</v>
      </c>
      <c r="H858" s="27">
        <f>Contributions_Data!D852</f>
        <v>16691.73</v>
      </c>
      <c r="I858" s="27">
        <v>0</v>
      </c>
    </row>
    <row r="859" spans="3:9">
      <c r="C859" s="23">
        <v>852</v>
      </c>
      <c r="D859" s="23" t="s">
        <v>132</v>
      </c>
      <c r="E859" s="23" t="str">
        <f>Contributions_Data!A853</f>
        <v>DA-001</v>
      </c>
      <c r="F859" s="23" t="str">
        <f>Contributions_Data!B853</f>
        <v>DA-001-M0071</v>
      </c>
      <c r="G859" s="24">
        <f>Contributions_Data!C853</f>
        <v>45445</v>
      </c>
      <c r="H859" s="27">
        <f>Contributions_Data!D853</f>
        <v>17560.25</v>
      </c>
      <c r="I859" s="27">
        <v>0</v>
      </c>
    </row>
    <row r="860" spans="3:9">
      <c r="C860" s="23">
        <v>853</v>
      </c>
      <c r="D860" s="23" t="s">
        <v>132</v>
      </c>
      <c r="E860" s="23" t="str">
        <f>Contributions_Data!A854</f>
        <v>DA-002</v>
      </c>
      <c r="F860" s="23" t="str">
        <f>Contributions_Data!B854</f>
        <v>DA-002-M0072</v>
      </c>
      <c r="G860" s="24">
        <f>Contributions_Data!C854</f>
        <v>45344</v>
      </c>
      <c r="H860" s="27">
        <f>Contributions_Data!D854</f>
        <v>17276.79</v>
      </c>
      <c r="I860" s="27">
        <v>0</v>
      </c>
    </row>
    <row r="861" spans="3:9">
      <c r="C861" s="23">
        <v>854</v>
      </c>
      <c r="D861" s="23" t="s">
        <v>132</v>
      </c>
      <c r="E861" s="23" t="str">
        <f>Contributions_Data!A855</f>
        <v>DA-002</v>
      </c>
      <c r="F861" s="23" t="str">
        <f>Contributions_Data!B855</f>
        <v>DA-002-M0072</v>
      </c>
      <c r="G861" s="24">
        <f>Contributions_Data!C855</f>
        <v>45399</v>
      </c>
      <c r="H861" s="27">
        <f>Contributions_Data!D855</f>
        <v>15843.57</v>
      </c>
      <c r="I861" s="27">
        <v>0</v>
      </c>
    </row>
    <row r="862" spans="3:9">
      <c r="C862" s="23">
        <v>855</v>
      </c>
      <c r="D862" s="23" t="s">
        <v>132</v>
      </c>
      <c r="E862" s="23" t="str">
        <f>Contributions_Data!A856</f>
        <v>DA-002</v>
      </c>
      <c r="F862" s="23" t="str">
        <f>Contributions_Data!B856</f>
        <v>DA-002-M0072</v>
      </c>
      <c r="G862" s="24">
        <f>Contributions_Data!C856</f>
        <v>45476</v>
      </c>
      <c r="H862" s="27">
        <f>Contributions_Data!D856</f>
        <v>15312.6</v>
      </c>
      <c r="I862" s="27">
        <v>0</v>
      </c>
    </row>
    <row r="863" spans="3:9">
      <c r="C863" s="23">
        <v>856</v>
      </c>
      <c r="D863" s="23" t="s">
        <v>132</v>
      </c>
      <c r="E863" s="23" t="str">
        <f>Contributions_Data!A857</f>
        <v>DA-002</v>
      </c>
      <c r="F863" s="23" t="str">
        <f>Contributions_Data!B857</f>
        <v>DA-002-M0072</v>
      </c>
      <c r="G863" s="24">
        <f>Contributions_Data!C857</f>
        <v>45409</v>
      </c>
      <c r="H863" s="27">
        <f>Contributions_Data!D857</f>
        <v>14812.22</v>
      </c>
      <c r="I863" s="27">
        <v>0</v>
      </c>
    </row>
    <row r="864" spans="3:9">
      <c r="C864" s="23">
        <v>857</v>
      </c>
      <c r="D864" s="23" t="s">
        <v>132</v>
      </c>
      <c r="E864" s="23" t="str">
        <f>Contributions_Data!A858</f>
        <v>DA-002</v>
      </c>
      <c r="F864" s="23" t="str">
        <f>Contributions_Data!B858</f>
        <v>DA-002-M0072</v>
      </c>
      <c r="G864" s="24">
        <f>Contributions_Data!C858</f>
        <v>45508</v>
      </c>
      <c r="H864" s="27">
        <f>Contributions_Data!D858</f>
        <v>14157.97</v>
      </c>
      <c r="I864" s="27">
        <v>0</v>
      </c>
    </row>
    <row r="865" spans="3:9">
      <c r="C865" s="23">
        <v>858</v>
      </c>
      <c r="D865" s="23" t="s">
        <v>132</v>
      </c>
      <c r="E865" s="23" t="str">
        <f>Contributions_Data!A859</f>
        <v>DA-002</v>
      </c>
      <c r="F865" s="23" t="str">
        <f>Contributions_Data!B859</f>
        <v>DA-002-M0072</v>
      </c>
      <c r="G865" s="24">
        <f>Contributions_Data!C859</f>
        <v>45563</v>
      </c>
      <c r="H865" s="27">
        <f>Contributions_Data!D859</f>
        <v>9921.1299999999992</v>
      </c>
      <c r="I865" s="27">
        <v>0</v>
      </c>
    </row>
    <row r="866" spans="3:9">
      <c r="C866" s="23">
        <v>859</v>
      </c>
      <c r="D866" s="23" t="s">
        <v>132</v>
      </c>
      <c r="E866" s="23" t="str">
        <f>Contributions_Data!A860</f>
        <v>DA-002</v>
      </c>
      <c r="F866" s="23" t="str">
        <f>Contributions_Data!B860</f>
        <v>DA-002-M0072</v>
      </c>
      <c r="G866" s="24">
        <f>Contributions_Data!C860</f>
        <v>45407</v>
      </c>
      <c r="H866" s="27">
        <f>Contributions_Data!D860</f>
        <v>14704.98</v>
      </c>
      <c r="I866" s="27">
        <v>0</v>
      </c>
    </row>
    <row r="867" spans="3:9">
      <c r="C867" s="23">
        <v>860</v>
      </c>
      <c r="D867" s="23" t="s">
        <v>132</v>
      </c>
      <c r="E867" s="23" t="str">
        <f>Contributions_Data!A861</f>
        <v>DA-002</v>
      </c>
      <c r="F867" s="23" t="str">
        <f>Contributions_Data!B861</f>
        <v>DA-002-M0072</v>
      </c>
      <c r="G867" s="24">
        <f>Contributions_Data!C861</f>
        <v>45407</v>
      </c>
      <c r="H867" s="27">
        <f>Contributions_Data!D861</f>
        <v>12034.23</v>
      </c>
      <c r="I867" s="27">
        <v>0</v>
      </c>
    </row>
    <row r="868" spans="3:9">
      <c r="C868" s="23">
        <v>861</v>
      </c>
      <c r="D868" s="23" t="s">
        <v>132</v>
      </c>
      <c r="E868" s="23" t="str">
        <f>Contributions_Data!A862</f>
        <v>DA-002</v>
      </c>
      <c r="F868" s="23" t="str">
        <f>Contributions_Data!B862</f>
        <v>DA-002-M0072</v>
      </c>
      <c r="G868" s="24">
        <f>Contributions_Data!C862</f>
        <v>45638</v>
      </c>
      <c r="H868" s="27">
        <f>Contributions_Data!D862</f>
        <v>11689.23</v>
      </c>
      <c r="I868" s="27">
        <v>0</v>
      </c>
    </row>
    <row r="869" spans="3:9">
      <c r="C869" s="23">
        <v>862</v>
      </c>
      <c r="D869" s="23" t="s">
        <v>132</v>
      </c>
      <c r="E869" s="23" t="str">
        <f>Contributions_Data!A863</f>
        <v>DA-002</v>
      </c>
      <c r="F869" s="23" t="str">
        <f>Contributions_Data!B863</f>
        <v>DA-002-M0072</v>
      </c>
      <c r="G869" s="24">
        <f>Contributions_Data!C863</f>
        <v>45635</v>
      </c>
      <c r="H869" s="27">
        <f>Contributions_Data!D863</f>
        <v>15539.68</v>
      </c>
      <c r="I869" s="27">
        <v>0</v>
      </c>
    </row>
    <row r="870" spans="3:9">
      <c r="C870" s="23">
        <v>863</v>
      </c>
      <c r="D870" s="23" t="s">
        <v>132</v>
      </c>
      <c r="E870" s="23" t="str">
        <f>Contributions_Data!A864</f>
        <v>DA-002</v>
      </c>
      <c r="F870" s="23" t="str">
        <f>Contributions_Data!B864</f>
        <v>DA-002-M0072</v>
      </c>
      <c r="G870" s="24">
        <f>Contributions_Data!C864</f>
        <v>45376</v>
      </c>
      <c r="H870" s="27">
        <f>Contributions_Data!D864</f>
        <v>19176.009999999998</v>
      </c>
      <c r="I870" s="27">
        <v>0</v>
      </c>
    </row>
    <row r="871" spans="3:9">
      <c r="C871" s="23">
        <v>864</v>
      </c>
      <c r="D871" s="23" t="s">
        <v>132</v>
      </c>
      <c r="E871" s="23" t="str">
        <f>Contributions_Data!A865</f>
        <v>DA-002</v>
      </c>
      <c r="F871" s="23" t="str">
        <f>Contributions_Data!B865</f>
        <v>DA-002-M0072</v>
      </c>
      <c r="G871" s="24">
        <f>Contributions_Data!C865</f>
        <v>45299</v>
      </c>
      <c r="H871" s="27">
        <f>Contributions_Data!D865</f>
        <v>17754.95</v>
      </c>
      <c r="I871" s="27">
        <v>0</v>
      </c>
    </row>
    <row r="872" spans="3:9">
      <c r="C872" s="23">
        <v>865</v>
      </c>
      <c r="D872" s="23" t="s">
        <v>132</v>
      </c>
      <c r="E872" s="23" t="str">
        <f>Contributions_Data!A866</f>
        <v>DA-001</v>
      </c>
      <c r="F872" s="23" t="str">
        <f>Contributions_Data!B866</f>
        <v>DA-001-M0073</v>
      </c>
      <c r="G872" s="24">
        <f>Contributions_Data!C866</f>
        <v>45453</v>
      </c>
      <c r="H872" s="27">
        <f>Contributions_Data!D866</f>
        <v>12031.12</v>
      </c>
      <c r="I872" s="27">
        <v>0</v>
      </c>
    </row>
    <row r="873" spans="3:9">
      <c r="C873" s="23">
        <v>866</v>
      </c>
      <c r="D873" s="23" t="s">
        <v>132</v>
      </c>
      <c r="E873" s="23" t="str">
        <f>Contributions_Data!A867</f>
        <v>DA-001</v>
      </c>
      <c r="F873" s="23" t="str">
        <f>Contributions_Data!B867</f>
        <v>DA-001-M0073</v>
      </c>
      <c r="G873" s="24">
        <f>Contributions_Data!C867</f>
        <v>45393</v>
      </c>
      <c r="H873" s="27">
        <f>Contributions_Data!D867</f>
        <v>17822.310000000001</v>
      </c>
      <c r="I873" s="27">
        <v>0</v>
      </c>
    </row>
    <row r="874" spans="3:9">
      <c r="C874" s="23">
        <v>867</v>
      </c>
      <c r="D874" s="23" t="s">
        <v>132</v>
      </c>
      <c r="E874" s="23" t="str">
        <f>Contributions_Data!A868</f>
        <v>DA-001</v>
      </c>
      <c r="F874" s="23" t="str">
        <f>Contributions_Data!B868</f>
        <v>DA-001-M0073</v>
      </c>
      <c r="G874" s="24">
        <f>Contributions_Data!C868</f>
        <v>45652</v>
      </c>
      <c r="H874" s="27">
        <f>Contributions_Data!D868</f>
        <v>14326.1</v>
      </c>
      <c r="I874" s="27">
        <v>0</v>
      </c>
    </row>
    <row r="875" spans="3:9">
      <c r="C875" s="23">
        <v>868</v>
      </c>
      <c r="D875" s="23" t="s">
        <v>132</v>
      </c>
      <c r="E875" s="23" t="str">
        <f>Contributions_Data!A869</f>
        <v>DA-001</v>
      </c>
      <c r="F875" s="23" t="str">
        <f>Contributions_Data!B869</f>
        <v>DA-001-M0073</v>
      </c>
      <c r="G875" s="24">
        <f>Contributions_Data!C869</f>
        <v>45373</v>
      </c>
      <c r="H875" s="27">
        <f>Contributions_Data!D869</f>
        <v>12094.97</v>
      </c>
      <c r="I875" s="27">
        <v>0</v>
      </c>
    </row>
    <row r="876" spans="3:9">
      <c r="C876" s="23">
        <v>869</v>
      </c>
      <c r="D876" s="23" t="s">
        <v>132</v>
      </c>
      <c r="E876" s="23" t="str">
        <f>Contributions_Data!A870</f>
        <v>DA-001</v>
      </c>
      <c r="F876" s="23" t="str">
        <f>Contributions_Data!B870</f>
        <v>DA-001-M0073</v>
      </c>
      <c r="G876" s="24">
        <f>Contributions_Data!C870</f>
        <v>45354</v>
      </c>
      <c r="H876" s="27">
        <f>Contributions_Data!D870</f>
        <v>15316.13</v>
      </c>
      <c r="I876" s="27">
        <v>0</v>
      </c>
    </row>
    <row r="877" spans="3:9">
      <c r="C877" s="23">
        <v>870</v>
      </c>
      <c r="D877" s="23" t="s">
        <v>132</v>
      </c>
      <c r="E877" s="23" t="str">
        <f>Contributions_Data!A871</f>
        <v>DA-001</v>
      </c>
      <c r="F877" s="23" t="str">
        <f>Contributions_Data!B871</f>
        <v>DA-001-M0073</v>
      </c>
      <c r="G877" s="24">
        <f>Contributions_Data!C871</f>
        <v>45351</v>
      </c>
      <c r="H877" s="27">
        <f>Contributions_Data!D871</f>
        <v>10997.92</v>
      </c>
      <c r="I877" s="27">
        <v>0</v>
      </c>
    </row>
    <row r="878" spans="3:9">
      <c r="C878" s="23">
        <v>871</v>
      </c>
      <c r="D878" s="23" t="s">
        <v>132</v>
      </c>
      <c r="E878" s="23" t="str">
        <f>Contributions_Data!A872</f>
        <v>DA-001</v>
      </c>
      <c r="F878" s="23" t="str">
        <f>Contributions_Data!B872</f>
        <v>DA-001-M0073</v>
      </c>
      <c r="G878" s="24">
        <f>Contributions_Data!C872</f>
        <v>45322</v>
      </c>
      <c r="H878" s="27">
        <f>Contributions_Data!D872</f>
        <v>15959.35</v>
      </c>
      <c r="I878" s="27">
        <v>0</v>
      </c>
    </row>
    <row r="879" spans="3:9">
      <c r="C879" s="23">
        <v>872</v>
      </c>
      <c r="D879" s="23" t="s">
        <v>132</v>
      </c>
      <c r="E879" s="23" t="str">
        <f>Contributions_Data!A873</f>
        <v>DA-001</v>
      </c>
      <c r="F879" s="23" t="str">
        <f>Contributions_Data!B873</f>
        <v>DA-001-M0073</v>
      </c>
      <c r="G879" s="24">
        <f>Contributions_Data!C873</f>
        <v>45405</v>
      </c>
      <c r="H879" s="27">
        <f>Contributions_Data!D873</f>
        <v>16321.42</v>
      </c>
      <c r="I879" s="27">
        <v>0</v>
      </c>
    </row>
    <row r="880" spans="3:9">
      <c r="C880" s="23">
        <v>873</v>
      </c>
      <c r="D880" s="23" t="s">
        <v>132</v>
      </c>
      <c r="E880" s="23" t="str">
        <f>Contributions_Data!A874</f>
        <v>DA-001</v>
      </c>
      <c r="F880" s="23" t="str">
        <f>Contributions_Data!B874</f>
        <v>DA-001-M0073</v>
      </c>
      <c r="G880" s="24">
        <f>Contributions_Data!C874</f>
        <v>45622</v>
      </c>
      <c r="H880" s="27">
        <f>Contributions_Data!D874</f>
        <v>14941.09</v>
      </c>
      <c r="I880" s="27">
        <v>0</v>
      </c>
    </row>
    <row r="881" spans="3:9">
      <c r="C881" s="23">
        <v>874</v>
      </c>
      <c r="D881" s="23" t="s">
        <v>132</v>
      </c>
      <c r="E881" s="23" t="str">
        <f>Contributions_Data!A875</f>
        <v>DA-001</v>
      </c>
      <c r="F881" s="23" t="str">
        <f>Contributions_Data!B875</f>
        <v>DA-001-M0073</v>
      </c>
      <c r="G881" s="24">
        <f>Contributions_Data!C875</f>
        <v>45649</v>
      </c>
      <c r="H881" s="27">
        <f>Contributions_Data!D875</f>
        <v>15671.74</v>
      </c>
      <c r="I881" s="27">
        <v>0</v>
      </c>
    </row>
    <row r="882" spans="3:9">
      <c r="C882" s="23">
        <v>875</v>
      </c>
      <c r="D882" s="23" t="s">
        <v>132</v>
      </c>
      <c r="E882" s="23" t="str">
        <f>Contributions_Data!A876</f>
        <v>DA-001</v>
      </c>
      <c r="F882" s="23" t="str">
        <f>Contributions_Data!B876</f>
        <v>DA-001-M0073</v>
      </c>
      <c r="G882" s="24">
        <f>Contributions_Data!C876</f>
        <v>45526</v>
      </c>
      <c r="H882" s="27">
        <f>Contributions_Data!D876</f>
        <v>19092.419999999998</v>
      </c>
      <c r="I882" s="27">
        <v>0</v>
      </c>
    </row>
    <row r="883" spans="3:9">
      <c r="C883" s="23">
        <v>876</v>
      </c>
      <c r="D883" s="23" t="s">
        <v>132</v>
      </c>
      <c r="E883" s="23" t="str">
        <f>Contributions_Data!A877</f>
        <v>DA-001</v>
      </c>
      <c r="F883" s="23" t="str">
        <f>Contributions_Data!B877</f>
        <v>DA-001-M0073</v>
      </c>
      <c r="G883" s="24">
        <f>Contributions_Data!C877</f>
        <v>45585</v>
      </c>
      <c r="H883" s="27">
        <f>Contributions_Data!D877</f>
        <v>13711.78</v>
      </c>
      <c r="I883" s="27">
        <v>0</v>
      </c>
    </row>
    <row r="884" spans="3:9">
      <c r="C884" s="23">
        <v>877</v>
      </c>
      <c r="D884" s="23" t="s">
        <v>132</v>
      </c>
      <c r="E884" s="23" t="str">
        <f>Contributions_Data!A878</f>
        <v>DA-001</v>
      </c>
      <c r="F884" s="23" t="str">
        <f>Contributions_Data!B878</f>
        <v>DA-001-M0074</v>
      </c>
      <c r="G884" s="24">
        <f>Contributions_Data!C878</f>
        <v>45546</v>
      </c>
      <c r="H884" s="27">
        <f>Contributions_Data!D878</f>
        <v>16629.89</v>
      </c>
      <c r="I884" s="27">
        <v>0</v>
      </c>
    </row>
    <row r="885" spans="3:9">
      <c r="C885" s="23">
        <v>878</v>
      </c>
      <c r="D885" s="23" t="s">
        <v>132</v>
      </c>
      <c r="E885" s="23" t="str">
        <f>Contributions_Data!A879</f>
        <v>DA-001</v>
      </c>
      <c r="F885" s="23" t="str">
        <f>Contributions_Data!B879</f>
        <v>DA-001-M0074</v>
      </c>
      <c r="G885" s="24">
        <f>Contributions_Data!C879</f>
        <v>45605</v>
      </c>
      <c r="H885" s="27">
        <f>Contributions_Data!D879</f>
        <v>15146.58</v>
      </c>
      <c r="I885" s="27">
        <v>0</v>
      </c>
    </row>
    <row r="886" spans="3:9">
      <c r="C886" s="23">
        <v>879</v>
      </c>
      <c r="D886" s="23" t="s">
        <v>132</v>
      </c>
      <c r="E886" s="23" t="str">
        <f>Contributions_Data!A880</f>
        <v>DA-001</v>
      </c>
      <c r="F886" s="23" t="str">
        <f>Contributions_Data!B880</f>
        <v>DA-001-M0074</v>
      </c>
      <c r="G886" s="24">
        <f>Contributions_Data!C880</f>
        <v>45497</v>
      </c>
      <c r="H886" s="27">
        <f>Contributions_Data!D880</f>
        <v>12894.02</v>
      </c>
      <c r="I886" s="27">
        <v>0</v>
      </c>
    </row>
    <row r="887" spans="3:9">
      <c r="C887" s="23">
        <v>880</v>
      </c>
      <c r="D887" s="23" t="s">
        <v>132</v>
      </c>
      <c r="E887" s="23" t="str">
        <f>Contributions_Data!A881</f>
        <v>DA-001</v>
      </c>
      <c r="F887" s="23" t="str">
        <f>Contributions_Data!B881</f>
        <v>DA-001-M0074</v>
      </c>
      <c r="G887" s="24">
        <f>Contributions_Data!C881</f>
        <v>45588</v>
      </c>
      <c r="H887" s="27">
        <f>Contributions_Data!D881</f>
        <v>13011.3</v>
      </c>
      <c r="I887" s="27">
        <v>0</v>
      </c>
    </row>
    <row r="888" spans="3:9">
      <c r="C888" s="23">
        <v>881</v>
      </c>
      <c r="D888" s="23" t="s">
        <v>132</v>
      </c>
      <c r="E888" s="23" t="str">
        <f>Contributions_Data!A882</f>
        <v>DA-001</v>
      </c>
      <c r="F888" s="23" t="str">
        <f>Contributions_Data!B882</f>
        <v>DA-001-M0074</v>
      </c>
      <c r="G888" s="24">
        <f>Contributions_Data!C882</f>
        <v>45398</v>
      </c>
      <c r="H888" s="27">
        <f>Contributions_Data!D882</f>
        <v>10792.18</v>
      </c>
      <c r="I888" s="27">
        <v>0</v>
      </c>
    </row>
    <row r="889" spans="3:9">
      <c r="C889" s="23">
        <v>882</v>
      </c>
      <c r="D889" s="23" t="s">
        <v>132</v>
      </c>
      <c r="E889" s="23" t="str">
        <f>Contributions_Data!A883</f>
        <v>DA-001</v>
      </c>
      <c r="F889" s="23" t="str">
        <f>Contributions_Data!B883</f>
        <v>DA-001-M0074</v>
      </c>
      <c r="G889" s="24">
        <f>Contributions_Data!C883</f>
        <v>45318</v>
      </c>
      <c r="H889" s="27">
        <f>Contributions_Data!D883</f>
        <v>20248.73</v>
      </c>
      <c r="I889" s="27">
        <v>0</v>
      </c>
    </row>
    <row r="890" spans="3:9">
      <c r="C890" s="23">
        <v>883</v>
      </c>
      <c r="D890" s="23" t="s">
        <v>132</v>
      </c>
      <c r="E890" s="23" t="str">
        <f>Contributions_Data!A884</f>
        <v>DA-001</v>
      </c>
      <c r="F890" s="23" t="str">
        <f>Contributions_Data!B884</f>
        <v>DA-001-M0074</v>
      </c>
      <c r="G890" s="24">
        <f>Contributions_Data!C884</f>
        <v>45496</v>
      </c>
      <c r="H890" s="27">
        <f>Contributions_Data!D884</f>
        <v>12921.28</v>
      </c>
      <c r="I890" s="27">
        <v>0</v>
      </c>
    </row>
    <row r="891" spans="3:9">
      <c r="C891" s="23">
        <v>884</v>
      </c>
      <c r="D891" s="23" t="s">
        <v>132</v>
      </c>
      <c r="E891" s="23" t="str">
        <f>Contributions_Data!A885</f>
        <v>DA-001</v>
      </c>
      <c r="F891" s="23" t="str">
        <f>Contributions_Data!B885</f>
        <v>DA-001-M0074</v>
      </c>
      <c r="G891" s="24">
        <f>Contributions_Data!C885</f>
        <v>45516</v>
      </c>
      <c r="H891" s="27">
        <f>Contributions_Data!D885</f>
        <v>17684.77</v>
      </c>
      <c r="I891" s="27">
        <v>0</v>
      </c>
    </row>
    <row r="892" spans="3:9">
      <c r="C892" s="23">
        <v>885</v>
      </c>
      <c r="D892" s="23" t="s">
        <v>132</v>
      </c>
      <c r="E892" s="23" t="str">
        <f>Contributions_Data!A886</f>
        <v>DA-001</v>
      </c>
      <c r="F892" s="23" t="str">
        <f>Contributions_Data!B886</f>
        <v>DA-001-M0074</v>
      </c>
      <c r="G892" s="24">
        <f>Contributions_Data!C886</f>
        <v>45392</v>
      </c>
      <c r="H892" s="27">
        <f>Contributions_Data!D886</f>
        <v>14115.15</v>
      </c>
      <c r="I892" s="27">
        <v>0</v>
      </c>
    </row>
    <row r="893" spans="3:9">
      <c r="C893" s="23">
        <v>886</v>
      </c>
      <c r="D893" s="23" t="s">
        <v>132</v>
      </c>
      <c r="E893" s="23" t="str">
        <f>Contributions_Data!A887</f>
        <v>DA-001</v>
      </c>
      <c r="F893" s="23" t="str">
        <f>Contributions_Data!B887</f>
        <v>DA-001-M0074</v>
      </c>
      <c r="G893" s="24">
        <f>Contributions_Data!C887</f>
        <v>45311</v>
      </c>
      <c r="H893" s="27">
        <f>Contributions_Data!D887</f>
        <v>18743.23</v>
      </c>
      <c r="I893" s="27">
        <v>0</v>
      </c>
    </row>
    <row r="894" spans="3:9">
      <c r="C894" s="23">
        <v>887</v>
      </c>
      <c r="D894" s="23" t="s">
        <v>132</v>
      </c>
      <c r="E894" s="23" t="str">
        <f>Contributions_Data!A888</f>
        <v>DA-001</v>
      </c>
      <c r="F894" s="23" t="str">
        <f>Contributions_Data!B888</f>
        <v>DA-001-M0074</v>
      </c>
      <c r="G894" s="24">
        <f>Contributions_Data!C888</f>
        <v>45486</v>
      </c>
      <c r="H894" s="27">
        <f>Contributions_Data!D888</f>
        <v>15836.98</v>
      </c>
      <c r="I894" s="27">
        <v>0</v>
      </c>
    </row>
    <row r="895" spans="3:9">
      <c r="C895" s="23">
        <v>888</v>
      </c>
      <c r="D895" s="23" t="s">
        <v>132</v>
      </c>
      <c r="E895" s="23" t="str">
        <f>Contributions_Data!A889</f>
        <v>DA-001</v>
      </c>
      <c r="F895" s="23" t="str">
        <f>Contributions_Data!B889</f>
        <v>DA-001-M0074</v>
      </c>
      <c r="G895" s="24">
        <f>Contributions_Data!C889</f>
        <v>45318</v>
      </c>
      <c r="H895" s="27">
        <f>Contributions_Data!D889</f>
        <v>12493.96</v>
      </c>
      <c r="I895" s="27">
        <v>0</v>
      </c>
    </row>
    <row r="896" spans="3:9">
      <c r="C896" s="23">
        <v>889</v>
      </c>
      <c r="D896" s="23" t="s">
        <v>132</v>
      </c>
      <c r="E896" s="23" t="str">
        <f>Contributions_Data!A890</f>
        <v>DA-001</v>
      </c>
      <c r="F896" s="23" t="str">
        <f>Contributions_Data!B890</f>
        <v>DA-001-M0075</v>
      </c>
      <c r="G896" s="24">
        <f>Contributions_Data!C890</f>
        <v>45508</v>
      </c>
      <c r="H896" s="27">
        <f>Contributions_Data!D890</f>
        <v>21435.45</v>
      </c>
      <c r="I896" s="27">
        <v>0</v>
      </c>
    </row>
    <row r="897" spans="3:9">
      <c r="C897" s="23">
        <v>890</v>
      </c>
      <c r="D897" s="23" t="s">
        <v>132</v>
      </c>
      <c r="E897" s="23" t="str">
        <f>Contributions_Data!A891</f>
        <v>DA-001</v>
      </c>
      <c r="F897" s="23" t="str">
        <f>Contributions_Data!B891</f>
        <v>DA-001-M0075</v>
      </c>
      <c r="G897" s="24">
        <f>Contributions_Data!C891</f>
        <v>45382</v>
      </c>
      <c r="H897" s="27">
        <f>Contributions_Data!D891</f>
        <v>11437.2</v>
      </c>
      <c r="I897" s="27">
        <v>0</v>
      </c>
    </row>
    <row r="898" spans="3:9">
      <c r="C898" s="23">
        <v>891</v>
      </c>
      <c r="D898" s="23" t="s">
        <v>132</v>
      </c>
      <c r="E898" s="23" t="str">
        <f>Contributions_Data!A892</f>
        <v>DA-001</v>
      </c>
      <c r="F898" s="23" t="str">
        <f>Contributions_Data!B892</f>
        <v>DA-001-M0075</v>
      </c>
      <c r="G898" s="24">
        <f>Contributions_Data!C892</f>
        <v>45515</v>
      </c>
      <c r="H898" s="27">
        <f>Contributions_Data!D892</f>
        <v>16901.330000000002</v>
      </c>
      <c r="I898" s="27">
        <v>0</v>
      </c>
    </row>
    <row r="899" spans="3:9">
      <c r="C899" s="23">
        <v>892</v>
      </c>
      <c r="D899" s="23" t="s">
        <v>132</v>
      </c>
      <c r="E899" s="23" t="str">
        <f>Contributions_Data!A893</f>
        <v>DA-001</v>
      </c>
      <c r="F899" s="23" t="str">
        <f>Contributions_Data!B893</f>
        <v>DA-001-M0075</v>
      </c>
      <c r="G899" s="24">
        <f>Contributions_Data!C893</f>
        <v>45563</v>
      </c>
      <c r="H899" s="27">
        <f>Contributions_Data!D893</f>
        <v>14444.14</v>
      </c>
      <c r="I899" s="27">
        <v>0</v>
      </c>
    </row>
    <row r="900" spans="3:9">
      <c r="C900" s="23">
        <v>893</v>
      </c>
      <c r="D900" s="23" t="s">
        <v>132</v>
      </c>
      <c r="E900" s="23" t="str">
        <f>Contributions_Data!A894</f>
        <v>DA-001</v>
      </c>
      <c r="F900" s="23" t="str">
        <f>Contributions_Data!B894</f>
        <v>DA-001-M0075</v>
      </c>
      <c r="G900" s="24">
        <f>Contributions_Data!C894</f>
        <v>45394</v>
      </c>
      <c r="H900" s="27">
        <f>Contributions_Data!D894</f>
        <v>15131.43</v>
      </c>
      <c r="I900" s="27">
        <v>0</v>
      </c>
    </row>
    <row r="901" spans="3:9">
      <c r="C901" s="23">
        <v>894</v>
      </c>
      <c r="D901" s="23" t="s">
        <v>132</v>
      </c>
      <c r="E901" s="23" t="str">
        <f>Contributions_Data!A895</f>
        <v>DA-001</v>
      </c>
      <c r="F901" s="23" t="str">
        <f>Contributions_Data!B895</f>
        <v>DA-001-M0075</v>
      </c>
      <c r="G901" s="24">
        <f>Contributions_Data!C895</f>
        <v>45537</v>
      </c>
      <c r="H901" s="27">
        <f>Contributions_Data!D895</f>
        <v>14558.99</v>
      </c>
      <c r="I901" s="27">
        <v>0</v>
      </c>
    </row>
    <row r="902" spans="3:9">
      <c r="C902" s="23">
        <v>895</v>
      </c>
      <c r="D902" s="23" t="s">
        <v>132</v>
      </c>
      <c r="E902" s="23" t="str">
        <f>Contributions_Data!A896</f>
        <v>DA-001</v>
      </c>
      <c r="F902" s="23" t="str">
        <f>Contributions_Data!B896</f>
        <v>DA-001-M0075</v>
      </c>
      <c r="G902" s="24">
        <f>Contributions_Data!C896</f>
        <v>45329</v>
      </c>
      <c r="H902" s="27">
        <f>Contributions_Data!D896</f>
        <v>17891.64</v>
      </c>
      <c r="I902" s="27">
        <v>0</v>
      </c>
    </row>
    <row r="903" spans="3:9">
      <c r="C903" s="23">
        <v>896</v>
      </c>
      <c r="D903" s="23" t="s">
        <v>132</v>
      </c>
      <c r="E903" s="23" t="str">
        <f>Contributions_Data!A897</f>
        <v>DA-001</v>
      </c>
      <c r="F903" s="23" t="str">
        <f>Contributions_Data!B897</f>
        <v>DA-001-M0075</v>
      </c>
      <c r="G903" s="24">
        <f>Contributions_Data!C897</f>
        <v>45549</v>
      </c>
      <c r="H903" s="27">
        <f>Contributions_Data!D897</f>
        <v>21631.57</v>
      </c>
      <c r="I903" s="27">
        <v>0</v>
      </c>
    </row>
    <row r="904" spans="3:9">
      <c r="C904" s="23">
        <v>897</v>
      </c>
      <c r="D904" s="23" t="s">
        <v>132</v>
      </c>
      <c r="E904" s="23" t="str">
        <f>Contributions_Data!A898</f>
        <v>DA-001</v>
      </c>
      <c r="F904" s="23" t="str">
        <f>Contributions_Data!B898</f>
        <v>DA-001-M0075</v>
      </c>
      <c r="G904" s="24">
        <f>Contributions_Data!C898</f>
        <v>45529</v>
      </c>
      <c r="H904" s="27">
        <f>Contributions_Data!D898</f>
        <v>10890.59</v>
      </c>
      <c r="I904" s="27">
        <v>0</v>
      </c>
    </row>
    <row r="905" spans="3:9">
      <c r="C905" s="23">
        <v>898</v>
      </c>
      <c r="D905" s="23" t="s">
        <v>132</v>
      </c>
      <c r="E905" s="23" t="str">
        <f>Contributions_Data!A899</f>
        <v>DA-001</v>
      </c>
      <c r="F905" s="23" t="str">
        <f>Contributions_Data!B899</f>
        <v>DA-001-M0075</v>
      </c>
      <c r="G905" s="24">
        <f>Contributions_Data!C899</f>
        <v>45544</v>
      </c>
      <c r="H905" s="27">
        <f>Contributions_Data!D899</f>
        <v>14735.15</v>
      </c>
      <c r="I905" s="27">
        <v>0</v>
      </c>
    </row>
    <row r="906" spans="3:9">
      <c r="C906" s="23">
        <v>899</v>
      </c>
      <c r="D906" s="23" t="s">
        <v>132</v>
      </c>
      <c r="E906" s="23" t="str">
        <f>Contributions_Data!A900</f>
        <v>DA-001</v>
      </c>
      <c r="F906" s="23" t="str">
        <f>Contributions_Data!B900</f>
        <v>DA-001-M0075</v>
      </c>
      <c r="G906" s="24">
        <f>Contributions_Data!C900</f>
        <v>45427</v>
      </c>
      <c r="H906" s="27">
        <f>Contributions_Data!D900</f>
        <v>12588.98</v>
      </c>
      <c r="I906" s="27">
        <v>0</v>
      </c>
    </row>
    <row r="907" spans="3:9">
      <c r="C907" s="23">
        <v>900</v>
      </c>
      <c r="D907" s="23" t="s">
        <v>132</v>
      </c>
      <c r="E907" s="23" t="str">
        <f>Contributions_Data!A901</f>
        <v>DA-001</v>
      </c>
      <c r="F907" s="23" t="str">
        <f>Contributions_Data!B901</f>
        <v>DA-001-M0075</v>
      </c>
      <c r="G907" s="24">
        <f>Contributions_Data!C901</f>
        <v>45575</v>
      </c>
      <c r="H907" s="27">
        <f>Contributions_Data!D901</f>
        <v>19917.349999999999</v>
      </c>
      <c r="I907" s="27">
        <v>0</v>
      </c>
    </row>
    <row r="908" spans="3:9">
      <c r="C908" s="23">
        <v>901</v>
      </c>
      <c r="D908" s="23" t="s">
        <v>132</v>
      </c>
      <c r="E908" s="23" t="str">
        <f>Contributions_Data!A902</f>
        <v>DA-003</v>
      </c>
      <c r="F908" s="23" t="str">
        <f>Contributions_Data!B902</f>
        <v>DA-003-M0076</v>
      </c>
      <c r="G908" s="24">
        <f>Contributions_Data!C902</f>
        <v>45334</v>
      </c>
      <c r="H908" s="27">
        <f>Contributions_Data!D902</f>
        <v>13339.24</v>
      </c>
      <c r="I908" s="27">
        <v>0</v>
      </c>
    </row>
    <row r="909" spans="3:9">
      <c r="C909" s="23">
        <v>902</v>
      </c>
      <c r="D909" s="23" t="s">
        <v>132</v>
      </c>
      <c r="E909" s="23" t="str">
        <f>Contributions_Data!A903</f>
        <v>DA-003</v>
      </c>
      <c r="F909" s="23" t="str">
        <f>Contributions_Data!B903</f>
        <v>DA-003-M0076</v>
      </c>
      <c r="G909" s="24">
        <f>Contributions_Data!C903</f>
        <v>45564</v>
      </c>
      <c r="H909" s="27">
        <f>Contributions_Data!D903</f>
        <v>16706.95</v>
      </c>
      <c r="I909" s="27">
        <v>0</v>
      </c>
    </row>
    <row r="910" spans="3:9">
      <c r="C910" s="23">
        <v>903</v>
      </c>
      <c r="D910" s="23" t="s">
        <v>132</v>
      </c>
      <c r="E910" s="23" t="str">
        <f>Contributions_Data!A904</f>
        <v>DA-003</v>
      </c>
      <c r="F910" s="23" t="str">
        <f>Contributions_Data!B904</f>
        <v>DA-003-M0076</v>
      </c>
      <c r="G910" s="24">
        <f>Contributions_Data!C904</f>
        <v>45476</v>
      </c>
      <c r="H910" s="27">
        <f>Contributions_Data!D904</f>
        <v>13862.62</v>
      </c>
      <c r="I910" s="27">
        <v>0</v>
      </c>
    </row>
    <row r="911" spans="3:9">
      <c r="C911" s="23">
        <v>904</v>
      </c>
      <c r="D911" s="23" t="s">
        <v>132</v>
      </c>
      <c r="E911" s="23" t="str">
        <f>Contributions_Data!A905</f>
        <v>DA-003</v>
      </c>
      <c r="F911" s="23" t="str">
        <f>Contributions_Data!B905</f>
        <v>DA-003-M0076</v>
      </c>
      <c r="G911" s="24">
        <f>Contributions_Data!C905</f>
        <v>45619</v>
      </c>
      <c r="H911" s="27">
        <f>Contributions_Data!D905</f>
        <v>13254.96</v>
      </c>
      <c r="I911" s="27">
        <v>0</v>
      </c>
    </row>
    <row r="912" spans="3:9">
      <c r="C912" s="23">
        <v>905</v>
      </c>
      <c r="D912" s="23" t="s">
        <v>132</v>
      </c>
      <c r="E912" s="23" t="str">
        <f>Contributions_Data!A906</f>
        <v>DA-003</v>
      </c>
      <c r="F912" s="23" t="str">
        <f>Contributions_Data!B906</f>
        <v>DA-003-M0076</v>
      </c>
      <c r="G912" s="24">
        <f>Contributions_Data!C906</f>
        <v>45500</v>
      </c>
      <c r="H912" s="27">
        <f>Contributions_Data!D906</f>
        <v>11955.73</v>
      </c>
      <c r="I912" s="27">
        <v>0</v>
      </c>
    </row>
    <row r="913" spans="3:9">
      <c r="C913" s="23">
        <v>906</v>
      </c>
      <c r="D913" s="23" t="s">
        <v>132</v>
      </c>
      <c r="E913" s="23" t="str">
        <f>Contributions_Data!A907</f>
        <v>DA-003</v>
      </c>
      <c r="F913" s="23" t="str">
        <f>Contributions_Data!B907</f>
        <v>DA-003-M0076</v>
      </c>
      <c r="G913" s="24">
        <f>Contributions_Data!C907</f>
        <v>45403</v>
      </c>
      <c r="H913" s="27">
        <f>Contributions_Data!D907</f>
        <v>11328.18</v>
      </c>
      <c r="I913" s="27">
        <v>0</v>
      </c>
    </row>
    <row r="914" spans="3:9">
      <c r="C914" s="23">
        <v>907</v>
      </c>
      <c r="D914" s="23" t="s">
        <v>132</v>
      </c>
      <c r="E914" s="23" t="str">
        <f>Contributions_Data!A908</f>
        <v>DA-003</v>
      </c>
      <c r="F914" s="23" t="str">
        <f>Contributions_Data!B908</f>
        <v>DA-003-M0076</v>
      </c>
      <c r="G914" s="24">
        <f>Contributions_Data!C908</f>
        <v>45493</v>
      </c>
      <c r="H914" s="27">
        <f>Contributions_Data!D908</f>
        <v>15102.25</v>
      </c>
      <c r="I914" s="27">
        <v>0</v>
      </c>
    </row>
    <row r="915" spans="3:9">
      <c r="C915" s="23">
        <v>908</v>
      </c>
      <c r="D915" s="23" t="s">
        <v>132</v>
      </c>
      <c r="E915" s="23" t="str">
        <f>Contributions_Data!A909</f>
        <v>DA-003</v>
      </c>
      <c r="F915" s="23" t="str">
        <f>Contributions_Data!B909</f>
        <v>DA-003-M0076</v>
      </c>
      <c r="G915" s="24">
        <f>Contributions_Data!C909</f>
        <v>45407</v>
      </c>
      <c r="H915" s="27">
        <f>Contributions_Data!D909</f>
        <v>12690.08</v>
      </c>
      <c r="I915" s="27">
        <v>0</v>
      </c>
    </row>
    <row r="916" spans="3:9">
      <c r="C916" s="23">
        <v>909</v>
      </c>
      <c r="D916" s="23" t="s">
        <v>132</v>
      </c>
      <c r="E916" s="23" t="str">
        <f>Contributions_Data!A910</f>
        <v>DA-003</v>
      </c>
      <c r="F916" s="23" t="str">
        <f>Contributions_Data!B910</f>
        <v>DA-003-M0076</v>
      </c>
      <c r="G916" s="24">
        <f>Contributions_Data!C910</f>
        <v>45292</v>
      </c>
      <c r="H916" s="27">
        <f>Contributions_Data!D910</f>
        <v>15701.36</v>
      </c>
      <c r="I916" s="27">
        <v>0</v>
      </c>
    </row>
    <row r="917" spans="3:9">
      <c r="C917" s="23">
        <v>910</v>
      </c>
      <c r="D917" s="23" t="s">
        <v>132</v>
      </c>
      <c r="E917" s="23" t="str">
        <f>Contributions_Data!A911</f>
        <v>DA-003</v>
      </c>
      <c r="F917" s="23" t="str">
        <f>Contributions_Data!B911</f>
        <v>DA-003-M0076</v>
      </c>
      <c r="G917" s="24">
        <f>Contributions_Data!C911</f>
        <v>45455</v>
      </c>
      <c r="H917" s="27">
        <f>Contributions_Data!D911</f>
        <v>10332.31</v>
      </c>
      <c r="I917" s="27">
        <v>0</v>
      </c>
    </row>
    <row r="918" spans="3:9">
      <c r="C918" s="23">
        <v>911</v>
      </c>
      <c r="D918" s="23" t="s">
        <v>132</v>
      </c>
      <c r="E918" s="23" t="str">
        <f>Contributions_Data!A912</f>
        <v>DA-003</v>
      </c>
      <c r="F918" s="23" t="str">
        <f>Contributions_Data!B912</f>
        <v>DA-003-M0076</v>
      </c>
      <c r="G918" s="24">
        <f>Contributions_Data!C912</f>
        <v>45515</v>
      </c>
      <c r="H918" s="27">
        <f>Contributions_Data!D912</f>
        <v>17500.59</v>
      </c>
      <c r="I918" s="27">
        <v>0</v>
      </c>
    </row>
    <row r="919" spans="3:9">
      <c r="C919" s="23">
        <v>912</v>
      </c>
      <c r="D919" s="23" t="s">
        <v>132</v>
      </c>
      <c r="E919" s="23" t="str">
        <f>Contributions_Data!A913</f>
        <v>DA-003</v>
      </c>
      <c r="F919" s="23" t="str">
        <f>Contributions_Data!B913</f>
        <v>DA-003-M0076</v>
      </c>
      <c r="G919" s="24">
        <f>Contributions_Data!C913</f>
        <v>45336</v>
      </c>
      <c r="H919" s="27">
        <f>Contributions_Data!D913</f>
        <v>9018.7900000000009</v>
      </c>
      <c r="I919" s="27">
        <v>0</v>
      </c>
    </row>
    <row r="920" spans="3:9">
      <c r="C920" s="23">
        <v>913</v>
      </c>
      <c r="D920" s="23" t="s">
        <v>132</v>
      </c>
      <c r="E920" s="23" t="str">
        <f>Contributions_Data!A914</f>
        <v>DA-003</v>
      </c>
      <c r="F920" s="23" t="str">
        <f>Contributions_Data!B914</f>
        <v>DA-003-M0077</v>
      </c>
      <c r="G920" s="24">
        <f>Contributions_Data!C914</f>
        <v>45397</v>
      </c>
      <c r="H920" s="27">
        <f>Contributions_Data!D914</f>
        <v>16122.17</v>
      </c>
      <c r="I920" s="27">
        <v>0</v>
      </c>
    </row>
    <row r="921" spans="3:9">
      <c r="C921" s="23">
        <v>914</v>
      </c>
      <c r="D921" s="23" t="s">
        <v>132</v>
      </c>
      <c r="E921" s="23" t="str">
        <f>Contributions_Data!A915</f>
        <v>DA-003</v>
      </c>
      <c r="F921" s="23" t="str">
        <f>Contributions_Data!B915</f>
        <v>DA-003-M0077</v>
      </c>
      <c r="G921" s="24">
        <f>Contributions_Data!C915</f>
        <v>45398</v>
      </c>
      <c r="H921" s="27">
        <f>Contributions_Data!D915</f>
        <v>18683.009999999998</v>
      </c>
      <c r="I921" s="27">
        <v>0</v>
      </c>
    </row>
    <row r="922" spans="3:9">
      <c r="C922" s="23">
        <v>915</v>
      </c>
      <c r="D922" s="23" t="s">
        <v>132</v>
      </c>
      <c r="E922" s="23" t="str">
        <f>Contributions_Data!A916</f>
        <v>DA-003</v>
      </c>
      <c r="F922" s="23" t="str">
        <f>Contributions_Data!B916</f>
        <v>DA-003-M0077</v>
      </c>
      <c r="G922" s="24">
        <f>Contributions_Data!C916</f>
        <v>45632</v>
      </c>
      <c r="H922" s="27">
        <f>Contributions_Data!D916</f>
        <v>20017.72</v>
      </c>
      <c r="I922" s="27">
        <v>0</v>
      </c>
    </row>
    <row r="923" spans="3:9">
      <c r="C923" s="23">
        <v>916</v>
      </c>
      <c r="D923" s="23" t="s">
        <v>132</v>
      </c>
      <c r="E923" s="23" t="str">
        <f>Contributions_Data!A917</f>
        <v>DA-003</v>
      </c>
      <c r="F923" s="23" t="str">
        <f>Contributions_Data!B917</f>
        <v>DA-003-M0077</v>
      </c>
      <c r="G923" s="24">
        <f>Contributions_Data!C917</f>
        <v>45619</v>
      </c>
      <c r="H923" s="27">
        <f>Contributions_Data!D917</f>
        <v>16257.06</v>
      </c>
      <c r="I923" s="27">
        <v>0</v>
      </c>
    </row>
    <row r="924" spans="3:9">
      <c r="C924" s="23">
        <v>917</v>
      </c>
      <c r="D924" s="23" t="s">
        <v>132</v>
      </c>
      <c r="E924" s="23" t="str">
        <f>Contributions_Data!A918</f>
        <v>DA-003</v>
      </c>
      <c r="F924" s="23" t="str">
        <f>Contributions_Data!B918</f>
        <v>DA-003-M0077</v>
      </c>
      <c r="G924" s="24">
        <f>Contributions_Data!C918</f>
        <v>45372</v>
      </c>
      <c r="H924" s="27">
        <f>Contributions_Data!D918</f>
        <v>12884.96</v>
      </c>
      <c r="I924" s="27">
        <v>0</v>
      </c>
    </row>
    <row r="925" spans="3:9">
      <c r="C925" s="23">
        <v>918</v>
      </c>
      <c r="D925" s="23" t="s">
        <v>132</v>
      </c>
      <c r="E925" s="23" t="str">
        <f>Contributions_Data!A919</f>
        <v>DA-003</v>
      </c>
      <c r="F925" s="23" t="str">
        <f>Contributions_Data!B919</f>
        <v>DA-003-M0077</v>
      </c>
      <c r="G925" s="24">
        <f>Contributions_Data!C919</f>
        <v>45648</v>
      </c>
      <c r="H925" s="27">
        <f>Contributions_Data!D919</f>
        <v>14832.69</v>
      </c>
      <c r="I925" s="27">
        <v>0</v>
      </c>
    </row>
    <row r="926" spans="3:9">
      <c r="C926" s="23">
        <v>919</v>
      </c>
      <c r="D926" s="23" t="s">
        <v>132</v>
      </c>
      <c r="E926" s="23" t="str">
        <f>Contributions_Data!A920</f>
        <v>DA-003</v>
      </c>
      <c r="F926" s="23" t="str">
        <f>Contributions_Data!B920</f>
        <v>DA-003-M0077</v>
      </c>
      <c r="G926" s="24">
        <f>Contributions_Data!C920</f>
        <v>45484</v>
      </c>
      <c r="H926" s="27">
        <f>Contributions_Data!D920</f>
        <v>16674.98</v>
      </c>
      <c r="I926" s="27">
        <v>0</v>
      </c>
    </row>
    <row r="927" spans="3:9">
      <c r="C927" s="23">
        <v>920</v>
      </c>
      <c r="D927" s="23" t="s">
        <v>132</v>
      </c>
      <c r="E927" s="23" t="str">
        <f>Contributions_Data!A921</f>
        <v>DA-003</v>
      </c>
      <c r="F927" s="23" t="str">
        <f>Contributions_Data!B921</f>
        <v>DA-003-M0077</v>
      </c>
      <c r="G927" s="24">
        <f>Contributions_Data!C921</f>
        <v>45457</v>
      </c>
      <c r="H927" s="27">
        <f>Contributions_Data!D921</f>
        <v>16616.27</v>
      </c>
      <c r="I927" s="27">
        <v>0</v>
      </c>
    </row>
    <row r="928" spans="3:9">
      <c r="C928" s="23">
        <v>921</v>
      </c>
      <c r="D928" s="23" t="s">
        <v>132</v>
      </c>
      <c r="E928" s="23" t="str">
        <f>Contributions_Data!A922</f>
        <v>DA-003</v>
      </c>
      <c r="F928" s="23" t="str">
        <f>Contributions_Data!B922</f>
        <v>DA-003-M0077</v>
      </c>
      <c r="G928" s="24">
        <f>Contributions_Data!C922</f>
        <v>45524</v>
      </c>
      <c r="H928" s="27">
        <f>Contributions_Data!D922</f>
        <v>12237.98</v>
      </c>
      <c r="I928" s="27">
        <v>0</v>
      </c>
    </row>
    <row r="929" spans="3:9">
      <c r="C929" s="23">
        <v>922</v>
      </c>
      <c r="D929" s="23" t="s">
        <v>132</v>
      </c>
      <c r="E929" s="23" t="str">
        <f>Contributions_Data!A923</f>
        <v>DA-003</v>
      </c>
      <c r="F929" s="23" t="str">
        <f>Contributions_Data!B923</f>
        <v>DA-003-M0077</v>
      </c>
      <c r="G929" s="24">
        <f>Contributions_Data!C923</f>
        <v>45619</v>
      </c>
      <c r="H929" s="27">
        <f>Contributions_Data!D923</f>
        <v>10758.86</v>
      </c>
      <c r="I929" s="27">
        <v>0</v>
      </c>
    </row>
    <row r="930" spans="3:9">
      <c r="C930" s="23">
        <v>923</v>
      </c>
      <c r="D930" s="23" t="s">
        <v>132</v>
      </c>
      <c r="E930" s="23" t="str">
        <f>Contributions_Data!A924</f>
        <v>DA-003</v>
      </c>
      <c r="F930" s="23" t="str">
        <f>Contributions_Data!B924</f>
        <v>DA-003-M0077</v>
      </c>
      <c r="G930" s="24">
        <f>Contributions_Data!C924</f>
        <v>45625</v>
      </c>
      <c r="H930" s="27">
        <f>Contributions_Data!D924</f>
        <v>14666.32</v>
      </c>
      <c r="I930" s="27">
        <v>0</v>
      </c>
    </row>
    <row r="931" spans="3:9">
      <c r="C931" s="23">
        <v>924</v>
      </c>
      <c r="D931" s="23" t="s">
        <v>132</v>
      </c>
      <c r="E931" s="23" t="str">
        <f>Contributions_Data!A925</f>
        <v>DA-003</v>
      </c>
      <c r="F931" s="23" t="str">
        <f>Contributions_Data!B925</f>
        <v>DA-003-M0077</v>
      </c>
      <c r="G931" s="24">
        <f>Contributions_Data!C925</f>
        <v>45310</v>
      </c>
      <c r="H931" s="27">
        <f>Contributions_Data!D925</f>
        <v>12288.28</v>
      </c>
      <c r="I931" s="27">
        <v>0</v>
      </c>
    </row>
    <row r="932" spans="3:9">
      <c r="C932" s="23">
        <v>925</v>
      </c>
      <c r="D932" s="23" t="s">
        <v>132</v>
      </c>
      <c r="E932" s="23" t="str">
        <f>Contributions_Data!A926</f>
        <v>DA-002</v>
      </c>
      <c r="F932" s="23" t="str">
        <f>Contributions_Data!B926</f>
        <v>DA-002-M0078</v>
      </c>
      <c r="G932" s="24">
        <f>Contributions_Data!C926</f>
        <v>45543</v>
      </c>
      <c r="H932" s="27">
        <f>Contributions_Data!D926</f>
        <v>12793.41</v>
      </c>
      <c r="I932" s="27">
        <v>0</v>
      </c>
    </row>
    <row r="933" spans="3:9">
      <c r="C933" s="23">
        <v>926</v>
      </c>
      <c r="D933" s="23" t="s">
        <v>132</v>
      </c>
      <c r="E933" s="23" t="str">
        <f>Contributions_Data!A927</f>
        <v>DA-002</v>
      </c>
      <c r="F933" s="23" t="str">
        <f>Contributions_Data!B927</f>
        <v>DA-002-M0078</v>
      </c>
      <c r="G933" s="24">
        <f>Contributions_Data!C927</f>
        <v>45405</v>
      </c>
      <c r="H933" s="27">
        <f>Contributions_Data!D927</f>
        <v>18708.28</v>
      </c>
      <c r="I933" s="27">
        <v>0</v>
      </c>
    </row>
    <row r="934" spans="3:9">
      <c r="C934" s="23">
        <v>927</v>
      </c>
      <c r="D934" s="23" t="s">
        <v>132</v>
      </c>
      <c r="E934" s="23" t="str">
        <f>Contributions_Data!A928</f>
        <v>DA-002</v>
      </c>
      <c r="F934" s="23" t="str">
        <f>Contributions_Data!B928</f>
        <v>DA-002-M0078</v>
      </c>
      <c r="G934" s="24">
        <f>Contributions_Data!C928</f>
        <v>45348</v>
      </c>
      <c r="H934" s="27">
        <f>Contributions_Data!D928</f>
        <v>16827.41</v>
      </c>
      <c r="I934" s="27">
        <v>0</v>
      </c>
    </row>
    <row r="935" spans="3:9">
      <c r="C935" s="23">
        <v>928</v>
      </c>
      <c r="D935" s="23" t="s">
        <v>132</v>
      </c>
      <c r="E935" s="23" t="str">
        <f>Contributions_Data!A929</f>
        <v>DA-002</v>
      </c>
      <c r="F935" s="23" t="str">
        <f>Contributions_Data!B929</f>
        <v>DA-002-M0078</v>
      </c>
      <c r="G935" s="24">
        <f>Contributions_Data!C929</f>
        <v>45484</v>
      </c>
      <c r="H935" s="27">
        <f>Contributions_Data!D929</f>
        <v>11723.06</v>
      </c>
      <c r="I935" s="27">
        <v>0</v>
      </c>
    </row>
    <row r="936" spans="3:9">
      <c r="C936" s="23">
        <v>929</v>
      </c>
      <c r="D936" s="23" t="s">
        <v>132</v>
      </c>
      <c r="E936" s="23" t="str">
        <f>Contributions_Data!A930</f>
        <v>DA-002</v>
      </c>
      <c r="F936" s="23" t="str">
        <f>Contributions_Data!B930</f>
        <v>DA-002-M0078</v>
      </c>
      <c r="G936" s="24">
        <f>Contributions_Data!C930</f>
        <v>45476</v>
      </c>
      <c r="H936" s="27">
        <f>Contributions_Data!D930</f>
        <v>14050.77</v>
      </c>
      <c r="I936" s="27">
        <v>0</v>
      </c>
    </row>
    <row r="937" spans="3:9">
      <c r="C937" s="23">
        <v>930</v>
      </c>
      <c r="D937" s="23" t="s">
        <v>132</v>
      </c>
      <c r="E937" s="23" t="str">
        <f>Contributions_Data!A931</f>
        <v>DA-002</v>
      </c>
      <c r="F937" s="23" t="str">
        <f>Contributions_Data!B931</f>
        <v>DA-002-M0078</v>
      </c>
      <c r="G937" s="24">
        <f>Contributions_Data!C931</f>
        <v>45613</v>
      </c>
      <c r="H937" s="27">
        <f>Contributions_Data!D931</f>
        <v>18639.29</v>
      </c>
      <c r="I937" s="27">
        <v>0</v>
      </c>
    </row>
    <row r="938" spans="3:9">
      <c r="C938" s="23">
        <v>931</v>
      </c>
      <c r="D938" s="23" t="s">
        <v>132</v>
      </c>
      <c r="E938" s="23" t="str">
        <f>Contributions_Data!A932</f>
        <v>DA-002</v>
      </c>
      <c r="F938" s="23" t="str">
        <f>Contributions_Data!B932</f>
        <v>DA-002-M0078</v>
      </c>
      <c r="G938" s="24">
        <f>Contributions_Data!C932</f>
        <v>45340</v>
      </c>
      <c r="H938" s="27">
        <f>Contributions_Data!D932</f>
        <v>15425.15</v>
      </c>
      <c r="I938" s="27">
        <v>0</v>
      </c>
    </row>
    <row r="939" spans="3:9">
      <c r="C939" s="23">
        <v>932</v>
      </c>
      <c r="D939" s="23" t="s">
        <v>132</v>
      </c>
      <c r="E939" s="23" t="str">
        <f>Contributions_Data!A933</f>
        <v>DA-002</v>
      </c>
      <c r="F939" s="23" t="str">
        <f>Contributions_Data!B933</f>
        <v>DA-002-M0078</v>
      </c>
      <c r="G939" s="24">
        <f>Contributions_Data!C933</f>
        <v>45529</v>
      </c>
      <c r="H939" s="27">
        <f>Contributions_Data!D933</f>
        <v>21957.99</v>
      </c>
      <c r="I939" s="27">
        <v>0</v>
      </c>
    </row>
    <row r="940" spans="3:9">
      <c r="C940" s="23">
        <v>933</v>
      </c>
      <c r="D940" s="23" t="s">
        <v>132</v>
      </c>
      <c r="E940" s="23" t="str">
        <f>Contributions_Data!A934</f>
        <v>DA-002</v>
      </c>
      <c r="F940" s="23" t="str">
        <f>Contributions_Data!B934</f>
        <v>DA-002-M0078</v>
      </c>
      <c r="G940" s="24">
        <f>Contributions_Data!C934</f>
        <v>45475</v>
      </c>
      <c r="H940" s="27">
        <f>Contributions_Data!D934</f>
        <v>16179.95</v>
      </c>
      <c r="I940" s="27">
        <v>0</v>
      </c>
    </row>
    <row r="941" spans="3:9">
      <c r="C941" s="23">
        <v>934</v>
      </c>
      <c r="D941" s="23" t="s">
        <v>132</v>
      </c>
      <c r="E941" s="23" t="str">
        <f>Contributions_Data!A935</f>
        <v>DA-002</v>
      </c>
      <c r="F941" s="23" t="str">
        <f>Contributions_Data!B935</f>
        <v>DA-002-M0078</v>
      </c>
      <c r="G941" s="24">
        <f>Contributions_Data!C935</f>
        <v>45614</v>
      </c>
      <c r="H941" s="27">
        <f>Contributions_Data!D935</f>
        <v>14072.65</v>
      </c>
      <c r="I941" s="27">
        <v>0</v>
      </c>
    </row>
    <row r="942" spans="3:9">
      <c r="C942" s="23">
        <v>935</v>
      </c>
      <c r="D942" s="23" t="s">
        <v>132</v>
      </c>
      <c r="E942" s="23" t="str">
        <f>Contributions_Data!A936</f>
        <v>DA-002</v>
      </c>
      <c r="F942" s="23" t="str">
        <f>Contributions_Data!B936</f>
        <v>DA-002-M0078</v>
      </c>
      <c r="G942" s="24">
        <f>Contributions_Data!C936</f>
        <v>45302</v>
      </c>
      <c r="H942" s="27">
        <f>Contributions_Data!D936</f>
        <v>15400.62</v>
      </c>
      <c r="I942" s="27">
        <v>0</v>
      </c>
    </row>
    <row r="943" spans="3:9">
      <c r="C943" s="23">
        <v>936</v>
      </c>
      <c r="D943" s="23" t="s">
        <v>132</v>
      </c>
      <c r="E943" s="23" t="str">
        <f>Contributions_Data!A937</f>
        <v>DA-002</v>
      </c>
      <c r="F943" s="23" t="str">
        <f>Contributions_Data!B937</f>
        <v>DA-002-M0078</v>
      </c>
      <c r="G943" s="24">
        <f>Contributions_Data!C937</f>
        <v>45603</v>
      </c>
      <c r="H943" s="27">
        <f>Contributions_Data!D937</f>
        <v>14542.59</v>
      </c>
      <c r="I943" s="27">
        <v>0</v>
      </c>
    </row>
    <row r="944" spans="3:9">
      <c r="C944" s="23">
        <v>937</v>
      </c>
      <c r="D944" s="23" t="s">
        <v>132</v>
      </c>
      <c r="E944" s="23" t="str">
        <f>Contributions_Data!A938</f>
        <v>DA-003</v>
      </c>
      <c r="F944" s="23" t="str">
        <f>Contributions_Data!B938</f>
        <v>DA-003-M0079</v>
      </c>
      <c r="G944" s="24">
        <f>Contributions_Data!C938</f>
        <v>45332</v>
      </c>
      <c r="H944" s="27">
        <f>Contributions_Data!D938</f>
        <v>17870.11</v>
      </c>
      <c r="I944" s="27">
        <v>0</v>
      </c>
    </row>
    <row r="945" spans="3:9">
      <c r="C945" s="23">
        <v>938</v>
      </c>
      <c r="D945" s="23" t="s">
        <v>132</v>
      </c>
      <c r="E945" s="23" t="str">
        <f>Contributions_Data!A939</f>
        <v>DA-003</v>
      </c>
      <c r="F945" s="23" t="str">
        <f>Contributions_Data!B939</f>
        <v>DA-003-M0079</v>
      </c>
      <c r="G945" s="24">
        <f>Contributions_Data!C939</f>
        <v>45565</v>
      </c>
      <c r="H945" s="27">
        <f>Contributions_Data!D939</f>
        <v>12642.03</v>
      </c>
      <c r="I945" s="27">
        <v>0</v>
      </c>
    </row>
    <row r="946" spans="3:9">
      <c r="C946" s="23">
        <v>939</v>
      </c>
      <c r="D946" s="23" t="s">
        <v>132</v>
      </c>
      <c r="E946" s="23" t="str">
        <f>Contributions_Data!A940</f>
        <v>DA-003</v>
      </c>
      <c r="F946" s="23" t="str">
        <f>Contributions_Data!B940</f>
        <v>DA-003-M0079</v>
      </c>
      <c r="G946" s="24">
        <f>Contributions_Data!C940</f>
        <v>45600</v>
      </c>
      <c r="H946" s="27">
        <f>Contributions_Data!D940</f>
        <v>11006.3</v>
      </c>
      <c r="I946" s="27">
        <v>0</v>
      </c>
    </row>
    <row r="947" spans="3:9">
      <c r="C947" s="23">
        <v>940</v>
      </c>
      <c r="D947" s="23" t="s">
        <v>132</v>
      </c>
      <c r="E947" s="23" t="str">
        <f>Contributions_Data!A941</f>
        <v>DA-003</v>
      </c>
      <c r="F947" s="23" t="str">
        <f>Contributions_Data!B941</f>
        <v>DA-003-M0079</v>
      </c>
      <c r="G947" s="24">
        <f>Contributions_Data!C941</f>
        <v>45472</v>
      </c>
      <c r="H947" s="27">
        <f>Contributions_Data!D941</f>
        <v>9491.3799999999992</v>
      </c>
      <c r="I947" s="27">
        <v>0</v>
      </c>
    </row>
    <row r="948" spans="3:9">
      <c r="C948" s="23">
        <v>941</v>
      </c>
      <c r="D948" s="23" t="s">
        <v>132</v>
      </c>
      <c r="E948" s="23" t="str">
        <f>Contributions_Data!A942</f>
        <v>DA-003</v>
      </c>
      <c r="F948" s="23" t="str">
        <f>Contributions_Data!B942</f>
        <v>DA-003-M0079</v>
      </c>
      <c r="G948" s="24">
        <f>Contributions_Data!C942</f>
        <v>45633</v>
      </c>
      <c r="H948" s="27">
        <f>Contributions_Data!D942</f>
        <v>16523.97</v>
      </c>
      <c r="I948" s="27">
        <v>0</v>
      </c>
    </row>
    <row r="949" spans="3:9">
      <c r="C949" s="23">
        <v>942</v>
      </c>
      <c r="D949" s="23" t="s">
        <v>132</v>
      </c>
      <c r="E949" s="23" t="str">
        <f>Contributions_Data!A943</f>
        <v>DA-003</v>
      </c>
      <c r="F949" s="23" t="str">
        <f>Contributions_Data!B943</f>
        <v>DA-003-M0079</v>
      </c>
      <c r="G949" s="24">
        <f>Contributions_Data!C943</f>
        <v>45327</v>
      </c>
      <c r="H949" s="27">
        <f>Contributions_Data!D943</f>
        <v>8541.33</v>
      </c>
      <c r="I949" s="27">
        <v>0</v>
      </c>
    </row>
    <row r="950" spans="3:9">
      <c r="C950" s="23">
        <v>943</v>
      </c>
      <c r="D950" s="23" t="s">
        <v>132</v>
      </c>
      <c r="E950" s="23" t="str">
        <f>Contributions_Data!A944</f>
        <v>DA-003</v>
      </c>
      <c r="F950" s="23" t="str">
        <f>Contributions_Data!B944</f>
        <v>DA-003-M0079</v>
      </c>
      <c r="G950" s="24">
        <f>Contributions_Data!C944</f>
        <v>45510</v>
      </c>
      <c r="H950" s="27">
        <f>Contributions_Data!D944</f>
        <v>22479</v>
      </c>
      <c r="I950" s="27">
        <v>0</v>
      </c>
    </row>
    <row r="951" spans="3:9">
      <c r="C951" s="23">
        <v>944</v>
      </c>
      <c r="D951" s="23" t="s">
        <v>132</v>
      </c>
      <c r="E951" s="23" t="str">
        <f>Contributions_Data!A945</f>
        <v>DA-003</v>
      </c>
      <c r="F951" s="23" t="str">
        <f>Contributions_Data!B945</f>
        <v>DA-003-M0079</v>
      </c>
      <c r="G951" s="24">
        <f>Contributions_Data!C945</f>
        <v>45394</v>
      </c>
      <c r="H951" s="27">
        <f>Contributions_Data!D945</f>
        <v>14981.79</v>
      </c>
      <c r="I951" s="27">
        <v>0</v>
      </c>
    </row>
    <row r="952" spans="3:9">
      <c r="C952" s="23">
        <v>945</v>
      </c>
      <c r="D952" s="23" t="s">
        <v>132</v>
      </c>
      <c r="E952" s="23" t="str">
        <f>Contributions_Data!A946</f>
        <v>DA-003</v>
      </c>
      <c r="F952" s="23" t="str">
        <f>Contributions_Data!B946</f>
        <v>DA-003-M0079</v>
      </c>
      <c r="G952" s="24">
        <f>Contributions_Data!C946</f>
        <v>45614</v>
      </c>
      <c r="H952" s="27">
        <f>Contributions_Data!D946</f>
        <v>17515.47</v>
      </c>
      <c r="I952" s="27">
        <v>0</v>
      </c>
    </row>
    <row r="953" spans="3:9">
      <c r="C953" s="23">
        <v>946</v>
      </c>
      <c r="D953" s="23" t="s">
        <v>132</v>
      </c>
      <c r="E953" s="23" t="str">
        <f>Contributions_Data!A947</f>
        <v>DA-003</v>
      </c>
      <c r="F953" s="23" t="str">
        <f>Contributions_Data!B947</f>
        <v>DA-003-M0079</v>
      </c>
      <c r="G953" s="24">
        <f>Contributions_Data!C947</f>
        <v>45583</v>
      </c>
      <c r="H953" s="27">
        <f>Contributions_Data!D947</f>
        <v>15245.49</v>
      </c>
      <c r="I953" s="27">
        <v>0</v>
      </c>
    </row>
    <row r="954" spans="3:9">
      <c r="C954" s="23">
        <v>947</v>
      </c>
      <c r="D954" s="23" t="s">
        <v>132</v>
      </c>
      <c r="E954" s="23" t="str">
        <f>Contributions_Data!A948</f>
        <v>DA-003</v>
      </c>
      <c r="F954" s="23" t="str">
        <f>Contributions_Data!B948</f>
        <v>DA-003-M0079</v>
      </c>
      <c r="G954" s="24">
        <f>Contributions_Data!C948</f>
        <v>45427</v>
      </c>
      <c r="H954" s="27">
        <f>Contributions_Data!D948</f>
        <v>17757.23</v>
      </c>
      <c r="I954" s="27">
        <v>0</v>
      </c>
    </row>
    <row r="955" spans="3:9">
      <c r="C955" s="23">
        <v>948</v>
      </c>
      <c r="D955" s="23" t="s">
        <v>132</v>
      </c>
      <c r="E955" s="23" t="str">
        <f>Contributions_Data!A949</f>
        <v>DA-003</v>
      </c>
      <c r="F955" s="23" t="str">
        <f>Contributions_Data!B949</f>
        <v>DA-003-M0079</v>
      </c>
      <c r="G955" s="24">
        <f>Contributions_Data!C949</f>
        <v>45593</v>
      </c>
      <c r="H955" s="27">
        <f>Contributions_Data!D949</f>
        <v>14129.18</v>
      </c>
      <c r="I955" s="27">
        <v>0</v>
      </c>
    </row>
    <row r="956" spans="3:9">
      <c r="C956" s="23">
        <v>949</v>
      </c>
      <c r="D956" s="23" t="s">
        <v>132</v>
      </c>
      <c r="E956" s="23" t="str">
        <f>Contributions_Data!A950</f>
        <v>DA-003</v>
      </c>
      <c r="F956" s="23" t="str">
        <f>Contributions_Data!B950</f>
        <v>DA-003-M0080</v>
      </c>
      <c r="G956" s="24">
        <f>Contributions_Data!C950</f>
        <v>45566</v>
      </c>
      <c r="H956" s="27">
        <f>Contributions_Data!D950</f>
        <v>15802.18</v>
      </c>
      <c r="I956" s="27">
        <v>0</v>
      </c>
    </row>
    <row r="957" spans="3:9">
      <c r="C957" s="23">
        <v>950</v>
      </c>
      <c r="D957" s="23" t="s">
        <v>132</v>
      </c>
      <c r="E957" s="23" t="str">
        <f>Contributions_Data!A951</f>
        <v>DA-003</v>
      </c>
      <c r="F957" s="23" t="str">
        <f>Contributions_Data!B951</f>
        <v>DA-003-M0080</v>
      </c>
      <c r="G957" s="24">
        <f>Contributions_Data!C951</f>
        <v>45321</v>
      </c>
      <c r="H957" s="27">
        <f>Contributions_Data!D951</f>
        <v>15965.09</v>
      </c>
      <c r="I957" s="27">
        <v>0</v>
      </c>
    </row>
    <row r="958" spans="3:9">
      <c r="C958" s="23">
        <v>951</v>
      </c>
      <c r="D958" s="23" t="s">
        <v>132</v>
      </c>
      <c r="E958" s="23" t="str">
        <f>Contributions_Data!A952</f>
        <v>DA-003</v>
      </c>
      <c r="F958" s="23" t="str">
        <f>Contributions_Data!B952</f>
        <v>DA-003-M0080</v>
      </c>
      <c r="G958" s="24">
        <f>Contributions_Data!C952</f>
        <v>45447</v>
      </c>
      <c r="H958" s="27">
        <f>Contributions_Data!D952</f>
        <v>12995.73</v>
      </c>
      <c r="I958" s="27">
        <v>0</v>
      </c>
    </row>
    <row r="959" spans="3:9">
      <c r="C959" s="23">
        <v>952</v>
      </c>
      <c r="D959" s="23" t="s">
        <v>132</v>
      </c>
      <c r="E959" s="23" t="str">
        <f>Contributions_Data!A953</f>
        <v>DA-003</v>
      </c>
      <c r="F959" s="23" t="str">
        <f>Contributions_Data!B953</f>
        <v>DA-003-M0080</v>
      </c>
      <c r="G959" s="24">
        <f>Contributions_Data!C953</f>
        <v>45404</v>
      </c>
      <c r="H959" s="27">
        <f>Contributions_Data!D953</f>
        <v>17976.13</v>
      </c>
      <c r="I959" s="27">
        <v>0</v>
      </c>
    </row>
    <row r="960" spans="3:9">
      <c r="C960" s="23">
        <v>953</v>
      </c>
      <c r="D960" s="23" t="s">
        <v>132</v>
      </c>
      <c r="E960" s="23" t="str">
        <f>Contributions_Data!A954</f>
        <v>DA-003</v>
      </c>
      <c r="F960" s="23" t="str">
        <f>Contributions_Data!B954</f>
        <v>DA-003-M0080</v>
      </c>
      <c r="G960" s="24">
        <f>Contributions_Data!C954</f>
        <v>45414</v>
      </c>
      <c r="H960" s="27">
        <f>Contributions_Data!D954</f>
        <v>14475.12</v>
      </c>
      <c r="I960" s="27">
        <v>0</v>
      </c>
    </row>
    <row r="961" spans="3:9">
      <c r="C961" s="23">
        <v>954</v>
      </c>
      <c r="D961" s="23" t="s">
        <v>132</v>
      </c>
      <c r="E961" s="23" t="str">
        <f>Contributions_Data!A955</f>
        <v>DA-003</v>
      </c>
      <c r="F961" s="23" t="str">
        <f>Contributions_Data!B955</f>
        <v>DA-003-M0080</v>
      </c>
      <c r="G961" s="24">
        <f>Contributions_Data!C955</f>
        <v>45499</v>
      </c>
      <c r="H961" s="27">
        <f>Contributions_Data!D955</f>
        <v>12732.76</v>
      </c>
      <c r="I961" s="27">
        <v>0</v>
      </c>
    </row>
    <row r="962" spans="3:9">
      <c r="C962" s="23">
        <v>955</v>
      </c>
      <c r="D962" s="23" t="s">
        <v>132</v>
      </c>
      <c r="E962" s="23" t="str">
        <f>Contributions_Data!A956</f>
        <v>DA-003</v>
      </c>
      <c r="F962" s="23" t="str">
        <f>Contributions_Data!B956</f>
        <v>DA-003-M0080</v>
      </c>
      <c r="G962" s="24">
        <f>Contributions_Data!C956</f>
        <v>45394</v>
      </c>
      <c r="H962" s="27">
        <f>Contributions_Data!D956</f>
        <v>16609.53</v>
      </c>
      <c r="I962" s="27">
        <v>0</v>
      </c>
    </row>
    <row r="963" spans="3:9">
      <c r="C963" s="23">
        <v>956</v>
      </c>
      <c r="D963" s="23" t="s">
        <v>132</v>
      </c>
      <c r="E963" s="23" t="str">
        <f>Contributions_Data!A957</f>
        <v>DA-003</v>
      </c>
      <c r="F963" s="23" t="str">
        <f>Contributions_Data!B957</f>
        <v>DA-003-M0080</v>
      </c>
      <c r="G963" s="24">
        <f>Contributions_Data!C957</f>
        <v>45314</v>
      </c>
      <c r="H963" s="27">
        <f>Contributions_Data!D957</f>
        <v>12304.6</v>
      </c>
      <c r="I963" s="27">
        <v>0</v>
      </c>
    </row>
    <row r="964" spans="3:9">
      <c r="C964" s="23">
        <v>957</v>
      </c>
      <c r="D964" s="23" t="s">
        <v>132</v>
      </c>
      <c r="E964" s="23" t="str">
        <f>Contributions_Data!A958</f>
        <v>DA-003</v>
      </c>
      <c r="F964" s="23" t="str">
        <f>Contributions_Data!B958</f>
        <v>DA-003-M0080</v>
      </c>
      <c r="G964" s="24">
        <f>Contributions_Data!C958</f>
        <v>45567</v>
      </c>
      <c r="H964" s="27">
        <f>Contributions_Data!D958</f>
        <v>15084.54</v>
      </c>
      <c r="I964" s="27">
        <v>0</v>
      </c>
    </row>
    <row r="965" spans="3:9">
      <c r="C965" s="23">
        <v>958</v>
      </c>
      <c r="D965" s="23" t="s">
        <v>132</v>
      </c>
      <c r="E965" s="23" t="str">
        <f>Contributions_Data!A959</f>
        <v>DA-003</v>
      </c>
      <c r="F965" s="23" t="str">
        <f>Contributions_Data!B959</f>
        <v>DA-003-M0080</v>
      </c>
      <c r="G965" s="24">
        <f>Contributions_Data!C959</f>
        <v>45328</v>
      </c>
      <c r="H965" s="27">
        <f>Contributions_Data!D959</f>
        <v>14972.64</v>
      </c>
      <c r="I965" s="27">
        <v>0</v>
      </c>
    </row>
    <row r="966" spans="3:9">
      <c r="C966" s="23">
        <v>959</v>
      </c>
      <c r="D966" s="23" t="s">
        <v>132</v>
      </c>
      <c r="E966" s="23" t="str">
        <f>Contributions_Data!A960</f>
        <v>DA-003</v>
      </c>
      <c r="F966" s="23" t="str">
        <f>Contributions_Data!B960</f>
        <v>DA-003-M0080</v>
      </c>
      <c r="G966" s="24">
        <f>Contributions_Data!C960</f>
        <v>45424</v>
      </c>
      <c r="H966" s="27">
        <f>Contributions_Data!D960</f>
        <v>18257.689999999999</v>
      </c>
      <c r="I966" s="27">
        <v>0</v>
      </c>
    </row>
    <row r="967" spans="3:9">
      <c r="C967" s="23">
        <v>960</v>
      </c>
      <c r="D967" s="23" t="s">
        <v>132</v>
      </c>
      <c r="E967" s="23" t="str">
        <f>Contributions_Data!A961</f>
        <v>DA-003</v>
      </c>
      <c r="F967" s="23" t="str">
        <f>Contributions_Data!B961</f>
        <v>DA-003-M0080</v>
      </c>
      <c r="G967" s="24">
        <f>Contributions_Data!C961</f>
        <v>45313</v>
      </c>
      <c r="H967" s="27">
        <f>Contributions_Data!D961</f>
        <v>16424.09</v>
      </c>
      <c r="I967" s="27">
        <v>0</v>
      </c>
    </row>
    <row r="968" spans="3:9">
      <c r="C968" s="23">
        <v>961</v>
      </c>
      <c r="D968" s="23" t="s">
        <v>132</v>
      </c>
      <c r="E968" s="23" t="str">
        <f>Contributions_Data!A962</f>
        <v>DA-003</v>
      </c>
      <c r="F968" s="23" t="str">
        <f>Contributions_Data!B962</f>
        <v>DA-003-M0081</v>
      </c>
      <c r="G968" s="24">
        <f>Contributions_Data!C962</f>
        <v>45598</v>
      </c>
      <c r="H968" s="27">
        <f>Contributions_Data!D962</f>
        <v>14924.92</v>
      </c>
      <c r="I968" s="27">
        <v>0</v>
      </c>
    </row>
    <row r="969" spans="3:9">
      <c r="C969" s="23">
        <v>962</v>
      </c>
      <c r="D969" s="23" t="s">
        <v>132</v>
      </c>
      <c r="E969" s="23" t="str">
        <f>Contributions_Data!A963</f>
        <v>DA-003</v>
      </c>
      <c r="F969" s="23" t="str">
        <f>Contributions_Data!B963</f>
        <v>DA-003-M0081</v>
      </c>
      <c r="G969" s="24">
        <f>Contributions_Data!C963</f>
        <v>45300</v>
      </c>
      <c r="H969" s="27">
        <f>Contributions_Data!D963</f>
        <v>17453.3</v>
      </c>
      <c r="I969" s="27">
        <v>0</v>
      </c>
    </row>
    <row r="970" spans="3:9">
      <c r="C970" s="23">
        <v>963</v>
      </c>
      <c r="D970" s="23" t="s">
        <v>132</v>
      </c>
      <c r="E970" s="23" t="str">
        <f>Contributions_Data!A964</f>
        <v>DA-003</v>
      </c>
      <c r="F970" s="23" t="str">
        <f>Contributions_Data!B964</f>
        <v>DA-003-M0081</v>
      </c>
      <c r="G970" s="24">
        <f>Contributions_Data!C964</f>
        <v>45315</v>
      </c>
      <c r="H970" s="27">
        <f>Contributions_Data!D964</f>
        <v>19170.62</v>
      </c>
      <c r="I970" s="27">
        <v>0</v>
      </c>
    </row>
    <row r="971" spans="3:9">
      <c r="C971" s="23">
        <v>964</v>
      </c>
      <c r="D971" s="23" t="s">
        <v>132</v>
      </c>
      <c r="E971" s="23" t="str">
        <f>Contributions_Data!A965</f>
        <v>DA-003</v>
      </c>
      <c r="F971" s="23" t="str">
        <f>Contributions_Data!B965</f>
        <v>DA-003-M0081</v>
      </c>
      <c r="G971" s="24">
        <f>Contributions_Data!C965</f>
        <v>45411</v>
      </c>
      <c r="H971" s="27">
        <f>Contributions_Data!D965</f>
        <v>16673.43</v>
      </c>
      <c r="I971" s="27">
        <v>0</v>
      </c>
    </row>
    <row r="972" spans="3:9">
      <c r="C972" s="23">
        <v>965</v>
      </c>
      <c r="D972" s="23" t="s">
        <v>132</v>
      </c>
      <c r="E972" s="23" t="str">
        <f>Contributions_Data!A966</f>
        <v>DA-003</v>
      </c>
      <c r="F972" s="23" t="str">
        <f>Contributions_Data!B966</f>
        <v>DA-003-M0081</v>
      </c>
      <c r="G972" s="24">
        <f>Contributions_Data!C966</f>
        <v>45512</v>
      </c>
      <c r="H972" s="27">
        <f>Contributions_Data!D966</f>
        <v>11064.49</v>
      </c>
      <c r="I972" s="27">
        <v>0</v>
      </c>
    </row>
    <row r="973" spans="3:9">
      <c r="C973" s="23">
        <v>966</v>
      </c>
      <c r="D973" s="23" t="s">
        <v>132</v>
      </c>
      <c r="E973" s="23" t="str">
        <f>Contributions_Data!A967</f>
        <v>DA-003</v>
      </c>
      <c r="F973" s="23" t="str">
        <f>Contributions_Data!B967</f>
        <v>DA-003-M0081</v>
      </c>
      <c r="G973" s="24">
        <f>Contributions_Data!C967</f>
        <v>45434</v>
      </c>
      <c r="H973" s="27">
        <f>Contributions_Data!D967</f>
        <v>11804.66</v>
      </c>
      <c r="I973" s="27">
        <v>0</v>
      </c>
    </row>
    <row r="974" spans="3:9">
      <c r="C974" s="23">
        <v>967</v>
      </c>
      <c r="D974" s="23" t="s">
        <v>132</v>
      </c>
      <c r="E974" s="23" t="str">
        <f>Contributions_Data!A968</f>
        <v>DA-003</v>
      </c>
      <c r="F974" s="23" t="str">
        <f>Contributions_Data!B968</f>
        <v>DA-003-M0081</v>
      </c>
      <c r="G974" s="24">
        <f>Contributions_Data!C968</f>
        <v>45460</v>
      </c>
      <c r="H974" s="27">
        <f>Contributions_Data!D968</f>
        <v>13171.46</v>
      </c>
      <c r="I974" s="27">
        <v>0</v>
      </c>
    </row>
    <row r="975" spans="3:9">
      <c r="C975" s="23">
        <v>968</v>
      </c>
      <c r="D975" s="23" t="s">
        <v>132</v>
      </c>
      <c r="E975" s="23" t="str">
        <f>Contributions_Data!A969</f>
        <v>DA-003</v>
      </c>
      <c r="F975" s="23" t="str">
        <f>Contributions_Data!B969</f>
        <v>DA-003-M0081</v>
      </c>
      <c r="G975" s="24">
        <f>Contributions_Data!C969</f>
        <v>45308</v>
      </c>
      <c r="H975" s="27">
        <f>Contributions_Data!D969</f>
        <v>15169.95</v>
      </c>
      <c r="I975" s="27">
        <v>0</v>
      </c>
    </row>
    <row r="976" spans="3:9">
      <c r="C976" s="23">
        <v>969</v>
      </c>
      <c r="D976" s="23" t="s">
        <v>132</v>
      </c>
      <c r="E976" s="23" t="str">
        <f>Contributions_Data!A970</f>
        <v>DA-003</v>
      </c>
      <c r="F976" s="23" t="str">
        <f>Contributions_Data!B970</f>
        <v>DA-003-M0081</v>
      </c>
      <c r="G976" s="24">
        <f>Contributions_Data!C970</f>
        <v>45435</v>
      </c>
      <c r="H976" s="27">
        <f>Contributions_Data!D970</f>
        <v>16589.080000000002</v>
      </c>
      <c r="I976" s="27">
        <v>0</v>
      </c>
    </row>
    <row r="977" spans="3:9">
      <c r="C977" s="23">
        <v>970</v>
      </c>
      <c r="D977" s="23" t="s">
        <v>132</v>
      </c>
      <c r="E977" s="23" t="str">
        <f>Contributions_Data!A971</f>
        <v>DA-003</v>
      </c>
      <c r="F977" s="23" t="str">
        <f>Contributions_Data!B971</f>
        <v>DA-003-M0081</v>
      </c>
      <c r="G977" s="24">
        <f>Contributions_Data!C971</f>
        <v>45364</v>
      </c>
      <c r="H977" s="27">
        <f>Contributions_Data!D971</f>
        <v>14788.5</v>
      </c>
      <c r="I977" s="27">
        <v>0</v>
      </c>
    </row>
    <row r="978" spans="3:9">
      <c r="C978" s="23">
        <v>971</v>
      </c>
      <c r="D978" s="23" t="s">
        <v>132</v>
      </c>
      <c r="E978" s="23" t="str">
        <f>Contributions_Data!A972</f>
        <v>DA-003</v>
      </c>
      <c r="F978" s="23" t="str">
        <f>Contributions_Data!B972</f>
        <v>DA-003-M0081</v>
      </c>
      <c r="G978" s="24">
        <f>Contributions_Data!C972</f>
        <v>45461</v>
      </c>
      <c r="H978" s="27">
        <f>Contributions_Data!D972</f>
        <v>16459.5</v>
      </c>
      <c r="I978" s="27">
        <v>0</v>
      </c>
    </row>
    <row r="979" spans="3:9">
      <c r="C979" s="23">
        <v>972</v>
      </c>
      <c r="D979" s="23" t="s">
        <v>132</v>
      </c>
      <c r="E979" s="23" t="str">
        <f>Contributions_Data!A973</f>
        <v>DA-003</v>
      </c>
      <c r="F979" s="23" t="str">
        <f>Contributions_Data!B973</f>
        <v>DA-003-M0081</v>
      </c>
      <c r="G979" s="24">
        <f>Contributions_Data!C973</f>
        <v>45295</v>
      </c>
      <c r="H979" s="27">
        <f>Contributions_Data!D973</f>
        <v>15193.42</v>
      </c>
      <c r="I979" s="27">
        <v>0</v>
      </c>
    </row>
    <row r="980" spans="3:9">
      <c r="C980" s="23">
        <v>973</v>
      </c>
      <c r="D980" s="23" t="s">
        <v>132</v>
      </c>
      <c r="E980" s="23" t="str">
        <f>Contributions_Data!A974</f>
        <v>DA-003</v>
      </c>
      <c r="F980" s="23" t="str">
        <f>Contributions_Data!B974</f>
        <v>DA-003-M0082</v>
      </c>
      <c r="G980" s="24">
        <f>Contributions_Data!C974</f>
        <v>45505</v>
      </c>
      <c r="H980" s="27">
        <f>Contributions_Data!D974</f>
        <v>9073.6</v>
      </c>
      <c r="I980" s="27">
        <v>0</v>
      </c>
    </row>
    <row r="981" spans="3:9">
      <c r="C981" s="23">
        <v>974</v>
      </c>
      <c r="D981" s="23" t="s">
        <v>132</v>
      </c>
      <c r="E981" s="23" t="str">
        <f>Contributions_Data!A975</f>
        <v>DA-003</v>
      </c>
      <c r="F981" s="23" t="str">
        <f>Contributions_Data!B975</f>
        <v>DA-003-M0082</v>
      </c>
      <c r="G981" s="24">
        <f>Contributions_Data!C975</f>
        <v>45331</v>
      </c>
      <c r="H981" s="27">
        <f>Contributions_Data!D975</f>
        <v>12181.99</v>
      </c>
      <c r="I981" s="27">
        <v>0</v>
      </c>
    </row>
    <row r="982" spans="3:9">
      <c r="C982" s="23">
        <v>975</v>
      </c>
      <c r="D982" s="23" t="s">
        <v>132</v>
      </c>
      <c r="E982" s="23" t="str">
        <f>Contributions_Data!A976</f>
        <v>DA-003</v>
      </c>
      <c r="F982" s="23" t="str">
        <f>Contributions_Data!B976</f>
        <v>DA-003-M0082</v>
      </c>
      <c r="G982" s="24">
        <f>Contributions_Data!C976</f>
        <v>45335</v>
      </c>
      <c r="H982" s="27">
        <f>Contributions_Data!D976</f>
        <v>14567.74</v>
      </c>
      <c r="I982" s="27">
        <v>0</v>
      </c>
    </row>
    <row r="983" spans="3:9">
      <c r="C983" s="23">
        <v>976</v>
      </c>
      <c r="D983" s="23" t="s">
        <v>132</v>
      </c>
      <c r="E983" s="23" t="str">
        <f>Contributions_Data!A977</f>
        <v>DA-003</v>
      </c>
      <c r="F983" s="23" t="str">
        <f>Contributions_Data!B977</f>
        <v>DA-003-M0082</v>
      </c>
      <c r="G983" s="24">
        <f>Contributions_Data!C977</f>
        <v>45617</v>
      </c>
      <c r="H983" s="27">
        <f>Contributions_Data!D977</f>
        <v>11370.92</v>
      </c>
      <c r="I983" s="27">
        <v>0</v>
      </c>
    </row>
    <row r="984" spans="3:9">
      <c r="C984" s="23">
        <v>977</v>
      </c>
      <c r="D984" s="23" t="s">
        <v>132</v>
      </c>
      <c r="E984" s="23" t="str">
        <f>Contributions_Data!A978</f>
        <v>DA-003</v>
      </c>
      <c r="F984" s="23" t="str">
        <f>Contributions_Data!B978</f>
        <v>DA-003-M0082</v>
      </c>
      <c r="G984" s="24">
        <f>Contributions_Data!C978</f>
        <v>45469</v>
      </c>
      <c r="H984" s="27">
        <f>Contributions_Data!D978</f>
        <v>16799.79</v>
      </c>
      <c r="I984" s="27">
        <v>0</v>
      </c>
    </row>
    <row r="985" spans="3:9">
      <c r="C985" s="23">
        <v>978</v>
      </c>
      <c r="D985" s="23" t="s">
        <v>132</v>
      </c>
      <c r="E985" s="23" t="str">
        <f>Contributions_Data!A979</f>
        <v>DA-003</v>
      </c>
      <c r="F985" s="23" t="str">
        <f>Contributions_Data!B979</f>
        <v>DA-003-M0082</v>
      </c>
      <c r="G985" s="24">
        <f>Contributions_Data!C979</f>
        <v>45307</v>
      </c>
      <c r="H985" s="27">
        <f>Contributions_Data!D979</f>
        <v>19592.25</v>
      </c>
      <c r="I985" s="27">
        <v>0</v>
      </c>
    </row>
    <row r="986" spans="3:9">
      <c r="C986" s="23">
        <v>979</v>
      </c>
      <c r="D986" s="23" t="s">
        <v>132</v>
      </c>
      <c r="E986" s="23" t="str">
        <f>Contributions_Data!A980</f>
        <v>DA-003</v>
      </c>
      <c r="F986" s="23" t="str">
        <f>Contributions_Data!B980</f>
        <v>DA-003-M0082</v>
      </c>
      <c r="G986" s="24">
        <f>Contributions_Data!C980</f>
        <v>45380</v>
      </c>
      <c r="H986" s="27">
        <f>Contributions_Data!D980</f>
        <v>18656.29</v>
      </c>
      <c r="I986" s="27">
        <v>0</v>
      </c>
    </row>
    <row r="987" spans="3:9">
      <c r="C987" s="23">
        <v>980</v>
      </c>
      <c r="D987" s="23" t="s">
        <v>132</v>
      </c>
      <c r="E987" s="23" t="str">
        <f>Contributions_Data!A981</f>
        <v>DA-003</v>
      </c>
      <c r="F987" s="23" t="str">
        <f>Contributions_Data!B981</f>
        <v>DA-003-M0082</v>
      </c>
      <c r="G987" s="24">
        <f>Contributions_Data!C981</f>
        <v>45515</v>
      </c>
      <c r="H987" s="27">
        <f>Contributions_Data!D981</f>
        <v>14359.67</v>
      </c>
      <c r="I987" s="27">
        <v>0</v>
      </c>
    </row>
    <row r="988" spans="3:9">
      <c r="C988" s="23">
        <v>981</v>
      </c>
      <c r="D988" s="23" t="s">
        <v>132</v>
      </c>
      <c r="E988" s="23" t="str">
        <f>Contributions_Data!A982</f>
        <v>DA-003</v>
      </c>
      <c r="F988" s="23" t="str">
        <f>Contributions_Data!B982</f>
        <v>DA-003-M0082</v>
      </c>
      <c r="G988" s="24">
        <f>Contributions_Data!C982</f>
        <v>45540</v>
      </c>
      <c r="H988" s="27">
        <f>Contributions_Data!D982</f>
        <v>19472.18</v>
      </c>
      <c r="I988" s="27">
        <v>0</v>
      </c>
    </row>
    <row r="989" spans="3:9">
      <c r="C989" s="23">
        <v>982</v>
      </c>
      <c r="D989" s="23" t="s">
        <v>132</v>
      </c>
      <c r="E989" s="23" t="str">
        <f>Contributions_Data!A983</f>
        <v>DA-003</v>
      </c>
      <c r="F989" s="23" t="str">
        <f>Contributions_Data!B983</f>
        <v>DA-003-M0082</v>
      </c>
      <c r="G989" s="24">
        <f>Contributions_Data!C983</f>
        <v>45541</v>
      </c>
      <c r="H989" s="27">
        <f>Contributions_Data!D983</f>
        <v>13988.74</v>
      </c>
      <c r="I989" s="27">
        <v>0</v>
      </c>
    </row>
    <row r="990" spans="3:9">
      <c r="C990" s="23">
        <v>983</v>
      </c>
      <c r="D990" s="23" t="s">
        <v>132</v>
      </c>
      <c r="E990" s="23" t="str">
        <f>Contributions_Data!A984</f>
        <v>DA-003</v>
      </c>
      <c r="F990" s="23" t="str">
        <f>Contributions_Data!B984</f>
        <v>DA-003-M0082</v>
      </c>
      <c r="G990" s="24">
        <f>Contributions_Data!C984</f>
        <v>45440</v>
      </c>
      <c r="H990" s="27">
        <f>Contributions_Data!D984</f>
        <v>13159.79</v>
      </c>
      <c r="I990" s="27">
        <v>0</v>
      </c>
    </row>
    <row r="991" spans="3:9">
      <c r="C991" s="23">
        <v>984</v>
      </c>
      <c r="D991" s="23" t="s">
        <v>132</v>
      </c>
      <c r="E991" s="23" t="str">
        <f>Contributions_Data!A985</f>
        <v>DA-003</v>
      </c>
      <c r="F991" s="23" t="str">
        <f>Contributions_Data!B985</f>
        <v>DA-003-M0082</v>
      </c>
      <c r="G991" s="24">
        <f>Contributions_Data!C985</f>
        <v>45615</v>
      </c>
      <c r="H991" s="27">
        <f>Contributions_Data!D985</f>
        <v>14092.59</v>
      </c>
      <c r="I991" s="27">
        <v>0</v>
      </c>
    </row>
    <row r="992" spans="3:9">
      <c r="C992" s="23">
        <v>985</v>
      </c>
      <c r="D992" s="23" t="s">
        <v>132</v>
      </c>
      <c r="E992" s="23" t="str">
        <f>Contributions_Data!A986</f>
        <v>DA-001</v>
      </c>
      <c r="F992" s="23" t="str">
        <f>Contributions_Data!B986</f>
        <v>DA-001-M0083</v>
      </c>
      <c r="G992" s="24">
        <f>Contributions_Data!C986</f>
        <v>45312</v>
      </c>
      <c r="H992" s="27">
        <f>Contributions_Data!D986</f>
        <v>13835.47</v>
      </c>
      <c r="I992" s="27">
        <v>0</v>
      </c>
    </row>
    <row r="993" spans="3:9">
      <c r="C993" s="23">
        <v>986</v>
      </c>
      <c r="D993" s="23" t="s">
        <v>132</v>
      </c>
      <c r="E993" s="23" t="str">
        <f>Contributions_Data!A987</f>
        <v>DA-001</v>
      </c>
      <c r="F993" s="23" t="str">
        <f>Contributions_Data!B987</f>
        <v>DA-001-M0083</v>
      </c>
      <c r="G993" s="24">
        <f>Contributions_Data!C987</f>
        <v>45350</v>
      </c>
      <c r="H993" s="27">
        <f>Contributions_Data!D987</f>
        <v>15511.25</v>
      </c>
      <c r="I993" s="27">
        <v>0</v>
      </c>
    </row>
    <row r="994" spans="3:9">
      <c r="C994" s="23">
        <v>987</v>
      </c>
      <c r="D994" s="23" t="s">
        <v>132</v>
      </c>
      <c r="E994" s="23" t="str">
        <f>Contributions_Data!A988</f>
        <v>DA-001</v>
      </c>
      <c r="F994" s="23" t="str">
        <f>Contributions_Data!B988</f>
        <v>DA-001-M0083</v>
      </c>
      <c r="G994" s="24">
        <f>Contributions_Data!C988</f>
        <v>45448</v>
      </c>
      <c r="H994" s="27">
        <f>Contributions_Data!D988</f>
        <v>15009.14</v>
      </c>
      <c r="I994" s="27">
        <v>0</v>
      </c>
    </row>
    <row r="995" spans="3:9">
      <c r="C995" s="23">
        <v>988</v>
      </c>
      <c r="D995" s="23" t="s">
        <v>132</v>
      </c>
      <c r="E995" s="23" t="str">
        <f>Contributions_Data!A989</f>
        <v>DA-001</v>
      </c>
      <c r="F995" s="23" t="str">
        <f>Contributions_Data!B989</f>
        <v>DA-001-M0083</v>
      </c>
      <c r="G995" s="24">
        <f>Contributions_Data!C989</f>
        <v>45427</v>
      </c>
      <c r="H995" s="27">
        <f>Contributions_Data!D989</f>
        <v>18571.939999999999</v>
      </c>
      <c r="I995" s="27">
        <v>0</v>
      </c>
    </row>
    <row r="996" spans="3:9">
      <c r="C996" s="23">
        <v>989</v>
      </c>
      <c r="D996" s="23" t="s">
        <v>132</v>
      </c>
      <c r="E996" s="23" t="str">
        <f>Contributions_Data!A990</f>
        <v>DA-001</v>
      </c>
      <c r="F996" s="23" t="str">
        <f>Contributions_Data!B990</f>
        <v>DA-001-M0083</v>
      </c>
      <c r="G996" s="24">
        <f>Contributions_Data!C990</f>
        <v>45323</v>
      </c>
      <c r="H996" s="27">
        <f>Contributions_Data!D990</f>
        <v>17848.66</v>
      </c>
      <c r="I996" s="27">
        <v>0</v>
      </c>
    </row>
    <row r="997" spans="3:9">
      <c r="C997" s="23">
        <v>990</v>
      </c>
      <c r="D997" s="23" t="s">
        <v>132</v>
      </c>
      <c r="E997" s="23" t="str">
        <f>Contributions_Data!A991</f>
        <v>DA-001</v>
      </c>
      <c r="F997" s="23" t="str">
        <f>Contributions_Data!B991</f>
        <v>DA-001-M0083</v>
      </c>
      <c r="G997" s="24">
        <f>Contributions_Data!C991</f>
        <v>45636</v>
      </c>
      <c r="H997" s="27">
        <f>Contributions_Data!D991</f>
        <v>10545.31</v>
      </c>
      <c r="I997" s="27">
        <v>0</v>
      </c>
    </row>
    <row r="998" spans="3:9">
      <c r="C998" s="23">
        <v>991</v>
      </c>
      <c r="D998" s="23" t="s">
        <v>132</v>
      </c>
      <c r="E998" s="23" t="str">
        <f>Contributions_Data!A992</f>
        <v>DA-001</v>
      </c>
      <c r="F998" s="23" t="str">
        <f>Contributions_Data!B992</f>
        <v>DA-001-M0083</v>
      </c>
      <c r="G998" s="24">
        <f>Contributions_Data!C992</f>
        <v>45312</v>
      </c>
      <c r="H998" s="27">
        <f>Contributions_Data!D992</f>
        <v>7338.24</v>
      </c>
      <c r="I998" s="27">
        <v>0</v>
      </c>
    </row>
    <row r="999" spans="3:9">
      <c r="C999" s="23">
        <v>992</v>
      </c>
      <c r="D999" s="23" t="s">
        <v>132</v>
      </c>
      <c r="E999" s="23" t="str">
        <f>Contributions_Data!A993</f>
        <v>DA-001</v>
      </c>
      <c r="F999" s="23" t="str">
        <f>Contributions_Data!B993</f>
        <v>DA-001-M0083</v>
      </c>
      <c r="G999" s="24">
        <f>Contributions_Data!C993</f>
        <v>45396</v>
      </c>
      <c r="H999" s="27">
        <f>Contributions_Data!D993</f>
        <v>17802.96</v>
      </c>
      <c r="I999" s="27">
        <v>0</v>
      </c>
    </row>
    <row r="1000" spans="3:9">
      <c r="C1000" s="23">
        <v>993</v>
      </c>
      <c r="D1000" s="23" t="s">
        <v>132</v>
      </c>
      <c r="E1000" s="23" t="str">
        <f>Contributions_Data!A994</f>
        <v>DA-001</v>
      </c>
      <c r="F1000" s="23" t="str">
        <f>Contributions_Data!B994</f>
        <v>DA-001-M0083</v>
      </c>
      <c r="G1000" s="24">
        <f>Contributions_Data!C994</f>
        <v>45461</v>
      </c>
      <c r="H1000" s="27">
        <f>Contributions_Data!D994</f>
        <v>10899.36</v>
      </c>
      <c r="I1000" s="27">
        <v>0</v>
      </c>
    </row>
    <row r="1001" spans="3:9">
      <c r="C1001" s="23">
        <v>994</v>
      </c>
      <c r="D1001" s="23" t="s">
        <v>132</v>
      </c>
      <c r="E1001" s="23" t="str">
        <f>Contributions_Data!A995</f>
        <v>DA-001</v>
      </c>
      <c r="F1001" s="23" t="str">
        <f>Contributions_Data!B995</f>
        <v>DA-001-M0083</v>
      </c>
      <c r="G1001" s="24">
        <f>Contributions_Data!C995</f>
        <v>45619</v>
      </c>
      <c r="H1001" s="27">
        <f>Contributions_Data!D995</f>
        <v>14325.7</v>
      </c>
      <c r="I1001" s="27">
        <v>0</v>
      </c>
    </row>
    <row r="1002" spans="3:9">
      <c r="C1002" s="23">
        <v>995</v>
      </c>
      <c r="D1002" s="23" t="s">
        <v>132</v>
      </c>
      <c r="E1002" s="23" t="str">
        <f>Contributions_Data!A996</f>
        <v>DA-001</v>
      </c>
      <c r="F1002" s="23" t="str">
        <f>Contributions_Data!B996</f>
        <v>DA-001-M0083</v>
      </c>
      <c r="G1002" s="24">
        <f>Contributions_Data!C996</f>
        <v>45609</v>
      </c>
      <c r="H1002" s="27">
        <f>Contributions_Data!D996</f>
        <v>11489.66</v>
      </c>
      <c r="I1002" s="27">
        <v>0</v>
      </c>
    </row>
    <row r="1003" spans="3:9">
      <c r="C1003" s="23">
        <v>996</v>
      </c>
      <c r="D1003" s="23" t="s">
        <v>132</v>
      </c>
      <c r="E1003" s="23" t="str">
        <f>Contributions_Data!A997</f>
        <v>DA-001</v>
      </c>
      <c r="F1003" s="23" t="str">
        <f>Contributions_Data!B997</f>
        <v>DA-001-M0083</v>
      </c>
      <c r="G1003" s="24">
        <f>Contributions_Data!C997</f>
        <v>45566</v>
      </c>
      <c r="H1003" s="27">
        <f>Contributions_Data!D997</f>
        <v>9594.06</v>
      </c>
      <c r="I1003" s="27">
        <v>0</v>
      </c>
    </row>
    <row r="1004" spans="3:9">
      <c r="C1004" s="23">
        <v>997</v>
      </c>
      <c r="D1004" s="23" t="s">
        <v>132</v>
      </c>
      <c r="E1004" s="23" t="str">
        <f>Contributions_Data!A998</f>
        <v>DA-003</v>
      </c>
      <c r="F1004" s="23" t="str">
        <f>Contributions_Data!B998</f>
        <v>DA-003-M0084</v>
      </c>
      <c r="G1004" s="24">
        <f>Contributions_Data!C998</f>
        <v>45593</v>
      </c>
      <c r="H1004" s="27">
        <f>Contributions_Data!D998</f>
        <v>16624.39</v>
      </c>
      <c r="I1004" s="27">
        <v>0</v>
      </c>
    </row>
    <row r="1005" spans="3:9">
      <c r="C1005" s="23">
        <v>998</v>
      </c>
      <c r="D1005" s="23" t="s">
        <v>132</v>
      </c>
      <c r="E1005" s="23" t="str">
        <f>Contributions_Data!A999</f>
        <v>DA-003</v>
      </c>
      <c r="F1005" s="23" t="str">
        <f>Contributions_Data!B999</f>
        <v>DA-003-M0084</v>
      </c>
      <c r="G1005" s="24">
        <f>Contributions_Data!C999</f>
        <v>45300</v>
      </c>
      <c r="H1005" s="27">
        <f>Contributions_Data!D999</f>
        <v>13270.47</v>
      </c>
      <c r="I1005" s="27">
        <v>0</v>
      </c>
    </row>
    <row r="1006" spans="3:9">
      <c r="C1006" s="23">
        <v>999</v>
      </c>
      <c r="D1006" s="23" t="s">
        <v>132</v>
      </c>
      <c r="E1006" s="23" t="str">
        <f>Contributions_Data!A1000</f>
        <v>DA-003</v>
      </c>
      <c r="F1006" s="23" t="str">
        <f>Contributions_Data!B1000</f>
        <v>DA-003-M0084</v>
      </c>
      <c r="G1006" s="24">
        <f>Contributions_Data!C1000</f>
        <v>45638</v>
      </c>
      <c r="H1006" s="27">
        <f>Contributions_Data!D1000</f>
        <v>7226.87</v>
      </c>
      <c r="I1006" s="27">
        <v>0</v>
      </c>
    </row>
    <row r="1007" spans="3:9">
      <c r="C1007" s="23">
        <v>1000</v>
      </c>
      <c r="D1007" s="23" t="s">
        <v>132</v>
      </c>
      <c r="E1007" s="23" t="str">
        <f>Contributions_Data!A1001</f>
        <v>DA-003</v>
      </c>
      <c r="F1007" s="23" t="str">
        <f>Contributions_Data!B1001</f>
        <v>DA-003-M0084</v>
      </c>
      <c r="G1007" s="24">
        <f>Contributions_Data!C1001</f>
        <v>45490</v>
      </c>
      <c r="H1007" s="27">
        <f>Contributions_Data!D1001</f>
        <v>16175.41</v>
      </c>
      <c r="I1007" s="27">
        <v>0</v>
      </c>
    </row>
    <row r="1008" spans="3:9">
      <c r="C1008" s="23">
        <v>1001</v>
      </c>
      <c r="D1008" s="23" t="s">
        <v>132</v>
      </c>
      <c r="E1008" s="23" t="str">
        <f>Contributions_Data!A1002</f>
        <v>DA-003</v>
      </c>
      <c r="F1008" s="23" t="str">
        <f>Contributions_Data!B1002</f>
        <v>DA-003-M0084</v>
      </c>
      <c r="G1008" s="24">
        <f>Contributions_Data!C1002</f>
        <v>45482</v>
      </c>
      <c r="H1008" s="27">
        <f>Contributions_Data!D1002</f>
        <v>10563.27</v>
      </c>
      <c r="I1008" s="27">
        <v>0</v>
      </c>
    </row>
    <row r="1009" spans="3:9">
      <c r="C1009" s="23">
        <v>1002</v>
      </c>
      <c r="D1009" s="23" t="s">
        <v>132</v>
      </c>
      <c r="E1009" s="23" t="str">
        <f>Contributions_Data!A1003</f>
        <v>DA-003</v>
      </c>
      <c r="F1009" s="23" t="str">
        <f>Contributions_Data!B1003</f>
        <v>DA-003-M0084</v>
      </c>
      <c r="G1009" s="24">
        <f>Contributions_Data!C1003</f>
        <v>45435</v>
      </c>
      <c r="H1009" s="27">
        <f>Contributions_Data!D1003</f>
        <v>15550.08</v>
      </c>
      <c r="I1009" s="27">
        <v>0</v>
      </c>
    </row>
    <row r="1010" spans="3:9">
      <c r="C1010" s="23">
        <v>1003</v>
      </c>
      <c r="D1010" s="23" t="s">
        <v>132</v>
      </c>
      <c r="E1010" s="23" t="str">
        <f>Contributions_Data!A1004</f>
        <v>DA-003</v>
      </c>
      <c r="F1010" s="23" t="str">
        <f>Contributions_Data!B1004</f>
        <v>DA-003-M0084</v>
      </c>
      <c r="G1010" s="24">
        <f>Contributions_Data!C1004</f>
        <v>45606</v>
      </c>
      <c r="H1010" s="27">
        <f>Contributions_Data!D1004</f>
        <v>16737.87</v>
      </c>
      <c r="I1010" s="27">
        <v>0</v>
      </c>
    </row>
    <row r="1011" spans="3:9">
      <c r="C1011" s="23">
        <v>1004</v>
      </c>
      <c r="D1011" s="23" t="s">
        <v>132</v>
      </c>
      <c r="E1011" s="23" t="str">
        <f>Contributions_Data!A1005</f>
        <v>DA-003</v>
      </c>
      <c r="F1011" s="23" t="str">
        <f>Contributions_Data!B1005</f>
        <v>DA-003-M0084</v>
      </c>
      <c r="G1011" s="24">
        <f>Contributions_Data!C1005</f>
        <v>45517</v>
      </c>
      <c r="H1011" s="27">
        <f>Contributions_Data!D1005</f>
        <v>15358.74</v>
      </c>
      <c r="I1011" s="27">
        <v>0</v>
      </c>
    </row>
    <row r="1012" spans="3:9">
      <c r="C1012" s="23">
        <v>1005</v>
      </c>
      <c r="D1012" s="23" t="s">
        <v>132</v>
      </c>
      <c r="E1012" s="23" t="str">
        <f>Contributions_Data!A1006</f>
        <v>DA-003</v>
      </c>
      <c r="F1012" s="23" t="str">
        <f>Contributions_Data!B1006</f>
        <v>DA-003-M0084</v>
      </c>
      <c r="G1012" s="24">
        <f>Contributions_Data!C1006</f>
        <v>45371</v>
      </c>
      <c r="H1012" s="27">
        <f>Contributions_Data!D1006</f>
        <v>12080.79</v>
      </c>
      <c r="I1012" s="27">
        <v>0</v>
      </c>
    </row>
    <row r="1013" spans="3:9">
      <c r="C1013" s="23">
        <v>1006</v>
      </c>
      <c r="D1013" s="23" t="s">
        <v>132</v>
      </c>
      <c r="E1013" s="23" t="str">
        <f>Contributions_Data!A1007</f>
        <v>DA-003</v>
      </c>
      <c r="F1013" s="23" t="str">
        <f>Contributions_Data!B1007</f>
        <v>DA-003-M0084</v>
      </c>
      <c r="G1013" s="24">
        <f>Contributions_Data!C1007</f>
        <v>45429</v>
      </c>
      <c r="H1013" s="27">
        <f>Contributions_Data!D1007</f>
        <v>18589.71</v>
      </c>
      <c r="I1013" s="27">
        <v>0</v>
      </c>
    </row>
    <row r="1014" spans="3:9">
      <c r="C1014" s="23">
        <v>1007</v>
      </c>
      <c r="D1014" s="23" t="s">
        <v>132</v>
      </c>
      <c r="E1014" s="23" t="str">
        <f>Contributions_Data!A1008</f>
        <v>DA-003</v>
      </c>
      <c r="F1014" s="23" t="str">
        <f>Contributions_Data!B1008</f>
        <v>DA-003-M0084</v>
      </c>
      <c r="G1014" s="24">
        <f>Contributions_Data!C1008</f>
        <v>45586</v>
      </c>
      <c r="H1014" s="27">
        <f>Contributions_Data!D1008</f>
        <v>14524.41</v>
      </c>
      <c r="I1014" s="27">
        <v>0</v>
      </c>
    </row>
    <row r="1015" spans="3:9">
      <c r="C1015" s="23">
        <v>1008</v>
      </c>
      <c r="D1015" s="23" t="s">
        <v>132</v>
      </c>
      <c r="E1015" s="23" t="str">
        <f>Contributions_Data!A1009</f>
        <v>DA-003</v>
      </c>
      <c r="F1015" s="23" t="str">
        <f>Contributions_Data!B1009</f>
        <v>DA-003-M0084</v>
      </c>
      <c r="G1015" s="24">
        <f>Contributions_Data!C1009</f>
        <v>45632</v>
      </c>
      <c r="H1015" s="27">
        <f>Contributions_Data!D1009</f>
        <v>14918.09</v>
      </c>
      <c r="I1015" s="27">
        <v>0</v>
      </c>
    </row>
    <row r="1016" spans="3:9">
      <c r="C1016" s="23">
        <v>1009</v>
      </c>
      <c r="D1016" s="23" t="s">
        <v>132</v>
      </c>
      <c r="E1016" s="23" t="str">
        <f>Contributions_Data!A1010</f>
        <v>DA-002</v>
      </c>
      <c r="F1016" s="23" t="str">
        <f>Contributions_Data!B1010</f>
        <v>DA-002-M0085</v>
      </c>
      <c r="G1016" s="24">
        <f>Contributions_Data!C1010</f>
        <v>45471</v>
      </c>
      <c r="H1016" s="27">
        <f>Contributions_Data!D1010</f>
        <v>13670.15</v>
      </c>
      <c r="I1016" s="27">
        <v>0</v>
      </c>
    </row>
    <row r="1017" spans="3:9">
      <c r="C1017" s="23">
        <v>1010</v>
      </c>
      <c r="D1017" s="23" t="s">
        <v>132</v>
      </c>
      <c r="E1017" s="23" t="str">
        <f>Contributions_Data!A1011</f>
        <v>DA-002</v>
      </c>
      <c r="F1017" s="23" t="str">
        <f>Contributions_Data!B1011</f>
        <v>DA-002-M0085</v>
      </c>
      <c r="G1017" s="24">
        <f>Contributions_Data!C1011</f>
        <v>45634</v>
      </c>
      <c r="H1017" s="27">
        <f>Contributions_Data!D1011</f>
        <v>12345.59</v>
      </c>
      <c r="I1017" s="27">
        <v>0</v>
      </c>
    </row>
    <row r="1018" spans="3:9">
      <c r="C1018" s="23">
        <v>1011</v>
      </c>
      <c r="D1018" s="23" t="s">
        <v>132</v>
      </c>
      <c r="E1018" s="23" t="str">
        <f>Contributions_Data!A1012</f>
        <v>DA-002</v>
      </c>
      <c r="F1018" s="23" t="str">
        <f>Contributions_Data!B1012</f>
        <v>DA-002-M0085</v>
      </c>
      <c r="G1018" s="24">
        <f>Contributions_Data!C1012</f>
        <v>45390</v>
      </c>
      <c r="H1018" s="27">
        <f>Contributions_Data!D1012</f>
        <v>14481.16</v>
      </c>
      <c r="I1018" s="27">
        <v>0</v>
      </c>
    </row>
    <row r="1019" spans="3:9">
      <c r="C1019" s="23">
        <v>1012</v>
      </c>
      <c r="D1019" s="23" t="s">
        <v>132</v>
      </c>
      <c r="E1019" s="23" t="str">
        <f>Contributions_Data!A1013</f>
        <v>DA-002</v>
      </c>
      <c r="F1019" s="23" t="str">
        <f>Contributions_Data!B1013</f>
        <v>DA-002-M0085</v>
      </c>
      <c r="G1019" s="24">
        <f>Contributions_Data!C1013</f>
        <v>45409</v>
      </c>
      <c r="H1019" s="27">
        <f>Contributions_Data!D1013</f>
        <v>20135.13</v>
      </c>
      <c r="I1019" s="27">
        <v>0</v>
      </c>
    </row>
    <row r="1020" spans="3:9">
      <c r="C1020" s="23">
        <v>1013</v>
      </c>
      <c r="D1020" s="23" t="s">
        <v>132</v>
      </c>
      <c r="E1020" s="23" t="str">
        <f>Contributions_Data!A1014</f>
        <v>DA-002</v>
      </c>
      <c r="F1020" s="23" t="str">
        <f>Contributions_Data!B1014</f>
        <v>DA-002-M0085</v>
      </c>
      <c r="G1020" s="24">
        <f>Contributions_Data!C1014</f>
        <v>45521</v>
      </c>
      <c r="H1020" s="27">
        <f>Contributions_Data!D1014</f>
        <v>10159.32</v>
      </c>
      <c r="I1020" s="27">
        <v>0</v>
      </c>
    </row>
    <row r="1021" spans="3:9">
      <c r="C1021" s="23">
        <v>1014</v>
      </c>
      <c r="D1021" s="23" t="s">
        <v>132</v>
      </c>
      <c r="E1021" s="23" t="str">
        <f>Contributions_Data!A1015</f>
        <v>DA-002</v>
      </c>
      <c r="F1021" s="23" t="str">
        <f>Contributions_Data!B1015</f>
        <v>DA-002-M0085</v>
      </c>
      <c r="G1021" s="24">
        <f>Contributions_Data!C1015</f>
        <v>45617</v>
      </c>
      <c r="H1021" s="27">
        <f>Contributions_Data!D1015</f>
        <v>19413.509999999998</v>
      </c>
      <c r="I1021" s="27">
        <v>0</v>
      </c>
    </row>
    <row r="1022" spans="3:9">
      <c r="C1022" s="23">
        <v>1015</v>
      </c>
      <c r="D1022" s="23" t="s">
        <v>132</v>
      </c>
      <c r="E1022" s="23" t="str">
        <f>Contributions_Data!A1016</f>
        <v>DA-002</v>
      </c>
      <c r="F1022" s="23" t="str">
        <f>Contributions_Data!B1016</f>
        <v>DA-002-M0085</v>
      </c>
      <c r="G1022" s="24">
        <f>Contributions_Data!C1016</f>
        <v>45534</v>
      </c>
      <c r="H1022" s="27">
        <f>Contributions_Data!D1016</f>
        <v>14372.03</v>
      </c>
      <c r="I1022" s="27">
        <v>0</v>
      </c>
    </row>
    <row r="1023" spans="3:9">
      <c r="C1023" s="23">
        <v>1016</v>
      </c>
      <c r="D1023" s="23" t="s">
        <v>132</v>
      </c>
      <c r="E1023" s="23" t="str">
        <f>Contributions_Data!A1017</f>
        <v>DA-002</v>
      </c>
      <c r="F1023" s="23" t="str">
        <f>Contributions_Data!B1017</f>
        <v>DA-002-M0085</v>
      </c>
      <c r="G1023" s="24">
        <f>Contributions_Data!C1017</f>
        <v>45405</v>
      </c>
      <c r="H1023" s="27">
        <f>Contributions_Data!D1017</f>
        <v>12992.78</v>
      </c>
      <c r="I1023" s="27">
        <v>0</v>
      </c>
    </row>
    <row r="1024" spans="3:9">
      <c r="C1024" s="23">
        <v>1017</v>
      </c>
      <c r="D1024" s="23" t="s">
        <v>132</v>
      </c>
      <c r="E1024" s="23" t="str">
        <f>Contributions_Data!A1018</f>
        <v>DA-002</v>
      </c>
      <c r="F1024" s="23" t="str">
        <f>Contributions_Data!B1018</f>
        <v>DA-002-M0085</v>
      </c>
      <c r="G1024" s="24">
        <f>Contributions_Data!C1018</f>
        <v>45295</v>
      </c>
      <c r="H1024" s="27">
        <f>Contributions_Data!D1018</f>
        <v>18119.71</v>
      </c>
      <c r="I1024" s="27">
        <v>0</v>
      </c>
    </row>
    <row r="1025" spans="3:9">
      <c r="C1025" s="23">
        <v>1018</v>
      </c>
      <c r="D1025" s="23" t="s">
        <v>132</v>
      </c>
      <c r="E1025" s="23" t="str">
        <f>Contributions_Data!A1019</f>
        <v>DA-002</v>
      </c>
      <c r="F1025" s="23" t="str">
        <f>Contributions_Data!B1019</f>
        <v>DA-002-M0085</v>
      </c>
      <c r="G1025" s="24">
        <f>Contributions_Data!C1019</f>
        <v>45605</v>
      </c>
      <c r="H1025" s="27">
        <f>Contributions_Data!D1019</f>
        <v>13183.15</v>
      </c>
      <c r="I1025" s="27">
        <v>0</v>
      </c>
    </row>
    <row r="1026" spans="3:9">
      <c r="C1026" s="23">
        <v>1019</v>
      </c>
      <c r="D1026" s="23" t="s">
        <v>132</v>
      </c>
      <c r="E1026" s="23" t="str">
        <f>Contributions_Data!A1020</f>
        <v>DA-002</v>
      </c>
      <c r="F1026" s="23" t="str">
        <f>Contributions_Data!B1020</f>
        <v>DA-002-M0085</v>
      </c>
      <c r="G1026" s="24">
        <f>Contributions_Data!C1020</f>
        <v>45584</v>
      </c>
      <c r="H1026" s="27">
        <f>Contributions_Data!D1020</f>
        <v>20478.03</v>
      </c>
      <c r="I1026" s="27">
        <v>0</v>
      </c>
    </row>
    <row r="1027" spans="3:9">
      <c r="C1027" s="23">
        <v>1020</v>
      </c>
      <c r="D1027" s="23" t="s">
        <v>132</v>
      </c>
      <c r="E1027" s="23" t="str">
        <f>Contributions_Data!A1021</f>
        <v>DA-002</v>
      </c>
      <c r="F1027" s="23" t="str">
        <f>Contributions_Data!B1021</f>
        <v>DA-002-M0085</v>
      </c>
      <c r="G1027" s="24">
        <f>Contributions_Data!C1021</f>
        <v>45299</v>
      </c>
      <c r="H1027" s="27">
        <f>Contributions_Data!D1021</f>
        <v>17033.78</v>
      </c>
      <c r="I1027" s="27">
        <v>0</v>
      </c>
    </row>
    <row r="1028" spans="3:9">
      <c r="C1028" s="23">
        <v>1021</v>
      </c>
      <c r="D1028" s="23" t="s">
        <v>132</v>
      </c>
      <c r="E1028" s="23" t="str">
        <f>Contributions_Data!A1022</f>
        <v>DA-003</v>
      </c>
      <c r="F1028" s="23" t="str">
        <f>Contributions_Data!B1022</f>
        <v>DA-003-M0086</v>
      </c>
      <c r="G1028" s="24">
        <f>Contributions_Data!C1022</f>
        <v>45294</v>
      </c>
      <c r="H1028" s="27">
        <f>Contributions_Data!D1022</f>
        <v>13536.27</v>
      </c>
      <c r="I1028" s="27">
        <v>0</v>
      </c>
    </row>
    <row r="1029" spans="3:9">
      <c r="C1029" s="23">
        <v>1022</v>
      </c>
      <c r="D1029" s="23" t="s">
        <v>132</v>
      </c>
      <c r="E1029" s="23" t="str">
        <f>Contributions_Data!A1023</f>
        <v>DA-003</v>
      </c>
      <c r="F1029" s="23" t="str">
        <f>Contributions_Data!B1023</f>
        <v>DA-003-M0086</v>
      </c>
      <c r="G1029" s="24">
        <f>Contributions_Data!C1023</f>
        <v>45350</v>
      </c>
      <c r="H1029" s="27">
        <f>Contributions_Data!D1023</f>
        <v>21471.919999999998</v>
      </c>
      <c r="I1029" s="27">
        <v>0</v>
      </c>
    </row>
    <row r="1030" spans="3:9">
      <c r="C1030" s="23">
        <v>1023</v>
      </c>
      <c r="D1030" s="23" t="s">
        <v>132</v>
      </c>
      <c r="E1030" s="23" t="str">
        <f>Contributions_Data!A1024</f>
        <v>DA-003</v>
      </c>
      <c r="F1030" s="23" t="str">
        <f>Contributions_Data!B1024</f>
        <v>DA-003-M0086</v>
      </c>
      <c r="G1030" s="24">
        <f>Contributions_Data!C1024</f>
        <v>45588</v>
      </c>
      <c r="H1030" s="27">
        <f>Contributions_Data!D1024</f>
        <v>13182.86</v>
      </c>
      <c r="I1030" s="27">
        <v>0</v>
      </c>
    </row>
    <row r="1031" spans="3:9">
      <c r="C1031" s="23">
        <v>1024</v>
      </c>
      <c r="D1031" s="23" t="s">
        <v>132</v>
      </c>
      <c r="E1031" s="23" t="str">
        <f>Contributions_Data!A1025</f>
        <v>DA-003</v>
      </c>
      <c r="F1031" s="23" t="str">
        <f>Contributions_Data!B1025</f>
        <v>DA-003-M0086</v>
      </c>
      <c r="G1031" s="24">
        <f>Contributions_Data!C1025</f>
        <v>45317</v>
      </c>
      <c r="H1031" s="27">
        <f>Contributions_Data!D1025</f>
        <v>17226.29</v>
      </c>
      <c r="I1031" s="27">
        <v>0</v>
      </c>
    </row>
    <row r="1032" spans="3:9">
      <c r="C1032" s="23">
        <v>1025</v>
      </c>
      <c r="D1032" s="23" t="s">
        <v>132</v>
      </c>
      <c r="E1032" s="23" t="str">
        <f>Contributions_Data!A1026</f>
        <v>DA-003</v>
      </c>
      <c r="F1032" s="23" t="str">
        <f>Contributions_Data!B1026</f>
        <v>DA-003-M0086</v>
      </c>
      <c r="G1032" s="24">
        <f>Contributions_Data!C1026</f>
        <v>45421</v>
      </c>
      <c r="H1032" s="27">
        <f>Contributions_Data!D1026</f>
        <v>15897.88</v>
      </c>
      <c r="I1032" s="27">
        <v>0</v>
      </c>
    </row>
    <row r="1033" spans="3:9">
      <c r="C1033" s="23">
        <v>1026</v>
      </c>
      <c r="D1033" s="23" t="s">
        <v>132</v>
      </c>
      <c r="E1033" s="23" t="str">
        <f>Contributions_Data!A1027</f>
        <v>DA-003</v>
      </c>
      <c r="F1033" s="23" t="str">
        <f>Contributions_Data!B1027</f>
        <v>DA-003-M0086</v>
      </c>
      <c r="G1033" s="24">
        <f>Contributions_Data!C1027</f>
        <v>45314</v>
      </c>
      <c r="H1033" s="27">
        <f>Contributions_Data!D1027</f>
        <v>18905.22</v>
      </c>
      <c r="I1033" s="27">
        <v>0</v>
      </c>
    </row>
    <row r="1034" spans="3:9">
      <c r="C1034" s="23">
        <v>1027</v>
      </c>
      <c r="D1034" s="23" t="s">
        <v>132</v>
      </c>
      <c r="E1034" s="23" t="str">
        <f>Contributions_Data!A1028</f>
        <v>DA-003</v>
      </c>
      <c r="F1034" s="23" t="str">
        <f>Contributions_Data!B1028</f>
        <v>DA-003-M0086</v>
      </c>
      <c r="G1034" s="24">
        <f>Contributions_Data!C1028</f>
        <v>45324</v>
      </c>
      <c r="H1034" s="27">
        <f>Contributions_Data!D1028</f>
        <v>19684.53</v>
      </c>
      <c r="I1034" s="27">
        <v>0</v>
      </c>
    </row>
    <row r="1035" spans="3:9">
      <c r="C1035" s="23">
        <v>1028</v>
      </c>
      <c r="D1035" s="23" t="s">
        <v>132</v>
      </c>
      <c r="E1035" s="23" t="str">
        <f>Contributions_Data!A1029</f>
        <v>DA-003</v>
      </c>
      <c r="F1035" s="23" t="str">
        <f>Contributions_Data!B1029</f>
        <v>DA-003-M0086</v>
      </c>
      <c r="G1035" s="24">
        <f>Contributions_Data!C1029</f>
        <v>45561</v>
      </c>
      <c r="H1035" s="27">
        <f>Contributions_Data!D1029</f>
        <v>12739.75</v>
      </c>
      <c r="I1035" s="27">
        <v>0</v>
      </c>
    </row>
    <row r="1036" spans="3:9">
      <c r="C1036" s="23">
        <v>1029</v>
      </c>
      <c r="D1036" s="23" t="s">
        <v>132</v>
      </c>
      <c r="E1036" s="23" t="str">
        <f>Contributions_Data!A1030</f>
        <v>DA-003</v>
      </c>
      <c r="F1036" s="23" t="str">
        <f>Contributions_Data!B1030</f>
        <v>DA-003-M0086</v>
      </c>
      <c r="G1036" s="24">
        <f>Contributions_Data!C1030</f>
        <v>45294</v>
      </c>
      <c r="H1036" s="27">
        <f>Contributions_Data!D1030</f>
        <v>16379.92</v>
      </c>
      <c r="I1036" s="27">
        <v>0</v>
      </c>
    </row>
    <row r="1037" spans="3:9">
      <c r="C1037" s="23">
        <v>1030</v>
      </c>
      <c r="D1037" s="23" t="s">
        <v>132</v>
      </c>
      <c r="E1037" s="23" t="str">
        <f>Contributions_Data!A1031</f>
        <v>DA-003</v>
      </c>
      <c r="F1037" s="23" t="str">
        <f>Contributions_Data!B1031</f>
        <v>DA-003-M0086</v>
      </c>
      <c r="G1037" s="24">
        <f>Contributions_Data!C1031</f>
        <v>45541</v>
      </c>
      <c r="H1037" s="27">
        <f>Contributions_Data!D1031</f>
        <v>12966.85</v>
      </c>
      <c r="I1037" s="27">
        <v>0</v>
      </c>
    </row>
    <row r="1038" spans="3:9">
      <c r="C1038" s="23">
        <v>1031</v>
      </c>
      <c r="D1038" s="23" t="s">
        <v>132</v>
      </c>
      <c r="E1038" s="23" t="str">
        <f>Contributions_Data!A1032</f>
        <v>DA-003</v>
      </c>
      <c r="F1038" s="23" t="str">
        <f>Contributions_Data!B1032</f>
        <v>DA-003-M0086</v>
      </c>
      <c r="G1038" s="24">
        <f>Contributions_Data!C1032</f>
        <v>45566</v>
      </c>
      <c r="H1038" s="27">
        <f>Contributions_Data!D1032</f>
        <v>15409.61</v>
      </c>
      <c r="I1038" s="27">
        <v>0</v>
      </c>
    </row>
    <row r="1039" spans="3:9">
      <c r="C1039" s="23">
        <v>1032</v>
      </c>
      <c r="D1039" s="23" t="s">
        <v>132</v>
      </c>
      <c r="E1039" s="23" t="str">
        <f>Contributions_Data!A1033</f>
        <v>DA-003</v>
      </c>
      <c r="F1039" s="23" t="str">
        <f>Contributions_Data!B1033</f>
        <v>DA-003-M0086</v>
      </c>
      <c r="G1039" s="24">
        <f>Contributions_Data!C1033</f>
        <v>45342</v>
      </c>
      <c r="H1039" s="27">
        <f>Contributions_Data!D1033</f>
        <v>15554.04</v>
      </c>
      <c r="I1039" s="27">
        <v>0</v>
      </c>
    </row>
    <row r="1040" spans="3:9">
      <c r="C1040" s="23">
        <v>1033</v>
      </c>
      <c r="D1040" s="23" t="s">
        <v>132</v>
      </c>
      <c r="E1040" s="23" t="str">
        <f>Contributions_Data!A1034</f>
        <v>DA-001</v>
      </c>
      <c r="F1040" s="23" t="str">
        <f>Contributions_Data!B1034</f>
        <v>DA-001-M0087</v>
      </c>
      <c r="G1040" s="24">
        <f>Contributions_Data!C1034</f>
        <v>45563</v>
      </c>
      <c r="H1040" s="27">
        <f>Contributions_Data!D1034</f>
        <v>10958.62</v>
      </c>
      <c r="I1040" s="27">
        <v>0</v>
      </c>
    </row>
    <row r="1041" spans="3:9">
      <c r="C1041" s="23">
        <v>1034</v>
      </c>
      <c r="D1041" s="23" t="s">
        <v>132</v>
      </c>
      <c r="E1041" s="23" t="str">
        <f>Contributions_Data!A1035</f>
        <v>DA-001</v>
      </c>
      <c r="F1041" s="23" t="str">
        <f>Contributions_Data!B1035</f>
        <v>DA-001-M0087</v>
      </c>
      <c r="G1041" s="24">
        <f>Contributions_Data!C1035</f>
        <v>45609</v>
      </c>
      <c r="H1041" s="27">
        <f>Contributions_Data!D1035</f>
        <v>18601.240000000002</v>
      </c>
      <c r="I1041" s="27">
        <v>0</v>
      </c>
    </row>
    <row r="1042" spans="3:9">
      <c r="C1042" s="23">
        <v>1035</v>
      </c>
      <c r="D1042" s="23" t="s">
        <v>132</v>
      </c>
      <c r="E1042" s="23" t="str">
        <f>Contributions_Data!A1036</f>
        <v>DA-001</v>
      </c>
      <c r="F1042" s="23" t="str">
        <f>Contributions_Data!B1036</f>
        <v>DA-001-M0087</v>
      </c>
      <c r="G1042" s="24">
        <f>Contributions_Data!C1036</f>
        <v>45349</v>
      </c>
      <c r="H1042" s="27">
        <f>Contributions_Data!D1036</f>
        <v>13029.32</v>
      </c>
      <c r="I1042" s="27">
        <v>0</v>
      </c>
    </row>
    <row r="1043" spans="3:9">
      <c r="C1043" s="23">
        <v>1036</v>
      </c>
      <c r="D1043" s="23" t="s">
        <v>132</v>
      </c>
      <c r="E1043" s="23" t="str">
        <f>Contributions_Data!A1037</f>
        <v>DA-001</v>
      </c>
      <c r="F1043" s="23" t="str">
        <f>Contributions_Data!B1037</f>
        <v>DA-001-M0087</v>
      </c>
      <c r="G1043" s="24">
        <f>Contributions_Data!C1037</f>
        <v>45373</v>
      </c>
      <c r="H1043" s="27">
        <f>Contributions_Data!D1037</f>
        <v>11859.27</v>
      </c>
      <c r="I1043" s="27">
        <v>0</v>
      </c>
    </row>
    <row r="1044" spans="3:9">
      <c r="C1044" s="23">
        <v>1037</v>
      </c>
      <c r="D1044" s="23" t="s">
        <v>132</v>
      </c>
      <c r="E1044" s="23" t="str">
        <f>Contributions_Data!A1038</f>
        <v>DA-001</v>
      </c>
      <c r="F1044" s="23" t="str">
        <f>Contributions_Data!B1038</f>
        <v>DA-001-M0087</v>
      </c>
      <c r="G1044" s="24">
        <f>Contributions_Data!C1038</f>
        <v>45528</v>
      </c>
      <c r="H1044" s="27">
        <f>Contributions_Data!D1038</f>
        <v>16609.96</v>
      </c>
      <c r="I1044" s="27">
        <v>0</v>
      </c>
    </row>
    <row r="1045" spans="3:9">
      <c r="C1045" s="23">
        <v>1038</v>
      </c>
      <c r="D1045" s="23" t="s">
        <v>132</v>
      </c>
      <c r="E1045" s="23" t="str">
        <f>Contributions_Data!A1039</f>
        <v>DA-001</v>
      </c>
      <c r="F1045" s="23" t="str">
        <f>Contributions_Data!B1039</f>
        <v>DA-001-M0087</v>
      </c>
      <c r="G1045" s="24">
        <f>Contributions_Data!C1039</f>
        <v>45386</v>
      </c>
      <c r="H1045" s="27">
        <f>Contributions_Data!D1039</f>
        <v>18557.11</v>
      </c>
      <c r="I1045" s="27">
        <v>0</v>
      </c>
    </row>
    <row r="1046" spans="3:9">
      <c r="C1046" s="23">
        <v>1039</v>
      </c>
      <c r="D1046" s="23" t="s">
        <v>132</v>
      </c>
      <c r="E1046" s="23" t="str">
        <f>Contributions_Data!A1040</f>
        <v>DA-001</v>
      </c>
      <c r="F1046" s="23" t="str">
        <f>Contributions_Data!B1040</f>
        <v>DA-001-M0087</v>
      </c>
      <c r="G1046" s="24">
        <f>Contributions_Data!C1040</f>
        <v>45600</v>
      </c>
      <c r="H1046" s="27">
        <f>Contributions_Data!D1040</f>
        <v>17156.86</v>
      </c>
      <c r="I1046" s="27">
        <v>0</v>
      </c>
    </row>
    <row r="1047" spans="3:9">
      <c r="C1047" s="23">
        <v>1040</v>
      </c>
      <c r="D1047" s="23" t="s">
        <v>132</v>
      </c>
      <c r="E1047" s="23" t="str">
        <f>Contributions_Data!A1041</f>
        <v>DA-001</v>
      </c>
      <c r="F1047" s="23" t="str">
        <f>Contributions_Data!B1041</f>
        <v>DA-001-M0087</v>
      </c>
      <c r="G1047" s="24">
        <f>Contributions_Data!C1041</f>
        <v>45511</v>
      </c>
      <c r="H1047" s="27">
        <f>Contributions_Data!D1041</f>
        <v>17988.14</v>
      </c>
      <c r="I1047" s="27">
        <v>0</v>
      </c>
    </row>
    <row r="1048" spans="3:9">
      <c r="C1048" s="23">
        <v>1041</v>
      </c>
      <c r="D1048" s="23" t="s">
        <v>132</v>
      </c>
      <c r="E1048" s="23" t="str">
        <f>Contributions_Data!A1042</f>
        <v>DA-001</v>
      </c>
      <c r="F1048" s="23" t="str">
        <f>Contributions_Data!B1042</f>
        <v>DA-001-M0087</v>
      </c>
      <c r="G1048" s="24">
        <f>Contributions_Data!C1042</f>
        <v>45434</v>
      </c>
      <c r="H1048" s="27">
        <f>Contributions_Data!D1042</f>
        <v>12729.61</v>
      </c>
      <c r="I1048" s="27">
        <v>0</v>
      </c>
    </row>
    <row r="1049" spans="3:9">
      <c r="C1049" s="23">
        <v>1042</v>
      </c>
      <c r="D1049" s="23" t="s">
        <v>132</v>
      </c>
      <c r="E1049" s="23" t="str">
        <f>Contributions_Data!A1043</f>
        <v>DA-001</v>
      </c>
      <c r="F1049" s="23" t="str">
        <f>Contributions_Data!B1043</f>
        <v>DA-001-M0087</v>
      </c>
      <c r="G1049" s="24">
        <f>Contributions_Data!C1043</f>
        <v>45323</v>
      </c>
      <c r="H1049" s="27">
        <f>Contributions_Data!D1043</f>
        <v>19504</v>
      </c>
      <c r="I1049" s="27">
        <v>0</v>
      </c>
    </row>
    <row r="1050" spans="3:9">
      <c r="C1050" s="23">
        <v>1043</v>
      </c>
      <c r="D1050" s="23" t="s">
        <v>132</v>
      </c>
      <c r="E1050" s="23" t="str">
        <f>Contributions_Data!A1044</f>
        <v>DA-001</v>
      </c>
      <c r="F1050" s="23" t="str">
        <f>Contributions_Data!B1044</f>
        <v>DA-001-M0087</v>
      </c>
      <c r="G1050" s="24">
        <f>Contributions_Data!C1044</f>
        <v>45596</v>
      </c>
      <c r="H1050" s="27">
        <f>Contributions_Data!D1044</f>
        <v>14031.96</v>
      </c>
      <c r="I1050" s="27">
        <v>0</v>
      </c>
    </row>
    <row r="1051" spans="3:9">
      <c r="C1051" s="23">
        <v>1044</v>
      </c>
      <c r="D1051" s="23" t="s">
        <v>132</v>
      </c>
      <c r="E1051" s="23" t="str">
        <f>Contributions_Data!A1045</f>
        <v>DA-001</v>
      </c>
      <c r="F1051" s="23" t="str">
        <f>Contributions_Data!B1045</f>
        <v>DA-001-M0087</v>
      </c>
      <c r="G1051" s="24">
        <f>Contributions_Data!C1045</f>
        <v>45407</v>
      </c>
      <c r="H1051" s="27">
        <f>Contributions_Data!D1045</f>
        <v>14247.5</v>
      </c>
      <c r="I1051" s="27">
        <v>0</v>
      </c>
    </row>
    <row r="1052" spans="3:9">
      <c r="C1052" s="23">
        <v>1045</v>
      </c>
      <c r="D1052" s="23" t="s">
        <v>132</v>
      </c>
      <c r="E1052" s="23" t="str">
        <f>Contributions_Data!A1046</f>
        <v>DA-002</v>
      </c>
      <c r="F1052" s="23" t="str">
        <f>Contributions_Data!B1046</f>
        <v>DA-002-M0088</v>
      </c>
      <c r="G1052" s="24">
        <f>Contributions_Data!C1046</f>
        <v>45333</v>
      </c>
      <c r="H1052" s="27">
        <f>Contributions_Data!D1046</f>
        <v>18984.580000000002</v>
      </c>
      <c r="I1052" s="27">
        <v>0</v>
      </c>
    </row>
    <row r="1053" spans="3:9">
      <c r="C1053" s="23">
        <v>1046</v>
      </c>
      <c r="D1053" s="23" t="s">
        <v>132</v>
      </c>
      <c r="E1053" s="23" t="str">
        <f>Contributions_Data!A1047</f>
        <v>DA-002</v>
      </c>
      <c r="F1053" s="23" t="str">
        <f>Contributions_Data!B1047</f>
        <v>DA-002-M0088</v>
      </c>
      <c r="G1053" s="24">
        <f>Contributions_Data!C1047</f>
        <v>45500</v>
      </c>
      <c r="H1053" s="27">
        <f>Contributions_Data!D1047</f>
        <v>16367.66</v>
      </c>
      <c r="I1053" s="27">
        <v>0</v>
      </c>
    </row>
    <row r="1054" spans="3:9">
      <c r="C1054" s="23">
        <v>1047</v>
      </c>
      <c r="D1054" s="23" t="s">
        <v>132</v>
      </c>
      <c r="E1054" s="23" t="str">
        <f>Contributions_Data!A1048</f>
        <v>DA-002</v>
      </c>
      <c r="F1054" s="23" t="str">
        <f>Contributions_Data!B1048</f>
        <v>DA-002-M0088</v>
      </c>
      <c r="G1054" s="24">
        <f>Contributions_Data!C1048</f>
        <v>45617</v>
      </c>
      <c r="H1054" s="27">
        <f>Contributions_Data!D1048</f>
        <v>13069.45</v>
      </c>
      <c r="I1054" s="27">
        <v>0</v>
      </c>
    </row>
    <row r="1055" spans="3:9">
      <c r="C1055" s="23">
        <v>1048</v>
      </c>
      <c r="D1055" s="23" t="s">
        <v>132</v>
      </c>
      <c r="E1055" s="23" t="str">
        <f>Contributions_Data!A1049</f>
        <v>DA-002</v>
      </c>
      <c r="F1055" s="23" t="str">
        <f>Contributions_Data!B1049</f>
        <v>DA-002-M0088</v>
      </c>
      <c r="G1055" s="24">
        <f>Contributions_Data!C1049</f>
        <v>45415</v>
      </c>
      <c r="H1055" s="27">
        <f>Contributions_Data!D1049</f>
        <v>17783.52</v>
      </c>
      <c r="I1055" s="27">
        <v>0</v>
      </c>
    </row>
    <row r="1056" spans="3:9">
      <c r="C1056" s="23">
        <v>1049</v>
      </c>
      <c r="D1056" s="23" t="s">
        <v>132</v>
      </c>
      <c r="E1056" s="23" t="str">
        <f>Contributions_Data!A1050</f>
        <v>DA-002</v>
      </c>
      <c r="F1056" s="23" t="str">
        <f>Contributions_Data!B1050</f>
        <v>DA-002-M0088</v>
      </c>
      <c r="G1056" s="24">
        <f>Contributions_Data!C1050</f>
        <v>45448</v>
      </c>
      <c r="H1056" s="27">
        <f>Contributions_Data!D1050</f>
        <v>15805.78</v>
      </c>
      <c r="I1056" s="27">
        <v>0</v>
      </c>
    </row>
    <row r="1057" spans="3:9">
      <c r="C1057" s="23">
        <v>1050</v>
      </c>
      <c r="D1057" s="23" t="s">
        <v>132</v>
      </c>
      <c r="E1057" s="23" t="str">
        <f>Contributions_Data!A1051</f>
        <v>DA-002</v>
      </c>
      <c r="F1057" s="23" t="str">
        <f>Contributions_Data!B1051</f>
        <v>DA-002-M0088</v>
      </c>
      <c r="G1057" s="24">
        <f>Contributions_Data!C1051</f>
        <v>45588</v>
      </c>
      <c r="H1057" s="27">
        <f>Contributions_Data!D1051</f>
        <v>19585.41</v>
      </c>
      <c r="I1057" s="27">
        <v>0</v>
      </c>
    </row>
    <row r="1058" spans="3:9">
      <c r="C1058" s="23">
        <v>1051</v>
      </c>
      <c r="D1058" s="23" t="s">
        <v>132</v>
      </c>
      <c r="E1058" s="23" t="str">
        <f>Contributions_Data!A1052</f>
        <v>DA-002</v>
      </c>
      <c r="F1058" s="23" t="str">
        <f>Contributions_Data!B1052</f>
        <v>DA-002-M0088</v>
      </c>
      <c r="G1058" s="24">
        <f>Contributions_Data!C1052</f>
        <v>45421</v>
      </c>
      <c r="H1058" s="27">
        <f>Contributions_Data!D1052</f>
        <v>16523.509999999998</v>
      </c>
      <c r="I1058" s="27">
        <v>0</v>
      </c>
    </row>
    <row r="1059" spans="3:9">
      <c r="C1059" s="23">
        <v>1052</v>
      </c>
      <c r="D1059" s="23" t="s">
        <v>132</v>
      </c>
      <c r="E1059" s="23" t="str">
        <f>Contributions_Data!A1053</f>
        <v>DA-002</v>
      </c>
      <c r="F1059" s="23" t="str">
        <f>Contributions_Data!B1053</f>
        <v>DA-002-M0088</v>
      </c>
      <c r="G1059" s="24">
        <f>Contributions_Data!C1053</f>
        <v>45360</v>
      </c>
      <c r="H1059" s="27">
        <f>Contributions_Data!D1053</f>
        <v>16614.89</v>
      </c>
      <c r="I1059" s="27">
        <v>0</v>
      </c>
    </row>
    <row r="1060" spans="3:9">
      <c r="C1060" s="23">
        <v>1053</v>
      </c>
      <c r="D1060" s="23" t="s">
        <v>132</v>
      </c>
      <c r="E1060" s="23" t="str">
        <f>Contributions_Data!A1054</f>
        <v>DA-002</v>
      </c>
      <c r="F1060" s="23" t="str">
        <f>Contributions_Data!B1054</f>
        <v>DA-002-M0088</v>
      </c>
      <c r="G1060" s="24">
        <f>Contributions_Data!C1054</f>
        <v>45489</v>
      </c>
      <c r="H1060" s="27">
        <f>Contributions_Data!D1054</f>
        <v>13905.14</v>
      </c>
      <c r="I1060" s="27">
        <v>0</v>
      </c>
    </row>
    <row r="1061" spans="3:9">
      <c r="C1061" s="23">
        <v>1054</v>
      </c>
      <c r="D1061" s="23" t="s">
        <v>132</v>
      </c>
      <c r="E1061" s="23" t="str">
        <f>Contributions_Data!A1055</f>
        <v>DA-002</v>
      </c>
      <c r="F1061" s="23" t="str">
        <f>Contributions_Data!B1055</f>
        <v>DA-002-M0088</v>
      </c>
      <c r="G1061" s="24">
        <f>Contributions_Data!C1055</f>
        <v>45531</v>
      </c>
      <c r="H1061" s="27">
        <f>Contributions_Data!D1055</f>
        <v>12482.37</v>
      </c>
      <c r="I1061" s="27">
        <v>0</v>
      </c>
    </row>
    <row r="1062" spans="3:9">
      <c r="C1062" s="23">
        <v>1055</v>
      </c>
      <c r="D1062" s="23" t="s">
        <v>132</v>
      </c>
      <c r="E1062" s="23" t="str">
        <f>Contributions_Data!A1056</f>
        <v>DA-002</v>
      </c>
      <c r="F1062" s="23" t="str">
        <f>Contributions_Data!B1056</f>
        <v>DA-002-M0088</v>
      </c>
      <c r="G1062" s="24">
        <f>Contributions_Data!C1056</f>
        <v>45653</v>
      </c>
      <c r="H1062" s="27">
        <f>Contributions_Data!D1056</f>
        <v>11865.57</v>
      </c>
      <c r="I1062" s="27">
        <v>0</v>
      </c>
    </row>
    <row r="1063" spans="3:9">
      <c r="C1063" s="23">
        <v>1056</v>
      </c>
      <c r="D1063" s="23" t="s">
        <v>132</v>
      </c>
      <c r="E1063" s="23" t="str">
        <f>Contributions_Data!A1057</f>
        <v>DA-002</v>
      </c>
      <c r="F1063" s="23" t="str">
        <f>Contributions_Data!B1057</f>
        <v>DA-002-M0088</v>
      </c>
      <c r="G1063" s="24">
        <f>Contributions_Data!C1057</f>
        <v>45419</v>
      </c>
      <c r="H1063" s="27">
        <f>Contributions_Data!D1057</f>
        <v>9100.93</v>
      </c>
      <c r="I1063" s="27">
        <v>0</v>
      </c>
    </row>
    <row r="1064" spans="3:9">
      <c r="C1064" s="23">
        <v>1057</v>
      </c>
      <c r="D1064" s="23" t="s">
        <v>132</v>
      </c>
      <c r="E1064" s="23" t="str">
        <f>Contributions_Data!A1058</f>
        <v>DA-002</v>
      </c>
      <c r="F1064" s="23" t="str">
        <f>Contributions_Data!B1058</f>
        <v>DA-002-M0089</v>
      </c>
      <c r="G1064" s="24">
        <f>Contributions_Data!C1058</f>
        <v>45504</v>
      </c>
      <c r="H1064" s="27">
        <f>Contributions_Data!D1058</f>
        <v>21168.62</v>
      </c>
      <c r="I1064" s="27">
        <v>0</v>
      </c>
    </row>
    <row r="1065" spans="3:9">
      <c r="C1065" s="23">
        <v>1058</v>
      </c>
      <c r="D1065" s="23" t="s">
        <v>132</v>
      </c>
      <c r="E1065" s="23" t="str">
        <f>Contributions_Data!A1059</f>
        <v>DA-002</v>
      </c>
      <c r="F1065" s="23" t="str">
        <f>Contributions_Data!B1059</f>
        <v>DA-002-M0089</v>
      </c>
      <c r="G1065" s="24">
        <f>Contributions_Data!C1059</f>
        <v>45416</v>
      </c>
      <c r="H1065" s="27">
        <f>Contributions_Data!D1059</f>
        <v>11690.37</v>
      </c>
      <c r="I1065" s="27">
        <v>0</v>
      </c>
    </row>
    <row r="1066" spans="3:9">
      <c r="C1066" s="23">
        <v>1059</v>
      </c>
      <c r="D1066" s="23" t="s">
        <v>132</v>
      </c>
      <c r="E1066" s="23" t="str">
        <f>Contributions_Data!A1060</f>
        <v>DA-002</v>
      </c>
      <c r="F1066" s="23" t="str">
        <f>Contributions_Data!B1060</f>
        <v>DA-002-M0089</v>
      </c>
      <c r="G1066" s="24">
        <f>Contributions_Data!C1060</f>
        <v>45538</v>
      </c>
      <c r="H1066" s="27">
        <f>Contributions_Data!D1060</f>
        <v>14336.24</v>
      </c>
      <c r="I1066" s="27">
        <v>0</v>
      </c>
    </row>
    <row r="1067" spans="3:9">
      <c r="C1067" s="23">
        <v>1060</v>
      </c>
      <c r="D1067" s="23" t="s">
        <v>132</v>
      </c>
      <c r="E1067" s="23" t="str">
        <f>Contributions_Data!A1061</f>
        <v>DA-002</v>
      </c>
      <c r="F1067" s="23" t="str">
        <f>Contributions_Data!B1061</f>
        <v>DA-002-M0089</v>
      </c>
      <c r="G1067" s="24">
        <f>Contributions_Data!C1061</f>
        <v>45601</v>
      </c>
      <c r="H1067" s="27">
        <f>Contributions_Data!D1061</f>
        <v>14169.56</v>
      </c>
      <c r="I1067" s="27">
        <v>0</v>
      </c>
    </row>
    <row r="1068" spans="3:9">
      <c r="C1068" s="23">
        <v>1061</v>
      </c>
      <c r="D1068" s="23" t="s">
        <v>132</v>
      </c>
      <c r="E1068" s="23" t="str">
        <f>Contributions_Data!A1062</f>
        <v>DA-002</v>
      </c>
      <c r="F1068" s="23" t="str">
        <f>Contributions_Data!B1062</f>
        <v>DA-002-M0089</v>
      </c>
      <c r="G1068" s="24">
        <f>Contributions_Data!C1062</f>
        <v>45600</v>
      </c>
      <c r="H1068" s="27">
        <f>Contributions_Data!D1062</f>
        <v>15922.22</v>
      </c>
      <c r="I1068" s="27">
        <v>0</v>
      </c>
    </row>
    <row r="1069" spans="3:9">
      <c r="C1069" s="23">
        <v>1062</v>
      </c>
      <c r="D1069" s="23" t="s">
        <v>132</v>
      </c>
      <c r="E1069" s="23" t="str">
        <f>Contributions_Data!A1063</f>
        <v>DA-002</v>
      </c>
      <c r="F1069" s="23" t="str">
        <f>Contributions_Data!B1063</f>
        <v>DA-002-M0089</v>
      </c>
      <c r="G1069" s="24">
        <f>Contributions_Data!C1063</f>
        <v>45525</v>
      </c>
      <c r="H1069" s="27">
        <f>Contributions_Data!D1063</f>
        <v>17581.419999999998</v>
      </c>
      <c r="I1069" s="27">
        <v>0</v>
      </c>
    </row>
    <row r="1070" spans="3:9">
      <c r="C1070" s="23">
        <v>1063</v>
      </c>
      <c r="D1070" s="23" t="s">
        <v>132</v>
      </c>
      <c r="E1070" s="23" t="str">
        <f>Contributions_Data!A1064</f>
        <v>DA-002</v>
      </c>
      <c r="F1070" s="23" t="str">
        <f>Contributions_Data!B1064</f>
        <v>DA-002-M0089</v>
      </c>
      <c r="G1070" s="24">
        <f>Contributions_Data!C1064</f>
        <v>45448</v>
      </c>
      <c r="H1070" s="27">
        <f>Contributions_Data!D1064</f>
        <v>13250.77</v>
      </c>
      <c r="I1070" s="27">
        <v>0</v>
      </c>
    </row>
    <row r="1071" spans="3:9">
      <c r="C1071" s="23">
        <v>1064</v>
      </c>
      <c r="D1071" s="23" t="s">
        <v>132</v>
      </c>
      <c r="E1071" s="23" t="str">
        <f>Contributions_Data!A1065</f>
        <v>DA-002</v>
      </c>
      <c r="F1071" s="23" t="str">
        <f>Contributions_Data!B1065</f>
        <v>DA-002-M0089</v>
      </c>
      <c r="G1071" s="24">
        <f>Contributions_Data!C1065</f>
        <v>45554</v>
      </c>
      <c r="H1071" s="27">
        <f>Contributions_Data!D1065</f>
        <v>14498.63</v>
      </c>
      <c r="I1071" s="27">
        <v>0</v>
      </c>
    </row>
    <row r="1072" spans="3:9">
      <c r="C1072" s="23">
        <v>1065</v>
      </c>
      <c r="D1072" s="23" t="s">
        <v>132</v>
      </c>
      <c r="E1072" s="23" t="str">
        <f>Contributions_Data!A1066</f>
        <v>DA-002</v>
      </c>
      <c r="F1072" s="23" t="str">
        <f>Contributions_Data!B1066</f>
        <v>DA-002-M0089</v>
      </c>
      <c r="G1072" s="24">
        <f>Contributions_Data!C1066</f>
        <v>45537</v>
      </c>
      <c r="H1072" s="27">
        <f>Contributions_Data!D1066</f>
        <v>14253.93</v>
      </c>
      <c r="I1072" s="27">
        <v>0</v>
      </c>
    </row>
    <row r="1073" spans="3:9">
      <c r="C1073" s="23">
        <v>1066</v>
      </c>
      <c r="D1073" s="23" t="s">
        <v>132</v>
      </c>
      <c r="E1073" s="23" t="str">
        <f>Contributions_Data!A1067</f>
        <v>DA-002</v>
      </c>
      <c r="F1073" s="23" t="str">
        <f>Contributions_Data!B1067</f>
        <v>DA-002-M0089</v>
      </c>
      <c r="G1073" s="24">
        <f>Contributions_Data!C1067</f>
        <v>45326</v>
      </c>
      <c r="H1073" s="27">
        <f>Contributions_Data!D1067</f>
        <v>19822.04</v>
      </c>
      <c r="I1073" s="27">
        <v>0</v>
      </c>
    </row>
    <row r="1074" spans="3:9">
      <c r="C1074" s="23">
        <v>1067</v>
      </c>
      <c r="D1074" s="23" t="s">
        <v>132</v>
      </c>
      <c r="E1074" s="23" t="str">
        <f>Contributions_Data!A1068</f>
        <v>DA-002</v>
      </c>
      <c r="F1074" s="23" t="str">
        <f>Contributions_Data!B1068</f>
        <v>DA-002-M0089</v>
      </c>
      <c r="G1074" s="24">
        <f>Contributions_Data!C1068</f>
        <v>45494</v>
      </c>
      <c r="H1074" s="27">
        <f>Contributions_Data!D1068</f>
        <v>17204.63</v>
      </c>
      <c r="I1074" s="27">
        <v>0</v>
      </c>
    </row>
    <row r="1075" spans="3:9">
      <c r="C1075" s="23">
        <v>1068</v>
      </c>
      <c r="D1075" s="23" t="s">
        <v>132</v>
      </c>
      <c r="E1075" s="23" t="str">
        <f>Contributions_Data!A1069</f>
        <v>DA-002</v>
      </c>
      <c r="F1075" s="23" t="str">
        <f>Contributions_Data!B1069</f>
        <v>DA-002-M0089</v>
      </c>
      <c r="G1075" s="24">
        <f>Contributions_Data!C1069</f>
        <v>45617</v>
      </c>
      <c r="H1075" s="27">
        <f>Contributions_Data!D1069</f>
        <v>18520.419999999998</v>
      </c>
      <c r="I1075" s="27">
        <v>0</v>
      </c>
    </row>
    <row r="1076" spans="3:9">
      <c r="C1076" s="23">
        <v>1069</v>
      </c>
      <c r="D1076" s="23" t="s">
        <v>132</v>
      </c>
      <c r="E1076" s="23" t="str">
        <f>Contributions_Data!A1070</f>
        <v>DA-003</v>
      </c>
      <c r="F1076" s="23" t="str">
        <f>Contributions_Data!B1070</f>
        <v>DA-003-M0090</v>
      </c>
      <c r="G1076" s="24">
        <f>Contributions_Data!C1070</f>
        <v>45384</v>
      </c>
      <c r="H1076" s="27">
        <f>Contributions_Data!D1070</f>
        <v>15543.06</v>
      </c>
      <c r="I1076" s="27">
        <v>0</v>
      </c>
    </row>
    <row r="1077" spans="3:9">
      <c r="C1077" s="23">
        <v>1070</v>
      </c>
      <c r="D1077" s="23" t="s">
        <v>132</v>
      </c>
      <c r="E1077" s="23" t="str">
        <f>Contributions_Data!A1071</f>
        <v>DA-003</v>
      </c>
      <c r="F1077" s="23" t="str">
        <f>Contributions_Data!B1071</f>
        <v>DA-003-M0090</v>
      </c>
      <c r="G1077" s="24">
        <f>Contributions_Data!C1071</f>
        <v>45498</v>
      </c>
      <c r="H1077" s="27">
        <f>Contributions_Data!D1071</f>
        <v>11109.5</v>
      </c>
      <c r="I1077" s="27">
        <v>0</v>
      </c>
    </row>
    <row r="1078" spans="3:9">
      <c r="C1078" s="23">
        <v>1071</v>
      </c>
      <c r="D1078" s="23" t="s">
        <v>132</v>
      </c>
      <c r="E1078" s="23" t="str">
        <f>Contributions_Data!A1072</f>
        <v>DA-003</v>
      </c>
      <c r="F1078" s="23" t="str">
        <f>Contributions_Data!B1072</f>
        <v>DA-003-M0090</v>
      </c>
      <c r="G1078" s="24">
        <f>Contributions_Data!C1072</f>
        <v>45391</v>
      </c>
      <c r="H1078" s="27">
        <f>Contributions_Data!D1072</f>
        <v>13045.93</v>
      </c>
      <c r="I1078" s="27">
        <v>0</v>
      </c>
    </row>
    <row r="1079" spans="3:9">
      <c r="C1079" s="23">
        <v>1072</v>
      </c>
      <c r="D1079" s="23" t="s">
        <v>132</v>
      </c>
      <c r="E1079" s="23" t="str">
        <f>Contributions_Data!A1073</f>
        <v>DA-003</v>
      </c>
      <c r="F1079" s="23" t="str">
        <f>Contributions_Data!B1073</f>
        <v>DA-003-M0090</v>
      </c>
      <c r="G1079" s="24">
        <f>Contributions_Data!C1073</f>
        <v>45526</v>
      </c>
      <c r="H1079" s="27">
        <f>Contributions_Data!D1073</f>
        <v>13414.15</v>
      </c>
      <c r="I1079" s="27">
        <v>0</v>
      </c>
    </row>
    <row r="1080" spans="3:9">
      <c r="C1080" s="23">
        <v>1073</v>
      </c>
      <c r="D1080" s="23" t="s">
        <v>132</v>
      </c>
      <c r="E1080" s="23" t="str">
        <f>Contributions_Data!A1074</f>
        <v>DA-003</v>
      </c>
      <c r="F1080" s="23" t="str">
        <f>Contributions_Data!B1074</f>
        <v>DA-003-M0090</v>
      </c>
      <c r="G1080" s="24">
        <f>Contributions_Data!C1074</f>
        <v>45376</v>
      </c>
      <c r="H1080" s="27">
        <f>Contributions_Data!D1074</f>
        <v>18714.849999999999</v>
      </c>
      <c r="I1080" s="27">
        <v>0</v>
      </c>
    </row>
    <row r="1081" spans="3:9">
      <c r="C1081" s="23">
        <v>1074</v>
      </c>
      <c r="D1081" s="23" t="s">
        <v>132</v>
      </c>
      <c r="E1081" s="23" t="str">
        <f>Contributions_Data!A1075</f>
        <v>DA-003</v>
      </c>
      <c r="F1081" s="23" t="str">
        <f>Contributions_Data!B1075</f>
        <v>DA-003-M0090</v>
      </c>
      <c r="G1081" s="24">
        <f>Contributions_Data!C1075</f>
        <v>45652</v>
      </c>
      <c r="H1081" s="27">
        <f>Contributions_Data!D1075</f>
        <v>15063.81</v>
      </c>
      <c r="I1081" s="27">
        <v>0</v>
      </c>
    </row>
    <row r="1082" spans="3:9">
      <c r="C1082" s="23">
        <v>1075</v>
      </c>
      <c r="D1082" s="23" t="s">
        <v>132</v>
      </c>
      <c r="E1082" s="23" t="str">
        <f>Contributions_Data!A1076</f>
        <v>DA-003</v>
      </c>
      <c r="F1082" s="23" t="str">
        <f>Contributions_Data!B1076</f>
        <v>DA-003-M0090</v>
      </c>
      <c r="G1082" s="24">
        <f>Contributions_Data!C1076</f>
        <v>45329</v>
      </c>
      <c r="H1082" s="27">
        <f>Contributions_Data!D1076</f>
        <v>20106.64</v>
      </c>
      <c r="I1082" s="27">
        <v>0</v>
      </c>
    </row>
    <row r="1083" spans="3:9">
      <c r="C1083" s="23">
        <v>1076</v>
      </c>
      <c r="D1083" s="23" t="s">
        <v>132</v>
      </c>
      <c r="E1083" s="23" t="str">
        <f>Contributions_Data!A1077</f>
        <v>DA-003</v>
      </c>
      <c r="F1083" s="23" t="str">
        <f>Contributions_Data!B1077</f>
        <v>DA-003-M0090</v>
      </c>
      <c r="G1083" s="24">
        <f>Contributions_Data!C1077</f>
        <v>45445</v>
      </c>
      <c r="H1083" s="27">
        <f>Contributions_Data!D1077</f>
        <v>22805.05</v>
      </c>
      <c r="I1083" s="27">
        <v>0</v>
      </c>
    </row>
    <row r="1084" spans="3:9">
      <c r="C1084" s="23">
        <v>1077</v>
      </c>
      <c r="D1084" s="23" t="s">
        <v>132</v>
      </c>
      <c r="E1084" s="23" t="str">
        <f>Contributions_Data!A1078</f>
        <v>DA-003</v>
      </c>
      <c r="F1084" s="23" t="str">
        <f>Contributions_Data!B1078</f>
        <v>DA-003-M0090</v>
      </c>
      <c r="G1084" s="24">
        <f>Contributions_Data!C1078</f>
        <v>45346</v>
      </c>
      <c r="H1084" s="27">
        <f>Contributions_Data!D1078</f>
        <v>9717.7099999999991</v>
      </c>
      <c r="I1084" s="27">
        <v>0</v>
      </c>
    </row>
    <row r="1085" spans="3:9">
      <c r="C1085" s="23">
        <v>1078</v>
      </c>
      <c r="D1085" s="23" t="s">
        <v>132</v>
      </c>
      <c r="E1085" s="23" t="str">
        <f>Contributions_Data!A1079</f>
        <v>DA-003</v>
      </c>
      <c r="F1085" s="23" t="str">
        <f>Contributions_Data!B1079</f>
        <v>DA-003-M0090</v>
      </c>
      <c r="G1085" s="24">
        <f>Contributions_Data!C1079</f>
        <v>45484</v>
      </c>
      <c r="H1085" s="27">
        <f>Contributions_Data!D1079</f>
        <v>17260.02</v>
      </c>
      <c r="I1085" s="27">
        <v>0</v>
      </c>
    </row>
    <row r="1086" spans="3:9">
      <c r="C1086" s="23">
        <v>1079</v>
      </c>
      <c r="D1086" s="23" t="s">
        <v>132</v>
      </c>
      <c r="E1086" s="23" t="str">
        <f>Contributions_Data!A1080</f>
        <v>DA-003</v>
      </c>
      <c r="F1086" s="23" t="str">
        <f>Contributions_Data!B1080</f>
        <v>DA-003-M0090</v>
      </c>
      <c r="G1086" s="24">
        <f>Contributions_Data!C1080</f>
        <v>45537</v>
      </c>
      <c r="H1086" s="27">
        <f>Contributions_Data!D1080</f>
        <v>16143.48</v>
      </c>
      <c r="I1086" s="27">
        <v>0</v>
      </c>
    </row>
    <row r="1087" spans="3:9">
      <c r="C1087" s="23">
        <v>1080</v>
      </c>
      <c r="D1087" s="23" t="s">
        <v>132</v>
      </c>
      <c r="E1087" s="23" t="str">
        <f>Contributions_Data!A1081</f>
        <v>DA-003</v>
      </c>
      <c r="F1087" s="23" t="str">
        <f>Contributions_Data!B1081</f>
        <v>DA-003-M0090</v>
      </c>
      <c r="G1087" s="24">
        <f>Contributions_Data!C1081</f>
        <v>45357</v>
      </c>
      <c r="H1087" s="27">
        <f>Contributions_Data!D1081</f>
        <v>18869.259999999998</v>
      </c>
      <c r="I1087" s="27">
        <v>0</v>
      </c>
    </row>
    <row r="1088" spans="3:9">
      <c r="C1088" s="23">
        <v>1081</v>
      </c>
      <c r="D1088" s="23" t="s">
        <v>132</v>
      </c>
      <c r="E1088" s="23" t="str">
        <f>Contributions_Data!A1082</f>
        <v>DA-002</v>
      </c>
      <c r="F1088" s="23" t="str">
        <f>Contributions_Data!B1082</f>
        <v>DA-002-M0091</v>
      </c>
      <c r="G1088" s="24">
        <f>Contributions_Data!C1082</f>
        <v>45604</v>
      </c>
      <c r="H1088" s="27">
        <f>Contributions_Data!D1082</f>
        <v>17019.54</v>
      </c>
      <c r="I1088" s="27">
        <v>0</v>
      </c>
    </row>
    <row r="1089" spans="3:9">
      <c r="C1089" s="23">
        <v>1082</v>
      </c>
      <c r="D1089" s="23" t="s">
        <v>132</v>
      </c>
      <c r="E1089" s="23" t="str">
        <f>Contributions_Data!A1083</f>
        <v>DA-002</v>
      </c>
      <c r="F1089" s="23" t="str">
        <f>Contributions_Data!B1083</f>
        <v>DA-002-M0091</v>
      </c>
      <c r="G1089" s="24">
        <f>Contributions_Data!C1083</f>
        <v>45501</v>
      </c>
      <c r="H1089" s="27">
        <f>Contributions_Data!D1083</f>
        <v>14584.63</v>
      </c>
      <c r="I1089" s="27">
        <v>0</v>
      </c>
    </row>
    <row r="1090" spans="3:9">
      <c r="C1090" s="23">
        <v>1083</v>
      </c>
      <c r="D1090" s="23" t="s">
        <v>132</v>
      </c>
      <c r="E1090" s="23" t="str">
        <f>Contributions_Data!A1084</f>
        <v>DA-002</v>
      </c>
      <c r="F1090" s="23" t="str">
        <f>Contributions_Data!B1084</f>
        <v>DA-002-M0091</v>
      </c>
      <c r="G1090" s="24">
        <f>Contributions_Data!C1084</f>
        <v>45361</v>
      </c>
      <c r="H1090" s="27">
        <f>Contributions_Data!D1084</f>
        <v>11327.11</v>
      </c>
      <c r="I1090" s="27">
        <v>0</v>
      </c>
    </row>
    <row r="1091" spans="3:9">
      <c r="C1091" s="23">
        <v>1084</v>
      </c>
      <c r="D1091" s="23" t="s">
        <v>132</v>
      </c>
      <c r="E1091" s="23" t="str">
        <f>Contributions_Data!A1085</f>
        <v>DA-002</v>
      </c>
      <c r="F1091" s="23" t="str">
        <f>Contributions_Data!B1085</f>
        <v>DA-002-M0091</v>
      </c>
      <c r="G1091" s="24">
        <f>Contributions_Data!C1085</f>
        <v>45385</v>
      </c>
      <c r="H1091" s="27">
        <f>Contributions_Data!D1085</f>
        <v>14372.93</v>
      </c>
      <c r="I1091" s="27">
        <v>0</v>
      </c>
    </row>
    <row r="1092" spans="3:9">
      <c r="C1092" s="23">
        <v>1085</v>
      </c>
      <c r="D1092" s="23" t="s">
        <v>132</v>
      </c>
      <c r="E1092" s="23" t="str">
        <f>Contributions_Data!A1086</f>
        <v>DA-002</v>
      </c>
      <c r="F1092" s="23" t="str">
        <f>Contributions_Data!B1086</f>
        <v>DA-002-M0091</v>
      </c>
      <c r="G1092" s="24">
        <f>Contributions_Data!C1086</f>
        <v>45341</v>
      </c>
      <c r="H1092" s="27">
        <f>Contributions_Data!D1086</f>
        <v>13258.43</v>
      </c>
      <c r="I1092" s="27">
        <v>0</v>
      </c>
    </row>
    <row r="1093" spans="3:9">
      <c r="C1093" s="23">
        <v>1086</v>
      </c>
      <c r="D1093" s="23" t="s">
        <v>132</v>
      </c>
      <c r="E1093" s="23" t="str">
        <f>Contributions_Data!A1087</f>
        <v>DA-002</v>
      </c>
      <c r="F1093" s="23" t="str">
        <f>Contributions_Data!B1087</f>
        <v>DA-002-M0091</v>
      </c>
      <c r="G1093" s="24">
        <f>Contributions_Data!C1087</f>
        <v>45443</v>
      </c>
      <c r="H1093" s="27">
        <f>Contributions_Data!D1087</f>
        <v>20009.71</v>
      </c>
      <c r="I1093" s="27">
        <v>0</v>
      </c>
    </row>
    <row r="1094" spans="3:9">
      <c r="C1094" s="23">
        <v>1087</v>
      </c>
      <c r="D1094" s="23" t="s">
        <v>132</v>
      </c>
      <c r="E1094" s="23" t="str">
        <f>Contributions_Data!A1088</f>
        <v>DA-002</v>
      </c>
      <c r="F1094" s="23" t="str">
        <f>Contributions_Data!B1088</f>
        <v>DA-002-M0091</v>
      </c>
      <c r="G1094" s="24">
        <f>Contributions_Data!C1088</f>
        <v>45318</v>
      </c>
      <c r="H1094" s="27">
        <f>Contributions_Data!D1088</f>
        <v>16184.01</v>
      </c>
      <c r="I1094" s="27">
        <v>0</v>
      </c>
    </row>
    <row r="1095" spans="3:9">
      <c r="C1095" s="23">
        <v>1088</v>
      </c>
      <c r="D1095" s="23" t="s">
        <v>132</v>
      </c>
      <c r="E1095" s="23" t="str">
        <f>Contributions_Data!A1089</f>
        <v>DA-002</v>
      </c>
      <c r="F1095" s="23" t="str">
        <f>Contributions_Data!B1089</f>
        <v>DA-002-M0091</v>
      </c>
      <c r="G1095" s="24">
        <f>Contributions_Data!C1089</f>
        <v>45421</v>
      </c>
      <c r="H1095" s="27">
        <f>Contributions_Data!D1089</f>
        <v>11412.35</v>
      </c>
      <c r="I1095" s="27">
        <v>0</v>
      </c>
    </row>
    <row r="1096" spans="3:9">
      <c r="C1096" s="23">
        <v>1089</v>
      </c>
      <c r="D1096" s="23" t="s">
        <v>132</v>
      </c>
      <c r="E1096" s="23" t="str">
        <f>Contributions_Data!A1090</f>
        <v>DA-002</v>
      </c>
      <c r="F1096" s="23" t="str">
        <f>Contributions_Data!B1090</f>
        <v>DA-002-M0091</v>
      </c>
      <c r="G1096" s="24">
        <f>Contributions_Data!C1090</f>
        <v>45361</v>
      </c>
      <c r="H1096" s="27">
        <f>Contributions_Data!D1090</f>
        <v>16333.81</v>
      </c>
      <c r="I1096" s="27">
        <v>0</v>
      </c>
    </row>
    <row r="1097" spans="3:9">
      <c r="C1097" s="23">
        <v>1090</v>
      </c>
      <c r="D1097" s="23" t="s">
        <v>132</v>
      </c>
      <c r="E1097" s="23" t="str">
        <f>Contributions_Data!A1091</f>
        <v>DA-002</v>
      </c>
      <c r="F1097" s="23" t="str">
        <f>Contributions_Data!B1091</f>
        <v>DA-002-M0091</v>
      </c>
      <c r="G1097" s="24">
        <f>Contributions_Data!C1091</f>
        <v>45450</v>
      </c>
      <c r="H1097" s="27">
        <f>Contributions_Data!D1091</f>
        <v>13170.65</v>
      </c>
      <c r="I1097" s="27">
        <v>0</v>
      </c>
    </row>
    <row r="1098" spans="3:9">
      <c r="C1098" s="23">
        <v>1091</v>
      </c>
      <c r="D1098" s="23" t="s">
        <v>132</v>
      </c>
      <c r="E1098" s="23" t="str">
        <f>Contributions_Data!A1092</f>
        <v>DA-002</v>
      </c>
      <c r="F1098" s="23" t="str">
        <f>Contributions_Data!B1092</f>
        <v>DA-002-M0091</v>
      </c>
      <c r="G1098" s="24">
        <f>Contributions_Data!C1092</f>
        <v>45631</v>
      </c>
      <c r="H1098" s="27">
        <f>Contributions_Data!D1092</f>
        <v>14597.95</v>
      </c>
      <c r="I1098" s="27">
        <v>0</v>
      </c>
    </row>
    <row r="1099" spans="3:9">
      <c r="C1099" s="23">
        <v>1092</v>
      </c>
      <c r="D1099" s="23" t="s">
        <v>132</v>
      </c>
      <c r="E1099" s="23" t="str">
        <f>Contributions_Data!A1093</f>
        <v>DA-002</v>
      </c>
      <c r="F1099" s="23" t="str">
        <f>Contributions_Data!B1093</f>
        <v>DA-002-M0091</v>
      </c>
      <c r="G1099" s="24">
        <f>Contributions_Data!C1093</f>
        <v>45295</v>
      </c>
      <c r="H1099" s="27">
        <f>Contributions_Data!D1093</f>
        <v>15044.06</v>
      </c>
      <c r="I1099" s="27">
        <v>0</v>
      </c>
    </row>
    <row r="1100" spans="3:9">
      <c r="C1100" s="23">
        <v>1093</v>
      </c>
      <c r="D1100" s="23" t="s">
        <v>132</v>
      </c>
      <c r="E1100" s="23" t="str">
        <f>Contributions_Data!A1094</f>
        <v>DA-001</v>
      </c>
      <c r="F1100" s="23" t="str">
        <f>Contributions_Data!B1094</f>
        <v>DA-001-M0092</v>
      </c>
      <c r="G1100" s="24">
        <f>Contributions_Data!C1094</f>
        <v>45545</v>
      </c>
      <c r="H1100" s="27">
        <f>Contributions_Data!D1094</f>
        <v>12645.31</v>
      </c>
      <c r="I1100" s="27">
        <v>0</v>
      </c>
    </row>
    <row r="1101" spans="3:9">
      <c r="C1101" s="23">
        <v>1094</v>
      </c>
      <c r="D1101" s="23" t="s">
        <v>132</v>
      </c>
      <c r="E1101" s="23" t="str">
        <f>Contributions_Data!A1095</f>
        <v>DA-001</v>
      </c>
      <c r="F1101" s="23" t="str">
        <f>Contributions_Data!B1095</f>
        <v>DA-001-M0092</v>
      </c>
      <c r="G1101" s="24">
        <f>Contributions_Data!C1095</f>
        <v>45482</v>
      </c>
      <c r="H1101" s="27">
        <f>Contributions_Data!D1095</f>
        <v>16944.84</v>
      </c>
      <c r="I1101" s="27">
        <v>0</v>
      </c>
    </row>
    <row r="1102" spans="3:9">
      <c r="C1102" s="23">
        <v>1095</v>
      </c>
      <c r="D1102" s="23" t="s">
        <v>132</v>
      </c>
      <c r="E1102" s="23" t="str">
        <f>Contributions_Data!A1096</f>
        <v>DA-001</v>
      </c>
      <c r="F1102" s="23" t="str">
        <f>Contributions_Data!B1096</f>
        <v>DA-001-M0092</v>
      </c>
      <c r="G1102" s="24">
        <f>Contributions_Data!C1096</f>
        <v>45397</v>
      </c>
      <c r="H1102" s="27">
        <f>Contributions_Data!D1096</f>
        <v>14637.16</v>
      </c>
      <c r="I1102" s="27">
        <v>0</v>
      </c>
    </row>
    <row r="1103" spans="3:9">
      <c r="C1103" s="23">
        <v>1096</v>
      </c>
      <c r="D1103" s="23" t="s">
        <v>132</v>
      </c>
      <c r="E1103" s="23" t="str">
        <f>Contributions_Data!A1097</f>
        <v>DA-001</v>
      </c>
      <c r="F1103" s="23" t="str">
        <f>Contributions_Data!B1097</f>
        <v>DA-001-M0092</v>
      </c>
      <c r="G1103" s="24">
        <f>Contributions_Data!C1097</f>
        <v>45455</v>
      </c>
      <c r="H1103" s="27">
        <f>Contributions_Data!D1097</f>
        <v>16258.6</v>
      </c>
      <c r="I1103" s="27">
        <v>0</v>
      </c>
    </row>
    <row r="1104" spans="3:9">
      <c r="C1104" s="23">
        <v>1097</v>
      </c>
      <c r="D1104" s="23" t="s">
        <v>132</v>
      </c>
      <c r="E1104" s="23" t="str">
        <f>Contributions_Data!A1098</f>
        <v>DA-001</v>
      </c>
      <c r="F1104" s="23" t="str">
        <f>Contributions_Data!B1098</f>
        <v>DA-001-M0092</v>
      </c>
      <c r="G1104" s="24">
        <f>Contributions_Data!C1098</f>
        <v>45536</v>
      </c>
      <c r="H1104" s="27">
        <f>Contributions_Data!D1098</f>
        <v>12337.52</v>
      </c>
      <c r="I1104" s="27">
        <v>0</v>
      </c>
    </row>
    <row r="1105" spans="3:9">
      <c r="C1105" s="23">
        <v>1098</v>
      </c>
      <c r="D1105" s="23" t="s">
        <v>132</v>
      </c>
      <c r="E1105" s="23" t="str">
        <f>Contributions_Data!A1099</f>
        <v>DA-001</v>
      </c>
      <c r="F1105" s="23" t="str">
        <f>Contributions_Data!B1099</f>
        <v>DA-001-M0092</v>
      </c>
      <c r="G1105" s="24">
        <f>Contributions_Data!C1099</f>
        <v>45313</v>
      </c>
      <c r="H1105" s="27">
        <f>Contributions_Data!D1099</f>
        <v>17167.14</v>
      </c>
      <c r="I1105" s="27">
        <v>0</v>
      </c>
    </row>
    <row r="1106" spans="3:9">
      <c r="C1106" s="23">
        <v>1099</v>
      </c>
      <c r="D1106" s="23" t="s">
        <v>132</v>
      </c>
      <c r="E1106" s="23" t="str">
        <f>Contributions_Data!A1100</f>
        <v>DA-001</v>
      </c>
      <c r="F1106" s="23" t="str">
        <f>Contributions_Data!B1100</f>
        <v>DA-001-M0092</v>
      </c>
      <c r="G1106" s="24">
        <f>Contributions_Data!C1100</f>
        <v>45345</v>
      </c>
      <c r="H1106" s="27">
        <f>Contributions_Data!D1100</f>
        <v>13881.5</v>
      </c>
      <c r="I1106" s="27">
        <v>0</v>
      </c>
    </row>
    <row r="1107" spans="3:9">
      <c r="C1107" s="23">
        <v>1100</v>
      </c>
      <c r="D1107" s="23" t="s">
        <v>132</v>
      </c>
      <c r="E1107" s="23" t="str">
        <f>Contributions_Data!A1101</f>
        <v>DA-001</v>
      </c>
      <c r="F1107" s="23" t="str">
        <f>Contributions_Data!B1101</f>
        <v>DA-001-M0092</v>
      </c>
      <c r="G1107" s="24">
        <f>Contributions_Data!C1101</f>
        <v>45580</v>
      </c>
      <c r="H1107" s="27">
        <f>Contributions_Data!D1101</f>
        <v>20180.89</v>
      </c>
      <c r="I1107" s="27">
        <v>0</v>
      </c>
    </row>
    <row r="1108" spans="3:9">
      <c r="C1108" s="23">
        <v>1101</v>
      </c>
      <c r="D1108" s="23" t="s">
        <v>132</v>
      </c>
      <c r="E1108" s="23" t="str">
        <f>Contributions_Data!A1102</f>
        <v>DA-001</v>
      </c>
      <c r="F1108" s="23" t="str">
        <f>Contributions_Data!B1102</f>
        <v>DA-001-M0092</v>
      </c>
      <c r="G1108" s="24">
        <f>Contributions_Data!C1102</f>
        <v>45648</v>
      </c>
      <c r="H1108" s="27">
        <f>Contributions_Data!D1102</f>
        <v>13801.09</v>
      </c>
      <c r="I1108" s="27">
        <v>0</v>
      </c>
    </row>
    <row r="1109" spans="3:9">
      <c r="C1109" s="23">
        <v>1102</v>
      </c>
      <c r="D1109" s="23" t="s">
        <v>132</v>
      </c>
      <c r="E1109" s="23" t="str">
        <f>Contributions_Data!A1103</f>
        <v>DA-001</v>
      </c>
      <c r="F1109" s="23" t="str">
        <f>Contributions_Data!B1103</f>
        <v>DA-001-M0092</v>
      </c>
      <c r="G1109" s="24">
        <f>Contributions_Data!C1103</f>
        <v>45470</v>
      </c>
      <c r="H1109" s="27">
        <f>Contributions_Data!D1103</f>
        <v>15674.05</v>
      </c>
      <c r="I1109" s="27">
        <v>0</v>
      </c>
    </row>
    <row r="1110" spans="3:9">
      <c r="C1110" s="23">
        <v>1103</v>
      </c>
      <c r="D1110" s="23" t="s">
        <v>132</v>
      </c>
      <c r="E1110" s="23" t="str">
        <f>Contributions_Data!A1104</f>
        <v>DA-001</v>
      </c>
      <c r="F1110" s="23" t="str">
        <f>Contributions_Data!B1104</f>
        <v>DA-001-M0092</v>
      </c>
      <c r="G1110" s="24">
        <f>Contributions_Data!C1104</f>
        <v>45459</v>
      </c>
      <c r="H1110" s="27">
        <f>Contributions_Data!D1104</f>
        <v>10744.9</v>
      </c>
      <c r="I1110" s="27">
        <v>0</v>
      </c>
    </row>
    <row r="1111" spans="3:9">
      <c r="C1111" s="23">
        <v>1104</v>
      </c>
      <c r="D1111" s="23" t="s">
        <v>132</v>
      </c>
      <c r="E1111" s="23" t="str">
        <f>Contributions_Data!A1105</f>
        <v>DA-001</v>
      </c>
      <c r="F1111" s="23" t="str">
        <f>Contributions_Data!B1105</f>
        <v>DA-001-M0092</v>
      </c>
      <c r="G1111" s="24">
        <f>Contributions_Data!C1105</f>
        <v>45353</v>
      </c>
      <c r="H1111" s="27">
        <f>Contributions_Data!D1105</f>
        <v>10423.030000000001</v>
      </c>
      <c r="I1111" s="27">
        <v>0</v>
      </c>
    </row>
    <row r="1112" spans="3:9">
      <c r="C1112" s="23">
        <v>1105</v>
      </c>
      <c r="D1112" s="23" t="s">
        <v>132</v>
      </c>
      <c r="E1112" s="23" t="str">
        <f>Contributions_Data!A1106</f>
        <v>DA-001</v>
      </c>
      <c r="F1112" s="23" t="str">
        <f>Contributions_Data!B1106</f>
        <v>DA-001-M0093</v>
      </c>
      <c r="G1112" s="24">
        <f>Contributions_Data!C1106</f>
        <v>45523</v>
      </c>
      <c r="H1112" s="27">
        <f>Contributions_Data!D1106</f>
        <v>13344.43</v>
      </c>
      <c r="I1112" s="27">
        <v>0</v>
      </c>
    </row>
    <row r="1113" spans="3:9">
      <c r="C1113" s="23">
        <v>1106</v>
      </c>
      <c r="D1113" s="23" t="s">
        <v>132</v>
      </c>
      <c r="E1113" s="23" t="str">
        <f>Contributions_Data!A1107</f>
        <v>DA-001</v>
      </c>
      <c r="F1113" s="23" t="str">
        <f>Contributions_Data!B1107</f>
        <v>DA-001-M0093</v>
      </c>
      <c r="G1113" s="24">
        <f>Contributions_Data!C1107</f>
        <v>45553</v>
      </c>
      <c r="H1113" s="27">
        <f>Contributions_Data!D1107</f>
        <v>22674.6</v>
      </c>
      <c r="I1113" s="27">
        <v>0</v>
      </c>
    </row>
    <row r="1114" spans="3:9">
      <c r="C1114" s="23">
        <v>1107</v>
      </c>
      <c r="D1114" s="23" t="s">
        <v>132</v>
      </c>
      <c r="E1114" s="23" t="str">
        <f>Contributions_Data!A1108</f>
        <v>DA-001</v>
      </c>
      <c r="F1114" s="23" t="str">
        <f>Contributions_Data!B1108</f>
        <v>DA-001-M0093</v>
      </c>
      <c r="G1114" s="24">
        <f>Contributions_Data!C1108</f>
        <v>45461</v>
      </c>
      <c r="H1114" s="27">
        <f>Contributions_Data!D1108</f>
        <v>13307.26</v>
      </c>
      <c r="I1114" s="27">
        <v>0</v>
      </c>
    </row>
    <row r="1115" spans="3:9">
      <c r="C1115" s="23">
        <v>1108</v>
      </c>
      <c r="D1115" s="23" t="s">
        <v>132</v>
      </c>
      <c r="E1115" s="23" t="str">
        <f>Contributions_Data!A1109</f>
        <v>DA-001</v>
      </c>
      <c r="F1115" s="23" t="str">
        <f>Contributions_Data!B1109</f>
        <v>DA-001-M0093</v>
      </c>
      <c r="G1115" s="24">
        <f>Contributions_Data!C1109</f>
        <v>45533</v>
      </c>
      <c r="H1115" s="27">
        <f>Contributions_Data!D1109</f>
        <v>19626.330000000002</v>
      </c>
      <c r="I1115" s="27">
        <v>0</v>
      </c>
    </row>
    <row r="1116" spans="3:9">
      <c r="C1116" s="23">
        <v>1109</v>
      </c>
      <c r="D1116" s="23" t="s">
        <v>132</v>
      </c>
      <c r="E1116" s="23" t="str">
        <f>Contributions_Data!A1110</f>
        <v>DA-001</v>
      </c>
      <c r="F1116" s="23" t="str">
        <f>Contributions_Data!B1110</f>
        <v>DA-001-M0093</v>
      </c>
      <c r="G1116" s="24">
        <f>Contributions_Data!C1110</f>
        <v>45523</v>
      </c>
      <c r="H1116" s="27">
        <f>Contributions_Data!D1110</f>
        <v>21018.28</v>
      </c>
      <c r="I1116" s="27">
        <v>0</v>
      </c>
    </row>
    <row r="1117" spans="3:9">
      <c r="C1117" s="23">
        <v>1110</v>
      </c>
      <c r="D1117" s="23" t="s">
        <v>132</v>
      </c>
      <c r="E1117" s="23" t="str">
        <f>Contributions_Data!A1111</f>
        <v>DA-001</v>
      </c>
      <c r="F1117" s="23" t="str">
        <f>Contributions_Data!B1111</f>
        <v>DA-001-M0093</v>
      </c>
      <c r="G1117" s="24">
        <f>Contributions_Data!C1111</f>
        <v>45562</v>
      </c>
      <c r="H1117" s="27">
        <f>Contributions_Data!D1111</f>
        <v>21184.51</v>
      </c>
      <c r="I1117" s="27">
        <v>0</v>
      </c>
    </row>
    <row r="1118" spans="3:9">
      <c r="C1118" s="23">
        <v>1111</v>
      </c>
      <c r="D1118" s="23" t="s">
        <v>132</v>
      </c>
      <c r="E1118" s="23" t="str">
        <f>Contributions_Data!A1112</f>
        <v>DA-001</v>
      </c>
      <c r="F1118" s="23" t="str">
        <f>Contributions_Data!B1112</f>
        <v>DA-001-M0093</v>
      </c>
      <c r="G1118" s="24">
        <f>Contributions_Data!C1112</f>
        <v>45496</v>
      </c>
      <c r="H1118" s="27">
        <f>Contributions_Data!D1112</f>
        <v>18072.189999999999</v>
      </c>
      <c r="I1118" s="27">
        <v>0</v>
      </c>
    </row>
    <row r="1119" spans="3:9">
      <c r="C1119" s="23">
        <v>1112</v>
      </c>
      <c r="D1119" s="23" t="s">
        <v>132</v>
      </c>
      <c r="E1119" s="23" t="str">
        <f>Contributions_Data!A1113</f>
        <v>DA-001</v>
      </c>
      <c r="F1119" s="23" t="str">
        <f>Contributions_Data!B1113</f>
        <v>DA-001-M0093</v>
      </c>
      <c r="G1119" s="24">
        <f>Contributions_Data!C1113</f>
        <v>45335</v>
      </c>
      <c r="H1119" s="27">
        <f>Contributions_Data!D1113</f>
        <v>16777.580000000002</v>
      </c>
      <c r="I1119" s="27">
        <v>0</v>
      </c>
    </row>
    <row r="1120" spans="3:9">
      <c r="C1120" s="23">
        <v>1113</v>
      </c>
      <c r="D1120" s="23" t="s">
        <v>132</v>
      </c>
      <c r="E1120" s="23" t="str">
        <f>Contributions_Data!A1114</f>
        <v>DA-001</v>
      </c>
      <c r="F1120" s="23" t="str">
        <f>Contributions_Data!B1114</f>
        <v>DA-001-M0093</v>
      </c>
      <c r="G1120" s="24">
        <f>Contributions_Data!C1114</f>
        <v>45516</v>
      </c>
      <c r="H1120" s="27">
        <f>Contributions_Data!D1114</f>
        <v>17335.080000000002</v>
      </c>
      <c r="I1120" s="27">
        <v>0</v>
      </c>
    </row>
    <row r="1121" spans="3:9">
      <c r="C1121" s="23">
        <v>1114</v>
      </c>
      <c r="D1121" s="23" t="s">
        <v>132</v>
      </c>
      <c r="E1121" s="23" t="str">
        <f>Contributions_Data!A1115</f>
        <v>DA-001</v>
      </c>
      <c r="F1121" s="23" t="str">
        <f>Contributions_Data!B1115</f>
        <v>DA-001-M0093</v>
      </c>
      <c r="G1121" s="24">
        <f>Contributions_Data!C1115</f>
        <v>45410</v>
      </c>
      <c r="H1121" s="27">
        <f>Contributions_Data!D1115</f>
        <v>12545.4</v>
      </c>
      <c r="I1121" s="27">
        <v>0</v>
      </c>
    </row>
    <row r="1122" spans="3:9">
      <c r="C1122" s="23">
        <v>1115</v>
      </c>
      <c r="D1122" s="23" t="s">
        <v>132</v>
      </c>
      <c r="E1122" s="23" t="str">
        <f>Contributions_Data!A1116</f>
        <v>DA-001</v>
      </c>
      <c r="F1122" s="23" t="str">
        <f>Contributions_Data!B1116</f>
        <v>DA-001-M0093</v>
      </c>
      <c r="G1122" s="24">
        <f>Contributions_Data!C1116</f>
        <v>45592</v>
      </c>
      <c r="H1122" s="27">
        <f>Contributions_Data!D1116</f>
        <v>14989.88</v>
      </c>
      <c r="I1122" s="27">
        <v>0</v>
      </c>
    </row>
    <row r="1123" spans="3:9">
      <c r="C1123" s="23">
        <v>1116</v>
      </c>
      <c r="D1123" s="23" t="s">
        <v>132</v>
      </c>
      <c r="E1123" s="23" t="str">
        <f>Contributions_Data!A1117</f>
        <v>DA-001</v>
      </c>
      <c r="F1123" s="23" t="str">
        <f>Contributions_Data!B1117</f>
        <v>DA-001-M0093</v>
      </c>
      <c r="G1123" s="24">
        <f>Contributions_Data!C1117</f>
        <v>45573</v>
      </c>
      <c r="H1123" s="27">
        <f>Contributions_Data!D1117</f>
        <v>13640.32</v>
      </c>
      <c r="I1123" s="27">
        <v>0</v>
      </c>
    </row>
    <row r="1124" spans="3:9">
      <c r="C1124" s="23">
        <v>1117</v>
      </c>
      <c r="D1124" s="23" t="s">
        <v>132</v>
      </c>
      <c r="E1124" s="23" t="str">
        <f>Contributions_Data!A1118</f>
        <v>DA-002</v>
      </c>
      <c r="F1124" s="23" t="str">
        <f>Contributions_Data!B1118</f>
        <v>DA-002-M0094</v>
      </c>
      <c r="G1124" s="24">
        <f>Contributions_Data!C1118</f>
        <v>45420</v>
      </c>
      <c r="H1124" s="27">
        <f>Contributions_Data!D1118</f>
        <v>17865.919999999998</v>
      </c>
      <c r="I1124" s="27">
        <v>0</v>
      </c>
    </row>
    <row r="1125" spans="3:9">
      <c r="C1125" s="23">
        <v>1118</v>
      </c>
      <c r="D1125" s="23" t="s">
        <v>132</v>
      </c>
      <c r="E1125" s="23" t="str">
        <f>Contributions_Data!A1119</f>
        <v>DA-002</v>
      </c>
      <c r="F1125" s="23" t="str">
        <f>Contributions_Data!B1119</f>
        <v>DA-002-M0094</v>
      </c>
      <c r="G1125" s="24">
        <f>Contributions_Data!C1119</f>
        <v>45582</v>
      </c>
      <c r="H1125" s="27">
        <f>Contributions_Data!D1119</f>
        <v>19432.59</v>
      </c>
      <c r="I1125" s="27">
        <v>0</v>
      </c>
    </row>
    <row r="1126" spans="3:9">
      <c r="C1126" s="23">
        <v>1119</v>
      </c>
      <c r="D1126" s="23" t="s">
        <v>132</v>
      </c>
      <c r="E1126" s="23" t="str">
        <f>Contributions_Data!A1120</f>
        <v>DA-002</v>
      </c>
      <c r="F1126" s="23" t="str">
        <f>Contributions_Data!B1120</f>
        <v>DA-002-M0094</v>
      </c>
      <c r="G1126" s="24">
        <f>Contributions_Data!C1120</f>
        <v>45588</v>
      </c>
      <c r="H1126" s="27">
        <f>Contributions_Data!D1120</f>
        <v>14419.02</v>
      </c>
      <c r="I1126" s="27">
        <v>0</v>
      </c>
    </row>
    <row r="1127" spans="3:9">
      <c r="C1127" s="23">
        <v>1120</v>
      </c>
      <c r="D1127" s="23" t="s">
        <v>132</v>
      </c>
      <c r="E1127" s="23" t="str">
        <f>Contributions_Data!A1121</f>
        <v>DA-002</v>
      </c>
      <c r="F1127" s="23" t="str">
        <f>Contributions_Data!B1121</f>
        <v>DA-002-M0094</v>
      </c>
      <c r="G1127" s="24">
        <f>Contributions_Data!C1121</f>
        <v>45464</v>
      </c>
      <c r="H1127" s="27">
        <f>Contributions_Data!D1121</f>
        <v>12849.53</v>
      </c>
      <c r="I1127" s="27">
        <v>0</v>
      </c>
    </row>
    <row r="1128" spans="3:9">
      <c r="C1128" s="23">
        <v>1121</v>
      </c>
      <c r="D1128" s="23" t="s">
        <v>132</v>
      </c>
      <c r="E1128" s="23" t="str">
        <f>Contributions_Data!A1122</f>
        <v>DA-002</v>
      </c>
      <c r="F1128" s="23" t="str">
        <f>Contributions_Data!B1122</f>
        <v>DA-002-M0094</v>
      </c>
      <c r="G1128" s="24">
        <f>Contributions_Data!C1122</f>
        <v>45553</v>
      </c>
      <c r="H1128" s="27">
        <f>Contributions_Data!D1122</f>
        <v>9400.39</v>
      </c>
      <c r="I1128" s="27">
        <v>0</v>
      </c>
    </row>
    <row r="1129" spans="3:9">
      <c r="C1129" s="23">
        <v>1122</v>
      </c>
      <c r="D1129" s="23" t="s">
        <v>132</v>
      </c>
      <c r="E1129" s="23" t="str">
        <f>Contributions_Data!A1123</f>
        <v>DA-002</v>
      </c>
      <c r="F1129" s="23" t="str">
        <f>Contributions_Data!B1123</f>
        <v>DA-002-M0094</v>
      </c>
      <c r="G1129" s="24">
        <f>Contributions_Data!C1123</f>
        <v>45450</v>
      </c>
      <c r="H1129" s="27">
        <f>Contributions_Data!D1123</f>
        <v>14751.96</v>
      </c>
      <c r="I1129" s="27">
        <v>0</v>
      </c>
    </row>
    <row r="1130" spans="3:9">
      <c r="C1130" s="23">
        <v>1123</v>
      </c>
      <c r="D1130" s="23" t="s">
        <v>132</v>
      </c>
      <c r="E1130" s="23" t="str">
        <f>Contributions_Data!A1124</f>
        <v>DA-002</v>
      </c>
      <c r="F1130" s="23" t="str">
        <f>Contributions_Data!B1124</f>
        <v>DA-002-M0094</v>
      </c>
      <c r="G1130" s="24">
        <f>Contributions_Data!C1124</f>
        <v>45599</v>
      </c>
      <c r="H1130" s="27">
        <f>Contributions_Data!D1124</f>
        <v>19540.349999999999</v>
      </c>
      <c r="I1130" s="27">
        <v>0</v>
      </c>
    </row>
    <row r="1131" spans="3:9">
      <c r="C1131" s="23">
        <v>1124</v>
      </c>
      <c r="D1131" s="23" t="s">
        <v>132</v>
      </c>
      <c r="E1131" s="23" t="str">
        <f>Contributions_Data!A1125</f>
        <v>DA-002</v>
      </c>
      <c r="F1131" s="23" t="str">
        <f>Contributions_Data!B1125</f>
        <v>DA-002-M0094</v>
      </c>
      <c r="G1131" s="24">
        <f>Contributions_Data!C1125</f>
        <v>45555</v>
      </c>
      <c r="H1131" s="27">
        <f>Contributions_Data!D1125</f>
        <v>16892.439999999999</v>
      </c>
      <c r="I1131" s="27">
        <v>0</v>
      </c>
    </row>
    <row r="1132" spans="3:9">
      <c r="C1132" s="23">
        <v>1125</v>
      </c>
      <c r="D1132" s="23" t="s">
        <v>132</v>
      </c>
      <c r="E1132" s="23" t="str">
        <f>Contributions_Data!A1126</f>
        <v>DA-002</v>
      </c>
      <c r="F1132" s="23" t="str">
        <f>Contributions_Data!B1126</f>
        <v>DA-002-M0094</v>
      </c>
      <c r="G1132" s="24">
        <f>Contributions_Data!C1126</f>
        <v>45584</v>
      </c>
      <c r="H1132" s="27">
        <f>Contributions_Data!D1126</f>
        <v>11927.44</v>
      </c>
      <c r="I1132" s="27">
        <v>0</v>
      </c>
    </row>
    <row r="1133" spans="3:9">
      <c r="C1133" s="23">
        <v>1126</v>
      </c>
      <c r="D1133" s="23" t="s">
        <v>132</v>
      </c>
      <c r="E1133" s="23" t="str">
        <f>Contributions_Data!A1127</f>
        <v>DA-002</v>
      </c>
      <c r="F1133" s="23" t="str">
        <f>Contributions_Data!B1127</f>
        <v>DA-002-M0094</v>
      </c>
      <c r="G1133" s="24">
        <f>Contributions_Data!C1127</f>
        <v>45507</v>
      </c>
      <c r="H1133" s="27">
        <f>Contributions_Data!D1127</f>
        <v>20562.28</v>
      </c>
      <c r="I1133" s="27">
        <v>0</v>
      </c>
    </row>
    <row r="1134" spans="3:9">
      <c r="C1134" s="23">
        <v>1127</v>
      </c>
      <c r="D1134" s="23" t="s">
        <v>132</v>
      </c>
      <c r="E1134" s="23" t="str">
        <f>Contributions_Data!A1128</f>
        <v>DA-002</v>
      </c>
      <c r="F1134" s="23" t="str">
        <f>Contributions_Data!B1128</f>
        <v>DA-002-M0094</v>
      </c>
      <c r="G1134" s="24">
        <f>Contributions_Data!C1128</f>
        <v>45514</v>
      </c>
      <c r="H1134" s="27">
        <f>Contributions_Data!D1128</f>
        <v>16746.29</v>
      </c>
      <c r="I1134" s="27">
        <v>0</v>
      </c>
    </row>
    <row r="1135" spans="3:9">
      <c r="C1135" s="23">
        <v>1128</v>
      </c>
      <c r="D1135" s="23" t="s">
        <v>132</v>
      </c>
      <c r="E1135" s="23" t="str">
        <f>Contributions_Data!A1129</f>
        <v>DA-002</v>
      </c>
      <c r="F1135" s="23" t="str">
        <f>Contributions_Data!B1129</f>
        <v>DA-002-M0094</v>
      </c>
      <c r="G1135" s="24">
        <f>Contributions_Data!C1129</f>
        <v>45292</v>
      </c>
      <c r="H1135" s="27">
        <f>Contributions_Data!D1129</f>
        <v>14320.55</v>
      </c>
      <c r="I1135" s="27">
        <v>0</v>
      </c>
    </row>
    <row r="1136" spans="3:9">
      <c r="C1136" s="23">
        <v>1129</v>
      </c>
      <c r="D1136" s="23" t="s">
        <v>132</v>
      </c>
      <c r="E1136" s="23" t="str">
        <f>Contributions_Data!A1130</f>
        <v>DA-003</v>
      </c>
      <c r="F1136" s="23" t="str">
        <f>Contributions_Data!B1130</f>
        <v>DA-003-M0095</v>
      </c>
      <c r="G1136" s="24">
        <f>Contributions_Data!C1130</f>
        <v>45318</v>
      </c>
      <c r="H1136" s="27">
        <f>Contributions_Data!D1130</f>
        <v>13883.38</v>
      </c>
      <c r="I1136" s="27">
        <v>0</v>
      </c>
    </row>
    <row r="1137" spans="3:9">
      <c r="C1137" s="23">
        <v>1130</v>
      </c>
      <c r="D1137" s="23" t="s">
        <v>132</v>
      </c>
      <c r="E1137" s="23" t="str">
        <f>Contributions_Data!A1131</f>
        <v>DA-003</v>
      </c>
      <c r="F1137" s="23" t="str">
        <f>Contributions_Data!B1131</f>
        <v>DA-003-M0095</v>
      </c>
      <c r="G1137" s="24">
        <f>Contributions_Data!C1131</f>
        <v>45390</v>
      </c>
      <c r="H1137" s="27">
        <f>Contributions_Data!D1131</f>
        <v>18266.25</v>
      </c>
      <c r="I1137" s="27">
        <v>0</v>
      </c>
    </row>
    <row r="1138" spans="3:9">
      <c r="C1138" s="23">
        <v>1131</v>
      </c>
      <c r="D1138" s="23" t="s">
        <v>132</v>
      </c>
      <c r="E1138" s="23" t="str">
        <f>Contributions_Data!A1132</f>
        <v>DA-003</v>
      </c>
      <c r="F1138" s="23" t="str">
        <f>Contributions_Data!B1132</f>
        <v>DA-003-M0095</v>
      </c>
      <c r="G1138" s="24">
        <f>Contributions_Data!C1132</f>
        <v>45296</v>
      </c>
      <c r="H1138" s="27">
        <f>Contributions_Data!D1132</f>
        <v>20653.759999999998</v>
      </c>
      <c r="I1138" s="27">
        <v>0</v>
      </c>
    </row>
    <row r="1139" spans="3:9">
      <c r="C1139" s="23">
        <v>1132</v>
      </c>
      <c r="D1139" s="23" t="s">
        <v>132</v>
      </c>
      <c r="E1139" s="23" t="str">
        <f>Contributions_Data!A1133</f>
        <v>DA-003</v>
      </c>
      <c r="F1139" s="23" t="str">
        <f>Contributions_Data!B1133</f>
        <v>DA-003-M0095</v>
      </c>
      <c r="G1139" s="24">
        <f>Contributions_Data!C1133</f>
        <v>45402</v>
      </c>
      <c r="H1139" s="27">
        <f>Contributions_Data!D1133</f>
        <v>19629.73</v>
      </c>
      <c r="I1139" s="27">
        <v>0</v>
      </c>
    </row>
    <row r="1140" spans="3:9">
      <c r="C1140" s="23">
        <v>1133</v>
      </c>
      <c r="D1140" s="23" t="s">
        <v>132</v>
      </c>
      <c r="E1140" s="23" t="str">
        <f>Contributions_Data!A1134</f>
        <v>DA-003</v>
      </c>
      <c r="F1140" s="23" t="str">
        <f>Contributions_Data!B1134</f>
        <v>DA-003-M0095</v>
      </c>
      <c r="G1140" s="24">
        <f>Contributions_Data!C1134</f>
        <v>45498</v>
      </c>
      <c r="H1140" s="27">
        <f>Contributions_Data!D1134</f>
        <v>13533.45</v>
      </c>
      <c r="I1140" s="27">
        <v>0</v>
      </c>
    </row>
    <row r="1141" spans="3:9">
      <c r="C1141" s="23">
        <v>1134</v>
      </c>
      <c r="D1141" s="23" t="s">
        <v>132</v>
      </c>
      <c r="E1141" s="23" t="str">
        <f>Contributions_Data!A1135</f>
        <v>DA-003</v>
      </c>
      <c r="F1141" s="23" t="str">
        <f>Contributions_Data!B1135</f>
        <v>DA-003-M0095</v>
      </c>
      <c r="G1141" s="24">
        <f>Contributions_Data!C1135</f>
        <v>45456</v>
      </c>
      <c r="H1141" s="27">
        <f>Contributions_Data!D1135</f>
        <v>11641.15</v>
      </c>
      <c r="I1141" s="27">
        <v>0</v>
      </c>
    </row>
    <row r="1142" spans="3:9">
      <c r="C1142" s="23">
        <v>1135</v>
      </c>
      <c r="D1142" s="23" t="s">
        <v>132</v>
      </c>
      <c r="E1142" s="23" t="str">
        <f>Contributions_Data!A1136</f>
        <v>DA-003</v>
      </c>
      <c r="F1142" s="23" t="str">
        <f>Contributions_Data!B1136</f>
        <v>DA-003-M0095</v>
      </c>
      <c r="G1142" s="24">
        <f>Contributions_Data!C1136</f>
        <v>45619</v>
      </c>
      <c r="H1142" s="27">
        <f>Contributions_Data!D1136</f>
        <v>9694.68</v>
      </c>
      <c r="I1142" s="27">
        <v>0</v>
      </c>
    </row>
    <row r="1143" spans="3:9">
      <c r="C1143" s="23">
        <v>1136</v>
      </c>
      <c r="D1143" s="23" t="s">
        <v>132</v>
      </c>
      <c r="E1143" s="23" t="str">
        <f>Contributions_Data!A1137</f>
        <v>DA-003</v>
      </c>
      <c r="F1143" s="23" t="str">
        <f>Contributions_Data!B1137</f>
        <v>DA-003-M0095</v>
      </c>
      <c r="G1143" s="24">
        <f>Contributions_Data!C1137</f>
        <v>45335</v>
      </c>
      <c r="H1143" s="27">
        <f>Contributions_Data!D1137</f>
        <v>15969.5</v>
      </c>
      <c r="I1143" s="27">
        <v>0</v>
      </c>
    </row>
    <row r="1144" spans="3:9">
      <c r="C1144" s="23">
        <v>1137</v>
      </c>
      <c r="D1144" s="23" t="s">
        <v>132</v>
      </c>
      <c r="E1144" s="23" t="str">
        <f>Contributions_Data!A1138</f>
        <v>DA-003</v>
      </c>
      <c r="F1144" s="23" t="str">
        <f>Contributions_Data!B1138</f>
        <v>DA-003-M0095</v>
      </c>
      <c r="G1144" s="24">
        <f>Contributions_Data!C1138</f>
        <v>45379</v>
      </c>
      <c r="H1144" s="27">
        <f>Contributions_Data!D1138</f>
        <v>14557.19</v>
      </c>
      <c r="I1144" s="27">
        <v>0</v>
      </c>
    </row>
    <row r="1145" spans="3:9">
      <c r="C1145" s="23">
        <v>1138</v>
      </c>
      <c r="D1145" s="23" t="s">
        <v>132</v>
      </c>
      <c r="E1145" s="23" t="str">
        <f>Contributions_Data!A1139</f>
        <v>DA-003</v>
      </c>
      <c r="F1145" s="23" t="str">
        <f>Contributions_Data!B1139</f>
        <v>DA-003-M0095</v>
      </c>
      <c r="G1145" s="24">
        <f>Contributions_Data!C1139</f>
        <v>45634</v>
      </c>
      <c r="H1145" s="27">
        <f>Contributions_Data!D1139</f>
        <v>13601.89</v>
      </c>
      <c r="I1145" s="27">
        <v>0</v>
      </c>
    </row>
    <row r="1146" spans="3:9">
      <c r="C1146" s="23">
        <v>1139</v>
      </c>
      <c r="D1146" s="23" t="s">
        <v>132</v>
      </c>
      <c r="E1146" s="23" t="str">
        <f>Contributions_Data!A1140</f>
        <v>DA-003</v>
      </c>
      <c r="F1146" s="23" t="str">
        <f>Contributions_Data!B1140</f>
        <v>DA-003-M0095</v>
      </c>
      <c r="G1146" s="24">
        <f>Contributions_Data!C1140</f>
        <v>45587</v>
      </c>
      <c r="H1146" s="27">
        <f>Contributions_Data!D1140</f>
        <v>10215.89</v>
      </c>
      <c r="I1146" s="27">
        <v>0</v>
      </c>
    </row>
    <row r="1147" spans="3:9">
      <c r="C1147" s="23">
        <v>1140</v>
      </c>
      <c r="D1147" s="23" t="s">
        <v>132</v>
      </c>
      <c r="E1147" s="23" t="str">
        <f>Contributions_Data!A1141</f>
        <v>DA-003</v>
      </c>
      <c r="F1147" s="23" t="str">
        <f>Contributions_Data!B1141</f>
        <v>DA-003-M0095</v>
      </c>
      <c r="G1147" s="24">
        <f>Contributions_Data!C1141</f>
        <v>45471</v>
      </c>
      <c r="H1147" s="27">
        <f>Contributions_Data!D1141</f>
        <v>16540.8</v>
      </c>
      <c r="I1147" s="27">
        <v>0</v>
      </c>
    </row>
    <row r="1148" spans="3:9">
      <c r="C1148" s="23">
        <v>1141</v>
      </c>
      <c r="D1148" s="23" t="s">
        <v>132</v>
      </c>
      <c r="E1148" s="23" t="str">
        <f>Contributions_Data!A1142</f>
        <v>DA-001</v>
      </c>
      <c r="F1148" s="23" t="str">
        <f>Contributions_Data!B1142</f>
        <v>DA-001-M0096</v>
      </c>
      <c r="G1148" s="24">
        <f>Contributions_Data!C1142</f>
        <v>45577</v>
      </c>
      <c r="H1148" s="27">
        <f>Contributions_Data!D1142</f>
        <v>13401.9</v>
      </c>
      <c r="I1148" s="27">
        <v>0</v>
      </c>
    </row>
    <row r="1149" spans="3:9">
      <c r="C1149" s="23">
        <v>1142</v>
      </c>
      <c r="D1149" s="23" t="s">
        <v>132</v>
      </c>
      <c r="E1149" s="23" t="str">
        <f>Contributions_Data!A1143</f>
        <v>DA-001</v>
      </c>
      <c r="F1149" s="23" t="str">
        <f>Contributions_Data!B1143</f>
        <v>DA-001-M0096</v>
      </c>
      <c r="G1149" s="24">
        <f>Contributions_Data!C1143</f>
        <v>45425</v>
      </c>
      <c r="H1149" s="27">
        <f>Contributions_Data!D1143</f>
        <v>6383.21</v>
      </c>
      <c r="I1149" s="27">
        <v>0</v>
      </c>
    </row>
    <row r="1150" spans="3:9">
      <c r="C1150" s="23">
        <v>1143</v>
      </c>
      <c r="D1150" s="23" t="s">
        <v>132</v>
      </c>
      <c r="E1150" s="23" t="str">
        <f>Contributions_Data!A1144</f>
        <v>DA-001</v>
      </c>
      <c r="F1150" s="23" t="str">
        <f>Contributions_Data!B1144</f>
        <v>DA-001-M0096</v>
      </c>
      <c r="G1150" s="24">
        <f>Contributions_Data!C1144</f>
        <v>45648</v>
      </c>
      <c r="H1150" s="27">
        <f>Contributions_Data!D1144</f>
        <v>20316.75</v>
      </c>
      <c r="I1150" s="27">
        <v>0</v>
      </c>
    </row>
    <row r="1151" spans="3:9">
      <c r="C1151" s="23">
        <v>1144</v>
      </c>
      <c r="D1151" s="23" t="s">
        <v>132</v>
      </c>
      <c r="E1151" s="23" t="str">
        <f>Contributions_Data!A1145</f>
        <v>DA-001</v>
      </c>
      <c r="F1151" s="23" t="str">
        <f>Contributions_Data!B1145</f>
        <v>DA-001-M0096</v>
      </c>
      <c r="G1151" s="24">
        <f>Contributions_Data!C1145</f>
        <v>45455</v>
      </c>
      <c r="H1151" s="27">
        <f>Contributions_Data!D1145</f>
        <v>19983.78</v>
      </c>
      <c r="I1151" s="27">
        <v>0</v>
      </c>
    </row>
    <row r="1152" spans="3:9">
      <c r="C1152" s="23">
        <v>1145</v>
      </c>
      <c r="D1152" s="23" t="s">
        <v>132</v>
      </c>
      <c r="E1152" s="23" t="str">
        <f>Contributions_Data!A1146</f>
        <v>DA-001</v>
      </c>
      <c r="F1152" s="23" t="str">
        <f>Contributions_Data!B1146</f>
        <v>DA-001-M0096</v>
      </c>
      <c r="G1152" s="24">
        <f>Contributions_Data!C1146</f>
        <v>45312</v>
      </c>
      <c r="H1152" s="27">
        <f>Contributions_Data!D1146</f>
        <v>13193.36</v>
      </c>
      <c r="I1152" s="27">
        <v>0</v>
      </c>
    </row>
    <row r="1153" spans="3:9">
      <c r="C1153" s="23">
        <v>1146</v>
      </c>
      <c r="D1153" s="23" t="s">
        <v>132</v>
      </c>
      <c r="E1153" s="23" t="str">
        <f>Contributions_Data!A1147</f>
        <v>DA-001</v>
      </c>
      <c r="F1153" s="23" t="str">
        <f>Contributions_Data!B1147</f>
        <v>DA-001-M0096</v>
      </c>
      <c r="G1153" s="24">
        <f>Contributions_Data!C1147</f>
        <v>45476</v>
      </c>
      <c r="H1153" s="27">
        <f>Contributions_Data!D1147</f>
        <v>12004.84</v>
      </c>
      <c r="I1153" s="27">
        <v>0</v>
      </c>
    </row>
    <row r="1154" spans="3:9">
      <c r="C1154" s="23">
        <v>1147</v>
      </c>
      <c r="D1154" s="23" t="s">
        <v>132</v>
      </c>
      <c r="E1154" s="23" t="str">
        <f>Contributions_Data!A1148</f>
        <v>DA-001</v>
      </c>
      <c r="F1154" s="23" t="str">
        <f>Contributions_Data!B1148</f>
        <v>DA-001-M0096</v>
      </c>
      <c r="G1154" s="24">
        <f>Contributions_Data!C1148</f>
        <v>45521</v>
      </c>
      <c r="H1154" s="27">
        <f>Contributions_Data!D1148</f>
        <v>15905.38</v>
      </c>
      <c r="I1154" s="27">
        <v>0</v>
      </c>
    </row>
    <row r="1155" spans="3:9">
      <c r="C1155" s="23">
        <v>1148</v>
      </c>
      <c r="D1155" s="23" t="s">
        <v>132</v>
      </c>
      <c r="E1155" s="23" t="str">
        <f>Contributions_Data!A1149</f>
        <v>DA-001</v>
      </c>
      <c r="F1155" s="23" t="str">
        <f>Contributions_Data!B1149</f>
        <v>DA-001-M0096</v>
      </c>
      <c r="G1155" s="24">
        <f>Contributions_Data!C1149</f>
        <v>45454</v>
      </c>
      <c r="H1155" s="27">
        <f>Contributions_Data!D1149</f>
        <v>17298.240000000002</v>
      </c>
      <c r="I1155" s="27">
        <v>0</v>
      </c>
    </row>
    <row r="1156" spans="3:9">
      <c r="C1156" s="23">
        <v>1149</v>
      </c>
      <c r="D1156" s="23" t="s">
        <v>132</v>
      </c>
      <c r="E1156" s="23" t="str">
        <f>Contributions_Data!A1150</f>
        <v>DA-001</v>
      </c>
      <c r="F1156" s="23" t="str">
        <f>Contributions_Data!B1150</f>
        <v>DA-001-M0096</v>
      </c>
      <c r="G1156" s="24">
        <f>Contributions_Data!C1150</f>
        <v>45494</v>
      </c>
      <c r="H1156" s="27">
        <f>Contributions_Data!D1150</f>
        <v>18680.8</v>
      </c>
      <c r="I1156" s="27">
        <v>0</v>
      </c>
    </row>
    <row r="1157" spans="3:9">
      <c r="C1157" s="23">
        <v>1150</v>
      </c>
      <c r="D1157" s="23" t="s">
        <v>132</v>
      </c>
      <c r="E1157" s="23" t="str">
        <f>Contributions_Data!A1151</f>
        <v>DA-001</v>
      </c>
      <c r="F1157" s="23" t="str">
        <f>Contributions_Data!B1151</f>
        <v>DA-001-M0096</v>
      </c>
      <c r="G1157" s="24">
        <f>Contributions_Data!C1151</f>
        <v>45402</v>
      </c>
      <c r="H1157" s="27">
        <f>Contributions_Data!D1151</f>
        <v>14699.54</v>
      </c>
      <c r="I1157" s="27">
        <v>0</v>
      </c>
    </row>
    <row r="1158" spans="3:9">
      <c r="C1158" s="23">
        <v>1151</v>
      </c>
      <c r="D1158" s="23" t="s">
        <v>132</v>
      </c>
      <c r="E1158" s="23" t="str">
        <f>Contributions_Data!A1152</f>
        <v>DA-001</v>
      </c>
      <c r="F1158" s="23" t="str">
        <f>Contributions_Data!B1152</f>
        <v>DA-001-M0096</v>
      </c>
      <c r="G1158" s="24">
        <f>Contributions_Data!C1152</f>
        <v>45639</v>
      </c>
      <c r="H1158" s="27">
        <f>Contributions_Data!D1152</f>
        <v>14388.98</v>
      </c>
      <c r="I1158" s="27">
        <v>0</v>
      </c>
    </row>
    <row r="1159" spans="3:9">
      <c r="C1159" s="23">
        <v>1152</v>
      </c>
      <c r="D1159" s="23" t="s">
        <v>132</v>
      </c>
      <c r="E1159" s="23" t="str">
        <f>Contributions_Data!A1153</f>
        <v>DA-001</v>
      </c>
      <c r="F1159" s="23" t="str">
        <f>Contributions_Data!B1153</f>
        <v>DA-001-M0096</v>
      </c>
      <c r="G1159" s="24">
        <f>Contributions_Data!C1153</f>
        <v>45400</v>
      </c>
      <c r="H1159" s="27">
        <f>Contributions_Data!D1153</f>
        <v>12366.05</v>
      </c>
      <c r="I1159" s="27">
        <v>0</v>
      </c>
    </row>
    <row r="1160" spans="3:9">
      <c r="C1160" s="23">
        <v>1153</v>
      </c>
      <c r="D1160" s="23" t="s">
        <v>132</v>
      </c>
      <c r="E1160" s="23" t="str">
        <f>Contributions_Data!A1154</f>
        <v>DA-002</v>
      </c>
      <c r="F1160" s="23" t="str">
        <f>Contributions_Data!B1154</f>
        <v>DA-002-M0097</v>
      </c>
      <c r="G1160" s="24">
        <f>Contributions_Data!C1154</f>
        <v>45349</v>
      </c>
      <c r="H1160" s="27">
        <f>Contributions_Data!D1154</f>
        <v>14320.56</v>
      </c>
      <c r="I1160" s="27">
        <v>0</v>
      </c>
    </row>
    <row r="1161" spans="3:9">
      <c r="C1161" s="23">
        <v>1154</v>
      </c>
      <c r="D1161" s="23" t="s">
        <v>132</v>
      </c>
      <c r="E1161" s="23" t="str">
        <f>Contributions_Data!A1155</f>
        <v>DA-002</v>
      </c>
      <c r="F1161" s="23" t="str">
        <f>Contributions_Data!B1155</f>
        <v>DA-002-M0097</v>
      </c>
      <c r="G1161" s="24">
        <f>Contributions_Data!C1155</f>
        <v>45581</v>
      </c>
      <c r="H1161" s="27">
        <f>Contributions_Data!D1155</f>
        <v>17740.75</v>
      </c>
      <c r="I1161" s="27">
        <v>0</v>
      </c>
    </row>
    <row r="1162" spans="3:9">
      <c r="C1162" s="23">
        <v>1155</v>
      </c>
      <c r="D1162" s="23" t="s">
        <v>132</v>
      </c>
      <c r="E1162" s="23" t="str">
        <f>Contributions_Data!A1156</f>
        <v>DA-002</v>
      </c>
      <c r="F1162" s="23" t="str">
        <f>Contributions_Data!B1156</f>
        <v>DA-002-M0097</v>
      </c>
      <c r="G1162" s="24">
        <f>Contributions_Data!C1156</f>
        <v>45396</v>
      </c>
      <c r="H1162" s="27">
        <f>Contributions_Data!D1156</f>
        <v>12590.46</v>
      </c>
      <c r="I1162" s="27">
        <v>0</v>
      </c>
    </row>
    <row r="1163" spans="3:9">
      <c r="C1163" s="23">
        <v>1156</v>
      </c>
      <c r="D1163" s="23" t="s">
        <v>132</v>
      </c>
      <c r="E1163" s="23" t="str">
        <f>Contributions_Data!A1157</f>
        <v>DA-002</v>
      </c>
      <c r="F1163" s="23" t="str">
        <f>Contributions_Data!B1157</f>
        <v>DA-002-M0097</v>
      </c>
      <c r="G1163" s="24">
        <f>Contributions_Data!C1157</f>
        <v>45374</v>
      </c>
      <c r="H1163" s="27">
        <f>Contributions_Data!D1157</f>
        <v>14186.63</v>
      </c>
      <c r="I1163" s="27">
        <v>0</v>
      </c>
    </row>
    <row r="1164" spans="3:9">
      <c r="C1164" s="23">
        <v>1157</v>
      </c>
      <c r="D1164" s="23" t="s">
        <v>132</v>
      </c>
      <c r="E1164" s="23" t="str">
        <f>Contributions_Data!A1158</f>
        <v>DA-002</v>
      </c>
      <c r="F1164" s="23" t="str">
        <f>Contributions_Data!B1158</f>
        <v>DA-002-M0097</v>
      </c>
      <c r="G1164" s="24">
        <f>Contributions_Data!C1158</f>
        <v>45627</v>
      </c>
      <c r="H1164" s="27">
        <f>Contributions_Data!D1158</f>
        <v>14935.9</v>
      </c>
      <c r="I1164" s="27">
        <v>0</v>
      </c>
    </row>
    <row r="1165" spans="3:9">
      <c r="C1165" s="23">
        <v>1158</v>
      </c>
      <c r="D1165" s="23" t="s">
        <v>132</v>
      </c>
      <c r="E1165" s="23" t="str">
        <f>Contributions_Data!A1159</f>
        <v>DA-002</v>
      </c>
      <c r="F1165" s="23" t="str">
        <f>Contributions_Data!B1159</f>
        <v>DA-002-M0097</v>
      </c>
      <c r="G1165" s="24">
        <f>Contributions_Data!C1159</f>
        <v>45451</v>
      </c>
      <c r="H1165" s="27">
        <f>Contributions_Data!D1159</f>
        <v>7727.28</v>
      </c>
      <c r="I1165" s="27">
        <v>0</v>
      </c>
    </row>
    <row r="1166" spans="3:9">
      <c r="C1166" s="23">
        <v>1159</v>
      </c>
      <c r="D1166" s="23" t="s">
        <v>132</v>
      </c>
      <c r="E1166" s="23" t="str">
        <f>Contributions_Data!A1160</f>
        <v>DA-002</v>
      </c>
      <c r="F1166" s="23" t="str">
        <f>Contributions_Data!B1160</f>
        <v>DA-002-M0097</v>
      </c>
      <c r="G1166" s="24">
        <f>Contributions_Data!C1160</f>
        <v>45368</v>
      </c>
      <c r="H1166" s="27">
        <f>Contributions_Data!D1160</f>
        <v>17652.14</v>
      </c>
      <c r="I1166" s="27">
        <v>0</v>
      </c>
    </row>
    <row r="1167" spans="3:9">
      <c r="C1167" s="23">
        <v>1160</v>
      </c>
      <c r="D1167" s="23" t="s">
        <v>132</v>
      </c>
      <c r="E1167" s="23" t="str">
        <f>Contributions_Data!A1161</f>
        <v>DA-002</v>
      </c>
      <c r="F1167" s="23" t="str">
        <f>Contributions_Data!B1161</f>
        <v>DA-002-M0097</v>
      </c>
      <c r="G1167" s="24">
        <f>Contributions_Data!C1161</f>
        <v>45604</v>
      </c>
      <c r="H1167" s="27">
        <f>Contributions_Data!D1161</f>
        <v>17210.53</v>
      </c>
      <c r="I1167" s="27">
        <v>0</v>
      </c>
    </row>
    <row r="1168" spans="3:9">
      <c r="C1168" s="23">
        <v>1161</v>
      </c>
      <c r="D1168" s="23" t="s">
        <v>132</v>
      </c>
      <c r="E1168" s="23" t="str">
        <f>Contributions_Data!A1162</f>
        <v>DA-002</v>
      </c>
      <c r="F1168" s="23" t="str">
        <f>Contributions_Data!B1162</f>
        <v>DA-002-M0097</v>
      </c>
      <c r="G1168" s="24">
        <f>Contributions_Data!C1162</f>
        <v>45387</v>
      </c>
      <c r="H1168" s="27">
        <f>Contributions_Data!D1162</f>
        <v>14156.02</v>
      </c>
      <c r="I1168" s="27">
        <v>0</v>
      </c>
    </row>
    <row r="1169" spans="3:9">
      <c r="C1169" s="23">
        <v>1162</v>
      </c>
      <c r="D1169" s="23" t="s">
        <v>132</v>
      </c>
      <c r="E1169" s="23" t="str">
        <f>Contributions_Data!A1163</f>
        <v>DA-002</v>
      </c>
      <c r="F1169" s="23" t="str">
        <f>Contributions_Data!B1163</f>
        <v>DA-002-M0097</v>
      </c>
      <c r="G1169" s="24">
        <f>Contributions_Data!C1163</f>
        <v>45396</v>
      </c>
      <c r="H1169" s="27">
        <f>Contributions_Data!D1163</f>
        <v>15200.97</v>
      </c>
      <c r="I1169" s="27">
        <v>0</v>
      </c>
    </row>
    <row r="1170" spans="3:9">
      <c r="C1170" s="23">
        <v>1163</v>
      </c>
      <c r="D1170" s="23" t="s">
        <v>132</v>
      </c>
      <c r="E1170" s="23" t="str">
        <f>Contributions_Data!A1164</f>
        <v>DA-002</v>
      </c>
      <c r="F1170" s="23" t="str">
        <f>Contributions_Data!B1164</f>
        <v>DA-002-M0097</v>
      </c>
      <c r="G1170" s="24">
        <f>Contributions_Data!C1164</f>
        <v>45317</v>
      </c>
      <c r="H1170" s="27">
        <f>Contributions_Data!D1164</f>
        <v>16547.82</v>
      </c>
      <c r="I1170" s="27">
        <v>0</v>
      </c>
    </row>
    <row r="1171" spans="3:9">
      <c r="C1171" s="23">
        <v>1164</v>
      </c>
      <c r="D1171" s="23" t="s">
        <v>132</v>
      </c>
      <c r="E1171" s="23" t="str">
        <f>Contributions_Data!A1165</f>
        <v>DA-002</v>
      </c>
      <c r="F1171" s="23" t="str">
        <f>Contributions_Data!B1165</f>
        <v>DA-002-M0097</v>
      </c>
      <c r="G1171" s="24">
        <f>Contributions_Data!C1165</f>
        <v>45376</v>
      </c>
      <c r="H1171" s="27">
        <f>Contributions_Data!D1165</f>
        <v>13412.84</v>
      </c>
      <c r="I1171" s="27">
        <v>0</v>
      </c>
    </row>
    <row r="1172" spans="3:9">
      <c r="C1172" s="23">
        <v>1165</v>
      </c>
      <c r="D1172" s="23" t="s">
        <v>132</v>
      </c>
      <c r="E1172" s="23" t="str">
        <f>Contributions_Data!A1166</f>
        <v>DA-001</v>
      </c>
      <c r="F1172" s="23" t="str">
        <f>Contributions_Data!B1166</f>
        <v>DA-001-M0098</v>
      </c>
      <c r="G1172" s="24">
        <f>Contributions_Data!C1166</f>
        <v>45298</v>
      </c>
      <c r="H1172" s="27">
        <f>Contributions_Data!D1166</f>
        <v>17382.79</v>
      </c>
      <c r="I1172" s="27">
        <v>0</v>
      </c>
    </row>
    <row r="1173" spans="3:9">
      <c r="C1173" s="23">
        <v>1166</v>
      </c>
      <c r="D1173" s="23" t="s">
        <v>132</v>
      </c>
      <c r="E1173" s="23" t="str">
        <f>Contributions_Data!A1167</f>
        <v>DA-001</v>
      </c>
      <c r="F1173" s="23" t="str">
        <f>Contributions_Data!B1167</f>
        <v>DA-001-M0098</v>
      </c>
      <c r="G1173" s="24">
        <f>Contributions_Data!C1167</f>
        <v>45516</v>
      </c>
      <c r="H1173" s="27">
        <f>Contributions_Data!D1167</f>
        <v>11237.13</v>
      </c>
      <c r="I1173" s="27">
        <v>0</v>
      </c>
    </row>
    <row r="1174" spans="3:9">
      <c r="C1174" s="23">
        <v>1167</v>
      </c>
      <c r="D1174" s="23" t="s">
        <v>132</v>
      </c>
      <c r="E1174" s="23" t="str">
        <f>Contributions_Data!A1168</f>
        <v>DA-001</v>
      </c>
      <c r="F1174" s="23" t="str">
        <f>Contributions_Data!B1168</f>
        <v>DA-001-M0098</v>
      </c>
      <c r="G1174" s="24">
        <f>Contributions_Data!C1168</f>
        <v>45642</v>
      </c>
      <c r="H1174" s="27">
        <f>Contributions_Data!D1168</f>
        <v>15880.67</v>
      </c>
      <c r="I1174" s="27">
        <v>0</v>
      </c>
    </row>
    <row r="1175" spans="3:9">
      <c r="C1175" s="23">
        <v>1168</v>
      </c>
      <c r="D1175" s="23" t="s">
        <v>132</v>
      </c>
      <c r="E1175" s="23" t="str">
        <f>Contributions_Data!A1169</f>
        <v>DA-001</v>
      </c>
      <c r="F1175" s="23" t="str">
        <f>Contributions_Data!B1169</f>
        <v>DA-001-M0098</v>
      </c>
      <c r="G1175" s="24">
        <f>Contributions_Data!C1169</f>
        <v>45597</v>
      </c>
      <c r="H1175" s="27">
        <f>Contributions_Data!D1169</f>
        <v>10930.25</v>
      </c>
      <c r="I1175" s="27">
        <v>0</v>
      </c>
    </row>
    <row r="1176" spans="3:9">
      <c r="C1176" s="23">
        <v>1169</v>
      </c>
      <c r="D1176" s="23" t="s">
        <v>132</v>
      </c>
      <c r="E1176" s="23" t="str">
        <f>Contributions_Data!A1170</f>
        <v>DA-001</v>
      </c>
      <c r="F1176" s="23" t="str">
        <f>Contributions_Data!B1170</f>
        <v>DA-001-M0098</v>
      </c>
      <c r="G1176" s="24">
        <f>Contributions_Data!C1170</f>
        <v>45294</v>
      </c>
      <c r="H1176" s="27">
        <f>Contributions_Data!D1170</f>
        <v>16399.29</v>
      </c>
      <c r="I1176" s="27">
        <v>0</v>
      </c>
    </row>
    <row r="1177" spans="3:9">
      <c r="C1177" s="23">
        <v>1170</v>
      </c>
      <c r="D1177" s="23" t="s">
        <v>132</v>
      </c>
      <c r="E1177" s="23" t="str">
        <f>Contributions_Data!A1171</f>
        <v>DA-001</v>
      </c>
      <c r="F1177" s="23" t="str">
        <f>Contributions_Data!B1171</f>
        <v>DA-001-M0098</v>
      </c>
      <c r="G1177" s="24">
        <f>Contributions_Data!C1171</f>
        <v>45538</v>
      </c>
      <c r="H1177" s="27">
        <f>Contributions_Data!D1171</f>
        <v>10154.6</v>
      </c>
      <c r="I1177" s="27">
        <v>0</v>
      </c>
    </row>
    <row r="1178" spans="3:9">
      <c r="C1178" s="23">
        <v>1171</v>
      </c>
      <c r="D1178" s="23" t="s">
        <v>132</v>
      </c>
      <c r="E1178" s="23" t="str">
        <f>Contributions_Data!A1172</f>
        <v>DA-001</v>
      </c>
      <c r="F1178" s="23" t="str">
        <f>Contributions_Data!B1172</f>
        <v>DA-001-M0098</v>
      </c>
      <c r="G1178" s="24">
        <f>Contributions_Data!C1172</f>
        <v>45417</v>
      </c>
      <c r="H1178" s="27">
        <f>Contributions_Data!D1172</f>
        <v>18494.22</v>
      </c>
      <c r="I1178" s="27">
        <v>0</v>
      </c>
    </row>
    <row r="1179" spans="3:9">
      <c r="C1179" s="23">
        <v>1172</v>
      </c>
      <c r="D1179" s="23" t="s">
        <v>132</v>
      </c>
      <c r="E1179" s="23" t="str">
        <f>Contributions_Data!A1173</f>
        <v>DA-001</v>
      </c>
      <c r="F1179" s="23" t="str">
        <f>Contributions_Data!B1173</f>
        <v>DA-001-M0098</v>
      </c>
      <c r="G1179" s="24">
        <f>Contributions_Data!C1173</f>
        <v>45367</v>
      </c>
      <c r="H1179" s="27">
        <f>Contributions_Data!D1173</f>
        <v>12569.24</v>
      </c>
      <c r="I1179" s="27">
        <v>0</v>
      </c>
    </row>
    <row r="1180" spans="3:9">
      <c r="C1180" s="23">
        <v>1173</v>
      </c>
      <c r="D1180" s="23" t="s">
        <v>132</v>
      </c>
      <c r="E1180" s="23" t="str">
        <f>Contributions_Data!A1174</f>
        <v>DA-001</v>
      </c>
      <c r="F1180" s="23" t="str">
        <f>Contributions_Data!B1174</f>
        <v>DA-001-M0098</v>
      </c>
      <c r="G1180" s="24">
        <f>Contributions_Data!C1174</f>
        <v>45544</v>
      </c>
      <c r="H1180" s="27">
        <f>Contributions_Data!D1174</f>
        <v>15601.71</v>
      </c>
      <c r="I1180" s="27">
        <v>0</v>
      </c>
    </row>
    <row r="1181" spans="3:9">
      <c r="C1181" s="23">
        <v>1174</v>
      </c>
      <c r="D1181" s="23" t="s">
        <v>132</v>
      </c>
      <c r="E1181" s="23" t="str">
        <f>Contributions_Data!A1175</f>
        <v>DA-001</v>
      </c>
      <c r="F1181" s="23" t="str">
        <f>Contributions_Data!B1175</f>
        <v>DA-001-M0098</v>
      </c>
      <c r="G1181" s="24">
        <f>Contributions_Data!C1175</f>
        <v>45539</v>
      </c>
      <c r="H1181" s="27">
        <f>Contributions_Data!D1175</f>
        <v>11952.53</v>
      </c>
      <c r="I1181" s="27">
        <v>0</v>
      </c>
    </row>
    <row r="1182" spans="3:9">
      <c r="C1182" s="23">
        <v>1175</v>
      </c>
      <c r="D1182" s="23" t="s">
        <v>132</v>
      </c>
      <c r="E1182" s="23" t="str">
        <f>Contributions_Data!A1176</f>
        <v>DA-001</v>
      </c>
      <c r="F1182" s="23" t="str">
        <f>Contributions_Data!B1176</f>
        <v>DA-001-M0098</v>
      </c>
      <c r="G1182" s="24">
        <f>Contributions_Data!C1176</f>
        <v>45375</v>
      </c>
      <c r="H1182" s="27">
        <f>Contributions_Data!D1176</f>
        <v>16286.45</v>
      </c>
      <c r="I1182" s="27">
        <v>0</v>
      </c>
    </row>
    <row r="1183" spans="3:9">
      <c r="C1183" s="23">
        <v>1176</v>
      </c>
      <c r="D1183" s="23" t="s">
        <v>132</v>
      </c>
      <c r="E1183" s="23" t="str">
        <f>Contributions_Data!A1177</f>
        <v>DA-001</v>
      </c>
      <c r="F1183" s="23" t="str">
        <f>Contributions_Data!B1177</f>
        <v>DA-001-M0098</v>
      </c>
      <c r="G1183" s="24">
        <f>Contributions_Data!C1177</f>
        <v>45472</v>
      </c>
      <c r="H1183" s="27">
        <f>Contributions_Data!D1177</f>
        <v>17079.32</v>
      </c>
      <c r="I1183" s="27">
        <v>0</v>
      </c>
    </row>
    <row r="1184" spans="3:9">
      <c r="C1184" s="23">
        <v>1177</v>
      </c>
      <c r="D1184" s="23" t="s">
        <v>132</v>
      </c>
      <c r="E1184" s="23" t="str">
        <f>Contributions_Data!A1178</f>
        <v>DA-003</v>
      </c>
      <c r="F1184" s="23" t="str">
        <f>Contributions_Data!B1178</f>
        <v>DA-003-M0099</v>
      </c>
      <c r="G1184" s="24">
        <f>Contributions_Data!C1178</f>
        <v>45635</v>
      </c>
      <c r="H1184" s="27">
        <f>Contributions_Data!D1178</f>
        <v>15529.32</v>
      </c>
      <c r="I1184" s="27">
        <v>0</v>
      </c>
    </row>
    <row r="1185" spans="3:9">
      <c r="C1185" s="23">
        <v>1178</v>
      </c>
      <c r="D1185" s="23" t="s">
        <v>132</v>
      </c>
      <c r="E1185" s="23" t="str">
        <f>Contributions_Data!A1179</f>
        <v>DA-003</v>
      </c>
      <c r="F1185" s="23" t="str">
        <f>Contributions_Data!B1179</f>
        <v>DA-003-M0099</v>
      </c>
      <c r="G1185" s="24">
        <f>Contributions_Data!C1179</f>
        <v>45548</v>
      </c>
      <c r="H1185" s="27">
        <f>Contributions_Data!D1179</f>
        <v>13898.92</v>
      </c>
      <c r="I1185" s="27">
        <v>0</v>
      </c>
    </row>
    <row r="1186" spans="3:9">
      <c r="C1186" s="23">
        <v>1179</v>
      </c>
      <c r="D1186" s="23" t="s">
        <v>132</v>
      </c>
      <c r="E1186" s="23" t="str">
        <f>Contributions_Data!A1180</f>
        <v>DA-003</v>
      </c>
      <c r="F1186" s="23" t="str">
        <f>Contributions_Data!B1180</f>
        <v>DA-003-M0099</v>
      </c>
      <c r="G1186" s="24">
        <f>Contributions_Data!C1180</f>
        <v>45650</v>
      </c>
      <c r="H1186" s="27">
        <f>Contributions_Data!D1180</f>
        <v>12517.23</v>
      </c>
      <c r="I1186" s="27">
        <v>0</v>
      </c>
    </row>
    <row r="1187" spans="3:9">
      <c r="C1187" s="23">
        <v>1180</v>
      </c>
      <c r="D1187" s="23" t="s">
        <v>132</v>
      </c>
      <c r="E1187" s="23" t="str">
        <f>Contributions_Data!A1181</f>
        <v>DA-003</v>
      </c>
      <c r="F1187" s="23" t="str">
        <f>Contributions_Data!B1181</f>
        <v>DA-003-M0099</v>
      </c>
      <c r="G1187" s="24">
        <f>Contributions_Data!C1181</f>
        <v>45533</v>
      </c>
      <c r="H1187" s="27">
        <f>Contributions_Data!D1181</f>
        <v>11783.58</v>
      </c>
      <c r="I1187" s="27">
        <v>0</v>
      </c>
    </row>
    <row r="1188" spans="3:9">
      <c r="C1188" s="23">
        <v>1181</v>
      </c>
      <c r="D1188" s="23" t="s">
        <v>132</v>
      </c>
      <c r="E1188" s="23" t="str">
        <f>Contributions_Data!A1182</f>
        <v>DA-003</v>
      </c>
      <c r="F1188" s="23" t="str">
        <f>Contributions_Data!B1182</f>
        <v>DA-003-M0099</v>
      </c>
      <c r="G1188" s="24">
        <f>Contributions_Data!C1182</f>
        <v>45365</v>
      </c>
      <c r="H1188" s="27">
        <f>Contributions_Data!D1182</f>
        <v>6235.95</v>
      </c>
      <c r="I1188" s="27">
        <v>0</v>
      </c>
    </row>
    <row r="1189" spans="3:9">
      <c r="C1189" s="23">
        <v>1182</v>
      </c>
      <c r="D1189" s="23" t="s">
        <v>132</v>
      </c>
      <c r="E1189" s="23" t="str">
        <f>Contributions_Data!A1183</f>
        <v>DA-003</v>
      </c>
      <c r="F1189" s="23" t="str">
        <f>Contributions_Data!B1183</f>
        <v>DA-003-M0099</v>
      </c>
      <c r="G1189" s="24">
        <f>Contributions_Data!C1183</f>
        <v>45649</v>
      </c>
      <c r="H1189" s="27">
        <f>Contributions_Data!D1183</f>
        <v>16309.68</v>
      </c>
      <c r="I1189" s="27">
        <v>0</v>
      </c>
    </row>
    <row r="1190" spans="3:9">
      <c r="C1190" s="23">
        <v>1183</v>
      </c>
      <c r="D1190" s="23" t="s">
        <v>132</v>
      </c>
      <c r="E1190" s="23" t="str">
        <f>Contributions_Data!A1184</f>
        <v>DA-003</v>
      </c>
      <c r="F1190" s="23" t="str">
        <f>Contributions_Data!B1184</f>
        <v>DA-003-M0099</v>
      </c>
      <c r="G1190" s="24">
        <f>Contributions_Data!C1184</f>
        <v>45527</v>
      </c>
      <c r="H1190" s="27">
        <f>Contributions_Data!D1184</f>
        <v>17711.8</v>
      </c>
      <c r="I1190" s="27">
        <v>0</v>
      </c>
    </row>
    <row r="1191" spans="3:9">
      <c r="C1191" s="23">
        <v>1184</v>
      </c>
      <c r="D1191" s="23" t="s">
        <v>132</v>
      </c>
      <c r="E1191" s="23" t="str">
        <f>Contributions_Data!A1185</f>
        <v>DA-003</v>
      </c>
      <c r="F1191" s="23" t="str">
        <f>Contributions_Data!B1185</f>
        <v>DA-003-M0099</v>
      </c>
      <c r="G1191" s="24">
        <f>Contributions_Data!C1185</f>
        <v>45314</v>
      </c>
      <c r="H1191" s="27">
        <f>Contributions_Data!D1185</f>
        <v>7911.2</v>
      </c>
      <c r="I1191" s="27">
        <v>0</v>
      </c>
    </row>
    <row r="1192" spans="3:9">
      <c r="C1192" s="23">
        <v>1185</v>
      </c>
      <c r="D1192" s="23" t="s">
        <v>132</v>
      </c>
      <c r="E1192" s="23" t="str">
        <f>Contributions_Data!A1186</f>
        <v>DA-003</v>
      </c>
      <c r="F1192" s="23" t="str">
        <f>Contributions_Data!B1186</f>
        <v>DA-003-M0099</v>
      </c>
      <c r="G1192" s="24">
        <f>Contributions_Data!C1186</f>
        <v>45327</v>
      </c>
      <c r="H1192" s="27">
        <f>Contributions_Data!D1186</f>
        <v>11970.81</v>
      </c>
      <c r="I1192" s="27">
        <v>0</v>
      </c>
    </row>
    <row r="1193" spans="3:9">
      <c r="C1193" s="23">
        <v>1186</v>
      </c>
      <c r="D1193" s="23" t="s">
        <v>132</v>
      </c>
      <c r="E1193" s="23" t="str">
        <f>Contributions_Data!A1187</f>
        <v>DA-003</v>
      </c>
      <c r="F1193" s="23" t="str">
        <f>Contributions_Data!B1187</f>
        <v>DA-003-M0099</v>
      </c>
      <c r="G1193" s="24">
        <f>Contributions_Data!C1187</f>
        <v>45385</v>
      </c>
      <c r="H1193" s="27">
        <f>Contributions_Data!D1187</f>
        <v>21172.49</v>
      </c>
      <c r="I1193" s="27">
        <v>0</v>
      </c>
    </row>
    <row r="1194" spans="3:9">
      <c r="C1194" s="23">
        <v>1187</v>
      </c>
      <c r="D1194" s="23" t="s">
        <v>132</v>
      </c>
      <c r="E1194" s="23" t="str">
        <f>Contributions_Data!A1188</f>
        <v>DA-003</v>
      </c>
      <c r="F1194" s="23" t="str">
        <f>Contributions_Data!B1188</f>
        <v>DA-003-M0099</v>
      </c>
      <c r="G1194" s="24">
        <f>Contributions_Data!C1188</f>
        <v>45493</v>
      </c>
      <c r="H1194" s="27">
        <f>Contributions_Data!D1188</f>
        <v>15062.38</v>
      </c>
      <c r="I1194" s="27">
        <v>0</v>
      </c>
    </row>
    <row r="1195" spans="3:9">
      <c r="C1195" s="23">
        <v>1188</v>
      </c>
      <c r="D1195" s="23" t="s">
        <v>132</v>
      </c>
      <c r="E1195" s="23" t="str">
        <f>Contributions_Data!A1189</f>
        <v>DA-003</v>
      </c>
      <c r="F1195" s="23" t="str">
        <f>Contributions_Data!B1189</f>
        <v>DA-003-M0099</v>
      </c>
      <c r="G1195" s="24">
        <f>Contributions_Data!C1189</f>
        <v>45502</v>
      </c>
      <c r="H1195" s="27">
        <f>Contributions_Data!D1189</f>
        <v>12815.99</v>
      </c>
      <c r="I1195" s="27">
        <v>0</v>
      </c>
    </row>
    <row r="1196" spans="3:9">
      <c r="C1196" s="23">
        <v>1189</v>
      </c>
      <c r="D1196" s="23" t="s">
        <v>132</v>
      </c>
      <c r="E1196" s="23" t="str">
        <f>Contributions_Data!A1190</f>
        <v>DA-003</v>
      </c>
      <c r="F1196" s="23" t="str">
        <f>Contributions_Data!B1190</f>
        <v>DA-003-M0100</v>
      </c>
      <c r="G1196" s="24">
        <f>Contributions_Data!C1190</f>
        <v>45519</v>
      </c>
      <c r="H1196" s="27">
        <f>Contributions_Data!D1190</f>
        <v>14451.31</v>
      </c>
      <c r="I1196" s="27">
        <v>0</v>
      </c>
    </row>
    <row r="1197" spans="3:9">
      <c r="C1197" s="23">
        <v>1190</v>
      </c>
      <c r="D1197" s="23" t="s">
        <v>132</v>
      </c>
      <c r="E1197" s="23" t="str">
        <f>Contributions_Data!A1191</f>
        <v>DA-003</v>
      </c>
      <c r="F1197" s="23" t="str">
        <f>Contributions_Data!B1191</f>
        <v>DA-003-M0100</v>
      </c>
      <c r="G1197" s="24">
        <f>Contributions_Data!C1191</f>
        <v>45436</v>
      </c>
      <c r="H1197" s="27">
        <f>Contributions_Data!D1191</f>
        <v>19124.63</v>
      </c>
      <c r="I1197" s="27">
        <v>0</v>
      </c>
    </row>
    <row r="1198" spans="3:9">
      <c r="C1198" s="23">
        <v>1191</v>
      </c>
      <c r="D1198" s="23" t="s">
        <v>132</v>
      </c>
      <c r="E1198" s="23" t="str">
        <f>Contributions_Data!A1192</f>
        <v>DA-003</v>
      </c>
      <c r="F1198" s="23" t="str">
        <f>Contributions_Data!B1192</f>
        <v>DA-003-M0100</v>
      </c>
      <c r="G1198" s="24">
        <f>Contributions_Data!C1192</f>
        <v>45526</v>
      </c>
      <c r="H1198" s="27">
        <f>Contributions_Data!D1192</f>
        <v>13062.11</v>
      </c>
      <c r="I1198" s="27">
        <v>0</v>
      </c>
    </row>
    <row r="1199" spans="3:9">
      <c r="C1199" s="23">
        <v>1192</v>
      </c>
      <c r="D1199" s="23" t="s">
        <v>132</v>
      </c>
      <c r="E1199" s="23" t="str">
        <f>Contributions_Data!A1193</f>
        <v>DA-003</v>
      </c>
      <c r="F1199" s="23" t="str">
        <f>Contributions_Data!B1193</f>
        <v>DA-003-M0100</v>
      </c>
      <c r="G1199" s="24">
        <f>Contributions_Data!C1193</f>
        <v>45359</v>
      </c>
      <c r="H1199" s="27">
        <f>Contributions_Data!D1193</f>
        <v>13551.77</v>
      </c>
      <c r="I1199" s="27">
        <v>0</v>
      </c>
    </row>
    <row r="1200" spans="3:9">
      <c r="C1200" s="23">
        <v>1193</v>
      </c>
      <c r="D1200" s="23" t="s">
        <v>132</v>
      </c>
      <c r="E1200" s="23" t="str">
        <f>Contributions_Data!A1194</f>
        <v>DA-003</v>
      </c>
      <c r="F1200" s="23" t="str">
        <f>Contributions_Data!B1194</f>
        <v>DA-003-M0100</v>
      </c>
      <c r="G1200" s="24">
        <f>Contributions_Data!C1194</f>
        <v>45575</v>
      </c>
      <c r="H1200" s="27">
        <f>Contributions_Data!D1194</f>
        <v>12140.01</v>
      </c>
      <c r="I1200" s="27">
        <v>0</v>
      </c>
    </row>
    <row r="1201" spans="2:9">
      <c r="C1201" s="23">
        <v>1194</v>
      </c>
      <c r="D1201" s="23" t="s">
        <v>132</v>
      </c>
      <c r="E1201" s="23" t="str">
        <f>Contributions_Data!A1195</f>
        <v>DA-003</v>
      </c>
      <c r="F1201" s="23" t="str">
        <f>Contributions_Data!B1195</f>
        <v>DA-003-M0100</v>
      </c>
      <c r="G1201" s="24">
        <f>Contributions_Data!C1195</f>
        <v>45532</v>
      </c>
      <c r="H1201" s="27">
        <f>Contributions_Data!D1195</f>
        <v>15368.01</v>
      </c>
      <c r="I1201" s="27">
        <v>0</v>
      </c>
    </row>
    <row r="1202" spans="2:9">
      <c r="C1202" s="23">
        <v>1195</v>
      </c>
      <c r="D1202" s="23" t="s">
        <v>132</v>
      </c>
      <c r="E1202" s="23" t="str">
        <f>Contributions_Data!A1196</f>
        <v>DA-003</v>
      </c>
      <c r="F1202" s="23" t="str">
        <f>Contributions_Data!B1196</f>
        <v>DA-003-M0100</v>
      </c>
      <c r="G1202" s="24">
        <f>Contributions_Data!C1196</f>
        <v>45498</v>
      </c>
      <c r="H1202" s="27">
        <f>Contributions_Data!D1196</f>
        <v>15969.24</v>
      </c>
      <c r="I1202" s="27">
        <v>0</v>
      </c>
    </row>
    <row r="1203" spans="2:9">
      <c r="C1203" s="23">
        <v>1196</v>
      </c>
      <c r="D1203" s="23" t="s">
        <v>132</v>
      </c>
      <c r="E1203" s="23" t="str">
        <f>Contributions_Data!A1197</f>
        <v>DA-003</v>
      </c>
      <c r="F1203" s="23" t="str">
        <f>Contributions_Data!B1197</f>
        <v>DA-003-M0100</v>
      </c>
      <c r="G1203" s="24">
        <f>Contributions_Data!C1197</f>
        <v>45550</v>
      </c>
      <c r="H1203" s="27">
        <f>Contributions_Data!D1197</f>
        <v>14242.94</v>
      </c>
      <c r="I1203" s="27">
        <v>0</v>
      </c>
    </row>
    <row r="1204" spans="2:9">
      <c r="C1204" s="23">
        <v>1197</v>
      </c>
      <c r="D1204" s="23" t="s">
        <v>132</v>
      </c>
      <c r="E1204" s="23" t="str">
        <f>Contributions_Data!A1198</f>
        <v>DA-003</v>
      </c>
      <c r="F1204" s="23" t="str">
        <f>Contributions_Data!B1198</f>
        <v>DA-003-M0100</v>
      </c>
      <c r="G1204" s="24">
        <f>Contributions_Data!C1198</f>
        <v>45503</v>
      </c>
      <c r="H1204" s="27">
        <f>Contributions_Data!D1198</f>
        <v>14124.57</v>
      </c>
      <c r="I1204" s="27">
        <v>0</v>
      </c>
    </row>
    <row r="1205" spans="2:9">
      <c r="C1205" s="23">
        <v>1198</v>
      </c>
      <c r="D1205" s="23" t="s">
        <v>132</v>
      </c>
      <c r="E1205" s="23" t="str">
        <f>Contributions_Data!A1199</f>
        <v>DA-003</v>
      </c>
      <c r="F1205" s="23" t="str">
        <f>Contributions_Data!B1199</f>
        <v>DA-003-M0100</v>
      </c>
      <c r="G1205" s="24">
        <f>Contributions_Data!C1199</f>
        <v>45492</v>
      </c>
      <c r="H1205" s="27">
        <f>Contributions_Data!D1199</f>
        <v>10310.43</v>
      </c>
      <c r="I1205" s="27">
        <v>0</v>
      </c>
    </row>
    <row r="1206" spans="2:9">
      <c r="C1206" s="23">
        <v>1199</v>
      </c>
      <c r="D1206" s="23" t="s">
        <v>132</v>
      </c>
      <c r="E1206" s="23" t="str">
        <f>Contributions_Data!A1200</f>
        <v>DA-003</v>
      </c>
      <c r="F1206" s="23" t="str">
        <f>Contributions_Data!B1200</f>
        <v>DA-003-M0100</v>
      </c>
      <c r="G1206" s="24">
        <f>Contributions_Data!C1200</f>
        <v>45657</v>
      </c>
      <c r="H1206" s="27">
        <f>Contributions_Data!D1200</f>
        <v>17649.330000000002</v>
      </c>
      <c r="I1206" s="27">
        <v>0</v>
      </c>
    </row>
    <row r="1207" spans="2:9">
      <c r="C1207" s="23">
        <v>1200</v>
      </c>
      <c r="D1207" s="23" t="s">
        <v>132</v>
      </c>
      <c r="E1207" s="23" t="str">
        <f>Contributions_Data!A1201</f>
        <v>DA-003</v>
      </c>
      <c r="F1207" s="23" t="str">
        <f>Contributions_Data!B1201</f>
        <v>DA-003-M0100</v>
      </c>
      <c r="G1207" s="24">
        <f>Contributions_Data!C1201</f>
        <v>45632</v>
      </c>
      <c r="H1207" s="27">
        <f>Contributions_Data!D1201</f>
        <v>14766.49</v>
      </c>
      <c r="I1207" s="27">
        <v>0</v>
      </c>
    </row>
    <row r="1208" spans="2:9">
      <c r="B1208" s="23" t="s">
        <v>133</v>
      </c>
      <c r="C1208" s="23" cm="1">
        <f t="array" ref="C1208:C2407">_xlfn.SEQUENCE(COUNTA(Withdrawals_Data!A2:A1201))</f>
        <v>1</v>
      </c>
      <c r="D1208" s="23" t="s">
        <v>134</v>
      </c>
      <c r="E1208" s="23" t="str">
        <f>Withdrawals_Data!A2</f>
        <v>DA-001</v>
      </c>
      <c r="F1208" s="23" t="str">
        <f>Withdrawals_Data!B2</f>
        <v>DA-001-M0075</v>
      </c>
      <c r="G1208" s="24">
        <f>Withdrawals_Data!C2</f>
        <v>45477</v>
      </c>
      <c r="H1208" s="27">
        <v>0</v>
      </c>
      <c r="I1208" s="27">
        <f>-Withdrawals_Data!D2</f>
        <v>-18318.84</v>
      </c>
    </row>
    <row r="1209" spans="2:9">
      <c r="C1209" s="23">
        <v>2</v>
      </c>
      <c r="D1209" s="23" t="s">
        <v>134</v>
      </c>
      <c r="E1209" s="23" t="str">
        <f>Withdrawals_Data!A3</f>
        <v>DA-001</v>
      </c>
      <c r="F1209" s="23" t="str">
        <f>Withdrawals_Data!B3</f>
        <v>DA-001-M0053</v>
      </c>
      <c r="G1209" s="24">
        <f>Withdrawals_Data!C3</f>
        <v>45422</v>
      </c>
      <c r="H1209" s="27">
        <v>0</v>
      </c>
      <c r="I1209" s="27">
        <f>-Withdrawals_Data!D3</f>
        <v>-18107.73</v>
      </c>
    </row>
    <row r="1210" spans="2:9">
      <c r="C1210" s="23">
        <v>3</v>
      </c>
      <c r="D1210" s="23" t="s">
        <v>134</v>
      </c>
      <c r="E1210" s="23" t="str">
        <f>Withdrawals_Data!A4</f>
        <v>DA-001</v>
      </c>
      <c r="F1210" s="23" t="str">
        <f>Withdrawals_Data!B4</f>
        <v>DA-001-M0071</v>
      </c>
      <c r="G1210" s="24">
        <f>Withdrawals_Data!C4</f>
        <v>45429</v>
      </c>
      <c r="H1210" s="27">
        <v>0</v>
      </c>
      <c r="I1210" s="27">
        <f>-Withdrawals_Data!D4</f>
        <v>-17009.740000000002</v>
      </c>
    </row>
    <row r="1211" spans="2:9">
      <c r="C1211" s="23">
        <v>4</v>
      </c>
      <c r="D1211" s="23" t="s">
        <v>134</v>
      </c>
      <c r="E1211" s="23" t="str">
        <f>Withdrawals_Data!A5</f>
        <v>DA-001</v>
      </c>
      <c r="F1211" s="23" t="str">
        <f>Withdrawals_Data!B5</f>
        <v>DA-001-M0019</v>
      </c>
      <c r="G1211" s="24">
        <f>Withdrawals_Data!C5</f>
        <v>45340</v>
      </c>
      <c r="H1211" s="27">
        <v>0</v>
      </c>
      <c r="I1211" s="27">
        <f>-Withdrawals_Data!D5</f>
        <v>-16759.21</v>
      </c>
    </row>
    <row r="1212" spans="2:9">
      <c r="C1212" s="23">
        <v>5</v>
      </c>
      <c r="D1212" s="23" t="s">
        <v>134</v>
      </c>
      <c r="E1212" s="23" t="str">
        <f>Withdrawals_Data!A6</f>
        <v>DA-002</v>
      </c>
      <c r="F1212" s="23" t="str">
        <f>Withdrawals_Data!B6</f>
        <v>DA-002-M0088</v>
      </c>
      <c r="G1212" s="24">
        <f>Withdrawals_Data!C6</f>
        <v>45422</v>
      </c>
      <c r="H1212" s="27">
        <v>0</v>
      </c>
      <c r="I1212" s="27">
        <f>-Withdrawals_Data!D6</f>
        <v>-16660.009999999998</v>
      </c>
    </row>
    <row r="1213" spans="2:9">
      <c r="C1213" s="23">
        <v>6</v>
      </c>
      <c r="D1213" s="23" t="s">
        <v>134</v>
      </c>
      <c r="E1213" s="23" t="str">
        <f>Withdrawals_Data!A7</f>
        <v>DA-002</v>
      </c>
      <c r="F1213" s="23" t="str">
        <f>Withdrawals_Data!B7</f>
        <v>DA-002-M0062</v>
      </c>
      <c r="G1213" s="24">
        <f>Withdrawals_Data!C7</f>
        <v>45397</v>
      </c>
      <c r="H1213" s="27">
        <v>0</v>
      </c>
      <c r="I1213" s="27">
        <f>-Withdrawals_Data!D7</f>
        <v>-16569.080000000002</v>
      </c>
    </row>
    <row r="1214" spans="2:9">
      <c r="C1214" s="23">
        <v>7</v>
      </c>
      <c r="D1214" s="23" t="s">
        <v>134</v>
      </c>
      <c r="E1214" s="23" t="str">
        <f>Withdrawals_Data!A8</f>
        <v>DA-001</v>
      </c>
      <c r="F1214" s="23" t="str">
        <f>Withdrawals_Data!B8</f>
        <v>DA-001-M0011</v>
      </c>
      <c r="G1214" s="24">
        <f>Withdrawals_Data!C8</f>
        <v>45363</v>
      </c>
      <c r="H1214" s="27">
        <v>0</v>
      </c>
      <c r="I1214" s="27">
        <f>-Withdrawals_Data!D8</f>
        <v>-16488.62</v>
      </c>
    </row>
    <row r="1215" spans="2:9">
      <c r="C1215" s="23">
        <v>8</v>
      </c>
      <c r="D1215" s="23" t="s">
        <v>134</v>
      </c>
      <c r="E1215" s="23" t="str">
        <f>Withdrawals_Data!A9</f>
        <v>DA-003</v>
      </c>
      <c r="F1215" s="23" t="str">
        <f>Withdrawals_Data!B9</f>
        <v>DA-003-M0086</v>
      </c>
      <c r="G1215" s="24">
        <f>Withdrawals_Data!C9</f>
        <v>45508</v>
      </c>
      <c r="H1215" s="27">
        <v>0</v>
      </c>
      <c r="I1215" s="27">
        <f>-Withdrawals_Data!D9</f>
        <v>-16053.55</v>
      </c>
    </row>
    <row r="1216" spans="2:9">
      <c r="C1216" s="23">
        <v>9</v>
      </c>
      <c r="D1216" s="23" t="s">
        <v>134</v>
      </c>
      <c r="E1216" s="23" t="str">
        <f>Withdrawals_Data!A10</f>
        <v>DA-001</v>
      </c>
      <c r="F1216" s="23" t="str">
        <f>Withdrawals_Data!B10</f>
        <v>DA-001-M0025</v>
      </c>
      <c r="G1216" s="24">
        <f>Withdrawals_Data!C10</f>
        <v>45461</v>
      </c>
      <c r="H1216" s="27">
        <v>0</v>
      </c>
      <c r="I1216" s="27">
        <f>-Withdrawals_Data!D10</f>
        <v>-15858.9</v>
      </c>
    </row>
    <row r="1217" spans="3:9">
      <c r="C1217" s="23">
        <v>10</v>
      </c>
      <c r="D1217" s="23" t="s">
        <v>134</v>
      </c>
      <c r="E1217" s="23" t="str">
        <f>Withdrawals_Data!A11</f>
        <v>DA-003</v>
      </c>
      <c r="F1217" s="23" t="str">
        <f>Withdrawals_Data!B11</f>
        <v>DA-003-M0068</v>
      </c>
      <c r="G1217" s="24">
        <f>Withdrawals_Data!C11</f>
        <v>45320</v>
      </c>
      <c r="H1217" s="27">
        <v>0</v>
      </c>
      <c r="I1217" s="27">
        <f>-Withdrawals_Data!D11</f>
        <v>-15656.13</v>
      </c>
    </row>
    <row r="1218" spans="3:9">
      <c r="C1218" s="23">
        <v>11</v>
      </c>
      <c r="D1218" s="23" t="s">
        <v>134</v>
      </c>
      <c r="E1218" s="23" t="str">
        <f>Withdrawals_Data!A12</f>
        <v>DA-003</v>
      </c>
      <c r="F1218" s="23" t="str">
        <f>Withdrawals_Data!B12</f>
        <v>DA-003-M0028</v>
      </c>
      <c r="G1218" s="24">
        <f>Withdrawals_Data!C12</f>
        <v>45597</v>
      </c>
      <c r="H1218" s="27">
        <v>0</v>
      </c>
      <c r="I1218" s="27">
        <f>-Withdrawals_Data!D12</f>
        <v>-15637.67</v>
      </c>
    </row>
    <row r="1219" spans="3:9">
      <c r="C1219" s="23">
        <v>12</v>
      </c>
      <c r="D1219" s="23" t="s">
        <v>134</v>
      </c>
      <c r="E1219" s="23" t="str">
        <f>Withdrawals_Data!A13</f>
        <v>DA-001</v>
      </c>
      <c r="F1219" s="23" t="str">
        <f>Withdrawals_Data!B13</f>
        <v>DA-001-M0011</v>
      </c>
      <c r="G1219" s="24">
        <f>Withdrawals_Data!C13</f>
        <v>45523</v>
      </c>
      <c r="H1219" s="27">
        <v>0</v>
      </c>
      <c r="I1219" s="27">
        <f>-Withdrawals_Data!D13</f>
        <v>-15061.82</v>
      </c>
    </row>
    <row r="1220" spans="3:9">
      <c r="C1220" s="23">
        <v>13</v>
      </c>
      <c r="D1220" s="23" t="s">
        <v>134</v>
      </c>
      <c r="E1220" s="23" t="str">
        <f>Withdrawals_Data!A14</f>
        <v>DA-001</v>
      </c>
      <c r="F1220" s="23" t="str">
        <f>Withdrawals_Data!B14</f>
        <v>DA-001-M0075</v>
      </c>
      <c r="G1220" s="24">
        <f>Withdrawals_Data!C14</f>
        <v>45516</v>
      </c>
      <c r="H1220" s="27">
        <v>0</v>
      </c>
      <c r="I1220" s="27">
        <f>-Withdrawals_Data!D14</f>
        <v>-14710.8</v>
      </c>
    </row>
    <row r="1221" spans="3:9">
      <c r="C1221" s="23">
        <v>14</v>
      </c>
      <c r="D1221" s="23" t="s">
        <v>134</v>
      </c>
      <c r="E1221" s="23" t="str">
        <f>Withdrawals_Data!A15</f>
        <v>DA-001</v>
      </c>
      <c r="F1221" s="23" t="str">
        <f>Withdrawals_Data!B15</f>
        <v>DA-001-M0043</v>
      </c>
      <c r="G1221" s="24">
        <f>Withdrawals_Data!C15</f>
        <v>45567</v>
      </c>
      <c r="H1221" s="27">
        <v>0</v>
      </c>
      <c r="I1221" s="27">
        <f>-Withdrawals_Data!D15</f>
        <v>-14661.9</v>
      </c>
    </row>
    <row r="1222" spans="3:9">
      <c r="C1222" s="23">
        <v>15</v>
      </c>
      <c r="D1222" s="23" t="s">
        <v>134</v>
      </c>
      <c r="E1222" s="23" t="str">
        <f>Withdrawals_Data!A16</f>
        <v>DA-003</v>
      </c>
      <c r="F1222" s="23" t="str">
        <f>Withdrawals_Data!B16</f>
        <v>DA-003-M0012</v>
      </c>
      <c r="G1222" s="24">
        <f>Withdrawals_Data!C16</f>
        <v>45321</v>
      </c>
      <c r="H1222" s="27">
        <v>0</v>
      </c>
      <c r="I1222" s="27">
        <f>-Withdrawals_Data!D16</f>
        <v>-14529.65</v>
      </c>
    </row>
    <row r="1223" spans="3:9">
      <c r="C1223" s="23">
        <v>16</v>
      </c>
      <c r="D1223" s="23" t="s">
        <v>134</v>
      </c>
      <c r="E1223" s="23" t="str">
        <f>Withdrawals_Data!A17</f>
        <v>DA-003</v>
      </c>
      <c r="F1223" s="23" t="str">
        <f>Withdrawals_Data!B17</f>
        <v>DA-003-M0076</v>
      </c>
      <c r="G1223" s="24">
        <f>Withdrawals_Data!C17</f>
        <v>45519</v>
      </c>
      <c r="H1223" s="27">
        <v>0</v>
      </c>
      <c r="I1223" s="27">
        <f>-Withdrawals_Data!D17</f>
        <v>-14513.59</v>
      </c>
    </row>
    <row r="1224" spans="3:9">
      <c r="C1224" s="23">
        <v>17</v>
      </c>
      <c r="D1224" s="23" t="s">
        <v>134</v>
      </c>
      <c r="E1224" s="23" t="str">
        <f>Withdrawals_Data!A18</f>
        <v>DA-003</v>
      </c>
      <c r="F1224" s="23" t="str">
        <f>Withdrawals_Data!B18</f>
        <v>DA-003-M0100</v>
      </c>
      <c r="G1224" s="24">
        <f>Withdrawals_Data!C18</f>
        <v>45441</v>
      </c>
      <c r="H1224" s="27">
        <v>0</v>
      </c>
      <c r="I1224" s="27">
        <f>-Withdrawals_Data!D18</f>
        <v>-14498.71</v>
      </c>
    </row>
    <row r="1225" spans="3:9">
      <c r="C1225" s="23">
        <v>18</v>
      </c>
      <c r="D1225" s="23" t="s">
        <v>134</v>
      </c>
      <c r="E1225" s="23" t="str">
        <f>Withdrawals_Data!A19</f>
        <v>DA-002</v>
      </c>
      <c r="F1225" s="23" t="str">
        <f>Withdrawals_Data!B19</f>
        <v>DA-002-M0070</v>
      </c>
      <c r="G1225" s="24">
        <f>Withdrawals_Data!C19</f>
        <v>45472</v>
      </c>
      <c r="H1225" s="27">
        <v>0</v>
      </c>
      <c r="I1225" s="27">
        <f>-Withdrawals_Data!D19</f>
        <v>-14378.02</v>
      </c>
    </row>
    <row r="1226" spans="3:9">
      <c r="C1226" s="23">
        <v>19</v>
      </c>
      <c r="D1226" s="23" t="s">
        <v>134</v>
      </c>
      <c r="E1226" s="23" t="str">
        <f>Withdrawals_Data!A20</f>
        <v>DA-001</v>
      </c>
      <c r="F1226" s="23" t="str">
        <f>Withdrawals_Data!B20</f>
        <v>DA-001-M0049</v>
      </c>
      <c r="G1226" s="24">
        <f>Withdrawals_Data!C20</f>
        <v>45457</v>
      </c>
      <c r="H1226" s="27">
        <v>0</v>
      </c>
      <c r="I1226" s="27">
        <f>-Withdrawals_Data!D20</f>
        <v>-14318.29</v>
      </c>
    </row>
    <row r="1227" spans="3:9">
      <c r="C1227" s="23">
        <v>20</v>
      </c>
      <c r="D1227" s="23" t="s">
        <v>134</v>
      </c>
      <c r="E1227" s="23" t="str">
        <f>Withdrawals_Data!A21</f>
        <v>DA-002</v>
      </c>
      <c r="F1227" s="23" t="str">
        <f>Withdrawals_Data!B21</f>
        <v>DA-002-M0018</v>
      </c>
      <c r="G1227" s="24">
        <f>Withdrawals_Data!C21</f>
        <v>45544</v>
      </c>
      <c r="H1227" s="27">
        <v>0</v>
      </c>
      <c r="I1227" s="27">
        <f>-Withdrawals_Data!D21</f>
        <v>-14130.96</v>
      </c>
    </row>
    <row r="1228" spans="3:9">
      <c r="C1228" s="23">
        <v>21</v>
      </c>
      <c r="D1228" s="23" t="s">
        <v>134</v>
      </c>
      <c r="E1228" s="23" t="str">
        <f>Withdrawals_Data!A22</f>
        <v>DA-002</v>
      </c>
      <c r="F1228" s="23" t="str">
        <f>Withdrawals_Data!B22</f>
        <v>DA-002-M0060</v>
      </c>
      <c r="G1228" s="24">
        <f>Withdrawals_Data!C22</f>
        <v>45626</v>
      </c>
      <c r="H1228" s="27">
        <v>0</v>
      </c>
      <c r="I1228" s="27">
        <f>-Withdrawals_Data!D22</f>
        <v>-14013.59</v>
      </c>
    </row>
    <row r="1229" spans="3:9">
      <c r="C1229" s="23">
        <v>22</v>
      </c>
      <c r="D1229" s="23" t="s">
        <v>134</v>
      </c>
      <c r="E1229" s="23" t="str">
        <f>Withdrawals_Data!A23</f>
        <v>DA-003</v>
      </c>
      <c r="F1229" s="23" t="str">
        <f>Withdrawals_Data!B23</f>
        <v>DA-003-M0066</v>
      </c>
      <c r="G1229" s="24">
        <f>Withdrawals_Data!C23</f>
        <v>45539</v>
      </c>
      <c r="H1229" s="27">
        <v>0</v>
      </c>
      <c r="I1229" s="27">
        <f>-Withdrawals_Data!D23</f>
        <v>-14003.04</v>
      </c>
    </row>
    <row r="1230" spans="3:9">
      <c r="C1230" s="23">
        <v>23</v>
      </c>
      <c r="D1230" s="23" t="s">
        <v>134</v>
      </c>
      <c r="E1230" s="23" t="str">
        <f>Withdrawals_Data!A24</f>
        <v>DA-002</v>
      </c>
      <c r="F1230" s="23" t="str">
        <f>Withdrawals_Data!B24</f>
        <v>DA-002-M0097</v>
      </c>
      <c r="G1230" s="24">
        <f>Withdrawals_Data!C24</f>
        <v>45405</v>
      </c>
      <c r="H1230" s="27">
        <v>0</v>
      </c>
      <c r="I1230" s="27">
        <f>-Withdrawals_Data!D24</f>
        <v>-13970.75</v>
      </c>
    </row>
    <row r="1231" spans="3:9">
      <c r="C1231" s="23">
        <v>24</v>
      </c>
      <c r="D1231" s="23" t="s">
        <v>134</v>
      </c>
      <c r="E1231" s="23" t="str">
        <f>Withdrawals_Data!A25</f>
        <v>DA-003</v>
      </c>
      <c r="F1231" s="23" t="str">
        <f>Withdrawals_Data!B25</f>
        <v>DA-003-M0012</v>
      </c>
      <c r="G1231" s="24">
        <f>Withdrawals_Data!C25</f>
        <v>45324</v>
      </c>
      <c r="H1231" s="27">
        <v>0</v>
      </c>
      <c r="I1231" s="27">
        <f>-Withdrawals_Data!D25</f>
        <v>-13765.09</v>
      </c>
    </row>
    <row r="1232" spans="3:9">
      <c r="C1232" s="23">
        <v>25</v>
      </c>
      <c r="D1232" s="23" t="s">
        <v>134</v>
      </c>
      <c r="E1232" s="23" t="str">
        <f>Withdrawals_Data!A26</f>
        <v>DA-002</v>
      </c>
      <c r="F1232" s="23" t="str">
        <f>Withdrawals_Data!B26</f>
        <v>DA-002-M0051</v>
      </c>
      <c r="G1232" s="24">
        <f>Withdrawals_Data!C26</f>
        <v>45502</v>
      </c>
      <c r="H1232" s="27">
        <v>0</v>
      </c>
      <c r="I1232" s="27">
        <f>-Withdrawals_Data!D26</f>
        <v>-13682.02</v>
      </c>
    </row>
    <row r="1233" spans="3:9">
      <c r="C1233" s="23">
        <v>26</v>
      </c>
      <c r="D1233" s="23" t="s">
        <v>134</v>
      </c>
      <c r="E1233" s="23" t="str">
        <f>Withdrawals_Data!A27</f>
        <v>DA-002</v>
      </c>
      <c r="F1233" s="23" t="str">
        <f>Withdrawals_Data!B27</f>
        <v>DA-002-M0003</v>
      </c>
      <c r="G1233" s="24">
        <f>Withdrawals_Data!C27</f>
        <v>45464</v>
      </c>
      <c r="H1233" s="27">
        <v>0</v>
      </c>
      <c r="I1233" s="27">
        <f>-Withdrawals_Data!D27</f>
        <v>-13611.18</v>
      </c>
    </row>
    <row r="1234" spans="3:9">
      <c r="C1234" s="23">
        <v>27</v>
      </c>
      <c r="D1234" s="23" t="s">
        <v>134</v>
      </c>
      <c r="E1234" s="23" t="str">
        <f>Withdrawals_Data!A28</f>
        <v>DA-002</v>
      </c>
      <c r="F1234" s="23" t="str">
        <f>Withdrawals_Data!B28</f>
        <v>DA-002-M0064</v>
      </c>
      <c r="G1234" s="24">
        <f>Withdrawals_Data!C28</f>
        <v>45516</v>
      </c>
      <c r="H1234" s="27">
        <v>0</v>
      </c>
      <c r="I1234" s="27">
        <f>-Withdrawals_Data!D28</f>
        <v>-13520.37</v>
      </c>
    </row>
    <row r="1235" spans="3:9">
      <c r="C1235" s="23">
        <v>28</v>
      </c>
      <c r="D1235" s="23" t="s">
        <v>134</v>
      </c>
      <c r="E1235" s="23" t="str">
        <f>Withdrawals_Data!A29</f>
        <v>DA-002</v>
      </c>
      <c r="F1235" s="23" t="str">
        <f>Withdrawals_Data!B29</f>
        <v>DA-002-M0023</v>
      </c>
      <c r="G1235" s="24">
        <f>Withdrawals_Data!C29</f>
        <v>45555</v>
      </c>
      <c r="H1235" s="27">
        <v>0</v>
      </c>
      <c r="I1235" s="27">
        <f>-Withdrawals_Data!D29</f>
        <v>-13474.53</v>
      </c>
    </row>
    <row r="1236" spans="3:9">
      <c r="C1236" s="23">
        <v>29</v>
      </c>
      <c r="D1236" s="23" t="s">
        <v>134</v>
      </c>
      <c r="E1236" s="23" t="str">
        <f>Withdrawals_Data!A30</f>
        <v>DA-002</v>
      </c>
      <c r="F1236" s="23" t="str">
        <f>Withdrawals_Data!B30</f>
        <v>DA-002-M0026</v>
      </c>
      <c r="G1236" s="24">
        <f>Withdrawals_Data!C30</f>
        <v>45606</v>
      </c>
      <c r="H1236" s="27">
        <v>0</v>
      </c>
      <c r="I1236" s="27">
        <f>-Withdrawals_Data!D30</f>
        <v>-13467.5</v>
      </c>
    </row>
    <row r="1237" spans="3:9">
      <c r="C1237" s="23">
        <v>30</v>
      </c>
      <c r="D1237" s="23" t="s">
        <v>134</v>
      </c>
      <c r="E1237" s="23" t="str">
        <f>Withdrawals_Data!A31</f>
        <v>DA-002</v>
      </c>
      <c r="F1237" s="23" t="str">
        <f>Withdrawals_Data!B31</f>
        <v>DA-002-M0021</v>
      </c>
      <c r="G1237" s="24">
        <f>Withdrawals_Data!C31</f>
        <v>45476</v>
      </c>
      <c r="H1237" s="27">
        <v>0</v>
      </c>
      <c r="I1237" s="27">
        <f>-Withdrawals_Data!D31</f>
        <v>-13415.49</v>
      </c>
    </row>
    <row r="1238" spans="3:9">
      <c r="C1238" s="23">
        <v>31</v>
      </c>
      <c r="D1238" s="23" t="s">
        <v>134</v>
      </c>
      <c r="E1238" s="23" t="str">
        <f>Withdrawals_Data!A32</f>
        <v>DA-003</v>
      </c>
      <c r="F1238" s="23" t="str">
        <f>Withdrawals_Data!B32</f>
        <v>DA-003-M0005</v>
      </c>
      <c r="G1238" s="24">
        <f>Withdrawals_Data!C32</f>
        <v>45471</v>
      </c>
      <c r="H1238" s="27">
        <v>0</v>
      </c>
      <c r="I1238" s="27">
        <f>-Withdrawals_Data!D32</f>
        <v>-13228.57</v>
      </c>
    </row>
    <row r="1239" spans="3:9">
      <c r="C1239" s="23">
        <v>32</v>
      </c>
      <c r="D1239" s="23" t="s">
        <v>134</v>
      </c>
      <c r="E1239" s="23" t="str">
        <f>Withdrawals_Data!A33</f>
        <v>DA-003</v>
      </c>
      <c r="F1239" s="23" t="str">
        <f>Withdrawals_Data!B33</f>
        <v>DA-003-M0015</v>
      </c>
      <c r="G1239" s="24">
        <f>Withdrawals_Data!C33</f>
        <v>45397</v>
      </c>
      <c r="H1239" s="27">
        <v>0</v>
      </c>
      <c r="I1239" s="27">
        <f>-Withdrawals_Data!D33</f>
        <v>-13221.92</v>
      </c>
    </row>
    <row r="1240" spans="3:9">
      <c r="C1240" s="23">
        <v>33</v>
      </c>
      <c r="D1240" s="23" t="s">
        <v>134</v>
      </c>
      <c r="E1240" s="23" t="str">
        <f>Withdrawals_Data!A34</f>
        <v>DA-001</v>
      </c>
      <c r="F1240" s="23" t="str">
        <f>Withdrawals_Data!B34</f>
        <v>DA-001-M0022</v>
      </c>
      <c r="G1240" s="24">
        <f>Withdrawals_Data!C34</f>
        <v>45458</v>
      </c>
      <c r="H1240" s="27">
        <v>0</v>
      </c>
      <c r="I1240" s="27">
        <f>-Withdrawals_Data!D34</f>
        <v>-13110.71</v>
      </c>
    </row>
    <row r="1241" spans="3:9">
      <c r="C1241" s="23">
        <v>34</v>
      </c>
      <c r="D1241" s="23" t="s">
        <v>134</v>
      </c>
      <c r="E1241" s="23" t="str">
        <f>Withdrawals_Data!A35</f>
        <v>DA-003</v>
      </c>
      <c r="F1241" s="23" t="str">
        <f>Withdrawals_Data!B35</f>
        <v>DA-003-M0012</v>
      </c>
      <c r="G1241" s="24">
        <f>Withdrawals_Data!C35</f>
        <v>45500</v>
      </c>
      <c r="H1241" s="27">
        <v>0</v>
      </c>
      <c r="I1241" s="27">
        <f>-Withdrawals_Data!D35</f>
        <v>-13067.64</v>
      </c>
    </row>
    <row r="1242" spans="3:9">
      <c r="C1242" s="23">
        <v>35</v>
      </c>
      <c r="D1242" s="23" t="s">
        <v>134</v>
      </c>
      <c r="E1242" s="23" t="str">
        <f>Withdrawals_Data!A36</f>
        <v>DA-001</v>
      </c>
      <c r="F1242" s="23" t="str">
        <f>Withdrawals_Data!B36</f>
        <v>DA-001-M0092</v>
      </c>
      <c r="G1242" s="24">
        <f>Withdrawals_Data!C36</f>
        <v>45503</v>
      </c>
      <c r="H1242" s="27">
        <v>0</v>
      </c>
      <c r="I1242" s="27">
        <f>-Withdrawals_Data!D36</f>
        <v>-13050.34</v>
      </c>
    </row>
    <row r="1243" spans="3:9">
      <c r="C1243" s="23">
        <v>36</v>
      </c>
      <c r="D1243" s="23" t="s">
        <v>134</v>
      </c>
      <c r="E1243" s="23" t="str">
        <f>Withdrawals_Data!A37</f>
        <v>DA-003</v>
      </c>
      <c r="F1243" s="23" t="str">
        <f>Withdrawals_Data!B37</f>
        <v>DA-003-M0048</v>
      </c>
      <c r="G1243" s="24">
        <f>Withdrawals_Data!C37</f>
        <v>45638</v>
      </c>
      <c r="H1243" s="27">
        <v>0</v>
      </c>
      <c r="I1243" s="27">
        <f>-Withdrawals_Data!D37</f>
        <v>-13023.02</v>
      </c>
    </row>
    <row r="1244" spans="3:9">
      <c r="C1244" s="23">
        <v>37</v>
      </c>
      <c r="D1244" s="23" t="s">
        <v>134</v>
      </c>
      <c r="E1244" s="23" t="str">
        <f>Withdrawals_Data!A38</f>
        <v>DA-002</v>
      </c>
      <c r="F1244" s="23" t="str">
        <f>Withdrawals_Data!B38</f>
        <v>DA-002-M0021</v>
      </c>
      <c r="G1244" s="24">
        <f>Withdrawals_Data!C38</f>
        <v>45619</v>
      </c>
      <c r="H1244" s="27">
        <v>0</v>
      </c>
      <c r="I1244" s="27">
        <f>-Withdrawals_Data!D38</f>
        <v>-12951.27</v>
      </c>
    </row>
    <row r="1245" spans="3:9">
      <c r="C1245" s="23">
        <v>38</v>
      </c>
      <c r="D1245" s="23" t="s">
        <v>134</v>
      </c>
      <c r="E1245" s="23" t="str">
        <f>Withdrawals_Data!A39</f>
        <v>DA-002</v>
      </c>
      <c r="F1245" s="23" t="str">
        <f>Withdrawals_Data!B39</f>
        <v>DA-002-M0094</v>
      </c>
      <c r="G1245" s="24">
        <f>Withdrawals_Data!C39</f>
        <v>45473</v>
      </c>
      <c r="H1245" s="27">
        <v>0</v>
      </c>
      <c r="I1245" s="27">
        <f>-Withdrawals_Data!D39</f>
        <v>-12884.13</v>
      </c>
    </row>
    <row r="1246" spans="3:9">
      <c r="C1246" s="23">
        <v>39</v>
      </c>
      <c r="D1246" s="23" t="s">
        <v>134</v>
      </c>
      <c r="E1246" s="23" t="str">
        <f>Withdrawals_Data!A40</f>
        <v>DA-001</v>
      </c>
      <c r="F1246" s="23" t="str">
        <f>Withdrawals_Data!B40</f>
        <v>DA-001-M0093</v>
      </c>
      <c r="G1246" s="24">
        <f>Withdrawals_Data!C40</f>
        <v>45451</v>
      </c>
      <c r="H1246" s="27">
        <v>0</v>
      </c>
      <c r="I1246" s="27">
        <f>-Withdrawals_Data!D40</f>
        <v>-12833.46</v>
      </c>
    </row>
    <row r="1247" spans="3:9">
      <c r="C1247" s="23">
        <v>40</v>
      </c>
      <c r="D1247" s="23" t="s">
        <v>134</v>
      </c>
      <c r="E1247" s="23" t="str">
        <f>Withdrawals_Data!A41</f>
        <v>DA-002</v>
      </c>
      <c r="F1247" s="23" t="str">
        <f>Withdrawals_Data!B41</f>
        <v>DA-002-M0091</v>
      </c>
      <c r="G1247" s="24">
        <f>Withdrawals_Data!C41</f>
        <v>45424</v>
      </c>
      <c r="H1247" s="27">
        <v>0</v>
      </c>
      <c r="I1247" s="27">
        <f>-Withdrawals_Data!D41</f>
        <v>-12786.53</v>
      </c>
    </row>
    <row r="1248" spans="3:9">
      <c r="C1248" s="23">
        <v>41</v>
      </c>
      <c r="D1248" s="23" t="s">
        <v>134</v>
      </c>
      <c r="E1248" s="23" t="str">
        <f>Withdrawals_Data!A42</f>
        <v>DA-001</v>
      </c>
      <c r="F1248" s="23" t="str">
        <f>Withdrawals_Data!B42</f>
        <v>DA-001-M0022</v>
      </c>
      <c r="G1248" s="24">
        <f>Withdrawals_Data!C42</f>
        <v>45643</v>
      </c>
      <c r="H1248" s="27">
        <v>0</v>
      </c>
      <c r="I1248" s="27">
        <f>-Withdrawals_Data!D42</f>
        <v>-12717.19</v>
      </c>
    </row>
    <row r="1249" spans="3:9">
      <c r="C1249" s="23">
        <v>42</v>
      </c>
      <c r="D1249" s="23" t="s">
        <v>134</v>
      </c>
      <c r="E1249" s="23" t="str">
        <f>Withdrawals_Data!A43</f>
        <v>DA-001</v>
      </c>
      <c r="F1249" s="23" t="str">
        <f>Withdrawals_Data!B43</f>
        <v>DA-001-M0065</v>
      </c>
      <c r="G1249" s="24">
        <f>Withdrawals_Data!C43</f>
        <v>45652</v>
      </c>
      <c r="H1249" s="27">
        <v>0</v>
      </c>
      <c r="I1249" s="27">
        <f>-Withdrawals_Data!D43</f>
        <v>-12690.92</v>
      </c>
    </row>
    <row r="1250" spans="3:9">
      <c r="C1250" s="23">
        <v>43</v>
      </c>
      <c r="D1250" s="23" t="s">
        <v>134</v>
      </c>
      <c r="E1250" s="23" t="str">
        <f>Withdrawals_Data!A44</f>
        <v>DA-001</v>
      </c>
      <c r="F1250" s="23" t="str">
        <f>Withdrawals_Data!B44</f>
        <v>DA-001-M0065</v>
      </c>
      <c r="G1250" s="24">
        <f>Withdrawals_Data!C44</f>
        <v>45417</v>
      </c>
      <c r="H1250" s="27">
        <v>0</v>
      </c>
      <c r="I1250" s="27">
        <f>-Withdrawals_Data!D44</f>
        <v>-12595.06</v>
      </c>
    </row>
    <row r="1251" spans="3:9">
      <c r="C1251" s="23">
        <v>44</v>
      </c>
      <c r="D1251" s="23" t="s">
        <v>134</v>
      </c>
      <c r="E1251" s="23" t="str">
        <f>Withdrawals_Data!A45</f>
        <v>DA-001</v>
      </c>
      <c r="F1251" s="23" t="str">
        <f>Withdrawals_Data!B45</f>
        <v>DA-001-M0098</v>
      </c>
      <c r="G1251" s="24">
        <f>Withdrawals_Data!C45</f>
        <v>45300</v>
      </c>
      <c r="H1251" s="27">
        <v>0</v>
      </c>
      <c r="I1251" s="27">
        <f>-Withdrawals_Data!D45</f>
        <v>-12594.55</v>
      </c>
    </row>
    <row r="1252" spans="3:9">
      <c r="C1252" s="23">
        <v>45</v>
      </c>
      <c r="D1252" s="23" t="s">
        <v>134</v>
      </c>
      <c r="E1252" s="23" t="str">
        <f>Withdrawals_Data!A46</f>
        <v>DA-001</v>
      </c>
      <c r="F1252" s="23" t="str">
        <f>Withdrawals_Data!B46</f>
        <v>DA-001-M0009</v>
      </c>
      <c r="G1252" s="24">
        <f>Withdrawals_Data!C46</f>
        <v>45420</v>
      </c>
      <c r="H1252" s="27">
        <v>0</v>
      </c>
      <c r="I1252" s="27">
        <f>-Withdrawals_Data!D46</f>
        <v>-12542.26</v>
      </c>
    </row>
    <row r="1253" spans="3:9">
      <c r="C1253" s="23">
        <v>46</v>
      </c>
      <c r="D1253" s="23" t="s">
        <v>134</v>
      </c>
      <c r="E1253" s="23" t="str">
        <f>Withdrawals_Data!A47</f>
        <v>DA-003</v>
      </c>
      <c r="F1253" s="23" t="str">
        <f>Withdrawals_Data!B47</f>
        <v>DA-003-M0036</v>
      </c>
      <c r="G1253" s="24">
        <f>Withdrawals_Data!C47</f>
        <v>45325</v>
      </c>
      <c r="H1253" s="27">
        <v>0</v>
      </c>
      <c r="I1253" s="27">
        <f>-Withdrawals_Data!D47</f>
        <v>-12376.77</v>
      </c>
    </row>
    <row r="1254" spans="3:9">
      <c r="C1254" s="23">
        <v>47</v>
      </c>
      <c r="D1254" s="23" t="s">
        <v>134</v>
      </c>
      <c r="E1254" s="23" t="str">
        <f>Withdrawals_Data!A48</f>
        <v>DA-002</v>
      </c>
      <c r="F1254" s="23" t="str">
        <f>Withdrawals_Data!B48</f>
        <v>DA-002-M0078</v>
      </c>
      <c r="G1254" s="24">
        <f>Withdrawals_Data!C48</f>
        <v>45645</v>
      </c>
      <c r="H1254" s="27">
        <v>0</v>
      </c>
      <c r="I1254" s="27">
        <f>-Withdrawals_Data!D48</f>
        <v>-12365.24</v>
      </c>
    </row>
    <row r="1255" spans="3:9">
      <c r="C1255" s="23">
        <v>48</v>
      </c>
      <c r="D1255" s="23" t="s">
        <v>134</v>
      </c>
      <c r="E1255" s="23" t="str">
        <f>Withdrawals_Data!A49</f>
        <v>DA-001</v>
      </c>
      <c r="F1255" s="23" t="str">
        <f>Withdrawals_Data!B49</f>
        <v>DA-001-M0010</v>
      </c>
      <c r="G1255" s="24">
        <f>Withdrawals_Data!C49</f>
        <v>45554</v>
      </c>
      <c r="H1255" s="27">
        <v>0</v>
      </c>
      <c r="I1255" s="27">
        <f>-Withdrawals_Data!D49</f>
        <v>-12355.8</v>
      </c>
    </row>
    <row r="1256" spans="3:9">
      <c r="C1256" s="23">
        <v>49</v>
      </c>
      <c r="D1256" s="23" t="s">
        <v>134</v>
      </c>
      <c r="E1256" s="23" t="str">
        <f>Withdrawals_Data!A50</f>
        <v>DA-002</v>
      </c>
      <c r="F1256" s="23" t="str">
        <f>Withdrawals_Data!B50</f>
        <v>DA-002-M0064</v>
      </c>
      <c r="G1256" s="24">
        <f>Withdrawals_Data!C50</f>
        <v>45634</v>
      </c>
      <c r="H1256" s="27">
        <v>0</v>
      </c>
      <c r="I1256" s="27">
        <f>-Withdrawals_Data!D50</f>
        <v>-12314.72</v>
      </c>
    </row>
    <row r="1257" spans="3:9">
      <c r="C1257" s="23">
        <v>50</v>
      </c>
      <c r="D1257" s="23" t="s">
        <v>134</v>
      </c>
      <c r="E1257" s="23" t="str">
        <f>Withdrawals_Data!A51</f>
        <v>DA-002</v>
      </c>
      <c r="F1257" s="23" t="str">
        <f>Withdrawals_Data!B51</f>
        <v>DA-002-M0088</v>
      </c>
      <c r="G1257" s="24">
        <f>Withdrawals_Data!C51</f>
        <v>45554</v>
      </c>
      <c r="H1257" s="27">
        <v>0</v>
      </c>
      <c r="I1257" s="27">
        <f>-Withdrawals_Data!D51</f>
        <v>-12290.03</v>
      </c>
    </row>
    <row r="1258" spans="3:9">
      <c r="C1258" s="23">
        <v>51</v>
      </c>
      <c r="D1258" s="23" t="s">
        <v>134</v>
      </c>
      <c r="E1258" s="23" t="str">
        <f>Withdrawals_Data!A52</f>
        <v>DA-003</v>
      </c>
      <c r="F1258" s="23" t="str">
        <f>Withdrawals_Data!B52</f>
        <v>DA-003-M0048</v>
      </c>
      <c r="G1258" s="24">
        <f>Withdrawals_Data!C52</f>
        <v>45563</v>
      </c>
      <c r="H1258" s="27">
        <v>0</v>
      </c>
      <c r="I1258" s="27">
        <f>-Withdrawals_Data!D52</f>
        <v>-12261.92</v>
      </c>
    </row>
    <row r="1259" spans="3:9">
      <c r="C1259" s="23">
        <v>52</v>
      </c>
      <c r="D1259" s="23" t="s">
        <v>134</v>
      </c>
      <c r="E1259" s="23" t="str">
        <f>Withdrawals_Data!A53</f>
        <v>DA-002</v>
      </c>
      <c r="F1259" s="23" t="str">
        <f>Withdrawals_Data!B53</f>
        <v>DA-002-M0044</v>
      </c>
      <c r="G1259" s="24">
        <f>Withdrawals_Data!C53</f>
        <v>45489</v>
      </c>
      <c r="H1259" s="27">
        <v>0</v>
      </c>
      <c r="I1259" s="27">
        <f>-Withdrawals_Data!D53</f>
        <v>-12214.57</v>
      </c>
    </row>
    <row r="1260" spans="3:9">
      <c r="C1260" s="23">
        <v>53</v>
      </c>
      <c r="D1260" s="23" t="s">
        <v>134</v>
      </c>
      <c r="E1260" s="23" t="str">
        <f>Withdrawals_Data!A54</f>
        <v>DA-003</v>
      </c>
      <c r="F1260" s="23" t="str">
        <f>Withdrawals_Data!B54</f>
        <v>DA-003-M0001</v>
      </c>
      <c r="G1260" s="24">
        <f>Withdrawals_Data!C54</f>
        <v>45294</v>
      </c>
      <c r="H1260" s="27">
        <v>0</v>
      </c>
      <c r="I1260" s="27">
        <f>-Withdrawals_Data!D54</f>
        <v>-11874.58</v>
      </c>
    </row>
    <row r="1261" spans="3:9">
      <c r="C1261" s="23">
        <v>54</v>
      </c>
      <c r="D1261" s="23" t="s">
        <v>134</v>
      </c>
      <c r="E1261" s="23" t="str">
        <f>Withdrawals_Data!A55</f>
        <v>DA-003</v>
      </c>
      <c r="F1261" s="23" t="str">
        <f>Withdrawals_Data!B55</f>
        <v>DA-003-M0006</v>
      </c>
      <c r="G1261" s="24">
        <f>Withdrawals_Data!C55</f>
        <v>45556</v>
      </c>
      <c r="H1261" s="27">
        <v>0</v>
      </c>
      <c r="I1261" s="27">
        <f>-Withdrawals_Data!D55</f>
        <v>-11853.5</v>
      </c>
    </row>
    <row r="1262" spans="3:9">
      <c r="C1262" s="23">
        <v>55</v>
      </c>
      <c r="D1262" s="23" t="s">
        <v>134</v>
      </c>
      <c r="E1262" s="23" t="str">
        <f>Withdrawals_Data!A56</f>
        <v>DA-001</v>
      </c>
      <c r="F1262" s="23" t="str">
        <f>Withdrawals_Data!B56</f>
        <v>DA-001-M0024</v>
      </c>
      <c r="G1262" s="24">
        <f>Withdrawals_Data!C56</f>
        <v>45654</v>
      </c>
      <c r="H1262" s="27">
        <v>0</v>
      </c>
      <c r="I1262" s="27">
        <f>-Withdrawals_Data!D56</f>
        <v>-11820.57</v>
      </c>
    </row>
    <row r="1263" spans="3:9">
      <c r="C1263" s="23">
        <v>56</v>
      </c>
      <c r="D1263" s="23" t="s">
        <v>134</v>
      </c>
      <c r="E1263" s="23" t="str">
        <f>Withdrawals_Data!A57</f>
        <v>DA-001</v>
      </c>
      <c r="F1263" s="23" t="str">
        <f>Withdrawals_Data!B57</f>
        <v>DA-001-M0092</v>
      </c>
      <c r="G1263" s="24">
        <f>Withdrawals_Data!C57</f>
        <v>45525</v>
      </c>
      <c r="H1263" s="27">
        <v>0</v>
      </c>
      <c r="I1263" s="27">
        <f>-Withdrawals_Data!D57</f>
        <v>-11730.36</v>
      </c>
    </row>
    <row r="1264" spans="3:9">
      <c r="C1264" s="23">
        <v>57</v>
      </c>
      <c r="D1264" s="23" t="s">
        <v>134</v>
      </c>
      <c r="E1264" s="23" t="str">
        <f>Withdrawals_Data!A58</f>
        <v>DA-003</v>
      </c>
      <c r="F1264" s="23" t="str">
        <f>Withdrawals_Data!B58</f>
        <v>DA-003-M0001</v>
      </c>
      <c r="G1264" s="24">
        <f>Withdrawals_Data!C58</f>
        <v>45606</v>
      </c>
      <c r="H1264" s="27">
        <v>0</v>
      </c>
      <c r="I1264" s="27">
        <f>-Withdrawals_Data!D58</f>
        <v>-11661.61</v>
      </c>
    </row>
    <row r="1265" spans="3:9">
      <c r="C1265" s="23">
        <v>58</v>
      </c>
      <c r="D1265" s="23" t="s">
        <v>134</v>
      </c>
      <c r="E1265" s="23" t="str">
        <f>Withdrawals_Data!A59</f>
        <v>DA-001</v>
      </c>
      <c r="F1265" s="23" t="str">
        <f>Withdrawals_Data!B59</f>
        <v>DA-001-M0019</v>
      </c>
      <c r="G1265" s="24">
        <f>Withdrawals_Data!C59</f>
        <v>45303</v>
      </c>
      <c r="H1265" s="27">
        <v>0</v>
      </c>
      <c r="I1265" s="27">
        <f>-Withdrawals_Data!D59</f>
        <v>-11489.28</v>
      </c>
    </row>
    <row r="1266" spans="3:9">
      <c r="C1266" s="23">
        <v>59</v>
      </c>
      <c r="D1266" s="23" t="s">
        <v>134</v>
      </c>
      <c r="E1266" s="23" t="str">
        <f>Withdrawals_Data!A60</f>
        <v>DA-003</v>
      </c>
      <c r="F1266" s="23" t="str">
        <f>Withdrawals_Data!B60</f>
        <v>DA-003-M0068</v>
      </c>
      <c r="G1266" s="24">
        <f>Withdrawals_Data!C60</f>
        <v>45459</v>
      </c>
      <c r="H1266" s="27">
        <v>0</v>
      </c>
      <c r="I1266" s="27">
        <f>-Withdrawals_Data!D60</f>
        <v>-11480.27</v>
      </c>
    </row>
    <row r="1267" spans="3:9">
      <c r="C1267" s="23">
        <v>60</v>
      </c>
      <c r="D1267" s="23" t="s">
        <v>134</v>
      </c>
      <c r="E1267" s="23" t="str">
        <f>Withdrawals_Data!A61</f>
        <v>DA-001</v>
      </c>
      <c r="F1267" s="23" t="str">
        <f>Withdrawals_Data!B61</f>
        <v>DA-001-M0011</v>
      </c>
      <c r="G1267" s="24">
        <f>Withdrawals_Data!C61</f>
        <v>45406</v>
      </c>
      <c r="H1267" s="27">
        <v>0</v>
      </c>
      <c r="I1267" s="27">
        <f>-Withdrawals_Data!D61</f>
        <v>-11463.02</v>
      </c>
    </row>
    <row r="1268" spans="3:9">
      <c r="C1268" s="23">
        <v>61</v>
      </c>
      <c r="D1268" s="23" t="s">
        <v>134</v>
      </c>
      <c r="E1268" s="23" t="str">
        <f>Withdrawals_Data!A62</f>
        <v>DA-002</v>
      </c>
      <c r="F1268" s="23" t="str">
        <f>Withdrawals_Data!B62</f>
        <v>DA-002-M0030</v>
      </c>
      <c r="G1268" s="24">
        <f>Withdrawals_Data!C62</f>
        <v>45631</v>
      </c>
      <c r="H1268" s="27">
        <v>0</v>
      </c>
      <c r="I1268" s="27">
        <f>-Withdrawals_Data!D62</f>
        <v>-11342.77</v>
      </c>
    </row>
    <row r="1269" spans="3:9">
      <c r="C1269" s="23">
        <v>62</v>
      </c>
      <c r="D1269" s="23" t="s">
        <v>134</v>
      </c>
      <c r="E1269" s="23" t="str">
        <f>Withdrawals_Data!A63</f>
        <v>DA-002</v>
      </c>
      <c r="F1269" s="23" t="str">
        <f>Withdrawals_Data!B63</f>
        <v>DA-002-M0033</v>
      </c>
      <c r="G1269" s="24">
        <f>Withdrawals_Data!C63</f>
        <v>45551</v>
      </c>
      <c r="H1269" s="27">
        <v>0</v>
      </c>
      <c r="I1269" s="27">
        <f>-Withdrawals_Data!D63</f>
        <v>-11321.34</v>
      </c>
    </row>
    <row r="1270" spans="3:9">
      <c r="C1270" s="23">
        <v>63</v>
      </c>
      <c r="D1270" s="23" t="s">
        <v>134</v>
      </c>
      <c r="E1270" s="23" t="str">
        <f>Withdrawals_Data!A64</f>
        <v>DA-003</v>
      </c>
      <c r="F1270" s="23" t="str">
        <f>Withdrawals_Data!B64</f>
        <v>DA-003-M0007</v>
      </c>
      <c r="G1270" s="24">
        <f>Withdrawals_Data!C64</f>
        <v>45402</v>
      </c>
      <c r="H1270" s="27">
        <v>0</v>
      </c>
      <c r="I1270" s="27">
        <f>-Withdrawals_Data!D64</f>
        <v>-11308.73</v>
      </c>
    </row>
    <row r="1271" spans="3:9">
      <c r="C1271" s="23">
        <v>64</v>
      </c>
      <c r="D1271" s="23" t="s">
        <v>134</v>
      </c>
      <c r="E1271" s="23" t="str">
        <f>Withdrawals_Data!A65</f>
        <v>DA-003</v>
      </c>
      <c r="F1271" s="23" t="str">
        <f>Withdrawals_Data!B65</f>
        <v>DA-003-M0015</v>
      </c>
      <c r="G1271" s="24">
        <f>Withdrawals_Data!C65</f>
        <v>45315</v>
      </c>
      <c r="H1271" s="27">
        <v>0</v>
      </c>
      <c r="I1271" s="27">
        <f>-Withdrawals_Data!D65</f>
        <v>-11301.67</v>
      </c>
    </row>
    <row r="1272" spans="3:9">
      <c r="C1272" s="23">
        <v>65</v>
      </c>
      <c r="D1272" s="23" t="s">
        <v>134</v>
      </c>
      <c r="E1272" s="23" t="str">
        <f>Withdrawals_Data!A66</f>
        <v>DA-002</v>
      </c>
      <c r="F1272" s="23" t="str">
        <f>Withdrawals_Data!B66</f>
        <v>DA-002-M0089</v>
      </c>
      <c r="G1272" s="24">
        <f>Withdrawals_Data!C66</f>
        <v>45357</v>
      </c>
      <c r="H1272" s="27">
        <v>0</v>
      </c>
      <c r="I1272" s="27">
        <f>-Withdrawals_Data!D66</f>
        <v>-11262.95</v>
      </c>
    </row>
    <row r="1273" spans="3:9">
      <c r="C1273" s="23">
        <v>66</v>
      </c>
      <c r="D1273" s="23" t="s">
        <v>134</v>
      </c>
      <c r="E1273" s="23" t="str">
        <f>Withdrawals_Data!A67</f>
        <v>DA-001</v>
      </c>
      <c r="F1273" s="23" t="str">
        <f>Withdrawals_Data!B67</f>
        <v>DA-001-M0004</v>
      </c>
      <c r="G1273" s="24">
        <f>Withdrawals_Data!C67</f>
        <v>45516</v>
      </c>
      <c r="H1273" s="27">
        <v>0</v>
      </c>
      <c r="I1273" s="27">
        <f>-Withdrawals_Data!D67</f>
        <v>-11254.07</v>
      </c>
    </row>
    <row r="1274" spans="3:9">
      <c r="C1274" s="23">
        <v>67</v>
      </c>
      <c r="D1274" s="23" t="s">
        <v>134</v>
      </c>
      <c r="E1274" s="23" t="str">
        <f>Withdrawals_Data!A68</f>
        <v>DA-002</v>
      </c>
      <c r="F1274" s="23" t="str">
        <f>Withdrawals_Data!B68</f>
        <v>DA-002-M0016</v>
      </c>
      <c r="G1274" s="24">
        <f>Withdrawals_Data!C68</f>
        <v>45297</v>
      </c>
      <c r="H1274" s="27">
        <v>0</v>
      </c>
      <c r="I1274" s="27">
        <f>-Withdrawals_Data!D68</f>
        <v>-11166.65</v>
      </c>
    </row>
    <row r="1275" spans="3:9">
      <c r="C1275" s="23">
        <v>68</v>
      </c>
      <c r="D1275" s="23" t="s">
        <v>134</v>
      </c>
      <c r="E1275" s="23" t="str">
        <f>Withdrawals_Data!A69</f>
        <v>DA-002</v>
      </c>
      <c r="F1275" s="23" t="str">
        <f>Withdrawals_Data!B69</f>
        <v>DA-002-M0003</v>
      </c>
      <c r="G1275" s="24">
        <f>Withdrawals_Data!C69</f>
        <v>45495</v>
      </c>
      <c r="H1275" s="27">
        <v>0</v>
      </c>
      <c r="I1275" s="27">
        <f>-Withdrawals_Data!D69</f>
        <v>-11164.13</v>
      </c>
    </row>
    <row r="1276" spans="3:9">
      <c r="C1276" s="23">
        <v>69</v>
      </c>
      <c r="D1276" s="23" t="s">
        <v>134</v>
      </c>
      <c r="E1276" s="23" t="str">
        <f>Withdrawals_Data!A70</f>
        <v>DA-003</v>
      </c>
      <c r="F1276" s="23" t="str">
        <f>Withdrawals_Data!B70</f>
        <v>DA-003-M0005</v>
      </c>
      <c r="G1276" s="24">
        <f>Withdrawals_Data!C70</f>
        <v>45502</v>
      </c>
      <c r="H1276" s="27">
        <v>0</v>
      </c>
      <c r="I1276" s="27">
        <f>-Withdrawals_Data!D70</f>
        <v>-11127.29</v>
      </c>
    </row>
    <row r="1277" spans="3:9">
      <c r="C1277" s="23">
        <v>70</v>
      </c>
      <c r="D1277" s="23" t="s">
        <v>134</v>
      </c>
      <c r="E1277" s="23" t="str">
        <f>Withdrawals_Data!A71</f>
        <v>DA-003</v>
      </c>
      <c r="F1277" s="23" t="str">
        <f>Withdrawals_Data!B71</f>
        <v>DA-003-M0084</v>
      </c>
      <c r="G1277" s="24">
        <f>Withdrawals_Data!C71</f>
        <v>45387</v>
      </c>
      <c r="H1277" s="27">
        <v>0</v>
      </c>
      <c r="I1277" s="27">
        <f>-Withdrawals_Data!D71</f>
        <v>-11036.62</v>
      </c>
    </row>
    <row r="1278" spans="3:9">
      <c r="C1278" s="23">
        <v>71</v>
      </c>
      <c r="D1278" s="23" t="s">
        <v>134</v>
      </c>
      <c r="E1278" s="23" t="str">
        <f>Withdrawals_Data!A72</f>
        <v>DA-001</v>
      </c>
      <c r="F1278" s="23" t="str">
        <f>Withdrawals_Data!B72</f>
        <v>DA-001-M0056</v>
      </c>
      <c r="G1278" s="24">
        <f>Withdrawals_Data!C72</f>
        <v>45401</v>
      </c>
      <c r="H1278" s="27">
        <v>0</v>
      </c>
      <c r="I1278" s="27">
        <f>-Withdrawals_Data!D72</f>
        <v>-10833.43</v>
      </c>
    </row>
    <row r="1279" spans="3:9">
      <c r="C1279" s="23">
        <v>72</v>
      </c>
      <c r="D1279" s="23" t="s">
        <v>134</v>
      </c>
      <c r="E1279" s="23" t="str">
        <f>Withdrawals_Data!A73</f>
        <v>DA-002</v>
      </c>
      <c r="F1279" s="23" t="str">
        <f>Withdrawals_Data!B73</f>
        <v>DA-002-M0078</v>
      </c>
      <c r="G1279" s="24">
        <f>Withdrawals_Data!C73</f>
        <v>45495</v>
      </c>
      <c r="H1279" s="27">
        <v>0</v>
      </c>
      <c r="I1279" s="27">
        <f>-Withdrawals_Data!D73</f>
        <v>-10832.43</v>
      </c>
    </row>
    <row r="1280" spans="3:9">
      <c r="C1280" s="23">
        <v>73</v>
      </c>
      <c r="D1280" s="23" t="s">
        <v>134</v>
      </c>
      <c r="E1280" s="23" t="str">
        <f>Withdrawals_Data!A74</f>
        <v>DA-003</v>
      </c>
      <c r="F1280" s="23" t="str">
        <f>Withdrawals_Data!B74</f>
        <v>DA-003-M0061</v>
      </c>
      <c r="G1280" s="24">
        <f>Withdrawals_Data!C74</f>
        <v>45506</v>
      </c>
      <c r="H1280" s="27">
        <v>0</v>
      </c>
      <c r="I1280" s="27">
        <f>-Withdrawals_Data!D74</f>
        <v>-10792.89</v>
      </c>
    </row>
    <row r="1281" spans="3:9">
      <c r="C1281" s="23">
        <v>74</v>
      </c>
      <c r="D1281" s="23" t="s">
        <v>134</v>
      </c>
      <c r="E1281" s="23" t="str">
        <f>Withdrawals_Data!A75</f>
        <v>DA-001</v>
      </c>
      <c r="F1281" s="23" t="str">
        <f>Withdrawals_Data!B75</f>
        <v>DA-001-M0093</v>
      </c>
      <c r="G1281" s="24">
        <f>Withdrawals_Data!C75</f>
        <v>45438</v>
      </c>
      <c r="H1281" s="27">
        <v>0</v>
      </c>
      <c r="I1281" s="27">
        <f>-Withdrawals_Data!D75</f>
        <v>-10785.55</v>
      </c>
    </row>
    <row r="1282" spans="3:9">
      <c r="C1282" s="23">
        <v>75</v>
      </c>
      <c r="D1282" s="23" t="s">
        <v>134</v>
      </c>
      <c r="E1282" s="23" t="str">
        <f>Withdrawals_Data!A76</f>
        <v>DA-002</v>
      </c>
      <c r="F1282" s="23" t="str">
        <f>Withdrawals_Data!B76</f>
        <v>DA-002-M0089</v>
      </c>
      <c r="G1282" s="24">
        <f>Withdrawals_Data!C76</f>
        <v>45419</v>
      </c>
      <c r="H1282" s="27">
        <v>0</v>
      </c>
      <c r="I1282" s="27">
        <f>-Withdrawals_Data!D76</f>
        <v>-10651.53</v>
      </c>
    </row>
    <row r="1283" spans="3:9">
      <c r="C1283" s="23">
        <v>76</v>
      </c>
      <c r="D1283" s="23" t="s">
        <v>134</v>
      </c>
      <c r="E1283" s="23" t="str">
        <f>Withdrawals_Data!A77</f>
        <v>DA-003</v>
      </c>
      <c r="F1283" s="23" t="str">
        <f>Withdrawals_Data!B77</f>
        <v>DA-003-M0052</v>
      </c>
      <c r="G1283" s="24">
        <f>Withdrawals_Data!C77</f>
        <v>45381</v>
      </c>
      <c r="H1283" s="27">
        <v>0</v>
      </c>
      <c r="I1283" s="27">
        <f>-Withdrawals_Data!D77</f>
        <v>-10634.18</v>
      </c>
    </row>
    <row r="1284" spans="3:9">
      <c r="C1284" s="23">
        <v>77</v>
      </c>
      <c r="D1284" s="23" t="s">
        <v>134</v>
      </c>
      <c r="E1284" s="23" t="str">
        <f>Withdrawals_Data!A78</f>
        <v>DA-002</v>
      </c>
      <c r="F1284" s="23" t="str">
        <f>Withdrawals_Data!B78</f>
        <v>DA-002-M0054</v>
      </c>
      <c r="G1284" s="24">
        <f>Withdrawals_Data!C78</f>
        <v>45637</v>
      </c>
      <c r="H1284" s="27">
        <v>0</v>
      </c>
      <c r="I1284" s="27">
        <f>-Withdrawals_Data!D78</f>
        <v>-10594.84</v>
      </c>
    </row>
    <row r="1285" spans="3:9">
      <c r="C1285" s="23">
        <v>78</v>
      </c>
      <c r="D1285" s="23" t="s">
        <v>134</v>
      </c>
      <c r="E1285" s="23" t="str">
        <f>Withdrawals_Data!A79</f>
        <v>DA-002</v>
      </c>
      <c r="F1285" s="23" t="str">
        <f>Withdrawals_Data!B79</f>
        <v>DA-002-M0060</v>
      </c>
      <c r="G1285" s="24">
        <f>Withdrawals_Data!C79</f>
        <v>45488</v>
      </c>
      <c r="H1285" s="27">
        <v>0</v>
      </c>
      <c r="I1285" s="27">
        <f>-Withdrawals_Data!D79</f>
        <v>-10563.37</v>
      </c>
    </row>
    <row r="1286" spans="3:9">
      <c r="C1286" s="23">
        <v>79</v>
      </c>
      <c r="D1286" s="23" t="s">
        <v>134</v>
      </c>
      <c r="E1286" s="23" t="str">
        <f>Withdrawals_Data!A80</f>
        <v>DA-001</v>
      </c>
      <c r="F1286" s="23" t="str">
        <f>Withdrawals_Data!B80</f>
        <v>DA-001-M0046</v>
      </c>
      <c r="G1286" s="24">
        <f>Withdrawals_Data!C80</f>
        <v>45324</v>
      </c>
      <c r="H1286" s="27">
        <v>0</v>
      </c>
      <c r="I1286" s="27">
        <f>-Withdrawals_Data!D80</f>
        <v>-10482.69</v>
      </c>
    </row>
    <row r="1287" spans="3:9">
      <c r="C1287" s="23">
        <v>80</v>
      </c>
      <c r="D1287" s="23" t="s">
        <v>134</v>
      </c>
      <c r="E1287" s="23" t="str">
        <f>Withdrawals_Data!A81</f>
        <v>DA-003</v>
      </c>
      <c r="F1287" s="23" t="str">
        <f>Withdrawals_Data!B81</f>
        <v>DA-003-M0099</v>
      </c>
      <c r="G1287" s="24">
        <f>Withdrawals_Data!C81</f>
        <v>45355</v>
      </c>
      <c r="H1287" s="27">
        <v>0</v>
      </c>
      <c r="I1287" s="27">
        <f>-Withdrawals_Data!D81</f>
        <v>-10476.620000000001</v>
      </c>
    </row>
    <row r="1288" spans="3:9">
      <c r="C1288" s="23">
        <v>81</v>
      </c>
      <c r="D1288" s="23" t="s">
        <v>134</v>
      </c>
      <c r="E1288" s="23" t="str">
        <f>Withdrawals_Data!A82</f>
        <v>DA-002</v>
      </c>
      <c r="F1288" s="23" t="str">
        <f>Withdrawals_Data!B82</f>
        <v>DA-002-M0041</v>
      </c>
      <c r="G1288" s="24">
        <f>Withdrawals_Data!C82</f>
        <v>45513</v>
      </c>
      <c r="H1288" s="27">
        <v>0</v>
      </c>
      <c r="I1288" s="27">
        <f>-Withdrawals_Data!D82</f>
        <v>-10424.040000000001</v>
      </c>
    </row>
    <row r="1289" spans="3:9">
      <c r="C1289" s="23">
        <v>82</v>
      </c>
      <c r="D1289" s="23" t="s">
        <v>134</v>
      </c>
      <c r="E1289" s="23" t="str">
        <f>Withdrawals_Data!A83</f>
        <v>DA-001</v>
      </c>
      <c r="F1289" s="23" t="str">
        <f>Withdrawals_Data!B83</f>
        <v>DA-001-M0071</v>
      </c>
      <c r="G1289" s="24">
        <f>Withdrawals_Data!C83</f>
        <v>45507</v>
      </c>
      <c r="H1289" s="27">
        <v>0</v>
      </c>
      <c r="I1289" s="27">
        <f>-Withdrawals_Data!D83</f>
        <v>-10379.02</v>
      </c>
    </row>
    <row r="1290" spans="3:9">
      <c r="C1290" s="23">
        <v>83</v>
      </c>
      <c r="D1290" s="23" t="s">
        <v>134</v>
      </c>
      <c r="E1290" s="23" t="str">
        <f>Withdrawals_Data!A84</f>
        <v>DA-002</v>
      </c>
      <c r="F1290" s="23" t="str">
        <f>Withdrawals_Data!B84</f>
        <v>DA-002-M0040</v>
      </c>
      <c r="G1290" s="24">
        <f>Withdrawals_Data!C84</f>
        <v>45489</v>
      </c>
      <c r="H1290" s="27">
        <v>0</v>
      </c>
      <c r="I1290" s="27">
        <f>-Withdrawals_Data!D84</f>
        <v>-10372.41</v>
      </c>
    </row>
    <row r="1291" spans="3:9">
      <c r="C1291" s="23">
        <v>84</v>
      </c>
      <c r="D1291" s="23" t="s">
        <v>134</v>
      </c>
      <c r="E1291" s="23" t="str">
        <f>Withdrawals_Data!A85</f>
        <v>DA-001</v>
      </c>
      <c r="F1291" s="23" t="str">
        <f>Withdrawals_Data!B85</f>
        <v>DA-001-M0053</v>
      </c>
      <c r="G1291" s="24">
        <f>Withdrawals_Data!C85</f>
        <v>45562</v>
      </c>
      <c r="H1291" s="27">
        <v>0</v>
      </c>
      <c r="I1291" s="27">
        <f>-Withdrawals_Data!D85</f>
        <v>-10362.620000000001</v>
      </c>
    </row>
    <row r="1292" spans="3:9">
      <c r="C1292" s="23">
        <v>85</v>
      </c>
      <c r="D1292" s="23" t="s">
        <v>134</v>
      </c>
      <c r="E1292" s="23" t="str">
        <f>Withdrawals_Data!A86</f>
        <v>DA-002</v>
      </c>
      <c r="F1292" s="23" t="str">
        <f>Withdrawals_Data!B86</f>
        <v>DA-002-M0091</v>
      </c>
      <c r="G1292" s="24">
        <f>Withdrawals_Data!C86</f>
        <v>45328</v>
      </c>
      <c r="H1292" s="27">
        <v>0</v>
      </c>
      <c r="I1292" s="27">
        <f>-Withdrawals_Data!D86</f>
        <v>-10354.31</v>
      </c>
    </row>
    <row r="1293" spans="3:9">
      <c r="C1293" s="23">
        <v>86</v>
      </c>
      <c r="D1293" s="23" t="s">
        <v>134</v>
      </c>
      <c r="E1293" s="23" t="str">
        <f>Withdrawals_Data!A87</f>
        <v>DA-001</v>
      </c>
      <c r="F1293" s="23" t="str">
        <f>Withdrawals_Data!B87</f>
        <v>DA-001-M0004</v>
      </c>
      <c r="G1293" s="24">
        <f>Withdrawals_Data!C87</f>
        <v>45624</v>
      </c>
      <c r="H1293" s="27">
        <v>0</v>
      </c>
      <c r="I1293" s="27">
        <f>-Withdrawals_Data!D87</f>
        <v>-10347.43</v>
      </c>
    </row>
    <row r="1294" spans="3:9">
      <c r="C1294" s="23">
        <v>87</v>
      </c>
      <c r="D1294" s="23" t="s">
        <v>134</v>
      </c>
      <c r="E1294" s="23" t="str">
        <f>Withdrawals_Data!A88</f>
        <v>DA-003</v>
      </c>
      <c r="F1294" s="23" t="str">
        <f>Withdrawals_Data!B88</f>
        <v>DA-003-M0090</v>
      </c>
      <c r="G1294" s="24">
        <f>Withdrawals_Data!C88</f>
        <v>45614</v>
      </c>
      <c r="H1294" s="27">
        <v>0</v>
      </c>
      <c r="I1294" s="27">
        <f>-Withdrawals_Data!D88</f>
        <v>-10345.459999999999</v>
      </c>
    </row>
    <row r="1295" spans="3:9">
      <c r="C1295" s="23">
        <v>88</v>
      </c>
      <c r="D1295" s="23" t="s">
        <v>134</v>
      </c>
      <c r="E1295" s="23" t="str">
        <f>Withdrawals_Data!A89</f>
        <v>DA-003</v>
      </c>
      <c r="F1295" s="23" t="str">
        <f>Withdrawals_Data!B89</f>
        <v>DA-003-M0090</v>
      </c>
      <c r="G1295" s="24">
        <f>Withdrawals_Data!C89</f>
        <v>45599</v>
      </c>
      <c r="H1295" s="27">
        <v>0</v>
      </c>
      <c r="I1295" s="27">
        <f>-Withdrawals_Data!D89</f>
        <v>-10262.040000000001</v>
      </c>
    </row>
    <row r="1296" spans="3:9">
      <c r="C1296" s="23">
        <v>89</v>
      </c>
      <c r="D1296" s="23" t="s">
        <v>134</v>
      </c>
      <c r="E1296" s="23" t="str">
        <f>Withdrawals_Data!A90</f>
        <v>DA-003</v>
      </c>
      <c r="F1296" s="23" t="str">
        <f>Withdrawals_Data!B90</f>
        <v>DA-003-M0028</v>
      </c>
      <c r="G1296" s="24">
        <f>Withdrawals_Data!C90</f>
        <v>45608</v>
      </c>
      <c r="H1296" s="27">
        <v>0</v>
      </c>
      <c r="I1296" s="27">
        <f>-Withdrawals_Data!D90</f>
        <v>-10251.879999999999</v>
      </c>
    </row>
    <row r="1297" spans="3:9">
      <c r="C1297" s="23">
        <v>90</v>
      </c>
      <c r="D1297" s="23" t="s">
        <v>134</v>
      </c>
      <c r="E1297" s="23" t="str">
        <f>Withdrawals_Data!A91</f>
        <v>DA-001</v>
      </c>
      <c r="F1297" s="23" t="str">
        <f>Withdrawals_Data!B91</f>
        <v>DA-001-M0046</v>
      </c>
      <c r="G1297" s="24">
        <f>Withdrawals_Data!C91</f>
        <v>45391</v>
      </c>
      <c r="H1297" s="27">
        <v>0</v>
      </c>
      <c r="I1297" s="27">
        <f>-Withdrawals_Data!D91</f>
        <v>-10239.16</v>
      </c>
    </row>
    <row r="1298" spans="3:9">
      <c r="C1298" s="23">
        <v>91</v>
      </c>
      <c r="D1298" s="23" t="s">
        <v>134</v>
      </c>
      <c r="E1298" s="23" t="str">
        <f>Withdrawals_Data!A92</f>
        <v>DA-002</v>
      </c>
      <c r="F1298" s="23" t="str">
        <f>Withdrawals_Data!B92</f>
        <v>DA-002-M0088</v>
      </c>
      <c r="G1298" s="24">
        <f>Withdrawals_Data!C92</f>
        <v>45496</v>
      </c>
      <c r="H1298" s="27">
        <v>0</v>
      </c>
      <c r="I1298" s="27">
        <f>-Withdrawals_Data!D92</f>
        <v>-10224.92</v>
      </c>
    </row>
    <row r="1299" spans="3:9">
      <c r="C1299" s="23">
        <v>92</v>
      </c>
      <c r="D1299" s="23" t="s">
        <v>134</v>
      </c>
      <c r="E1299" s="23" t="str">
        <f>Withdrawals_Data!A93</f>
        <v>DA-001</v>
      </c>
      <c r="F1299" s="23" t="str">
        <f>Withdrawals_Data!B93</f>
        <v>DA-001-M0073</v>
      </c>
      <c r="G1299" s="24">
        <f>Withdrawals_Data!C93</f>
        <v>45514</v>
      </c>
      <c r="H1299" s="27">
        <v>0</v>
      </c>
      <c r="I1299" s="27">
        <f>-Withdrawals_Data!D93</f>
        <v>-10209.959999999999</v>
      </c>
    </row>
    <row r="1300" spans="3:9">
      <c r="C1300" s="23">
        <v>93</v>
      </c>
      <c r="D1300" s="23" t="s">
        <v>134</v>
      </c>
      <c r="E1300" s="23" t="str">
        <f>Withdrawals_Data!A94</f>
        <v>DA-001</v>
      </c>
      <c r="F1300" s="23" t="str">
        <f>Withdrawals_Data!B94</f>
        <v>DA-001-M0073</v>
      </c>
      <c r="G1300" s="24">
        <f>Withdrawals_Data!C94</f>
        <v>45390</v>
      </c>
      <c r="H1300" s="27">
        <v>0</v>
      </c>
      <c r="I1300" s="27">
        <f>-Withdrawals_Data!D94</f>
        <v>-10200.209999999999</v>
      </c>
    </row>
    <row r="1301" spans="3:9">
      <c r="C1301" s="23">
        <v>94</v>
      </c>
      <c r="D1301" s="23" t="s">
        <v>134</v>
      </c>
      <c r="E1301" s="23" t="str">
        <f>Withdrawals_Data!A95</f>
        <v>DA-002</v>
      </c>
      <c r="F1301" s="23" t="str">
        <f>Withdrawals_Data!B95</f>
        <v>DA-002-M0030</v>
      </c>
      <c r="G1301" s="24">
        <f>Withdrawals_Data!C95</f>
        <v>45354</v>
      </c>
      <c r="H1301" s="27">
        <v>0</v>
      </c>
      <c r="I1301" s="27">
        <f>-Withdrawals_Data!D95</f>
        <v>-10119.219999999999</v>
      </c>
    </row>
    <row r="1302" spans="3:9">
      <c r="C1302" s="23">
        <v>95</v>
      </c>
      <c r="D1302" s="23" t="s">
        <v>134</v>
      </c>
      <c r="E1302" s="23" t="str">
        <f>Withdrawals_Data!A96</f>
        <v>DA-001</v>
      </c>
      <c r="F1302" s="23" t="str">
        <f>Withdrawals_Data!B96</f>
        <v>DA-001-M0053</v>
      </c>
      <c r="G1302" s="24">
        <f>Withdrawals_Data!C96</f>
        <v>45629</v>
      </c>
      <c r="H1302" s="27">
        <v>0</v>
      </c>
      <c r="I1302" s="27">
        <f>-Withdrawals_Data!D96</f>
        <v>-10029.1</v>
      </c>
    </row>
    <row r="1303" spans="3:9">
      <c r="C1303" s="23">
        <v>96</v>
      </c>
      <c r="D1303" s="23" t="s">
        <v>134</v>
      </c>
      <c r="E1303" s="23" t="str">
        <f>Withdrawals_Data!A97</f>
        <v>DA-003</v>
      </c>
      <c r="F1303" s="23" t="str">
        <f>Withdrawals_Data!B97</f>
        <v>DA-003-M0029</v>
      </c>
      <c r="G1303" s="24">
        <f>Withdrawals_Data!C97</f>
        <v>45612</v>
      </c>
      <c r="H1303" s="27">
        <v>0</v>
      </c>
      <c r="I1303" s="27">
        <f>-Withdrawals_Data!D97</f>
        <v>-10003.67</v>
      </c>
    </row>
    <row r="1304" spans="3:9">
      <c r="C1304" s="23">
        <v>97</v>
      </c>
      <c r="D1304" s="23" t="s">
        <v>134</v>
      </c>
      <c r="E1304" s="23" t="str">
        <f>Withdrawals_Data!A98</f>
        <v>DA-002</v>
      </c>
      <c r="F1304" s="23" t="str">
        <f>Withdrawals_Data!B98</f>
        <v>DA-002-M0089</v>
      </c>
      <c r="G1304" s="24">
        <f>Withdrawals_Data!C98</f>
        <v>45466</v>
      </c>
      <c r="H1304" s="27">
        <v>0</v>
      </c>
      <c r="I1304" s="27">
        <f>-Withdrawals_Data!D98</f>
        <v>-9963.9</v>
      </c>
    </row>
    <row r="1305" spans="3:9">
      <c r="C1305" s="23">
        <v>98</v>
      </c>
      <c r="D1305" s="23" t="s">
        <v>134</v>
      </c>
      <c r="E1305" s="23" t="str">
        <f>Withdrawals_Data!A99</f>
        <v>DA-003</v>
      </c>
      <c r="F1305" s="23" t="str">
        <f>Withdrawals_Data!B99</f>
        <v>DA-003-M0007</v>
      </c>
      <c r="G1305" s="24">
        <f>Withdrawals_Data!C99</f>
        <v>45354</v>
      </c>
      <c r="H1305" s="27">
        <v>0</v>
      </c>
      <c r="I1305" s="27">
        <f>-Withdrawals_Data!D99</f>
        <v>-9929.89</v>
      </c>
    </row>
    <row r="1306" spans="3:9">
      <c r="C1306" s="23">
        <v>99</v>
      </c>
      <c r="D1306" s="23" t="s">
        <v>134</v>
      </c>
      <c r="E1306" s="23" t="str">
        <f>Withdrawals_Data!A100</f>
        <v>DA-002</v>
      </c>
      <c r="F1306" s="23" t="str">
        <f>Withdrawals_Data!B100</f>
        <v>DA-002-M0051</v>
      </c>
      <c r="G1306" s="24">
        <f>Withdrawals_Data!C100</f>
        <v>45594</v>
      </c>
      <c r="H1306" s="27">
        <v>0</v>
      </c>
      <c r="I1306" s="27">
        <f>-Withdrawals_Data!D100</f>
        <v>-9885.66</v>
      </c>
    </row>
    <row r="1307" spans="3:9">
      <c r="C1307" s="23">
        <v>100</v>
      </c>
      <c r="D1307" s="23" t="s">
        <v>134</v>
      </c>
      <c r="E1307" s="23" t="str">
        <f>Withdrawals_Data!A101</f>
        <v>DA-001</v>
      </c>
      <c r="F1307" s="23" t="str">
        <f>Withdrawals_Data!B101</f>
        <v>DA-001-M0096</v>
      </c>
      <c r="G1307" s="24">
        <f>Withdrawals_Data!C101</f>
        <v>45586</v>
      </c>
      <c r="H1307" s="27">
        <v>0</v>
      </c>
      <c r="I1307" s="27">
        <f>-Withdrawals_Data!D101</f>
        <v>-9875.1</v>
      </c>
    </row>
    <row r="1308" spans="3:9">
      <c r="C1308" s="23">
        <v>101</v>
      </c>
      <c r="D1308" s="23" t="s">
        <v>134</v>
      </c>
      <c r="E1308" s="23" t="str">
        <f>Withdrawals_Data!A102</f>
        <v>DA-003</v>
      </c>
      <c r="F1308" s="23" t="str">
        <f>Withdrawals_Data!B102</f>
        <v>DA-003-M0069</v>
      </c>
      <c r="G1308" s="24">
        <f>Withdrawals_Data!C102</f>
        <v>45463</v>
      </c>
      <c r="H1308" s="27">
        <v>0</v>
      </c>
      <c r="I1308" s="27">
        <f>-Withdrawals_Data!D102</f>
        <v>-9814.14</v>
      </c>
    </row>
    <row r="1309" spans="3:9">
      <c r="C1309" s="23">
        <v>102</v>
      </c>
      <c r="D1309" s="23" t="s">
        <v>134</v>
      </c>
      <c r="E1309" s="23" t="str">
        <f>Withdrawals_Data!A103</f>
        <v>DA-003</v>
      </c>
      <c r="F1309" s="23" t="str">
        <f>Withdrawals_Data!B103</f>
        <v>DA-003-M0012</v>
      </c>
      <c r="G1309" s="24">
        <f>Withdrawals_Data!C103</f>
        <v>45328</v>
      </c>
      <c r="H1309" s="27">
        <v>0</v>
      </c>
      <c r="I1309" s="27">
        <f>-Withdrawals_Data!D103</f>
        <v>-9775.2800000000007</v>
      </c>
    </row>
    <row r="1310" spans="3:9">
      <c r="C1310" s="23">
        <v>103</v>
      </c>
      <c r="D1310" s="23" t="s">
        <v>134</v>
      </c>
      <c r="E1310" s="23" t="str">
        <f>Withdrawals_Data!A104</f>
        <v>DA-001</v>
      </c>
      <c r="F1310" s="23" t="str">
        <f>Withdrawals_Data!B104</f>
        <v>DA-001-M0083</v>
      </c>
      <c r="G1310" s="24">
        <f>Withdrawals_Data!C104</f>
        <v>45586</v>
      </c>
      <c r="H1310" s="27">
        <v>0</v>
      </c>
      <c r="I1310" s="27">
        <f>-Withdrawals_Data!D104</f>
        <v>-9747.75</v>
      </c>
    </row>
    <row r="1311" spans="3:9">
      <c r="C1311" s="23">
        <v>104</v>
      </c>
      <c r="D1311" s="23" t="s">
        <v>134</v>
      </c>
      <c r="E1311" s="23" t="str">
        <f>Withdrawals_Data!A105</f>
        <v>DA-003</v>
      </c>
      <c r="F1311" s="23" t="str">
        <f>Withdrawals_Data!B105</f>
        <v>DA-003-M0066</v>
      </c>
      <c r="G1311" s="24">
        <f>Withdrawals_Data!C105</f>
        <v>45577</v>
      </c>
      <c r="H1311" s="27">
        <v>0</v>
      </c>
      <c r="I1311" s="27">
        <f>-Withdrawals_Data!D105</f>
        <v>-9720.17</v>
      </c>
    </row>
    <row r="1312" spans="3:9">
      <c r="C1312" s="23">
        <v>105</v>
      </c>
      <c r="D1312" s="23" t="s">
        <v>134</v>
      </c>
      <c r="E1312" s="23" t="str">
        <f>Withdrawals_Data!A106</f>
        <v>DA-003</v>
      </c>
      <c r="F1312" s="23" t="str">
        <f>Withdrawals_Data!B106</f>
        <v>DA-003-M0047</v>
      </c>
      <c r="G1312" s="24">
        <f>Withdrawals_Data!C106</f>
        <v>45513</v>
      </c>
      <c r="H1312" s="27">
        <v>0</v>
      </c>
      <c r="I1312" s="27">
        <f>-Withdrawals_Data!D106</f>
        <v>-9718.4699999999993</v>
      </c>
    </row>
    <row r="1313" spans="3:9">
      <c r="C1313" s="23">
        <v>106</v>
      </c>
      <c r="D1313" s="23" t="s">
        <v>134</v>
      </c>
      <c r="E1313" s="23" t="str">
        <f>Withdrawals_Data!A107</f>
        <v>DA-003</v>
      </c>
      <c r="F1313" s="23" t="str">
        <f>Withdrawals_Data!B107</f>
        <v>DA-003-M0059</v>
      </c>
      <c r="G1313" s="24">
        <f>Withdrawals_Data!C107</f>
        <v>45325</v>
      </c>
      <c r="H1313" s="27">
        <v>0</v>
      </c>
      <c r="I1313" s="27">
        <f>-Withdrawals_Data!D107</f>
        <v>-9701.83</v>
      </c>
    </row>
    <row r="1314" spans="3:9">
      <c r="C1314" s="23">
        <v>107</v>
      </c>
      <c r="D1314" s="23" t="s">
        <v>134</v>
      </c>
      <c r="E1314" s="23" t="str">
        <f>Withdrawals_Data!A108</f>
        <v>DA-001</v>
      </c>
      <c r="F1314" s="23" t="str">
        <f>Withdrawals_Data!B108</f>
        <v>DA-001-M0075</v>
      </c>
      <c r="G1314" s="24">
        <f>Withdrawals_Data!C108</f>
        <v>45575</v>
      </c>
      <c r="H1314" s="27">
        <v>0</v>
      </c>
      <c r="I1314" s="27">
        <f>-Withdrawals_Data!D108</f>
        <v>-9655.2000000000007</v>
      </c>
    </row>
    <row r="1315" spans="3:9">
      <c r="C1315" s="23">
        <v>108</v>
      </c>
      <c r="D1315" s="23" t="s">
        <v>134</v>
      </c>
      <c r="E1315" s="23" t="str">
        <f>Withdrawals_Data!A109</f>
        <v>DA-001</v>
      </c>
      <c r="F1315" s="23" t="str">
        <f>Withdrawals_Data!B109</f>
        <v>DA-001-M0034</v>
      </c>
      <c r="G1315" s="24">
        <f>Withdrawals_Data!C109</f>
        <v>45439</v>
      </c>
      <c r="H1315" s="27">
        <v>0</v>
      </c>
      <c r="I1315" s="27">
        <f>-Withdrawals_Data!D109</f>
        <v>-9653.74</v>
      </c>
    </row>
    <row r="1316" spans="3:9">
      <c r="C1316" s="23">
        <v>109</v>
      </c>
      <c r="D1316" s="23" t="s">
        <v>134</v>
      </c>
      <c r="E1316" s="23" t="str">
        <f>Withdrawals_Data!A110</f>
        <v>DA-003</v>
      </c>
      <c r="F1316" s="23" t="str">
        <f>Withdrawals_Data!B110</f>
        <v>DA-003-M0090</v>
      </c>
      <c r="G1316" s="24">
        <f>Withdrawals_Data!C110</f>
        <v>45399</v>
      </c>
      <c r="H1316" s="27">
        <v>0</v>
      </c>
      <c r="I1316" s="27">
        <f>-Withdrawals_Data!D110</f>
        <v>-9598.75</v>
      </c>
    </row>
    <row r="1317" spans="3:9">
      <c r="C1317" s="23">
        <v>110</v>
      </c>
      <c r="D1317" s="23" t="s">
        <v>134</v>
      </c>
      <c r="E1317" s="23" t="str">
        <f>Withdrawals_Data!A111</f>
        <v>DA-003</v>
      </c>
      <c r="F1317" s="23" t="str">
        <f>Withdrawals_Data!B111</f>
        <v>DA-003-M0079</v>
      </c>
      <c r="G1317" s="24">
        <f>Withdrawals_Data!C111</f>
        <v>45462</v>
      </c>
      <c r="H1317" s="27">
        <v>0</v>
      </c>
      <c r="I1317" s="27">
        <f>-Withdrawals_Data!D111</f>
        <v>-9554.31</v>
      </c>
    </row>
    <row r="1318" spans="3:9">
      <c r="C1318" s="23">
        <v>111</v>
      </c>
      <c r="D1318" s="23" t="s">
        <v>134</v>
      </c>
      <c r="E1318" s="23" t="str">
        <f>Withdrawals_Data!A112</f>
        <v>DA-003</v>
      </c>
      <c r="F1318" s="23" t="str">
        <f>Withdrawals_Data!B112</f>
        <v>DA-003-M0008</v>
      </c>
      <c r="G1318" s="24">
        <f>Withdrawals_Data!C112</f>
        <v>45484</v>
      </c>
      <c r="H1318" s="27">
        <v>0</v>
      </c>
      <c r="I1318" s="27">
        <f>-Withdrawals_Data!D112</f>
        <v>-9541.27</v>
      </c>
    </row>
    <row r="1319" spans="3:9">
      <c r="C1319" s="23">
        <v>112</v>
      </c>
      <c r="D1319" s="23" t="s">
        <v>134</v>
      </c>
      <c r="E1319" s="23" t="str">
        <f>Withdrawals_Data!A113</f>
        <v>DA-002</v>
      </c>
      <c r="F1319" s="23" t="str">
        <f>Withdrawals_Data!B113</f>
        <v>DA-002-M0054</v>
      </c>
      <c r="G1319" s="24">
        <f>Withdrawals_Data!C113</f>
        <v>45335</v>
      </c>
      <c r="H1319" s="27">
        <v>0</v>
      </c>
      <c r="I1319" s="27">
        <f>-Withdrawals_Data!D113</f>
        <v>-9474.69</v>
      </c>
    </row>
    <row r="1320" spans="3:9">
      <c r="C1320" s="23">
        <v>113</v>
      </c>
      <c r="D1320" s="23" t="s">
        <v>134</v>
      </c>
      <c r="E1320" s="23" t="str">
        <f>Withdrawals_Data!A114</f>
        <v>DA-002</v>
      </c>
      <c r="F1320" s="23" t="str">
        <f>Withdrawals_Data!B114</f>
        <v>DA-002-M0097</v>
      </c>
      <c r="G1320" s="24">
        <f>Withdrawals_Data!C114</f>
        <v>45603</v>
      </c>
      <c r="H1320" s="27">
        <v>0</v>
      </c>
      <c r="I1320" s="27">
        <f>-Withdrawals_Data!D114</f>
        <v>-9469.4599999999991</v>
      </c>
    </row>
    <row r="1321" spans="3:9">
      <c r="C1321" s="23">
        <v>114</v>
      </c>
      <c r="D1321" s="23" t="s">
        <v>134</v>
      </c>
      <c r="E1321" s="23" t="str">
        <f>Withdrawals_Data!A115</f>
        <v>DA-003</v>
      </c>
      <c r="F1321" s="23" t="str">
        <f>Withdrawals_Data!B115</f>
        <v>DA-003-M0068</v>
      </c>
      <c r="G1321" s="24">
        <f>Withdrawals_Data!C115</f>
        <v>45650</v>
      </c>
      <c r="H1321" s="27">
        <v>0</v>
      </c>
      <c r="I1321" s="27">
        <f>-Withdrawals_Data!D115</f>
        <v>-9459.84</v>
      </c>
    </row>
    <row r="1322" spans="3:9">
      <c r="C1322" s="23">
        <v>115</v>
      </c>
      <c r="D1322" s="23" t="s">
        <v>134</v>
      </c>
      <c r="E1322" s="23" t="str">
        <f>Withdrawals_Data!A116</f>
        <v>DA-003</v>
      </c>
      <c r="F1322" s="23" t="str">
        <f>Withdrawals_Data!B116</f>
        <v>DA-003-M0008</v>
      </c>
      <c r="G1322" s="24">
        <f>Withdrawals_Data!C116</f>
        <v>45509</v>
      </c>
      <c r="H1322" s="27">
        <v>0</v>
      </c>
      <c r="I1322" s="27">
        <f>-Withdrawals_Data!D116</f>
        <v>-9431.15</v>
      </c>
    </row>
    <row r="1323" spans="3:9">
      <c r="C1323" s="23">
        <v>116</v>
      </c>
      <c r="D1323" s="23" t="s">
        <v>134</v>
      </c>
      <c r="E1323" s="23" t="str">
        <f>Withdrawals_Data!A117</f>
        <v>DA-002</v>
      </c>
      <c r="F1323" s="23" t="str">
        <f>Withdrawals_Data!B117</f>
        <v>DA-002-M0067</v>
      </c>
      <c r="G1323" s="24">
        <f>Withdrawals_Data!C117</f>
        <v>45384</v>
      </c>
      <c r="H1323" s="27">
        <v>0</v>
      </c>
      <c r="I1323" s="27">
        <f>-Withdrawals_Data!D117</f>
        <v>-9385.9500000000007</v>
      </c>
    </row>
    <row r="1324" spans="3:9">
      <c r="C1324" s="23">
        <v>117</v>
      </c>
      <c r="D1324" s="23" t="s">
        <v>134</v>
      </c>
      <c r="E1324" s="23" t="str">
        <f>Withdrawals_Data!A118</f>
        <v>DA-003</v>
      </c>
      <c r="F1324" s="23" t="str">
        <f>Withdrawals_Data!B118</f>
        <v>DA-003-M0005</v>
      </c>
      <c r="G1324" s="24">
        <f>Withdrawals_Data!C118</f>
        <v>45577</v>
      </c>
      <c r="H1324" s="27">
        <v>0</v>
      </c>
      <c r="I1324" s="27">
        <f>-Withdrawals_Data!D118</f>
        <v>-9385.7900000000009</v>
      </c>
    </row>
    <row r="1325" spans="3:9">
      <c r="C1325" s="23">
        <v>118</v>
      </c>
      <c r="D1325" s="23" t="s">
        <v>134</v>
      </c>
      <c r="E1325" s="23" t="str">
        <f>Withdrawals_Data!A119</f>
        <v>DA-003</v>
      </c>
      <c r="F1325" s="23" t="str">
        <f>Withdrawals_Data!B119</f>
        <v>DA-003-M0076</v>
      </c>
      <c r="G1325" s="24">
        <f>Withdrawals_Data!C119</f>
        <v>45514</v>
      </c>
      <c r="H1325" s="27">
        <v>0</v>
      </c>
      <c r="I1325" s="27">
        <f>-Withdrawals_Data!D119</f>
        <v>-9323.52</v>
      </c>
    </row>
    <row r="1326" spans="3:9">
      <c r="C1326" s="23">
        <v>119</v>
      </c>
      <c r="D1326" s="23" t="s">
        <v>134</v>
      </c>
      <c r="E1326" s="23" t="str">
        <f>Withdrawals_Data!A120</f>
        <v>DA-002</v>
      </c>
      <c r="F1326" s="23" t="str">
        <f>Withdrawals_Data!B120</f>
        <v>DA-002-M0040</v>
      </c>
      <c r="G1326" s="24">
        <f>Withdrawals_Data!C120</f>
        <v>45578</v>
      </c>
      <c r="H1326" s="27">
        <v>0</v>
      </c>
      <c r="I1326" s="27">
        <f>-Withdrawals_Data!D120</f>
        <v>-9304.5300000000007</v>
      </c>
    </row>
    <row r="1327" spans="3:9">
      <c r="C1327" s="23">
        <v>120</v>
      </c>
      <c r="D1327" s="23" t="s">
        <v>134</v>
      </c>
      <c r="E1327" s="23" t="str">
        <f>Withdrawals_Data!A121</f>
        <v>DA-001</v>
      </c>
      <c r="F1327" s="23" t="str">
        <f>Withdrawals_Data!B121</f>
        <v>DA-001-M0075</v>
      </c>
      <c r="G1327" s="24">
        <f>Withdrawals_Data!C121</f>
        <v>45417</v>
      </c>
      <c r="H1327" s="27">
        <v>0</v>
      </c>
      <c r="I1327" s="27">
        <f>-Withdrawals_Data!D121</f>
        <v>-9239.2800000000007</v>
      </c>
    </row>
    <row r="1328" spans="3:9">
      <c r="C1328" s="23">
        <v>121</v>
      </c>
      <c r="D1328" s="23" t="s">
        <v>134</v>
      </c>
      <c r="E1328" s="23" t="str">
        <f>Withdrawals_Data!A122</f>
        <v>DA-003</v>
      </c>
      <c r="F1328" s="23" t="str">
        <f>Withdrawals_Data!B122</f>
        <v>DA-003-M0090</v>
      </c>
      <c r="G1328" s="24">
        <f>Withdrawals_Data!C122</f>
        <v>45622</v>
      </c>
      <c r="H1328" s="27">
        <v>0</v>
      </c>
      <c r="I1328" s="27">
        <f>-Withdrawals_Data!D122</f>
        <v>-9235.33</v>
      </c>
    </row>
    <row r="1329" spans="3:9">
      <c r="C1329" s="23">
        <v>122</v>
      </c>
      <c r="D1329" s="23" t="s">
        <v>134</v>
      </c>
      <c r="E1329" s="23" t="str">
        <f>Withdrawals_Data!A123</f>
        <v>DA-002</v>
      </c>
      <c r="F1329" s="23" t="str">
        <f>Withdrawals_Data!B123</f>
        <v>DA-002-M0042</v>
      </c>
      <c r="G1329" s="24">
        <f>Withdrawals_Data!C123</f>
        <v>45294</v>
      </c>
      <c r="H1329" s="27">
        <v>0</v>
      </c>
      <c r="I1329" s="27">
        <f>-Withdrawals_Data!D123</f>
        <v>-9231.2099999999991</v>
      </c>
    </row>
    <row r="1330" spans="3:9">
      <c r="C1330" s="23">
        <v>123</v>
      </c>
      <c r="D1330" s="23" t="s">
        <v>134</v>
      </c>
      <c r="E1330" s="23" t="str">
        <f>Withdrawals_Data!A124</f>
        <v>DA-003</v>
      </c>
      <c r="F1330" s="23" t="str">
        <f>Withdrawals_Data!B124</f>
        <v>DA-003-M0069</v>
      </c>
      <c r="G1330" s="24">
        <f>Withdrawals_Data!C124</f>
        <v>45365</v>
      </c>
      <c r="H1330" s="27">
        <v>0</v>
      </c>
      <c r="I1330" s="27">
        <f>-Withdrawals_Data!D124</f>
        <v>-9210.5400000000009</v>
      </c>
    </row>
    <row r="1331" spans="3:9">
      <c r="C1331" s="23">
        <v>124</v>
      </c>
      <c r="D1331" s="23" t="s">
        <v>134</v>
      </c>
      <c r="E1331" s="23" t="str">
        <f>Withdrawals_Data!A125</f>
        <v>DA-003</v>
      </c>
      <c r="F1331" s="23" t="str">
        <f>Withdrawals_Data!B125</f>
        <v>DA-003-M0005</v>
      </c>
      <c r="G1331" s="24">
        <f>Withdrawals_Data!C125</f>
        <v>45597</v>
      </c>
      <c r="H1331" s="27">
        <v>0</v>
      </c>
      <c r="I1331" s="27">
        <f>-Withdrawals_Data!D125</f>
        <v>-9187.94</v>
      </c>
    </row>
    <row r="1332" spans="3:9">
      <c r="C1332" s="23">
        <v>125</v>
      </c>
      <c r="D1332" s="23" t="s">
        <v>134</v>
      </c>
      <c r="E1332" s="23" t="str">
        <f>Withdrawals_Data!A126</f>
        <v>DA-003</v>
      </c>
      <c r="F1332" s="23" t="str">
        <f>Withdrawals_Data!B126</f>
        <v>DA-003-M0005</v>
      </c>
      <c r="G1332" s="24">
        <f>Withdrawals_Data!C126</f>
        <v>45453</v>
      </c>
      <c r="H1332" s="27">
        <v>0</v>
      </c>
      <c r="I1332" s="27">
        <f>-Withdrawals_Data!D126</f>
        <v>-9172.2900000000009</v>
      </c>
    </row>
    <row r="1333" spans="3:9">
      <c r="C1333" s="23">
        <v>126</v>
      </c>
      <c r="D1333" s="23" t="s">
        <v>134</v>
      </c>
      <c r="E1333" s="23" t="str">
        <f>Withdrawals_Data!A127</f>
        <v>DA-003</v>
      </c>
      <c r="F1333" s="23" t="str">
        <f>Withdrawals_Data!B127</f>
        <v>DA-003-M0031</v>
      </c>
      <c r="G1333" s="24">
        <f>Withdrawals_Data!C127</f>
        <v>45305</v>
      </c>
      <c r="H1333" s="27">
        <v>0</v>
      </c>
      <c r="I1333" s="27">
        <f>-Withdrawals_Data!D127</f>
        <v>-9159.1</v>
      </c>
    </row>
    <row r="1334" spans="3:9">
      <c r="C1334" s="23">
        <v>127</v>
      </c>
      <c r="D1334" s="23" t="s">
        <v>134</v>
      </c>
      <c r="E1334" s="23" t="str">
        <f>Withdrawals_Data!A128</f>
        <v>DA-002</v>
      </c>
      <c r="F1334" s="23" t="str">
        <f>Withdrawals_Data!B128</f>
        <v>DA-002-M0089</v>
      </c>
      <c r="G1334" s="24">
        <f>Withdrawals_Data!C128</f>
        <v>45654</v>
      </c>
      <c r="H1334" s="27">
        <v>0</v>
      </c>
      <c r="I1334" s="27">
        <f>-Withdrawals_Data!D128</f>
        <v>-9130.32</v>
      </c>
    </row>
    <row r="1335" spans="3:9">
      <c r="C1335" s="23">
        <v>128</v>
      </c>
      <c r="D1335" s="23" t="s">
        <v>134</v>
      </c>
      <c r="E1335" s="23" t="str">
        <f>Withdrawals_Data!A129</f>
        <v>DA-003</v>
      </c>
      <c r="F1335" s="23" t="str">
        <f>Withdrawals_Data!B129</f>
        <v>DA-003-M0028</v>
      </c>
      <c r="G1335" s="24">
        <f>Withdrawals_Data!C129</f>
        <v>45424</v>
      </c>
      <c r="H1335" s="27">
        <v>0</v>
      </c>
      <c r="I1335" s="27">
        <f>-Withdrawals_Data!D129</f>
        <v>-9081.83</v>
      </c>
    </row>
    <row r="1336" spans="3:9">
      <c r="C1336" s="23">
        <v>129</v>
      </c>
      <c r="D1336" s="23" t="s">
        <v>134</v>
      </c>
      <c r="E1336" s="23" t="str">
        <f>Withdrawals_Data!A130</f>
        <v>DA-002</v>
      </c>
      <c r="F1336" s="23" t="str">
        <f>Withdrawals_Data!B130</f>
        <v>DA-002-M0064</v>
      </c>
      <c r="G1336" s="24">
        <f>Withdrawals_Data!C130</f>
        <v>45538</v>
      </c>
      <c r="H1336" s="27">
        <v>0</v>
      </c>
      <c r="I1336" s="27">
        <f>-Withdrawals_Data!D130</f>
        <v>-9042.7000000000007</v>
      </c>
    </row>
    <row r="1337" spans="3:9">
      <c r="C1337" s="23">
        <v>130</v>
      </c>
      <c r="D1337" s="23" t="s">
        <v>134</v>
      </c>
      <c r="E1337" s="23" t="str">
        <f>Withdrawals_Data!A131</f>
        <v>DA-002</v>
      </c>
      <c r="F1337" s="23" t="str">
        <f>Withdrawals_Data!B131</f>
        <v>DA-002-M0003</v>
      </c>
      <c r="G1337" s="24">
        <f>Withdrawals_Data!C131</f>
        <v>45458</v>
      </c>
      <c r="H1337" s="27">
        <v>0</v>
      </c>
      <c r="I1337" s="27">
        <f>-Withdrawals_Data!D131</f>
        <v>-9030.2000000000007</v>
      </c>
    </row>
    <row r="1338" spans="3:9">
      <c r="C1338" s="23">
        <v>131</v>
      </c>
      <c r="D1338" s="23" t="s">
        <v>134</v>
      </c>
      <c r="E1338" s="23" t="str">
        <f>Withdrawals_Data!A132</f>
        <v>DA-003</v>
      </c>
      <c r="F1338" s="23" t="str">
        <f>Withdrawals_Data!B132</f>
        <v>DA-003-M0031</v>
      </c>
      <c r="G1338" s="24">
        <f>Withdrawals_Data!C132</f>
        <v>45637</v>
      </c>
      <c r="H1338" s="27">
        <v>0</v>
      </c>
      <c r="I1338" s="27">
        <f>-Withdrawals_Data!D132</f>
        <v>-9017.68</v>
      </c>
    </row>
    <row r="1339" spans="3:9">
      <c r="C1339" s="23">
        <v>132</v>
      </c>
      <c r="D1339" s="23" t="s">
        <v>134</v>
      </c>
      <c r="E1339" s="23" t="str">
        <f>Withdrawals_Data!A133</f>
        <v>DA-001</v>
      </c>
      <c r="F1339" s="23" t="str">
        <f>Withdrawals_Data!B133</f>
        <v>DA-001-M0055</v>
      </c>
      <c r="G1339" s="24">
        <f>Withdrawals_Data!C133</f>
        <v>45361</v>
      </c>
      <c r="H1339" s="27">
        <v>0</v>
      </c>
      <c r="I1339" s="27">
        <f>-Withdrawals_Data!D133</f>
        <v>-8997.5300000000007</v>
      </c>
    </row>
    <row r="1340" spans="3:9">
      <c r="C1340" s="23">
        <v>133</v>
      </c>
      <c r="D1340" s="23" t="s">
        <v>134</v>
      </c>
      <c r="E1340" s="23" t="str">
        <f>Withdrawals_Data!A134</f>
        <v>DA-003</v>
      </c>
      <c r="F1340" s="23" t="str">
        <f>Withdrawals_Data!B134</f>
        <v>DA-003-M0090</v>
      </c>
      <c r="G1340" s="24">
        <f>Withdrawals_Data!C134</f>
        <v>45337</v>
      </c>
      <c r="H1340" s="27">
        <v>0</v>
      </c>
      <c r="I1340" s="27">
        <f>-Withdrawals_Data!D134</f>
        <v>-8963.01</v>
      </c>
    </row>
    <row r="1341" spans="3:9">
      <c r="C1341" s="23">
        <v>134</v>
      </c>
      <c r="D1341" s="23" t="s">
        <v>134</v>
      </c>
      <c r="E1341" s="23" t="str">
        <f>Withdrawals_Data!A135</f>
        <v>DA-003</v>
      </c>
      <c r="F1341" s="23" t="str">
        <f>Withdrawals_Data!B135</f>
        <v>DA-003-M0066</v>
      </c>
      <c r="G1341" s="24">
        <f>Withdrawals_Data!C135</f>
        <v>45602</v>
      </c>
      <c r="H1341" s="27">
        <v>0</v>
      </c>
      <c r="I1341" s="27">
        <f>-Withdrawals_Data!D135</f>
        <v>-8955.16</v>
      </c>
    </row>
    <row r="1342" spans="3:9">
      <c r="C1342" s="23">
        <v>135</v>
      </c>
      <c r="D1342" s="23" t="s">
        <v>134</v>
      </c>
      <c r="E1342" s="23" t="str">
        <f>Withdrawals_Data!A136</f>
        <v>DA-003</v>
      </c>
      <c r="F1342" s="23" t="str">
        <f>Withdrawals_Data!B136</f>
        <v>DA-003-M0032</v>
      </c>
      <c r="G1342" s="24">
        <f>Withdrawals_Data!C136</f>
        <v>45546</v>
      </c>
      <c r="H1342" s="27">
        <v>0</v>
      </c>
      <c r="I1342" s="27">
        <f>-Withdrawals_Data!D136</f>
        <v>-8942.4599999999991</v>
      </c>
    </row>
    <row r="1343" spans="3:9">
      <c r="C1343" s="23">
        <v>136</v>
      </c>
      <c r="D1343" s="23" t="s">
        <v>134</v>
      </c>
      <c r="E1343" s="23" t="str">
        <f>Withdrawals_Data!A137</f>
        <v>DA-003</v>
      </c>
      <c r="F1343" s="23" t="str">
        <f>Withdrawals_Data!B137</f>
        <v>DA-003-M0048</v>
      </c>
      <c r="G1343" s="24">
        <f>Withdrawals_Data!C137</f>
        <v>45511</v>
      </c>
      <c r="H1343" s="27">
        <v>0</v>
      </c>
      <c r="I1343" s="27">
        <f>-Withdrawals_Data!D137</f>
        <v>-8888.5400000000009</v>
      </c>
    </row>
    <row r="1344" spans="3:9">
      <c r="C1344" s="23">
        <v>137</v>
      </c>
      <c r="D1344" s="23" t="s">
        <v>134</v>
      </c>
      <c r="E1344" s="23" t="str">
        <f>Withdrawals_Data!A138</f>
        <v>DA-002</v>
      </c>
      <c r="F1344" s="23" t="str">
        <f>Withdrawals_Data!B138</f>
        <v>DA-002-M0026</v>
      </c>
      <c r="G1344" s="24">
        <f>Withdrawals_Data!C138</f>
        <v>45367</v>
      </c>
      <c r="H1344" s="27">
        <v>0</v>
      </c>
      <c r="I1344" s="27">
        <f>-Withdrawals_Data!D138</f>
        <v>-8813.85</v>
      </c>
    </row>
    <row r="1345" spans="3:9">
      <c r="C1345" s="23">
        <v>138</v>
      </c>
      <c r="D1345" s="23" t="s">
        <v>134</v>
      </c>
      <c r="E1345" s="23" t="str">
        <f>Withdrawals_Data!A139</f>
        <v>DA-003</v>
      </c>
      <c r="F1345" s="23" t="str">
        <f>Withdrawals_Data!B139</f>
        <v>DA-003-M0048</v>
      </c>
      <c r="G1345" s="24">
        <f>Withdrawals_Data!C139</f>
        <v>45486</v>
      </c>
      <c r="H1345" s="27">
        <v>0</v>
      </c>
      <c r="I1345" s="27">
        <f>-Withdrawals_Data!D139</f>
        <v>-8786.2199999999993</v>
      </c>
    </row>
    <row r="1346" spans="3:9">
      <c r="C1346" s="23">
        <v>139</v>
      </c>
      <c r="D1346" s="23" t="s">
        <v>134</v>
      </c>
      <c r="E1346" s="23" t="str">
        <f>Withdrawals_Data!A140</f>
        <v>DA-001</v>
      </c>
      <c r="F1346" s="23" t="str">
        <f>Withdrawals_Data!B140</f>
        <v>DA-001-M0043</v>
      </c>
      <c r="G1346" s="24">
        <f>Withdrawals_Data!C140</f>
        <v>45486</v>
      </c>
      <c r="H1346" s="27">
        <v>0</v>
      </c>
      <c r="I1346" s="27">
        <f>-Withdrawals_Data!D140</f>
        <v>-8783.3799999999992</v>
      </c>
    </row>
    <row r="1347" spans="3:9">
      <c r="C1347" s="23">
        <v>140</v>
      </c>
      <c r="D1347" s="23" t="s">
        <v>134</v>
      </c>
      <c r="E1347" s="23" t="str">
        <f>Withdrawals_Data!A141</f>
        <v>DA-001</v>
      </c>
      <c r="F1347" s="23" t="str">
        <f>Withdrawals_Data!B141</f>
        <v>DA-001-M0055</v>
      </c>
      <c r="G1347" s="24">
        <f>Withdrawals_Data!C141</f>
        <v>45654</v>
      </c>
      <c r="H1347" s="27">
        <v>0</v>
      </c>
      <c r="I1347" s="27">
        <f>-Withdrawals_Data!D141</f>
        <v>-8776.36</v>
      </c>
    </row>
    <row r="1348" spans="3:9">
      <c r="C1348" s="23">
        <v>141</v>
      </c>
      <c r="D1348" s="23" t="s">
        <v>134</v>
      </c>
      <c r="E1348" s="23" t="str">
        <f>Withdrawals_Data!A142</f>
        <v>DA-002</v>
      </c>
      <c r="F1348" s="23" t="str">
        <f>Withdrawals_Data!B142</f>
        <v>DA-002-M0078</v>
      </c>
      <c r="G1348" s="24">
        <f>Withdrawals_Data!C142</f>
        <v>45361</v>
      </c>
      <c r="H1348" s="27">
        <v>0</v>
      </c>
      <c r="I1348" s="27">
        <f>-Withdrawals_Data!D142</f>
        <v>-8768.2000000000007</v>
      </c>
    </row>
    <row r="1349" spans="3:9">
      <c r="C1349" s="23">
        <v>142</v>
      </c>
      <c r="D1349" s="23" t="s">
        <v>134</v>
      </c>
      <c r="E1349" s="23" t="str">
        <f>Withdrawals_Data!A143</f>
        <v>DA-002</v>
      </c>
      <c r="F1349" s="23" t="str">
        <f>Withdrawals_Data!B143</f>
        <v>DA-002-M0054</v>
      </c>
      <c r="G1349" s="24">
        <f>Withdrawals_Data!C143</f>
        <v>45615</v>
      </c>
      <c r="H1349" s="27">
        <v>0</v>
      </c>
      <c r="I1349" s="27">
        <f>-Withdrawals_Data!D143</f>
        <v>-8764.4</v>
      </c>
    </row>
    <row r="1350" spans="3:9">
      <c r="C1350" s="23">
        <v>143</v>
      </c>
      <c r="D1350" s="23" t="s">
        <v>134</v>
      </c>
      <c r="E1350" s="23" t="str">
        <f>Withdrawals_Data!A144</f>
        <v>DA-002</v>
      </c>
      <c r="F1350" s="23" t="str">
        <f>Withdrawals_Data!B144</f>
        <v>DA-002-M0044</v>
      </c>
      <c r="G1350" s="24">
        <f>Withdrawals_Data!C144</f>
        <v>45467</v>
      </c>
      <c r="H1350" s="27">
        <v>0</v>
      </c>
      <c r="I1350" s="27">
        <f>-Withdrawals_Data!D144</f>
        <v>-8747.07</v>
      </c>
    </row>
    <row r="1351" spans="3:9">
      <c r="C1351" s="23">
        <v>144</v>
      </c>
      <c r="D1351" s="23" t="s">
        <v>134</v>
      </c>
      <c r="E1351" s="23" t="str">
        <f>Withdrawals_Data!A145</f>
        <v>DA-001</v>
      </c>
      <c r="F1351" s="23" t="str">
        <f>Withdrawals_Data!B145</f>
        <v>DA-001-M0093</v>
      </c>
      <c r="G1351" s="24">
        <f>Withdrawals_Data!C145</f>
        <v>45412</v>
      </c>
      <c r="H1351" s="27">
        <v>0</v>
      </c>
      <c r="I1351" s="27">
        <f>-Withdrawals_Data!D145</f>
        <v>-8738.2099999999991</v>
      </c>
    </row>
    <row r="1352" spans="3:9">
      <c r="C1352" s="23">
        <v>145</v>
      </c>
      <c r="D1352" s="23" t="s">
        <v>134</v>
      </c>
      <c r="E1352" s="23" t="str">
        <f>Withdrawals_Data!A146</f>
        <v>DA-002</v>
      </c>
      <c r="F1352" s="23" t="str">
        <f>Withdrawals_Data!B146</f>
        <v>DA-002-M0033</v>
      </c>
      <c r="G1352" s="24">
        <f>Withdrawals_Data!C146</f>
        <v>45611</v>
      </c>
      <c r="H1352" s="27">
        <v>0</v>
      </c>
      <c r="I1352" s="27">
        <f>-Withdrawals_Data!D146</f>
        <v>-8727.4699999999993</v>
      </c>
    </row>
    <row r="1353" spans="3:9">
      <c r="C1353" s="23">
        <v>146</v>
      </c>
      <c r="D1353" s="23" t="s">
        <v>134</v>
      </c>
      <c r="E1353" s="23" t="str">
        <f>Withdrawals_Data!A147</f>
        <v>DA-003</v>
      </c>
      <c r="F1353" s="23" t="str">
        <f>Withdrawals_Data!B147</f>
        <v>DA-003-M0077</v>
      </c>
      <c r="G1353" s="24">
        <f>Withdrawals_Data!C147</f>
        <v>45599</v>
      </c>
      <c r="H1353" s="27">
        <v>0</v>
      </c>
      <c r="I1353" s="27">
        <f>-Withdrawals_Data!D147</f>
        <v>-8677.44</v>
      </c>
    </row>
    <row r="1354" spans="3:9">
      <c r="C1354" s="23">
        <v>147</v>
      </c>
      <c r="D1354" s="23" t="s">
        <v>134</v>
      </c>
      <c r="E1354" s="23" t="str">
        <f>Withdrawals_Data!A148</f>
        <v>DA-001</v>
      </c>
      <c r="F1354" s="23" t="str">
        <f>Withdrawals_Data!B148</f>
        <v>DA-001-M0083</v>
      </c>
      <c r="G1354" s="24">
        <f>Withdrawals_Data!C148</f>
        <v>45551</v>
      </c>
      <c r="H1354" s="27">
        <v>0</v>
      </c>
      <c r="I1354" s="27">
        <f>-Withdrawals_Data!D148</f>
        <v>-8642.2999999999993</v>
      </c>
    </row>
    <row r="1355" spans="3:9">
      <c r="C1355" s="23">
        <v>148</v>
      </c>
      <c r="D1355" s="23" t="s">
        <v>134</v>
      </c>
      <c r="E1355" s="23" t="str">
        <f>Withdrawals_Data!A149</f>
        <v>DA-003</v>
      </c>
      <c r="F1355" s="23" t="str">
        <f>Withdrawals_Data!B149</f>
        <v>DA-003-M0008</v>
      </c>
      <c r="G1355" s="24">
        <f>Withdrawals_Data!C149</f>
        <v>45335</v>
      </c>
      <c r="H1355" s="27">
        <v>0</v>
      </c>
      <c r="I1355" s="27">
        <f>-Withdrawals_Data!D149</f>
        <v>-8614.9</v>
      </c>
    </row>
    <row r="1356" spans="3:9">
      <c r="C1356" s="23">
        <v>149</v>
      </c>
      <c r="D1356" s="23" t="s">
        <v>134</v>
      </c>
      <c r="E1356" s="23" t="str">
        <f>Withdrawals_Data!A150</f>
        <v>DA-003</v>
      </c>
      <c r="F1356" s="23" t="str">
        <f>Withdrawals_Data!B150</f>
        <v>DA-003-M0082</v>
      </c>
      <c r="G1356" s="24">
        <f>Withdrawals_Data!C150</f>
        <v>45652</v>
      </c>
      <c r="H1356" s="27">
        <v>0</v>
      </c>
      <c r="I1356" s="27">
        <f>-Withdrawals_Data!D150</f>
        <v>-8594.67</v>
      </c>
    </row>
    <row r="1357" spans="3:9">
      <c r="C1357" s="23">
        <v>150</v>
      </c>
      <c r="D1357" s="23" t="s">
        <v>134</v>
      </c>
      <c r="E1357" s="23" t="str">
        <f>Withdrawals_Data!A151</f>
        <v>DA-002</v>
      </c>
      <c r="F1357" s="23" t="str">
        <f>Withdrawals_Data!B151</f>
        <v>DA-002-M0054</v>
      </c>
      <c r="G1357" s="24">
        <f>Withdrawals_Data!C151</f>
        <v>45517</v>
      </c>
      <c r="H1357" s="27">
        <v>0</v>
      </c>
      <c r="I1357" s="27">
        <f>-Withdrawals_Data!D151</f>
        <v>-8586.85</v>
      </c>
    </row>
    <row r="1358" spans="3:9">
      <c r="C1358" s="23">
        <v>151</v>
      </c>
      <c r="D1358" s="23" t="s">
        <v>134</v>
      </c>
      <c r="E1358" s="23" t="str">
        <f>Withdrawals_Data!A152</f>
        <v>DA-003</v>
      </c>
      <c r="F1358" s="23" t="str">
        <f>Withdrawals_Data!B152</f>
        <v>DA-003-M0095</v>
      </c>
      <c r="G1358" s="24">
        <f>Withdrawals_Data!C152</f>
        <v>45461</v>
      </c>
      <c r="H1358" s="27">
        <v>0</v>
      </c>
      <c r="I1358" s="27">
        <f>-Withdrawals_Data!D152</f>
        <v>-8563.5400000000009</v>
      </c>
    </row>
    <row r="1359" spans="3:9">
      <c r="C1359" s="23">
        <v>152</v>
      </c>
      <c r="D1359" s="23" t="s">
        <v>134</v>
      </c>
      <c r="E1359" s="23" t="str">
        <f>Withdrawals_Data!A153</f>
        <v>DA-003</v>
      </c>
      <c r="F1359" s="23" t="str">
        <f>Withdrawals_Data!B153</f>
        <v>DA-003-M0059</v>
      </c>
      <c r="G1359" s="24">
        <f>Withdrawals_Data!C153</f>
        <v>45587</v>
      </c>
      <c r="H1359" s="27">
        <v>0</v>
      </c>
      <c r="I1359" s="27">
        <f>-Withdrawals_Data!D153</f>
        <v>-8512.42</v>
      </c>
    </row>
    <row r="1360" spans="3:9">
      <c r="C1360" s="23">
        <v>153</v>
      </c>
      <c r="D1360" s="23" t="s">
        <v>134</v>
      </c>
      <c r="E1360" s="23" t="str">
        <f>Withdrawals_Data!A154</f>
        <v>DA-001</v>
      </c>
      <c r="F1360" s="23" t="str">
        <f>Withdrawals_Data!B154</f>
        <v>DA-001-M0073</v>
      </c>
      <c r="G1360" s="24">
        <f>Withdrawals_Data!C154</f>
        <v>45645</v>
      </c>
      <c r="H1360" s="27">
        <v>0</v>
      </c>
      <c r="I1360" s="27">
        <f>-Withdrawals_Data!D154</f>
        <v>-8500.9</v>
      </c>
    </row>
    <row r="1361" spans="3:9">
      <c r="C1361" s="23">
        <v>154</v>
      </c>
      <c r="D1361" s="23" t="s">
        <v>134</v>
      </c>
      <c r="E1361" s="23" t="str">
        <f>Withdrawals_Data!A155</f>
        <v>DA-001</v>
      </c>
      <c r="F1361" s="23" t="str">
        <f>Withdrawals_Data!B155</f>
        <v>DA-001-M0073</v>
      </c>
      <c r="G1361" s="24">
        <f>Withdrawals_Data!C155</f>
        <v>45466</v>
      </c>
      <c r="H1361" s="27">
        <v>0</v>
      </c>
      <c r="I1361" s="27">
        <f>-Withdrawals_Data!D155</f>
        <v>-8489.19</v>
      </c>
    </row>
    <row r="1362" spans="3:9">
      <c r="C1362" s="23">
        <v>155</v>
      </c>
      <c r="D1362" s="23" t="s">
        <v>134</v>
      </c>
      <c r="E1362" s="23" t="str">
        <f>Withdrawals_Data!A156</f>
        <v>DA-003</v>
      </c>
      <c r="F1362" s="23" t="str">
        <f>Withdrawals_Data!B156</f>
        <v>DA-003-M0045</v>
      </c>
      <c r="G1362" s="24">
        <f>Withdrawals_Data!C156</f>
        <v>45655</v>
      </c>
      <c r="H1362" s="27">
        <v>0</v>
      </c>
      <c r="I1362" s="27">
        <f>-Withdrawals_Data!D156</f>
        <v>-8488.0400000000009</v>
      </c>
    </row>
    <row r="1363" spans="3:9">
      <c r="C1363" s="23">
        <v>156</v>
      </c>
      <c r="D1363" s="23" t="s">
        <v>134</v>
      </c>
      <c r="E1363" s="23" t="str">
        <f>Withdrawals_Data!A157</f>
        <v>DA-003</v>
      </c>
      <c r="F1363" s="23" t="str">
        <f>Withdrawals_Data!B157</f>
        <v>DA-003-M0013</v>
      </c>
      <c r="G1363" s="24">
        <f>Withdrawals_Data!C157</f>
        <v>45354</v>
      </c>
      <c r="H1363" s="27">
        <v>0</v>
      </c>
      <c r="I1363" s="27">
        <f>-Withdrawals_Data!D157</f>
        <v>-8454.07</v>
      </c>
    </row>
    <row r="1364" spans="3:9">
      <c r="C1364" s="23">
        <v>157</v>
      </c>
      <c r="D1364" s="23" t="s">
        <v>134</v>
      </c>
      <c r="E1364" s="23" t="str">
        <f>Withdrawals_Data!A158</f>
        <v>DA-001</v>
      </c>
      <c r="F1364" s="23" t="str">
        <f>Withdrawals_Data!B158</f>
        <v>DA-001-M0035</v>
      </c>
      <c r="G1364" s="24">
        <f>Withdrawals_Data!C158</f>
        <v>45387</v>
      </c>
      <c r="H1364" s="27">
        <v>0</v>
      </c>
      <c r="I1364" s="27">
        <f>-Withdrawals_Data!D158</f>
        <v>-8437.58</v>
      </c>
    </row>
    <row r="1365" spans="3:9">
      <c r="C1365" s="23">
        <v>158</v>
      </c>
      <c r="D1365" s="23" t="s">
        <v>134</v>
      </c>
      <c r="E1365" s="23" t="str">
        <f>Withdrawals_Data!A159</f>
        <v>DA-003</v>
      </c>
      <c r="F1365" s="23" t="str">
        <f>Withdrawals_Data!B159</f>
        <v>DA-003-M0029</v>
      </c>
      <c r="G1365" s="24">
        <f>Withdrawals_Data!C159</f>
        <v>45543</v>
      </c>
      <c r="H1365" s="27">
        <v>0</v>
      </c>
      <c r="I1365" s="27">
        <f>-Withdrawals_Data!D159</f>
        <v>-8397.33</v>
      </c>
    </row>
    <row r="1366" spans="3:9">
      <c r="C1366" s="23">
        <v>159</v>
      </c>
      <c r="D1366" s="23" t="s">
        <v>134</v>
      </c>
      <c r="E1366" s="23" t="str">
        <f>Withdrawals_Data!A160</f>
        <v>DA-001</v>
      </c>
      <c r="F1366" s="23" t="str">
        <f>Withdrawals_Data!B160</f>
        <v>DA-001-M0019</v>
      </c>
      <c r="G1366" s="24">
        <f>Withdrawals_Data!C160</f>
        <v>45411</v>
      </c>
      <c r="H1366" s="27">
        <v>0</v>
      </c>
      <c r="I1366" s="27">
        <f>-Withdrawals_Data!D160</f>
        <v>-8390.7000000000007</v>
      </c>
    </row>
    <row r="1367" spans="3:9">
      <c r="C1367" s="23">
        <v>160</v>
      </c>
      <c r="D1367" s="23" t="s">
        <v>134</v>
      </c>
      <c r="E1367" s="23" t="str">
        <f>Withdrawals_Data!A161</f>
        <v>DA-002</v>
      </c>
      <c r="F1367" s="23" t="str">
        <f>Withdrawals_Data!B161</f>
        <v>DA-002-M0016</v>
      </c>
      <c r="G1367" s="24">
        <f>Withdrawals_Data!C161</f>
        <v>45297</v>
      </c>
      <c r="H1367" s="27">
        <v>0</v>
      </c>
      <c r="I1367" s="27">
        <f>-Withdrawals_Data!D161</f>
        <v>-8387.98</v>
      </c>
    </row>
    <row r="1368" spans="3:9">
      <c r="C1368" s="23">
        <v>161</v>
      </c>
      <c r="D1368" s="23" t="s">
        <v>134</v>
      </c>
      <c r="E1368" s="23" t="str">
        <f>Withdrawals_Data!A162</f>
        <v>DA-003</v>
      </c>
      <c r="F1368" s="23" t="str">
        <f>Withdrawals_Data!B162</f>
        <v>DA-003-M0047</v>
      </c>
      <c r="G1368" s="24">
        <f>Withdrawals_Data!C162</f>
        <v>45366</v>
      </c>
      <c r="H1368" s="27">
        <v>0</v>
      </c>
      <c r="I1368" s="27">
        <f>-Withdrawals_Data!D162</f>
        <v>-8384.48</v>
      </c>
    </row>
    <row r="1369" spans="3:9">
      <c r="C1369" s="23">
        <v>162</v>
      </c>
      <c r="D1369" s="23" t="s">
        <v>134</v>
      </c>
      <c r="E1369" s="23" t="str">
        <f>Withdrawals_Data!A163</f>
        <v>DA-003</v>
      </c>
      <c r="F1369" s="23" t="str">
        <f>Withdrawals_Data!B163</f>
        <v>DA-003-M0001</v>
      </c>
      <c r="G1369" s="24">
        <f>Withdrawals_Data!C163</f>
        <v>45648</v>
      </c>
      <c r="H1369" s="27">
        <v>0</v>
      </c>
      <c r="I1369" s="27">
        <f>-Withdrawals_Data!D163</f>
        <v>-8367.0400000000009</v>
      </c>
    </row>
    <row r="1370" spans="3:9">
      <c r="C1370" s="23">
        <v>163</v>
      </c>
      <c r="D1370" s="23" t="s">
        <v>134</v>
      </c>
      <c r="E1370" s="23" t="str">
        <f>Withdrawals_Data!A164</f>
        <v>DA-002</v>
      </c>
      <c r="F1370" s="23" t="str">
        <f>Withdrawals_Data!B164</f>
        <v>DA-002-M0094</v>
      </c>
      <c r="G1370" s="24">
        <f>Withdrawals_Data!C164</f>
        <v>45530</v>
      </c>
      <c r="H1370" s="27">
        <v>0</v>
      </c>
      <c r="I1370" s="27">
        <f>-Withdrawals_Data!D164</f>
        <v>-8353.6299999999992</v>
      </c>
    </row>
    <row r="1371" spans="3:9">
      <c r="C1371" s="23">
        <v>164</v>
      </c>
      <c r="D1371" s="23" t="s">
        <v>134</v>
      </c>
      <c r="E1371" s="23" t="str">
        <f>Withdrawals_Data!A165</f>
        <v>DA-003</v>
      </c>
      <c r="F1371" s="23" t="str">
        <f>Withdrawals_Data!B165</f>
        <v>DA-003-M0099</v>
      </c>
      <c r="G1371" s="24">
        <f>Withdrawals_Data!C165</f>
        <v>45411</v>
      </c>
      <c r="H1371" s="27">
        <v>0</v>
      </c>
      <c r="I1371" s="27">
        <f>-Withdrawals_Data!D165</f>
        <v>-8344.58</v>
      </c>
    </row>
    <row r="1372" spans="3:9">
      <c r="C1372" s="23">
        <v>165</v>
      </c>
      <c r="D1372" s="23" t="s">
        <v>134</v>
      </c>
      <c r="E1372" s="23" t="str">
        <f>Withdrawals_Data!A166</f>
        <v>DA-001</v>
      </c>
      <c r="F1372" s="23" t="str">
        <f>Withdrawals_Data!B166</f>
        <v>DA-001-M0065</v>
      </c>
      <c r="G1372" s="24">
        <f>Withdrawals_Data!C166</f>
        <v>45516</v>
      </c>
      <c r="H1372" s="27">
        <v>0</v>
      </c>
      <c r="I1372" s="27">
        <f>-Withdrawals_Data!D166</f>
        <v>-8307.2900000000009</v>
      </c>
    </row>
    <row r="1373" spans="3:9">
      <c r="C1373" s="23">
        <v>166</v>
      </c>
      <c r="D1373" s="23" t="s">
        <v>134</v>
      </c>
      <c r="E1373" s="23" t="str">
        <f>Withdrawals_Data!A167</f>
        <v>DA-003</v>
      </c>
      <c r="F1373" s="23" t="str">
        <f>Withdrawals_Data!B167</f>
        <v>DA-003-M0077</v>
      </c>
      <c r="G1373" s="24">
        <f>Withdrawals_Data!C167</f>
        <v>45398</v>
      </c>
      <c r="H1373" s="27">
        <v>0</v>
      </c>
      <c r="I1373" s="27">
        <f>-Withdrawals_Data!D167</f>
        <v>-8304.02</v>
      </c>
    </row>
    <row r="1374" spans="3:9">
      <c r="C1374" s="23">
        <v>167</v>
      </c>
      <c r="D1374" s="23" t="s">
        <v>134</v>
      </c>
      <c r="E1374" s="23" t="str">
        <f>Withdrawals_Data!A168</f>
        <v>DA-003</v>
      </c>
      <c r="F1374" s="23" t="str">
        <f>Withdrawals_Data!B168</f>
        <v>DA-003-M0013</v>
      </c>
      <c r="G1374" s="24">
        <f>Withdrawals_Data!C168</f>
        <v>45610</v>
      </c>
      <c r="H1374" s="27">
        <v>0</v>
      </c>
      <c r="I1374" s="27">
        <f>-Withdrawals_Data!D168</f>
        <v>-8279.2099999999991</v>
      </c>
    </row>
    <row r="1375" spans="3:9">
      <c r="C1375" s="23">
        <v>168</v>
      </c>
      <c r="D1375" s="23" t="s">
        <v>134</v>
      </c>
      <c r="E1375" s="23" t="str">
        <f>Withdrawals_Data!A169</f>
        <v>DA-001</v>
      </c>
      <c r="F1375" s="23" t="str">
        <f>Withdrawals_Data!B169</f>
        <v>DA-001-M0098</v>
      </c>
      <c r="G1375" s="24">
        <f>Withdrawals_Data!C169</f>
        <v>45294</v>
      </c>
      <c r="H1375" s="27">
        <v>0</v>
      </c>
      <c r="I1375" s="27">
        <f>-Withdrawals_Data!D169</f>
        <v>-8246.7199999999993</v>
      </c>
    </row>
    <row r="1376" spans="3:9">
      <c r="C1376" s="23">
        <v>169</v>
      </c>
      <c r="D1376" s="23" t="s">
        <v>134</v>
      </c>
      <c r="E1376" s="23" t="str">
        <f>Withdrawals_Data!A170</f>
        <v>DA-002</v>
      </c>
      <c r="F1376" s="23" t="str">
        <f>Withdrawals_Data!B170</f>
        <v>DA-002-M0003</v>
      </c>
      <c r="G1376" s="24">
        <f>Withdrawals_Data!C170</f>
        <v>45634</v>
      </c>
      <c r="H1376" s="27">
        <v>0</v>
      </c>
      <c r="I1376" s="27">
        <f>-Withdrawals_Data!D170</f>
        <v>-8240.92</v>
      </c>
    </row>
    <row r="1377" spans="3:9">
      <c r="C1377" s="23">
        <v>170</v>
      </c>
      <c r="D1377" s="23" t="s">
        <v>134</v>
      </c>
      <c r="E1377" s="23" t="str">
        <f>Withdrawals_Data!A171</f>
        <v>DA-002</v>
      </c>
      <c r="F1377" s="23" t="str">
        <f>Withdrawals_Data!B171</f>
        <v>DA-002-M0088</v>
      </c>
      <c r="G1377" s="24">
        <f>Withdrawals_Data!C171</f>
        <v>45600</v>
      </c>
      <c r="H1377" s="27">
        <v>0</v>
      </c>
      <c r="I1377" s="27">
        <f>-Withdrawals_Data!D171</f>
        <v>-8228.0499999999993</v>
      </c>
    </row>
    <row r="1378" spans="3:9">
      <c r="C1378" s="23">
        <v>171</v>
      </c>
      <c r="D1378" s="23" t="s">
        <v>134</v>
      </c>
      <c r="E1378" s="23" t="str">
        <f>Withdrawals_Data!A172</f>
        <v>DA-003</v>
      </c>
      <c r="F1378" s="23" t="str">
        <f>Withdrawals_Data!B172</f>
        <v>DA-003-M0029</v>
      </c>
      <c r="G1378" s="24">
        <f>Withdrawals_Data!C172</f>
        <v>45567</v>
      </c>
      <c r="H1378" s="27">
        <v>0</v>
      </c>
      <c r="I1378" s="27">
        <f>-Withdrawals_Data!D172</f>
        <v>-8192.34</v>
      </c>
    </row>
    <row r="1379" spans="3:9">
      <c r="C1379" s="23">
        <v>172</v>
      </c>
      <c r="D1379" s="23" t="s">
        <v>134</v>
      </c>
      <c r="E1379" s="23" t="str">
        <f>Withdrawals_Data!A173</f>
        <v>DA-002</v>
      </c>
      <c r="F1379" s="23" t="str">
        <f>Withdrawals_Data!B173</f>
        <v>DA-002-M0030</v>
      </c>
      <c r="G1379" s="24">
        <f>Withdrawals_Data!C173</f>
        <v>45465</v>
      </c>
      <c r="H1379" s="27">
        <v>0</v>
      </c>
      <c r="I1379" s="27">
        <f>-Withdrawals_Data!D173</f>
        <v>-8189.59</v>
      </c>
    </row>
    <row r="1380" spans="3:9">
      <c r="C1380" s="23">
        <v>173</v>
      </c>
      <c r="D1380" s="23" t="s">
        <v>134</v>
      </c>
      <c r="E1380" s="23" t="str">
        <f>Withdrawals_Data!A174</f>
        <v>DA-001</v>
      </c>
      <c r="F1380" s="23" t="str">
        <f>Withdrawals_Data!B174</f>
        <v>DA-001-M0074</v>
      </c>
      <c r="G1380" s="24">
        <f>Withdrawals_Data!C174</f>
        <v>45416</v>
      </c>
      <c r="H1380" s="27">
        <v>0</v>
      </c>
      <c r="I1380" s="27">
        <f>-Withdrawals_Data!D174</f>
        <v>-8162.37</v>
      </c>
    </row>
    <row r="1381" spans="3:9">
      <c r="C1381" s="23">
        <v>174</v>
      </c>
      <c r="D1381" s="23" t="s">
        <v>134</v>
      </c>
      <c r="E1381" s="23" t="str">
        <f>Withdrawals_Data!A175</f>
        <v>DA-003</v>
      </c>
      <c r="F1381" s="23" t="str">
        <f>Withdrawals_Data!B175</f>
        <v>DA-003-M0086</v>
      </c>
      <c r="G1381" s="24">
        <f>Withdrawals_Data!C175</f>
        <v>45485</v>
      </c>
      <c r="H1381" s="27">
        <v>0</v>
      </c>
      <c r="I1381" s="27">
        <f>-Withdrawals_Data!D175</f>
        <v>-8128.02</v>
      </c>
    </row>
    <row r="1382" spans="3:9">
      <c r="C1382" s="23">
        <v>175</v>
      </c>
      <c r="D1382" s="23" t="s">
        <v>134</v>
      </c>
      <c r="E1382" s="23" t="str">
        <f>Withdrawals_Data!A176</f>
        <v>DA-003</v>
      </c>
      <c r="F1382" s="23" t="str">
        <f>Withdrawals_Data!B176</f>
        <v>DA-003-M0047</v>
      </c>
      <c r="G1382" s="24">
        <f>Withdrawals_Data!C176</f>
        <v>45552</v>
      </c>
      <c r="H1382" s="27">
        <v>0</v>
      </c>
      <c r="I1382" s="27">
        <f>-Withdrawals_Data!D176</f>
        <v>-8113.27</v>
      </c>
    </row>
    <row r="1383" spans="3:9">
      <c r="C1383" s="23">
        <v>176</v>
      </c>
      <c r="D1383" s="23" t="s">
        <v>134</v>
      </c>
      <c r="E1383" s="23" t="str">
        <f>Withdrawals_Data!A177</f>
        <v>DA-001</v>
      </c>
      <c r="F1383" s="23" t="str">
        <f>Withdrawals_Data!B177</f>
        <v>DA-001-M0038</v>
      </c>
      <c r="G1383" s="24">
        <f>Withdrawals_Data!C177</f>
        <v>45617</v>
      </c>
      <c r="H1383" s="27">
        <v>0</v>
      </c>
      <c r="I1383" s="27">
        <f>-Withdrawals_Data!D177</f>
        <v>-8055.72</v>
      </c>
    </row>
    <row r="1384" spans="3:9">
      <c r="C1384" s="23">
        <v>177</v>
      </c>
      <c r="D1384" s="23" t="s">
        <v>134</v>
      </c>
      <c r="E1384" s="23" t="str">
        <f>Withdrawals_Data!A178</f>
        <v>DA-003</v>
      </c>
      <c r="F1384" s="23" t="str">
        <f>Withdrawals_Data!B178</f>
        <v>DA-003-M0081</v>
      </c>
      <c r="G1384" s="24">
        <f>Withdrawals_Data!C178</f>
        <v>45634</v>
      </c>
      <c r="H1384" s="27">
        <v>0</v>
      </c>
      <c r="I1384" s="27">
        <f>-Withdrawals_Data!D178</f>
        <v>-8041.41</v>
      </c>
    </row>
    <row r="1385" spans="3:9">
      <c r="C1385" s="23">
        <v>178</v>
      </c>
      <c r="D1385" s="23" t="s">
        <v>134</v>
      </c>
      <c r="E1385" s="23" t="str">
        <f>Withdrawals_Data!A179</f>
        <v>DA-002</v>
      </c>
      <c r="F1385" s="23" t="str">
        <f>Withdrawals_Data!B179</f>
        <v>DA-002-M0060</v>
      </c>
      <c r="G1385" s="24">
        <f>Withdrawals_Data!C179</f>
        <v>45342</v>
      </c>
      <c r="H1385" s="27">
        <v>0</v>
      </c>
      <c r="I1385" s="27">
        <f>-Withdrawals_Data!D179</f>
        <v>-7985.59</v>
      </c>
    </row>
    <row r="1386" spans="3:9">
      <c r="C1386" s="23">
        <v>179</v>
      </c>
      <c r="D1386" s="23" t="s">
        <v>134</v>
      </c>
      <c r="E1386" s="23" t="str">
        <f>Withdrawals_Data!A180</f>
        <v>DA-003</v>
      </c>
      <c r="F1386" s="23" t="str">
        <f>Withdrawals_Data!B180</f>
        <v>DA-003-M0084</v>
      </c>
      <c r="G1386" s="24">
        <f>Withdrawals_Data!C180</f>
        <v>45545</v>
      </c>
      <c r="H1386" s="27">
        <v>0</v>
      </c>
      <c r="I1386" s="27">
        <f>-Withdrawals_Data!D180</f>
        <v>-7938.76</v>
      </c>
    </row>
    <row r="1387" spans="3:9">
      <c r="C1387" s="23">
        <v>180</v>
      </c>
      <c r="D1387" s="23" t="s">
        <v>134</v>
      </c>
      <c r="E1387" s="23" t="str">
        <f>Withdrawals_Data!A181</f>
        <v>DA-002</v>
      </c>
      <c r="F1387" s="23" t="str">
        <f>Withdrawals_Data!B181</f>
        <v>DA-002-M0018</v>
      </c>
      <c r="G1387" s="24">
        <f>Withdrawals_Data!C181</f>
        <v>45657</v>
      </c>
      <c r="H1387" s="27">
        <v>0</v>
      </c>
      <c r="I1387" s="27">
        <f>-Withdrawals_Data!D181</f>
        <v>-7925.95</v>
      </c>
    </row>
    <row r="1388" spans="3:9">
      <c r="C1388" s="23">
        <v>181</v>
      </c>
      <c r="D1388" s="23" t="s">
        <v>134</v>
      </c>
      <c r="E1388" s="23" t="str">
        <f>Withdrawals_Data!A182</f>
        <v>DA-002</v>
      </c>
      <c r="F1388" s="23" t="str">
        <f>Withdrawals_Data!B182</f>
        <v>DA-002-M0018</v>
      </c>
      <c r="G1388" s="24">
        <f>Withdrawals_Data!C182</f>
        <v>45304</v>
      </c>
      <c r="H1388" s="27">
        <v>0</v>
      </c>
      <c r="I1388" s="27">
        <f>-Withdrawals_Data!D182</f>
        <v>-7923.94</v>
      </c>
    </row>
    <row r="1389" spans="3:9">
      <c r="C1389" s="23">
        <v>182</v>
      </c>
      <c r="D1389" s="23" t="s">
        <v>134</v>
      </c>
      <c r="E1389" s="23" t="str">
        <f>Withdrawals_Data!A183</f>
        <v>DA-001</v>
      </c>
      <c r="F1389" s="23" t="str">
        <f>Withdrawals_Data!B183</f>
        <v>DA-001-M0096</v>
      </c>
      <c r="G1389" s="24">
        <f>Withdrawals_Data!C183</f>
        <v>45539</v>
      </c>
      <c r="H1389" s="27">
        <v>0</v>
      </c>
      <c r="I1389" s="27">
        <f>-Withdrawals_Data!D183</f>
        <v>-7889.94</v>
      </c>
    </row>
    <row r="1390" spans="3:9">
      <c r="C1390" s="23">
        <v>183</v>
      </c>
      <c r="D1390" s="23" t="s">
        <v>134</v>
      </c>
      <c r="E1390" s="23" t="str">
        <f>Withdrawals_Data!A184</f>
        <v>DA-001</v>
      </c>
      <c r="F1390" s="23" t="str">
        <f>Withdrawals_Data!B184</f>
        <v>DA-001-M0024</v>
      </c>
      <c r="G1390" s="24">
        <f>Withdrawals_Data!C184</f>
        <v>45425</v>
      </c>
      <c r="H1390" s="27">
        <v>0</v>
      </c>
      <c r="I1390" s="27">
        <f>-Withdrawals_Data!D184</f>
        <v>-7869.22</v>
      </c>
    </row>
    <row r="1391" spans="3:9">
      <c r="C1391" s="23">
        <v>184</v>
      </c>
      <c r="D1391" s="23" t="s">
        <v>134</v>
      </c>
      <c r="E1391" s="23" t="str">
        <f>Withdrawals_Data!A185</f>
        <v>DA-001</v>
      </c>
      <c r="F1391" s="23" t="str">
        <f>Withdrawals_Data!B185</f>
        <v>DA-001-M0098</v>
      </c>
      <c r="G1391" s="24">
        <f>Withdrawals_Data!C185</f>
        <v>45297</v>
      </c>
      <c r="H1391" s="27">
        <v>0</v>
      </c>
      <c r="I1391" s="27">
        <f>-Withdrawals_Data!D185</f>
        <v>-7857.43</v>
      </c>
    </row>
    <row r="1392" spans="3:9">
      <c r="C1392" s="23">
        <v>185</v>
      </c>
      <c r="D1392" s="23" t="s">
        <v>134</v>
      </c>
      <c r="E1392" s="23" t="str">
        <f>Withdrawals_Data!A186</f>
        <v>DA-003</v>
      </c>
      <c r="F1392" s="23" t="str">
        <f>Withdrawals_Data!B186</f>
        <v>DA-003-M0047</v>
      </c>
      <c r="G1392" s="24">
        <f>Withdrawals_Data!C186</f>
        <v>45305</v>
      </c>
      <c r="H1392" s="27">
        <v>0</v>
      </c>
      <c r="I1392" s="27">
        <f>-Withdrawals_Data!D186</f>
        <v>-7841.78</v>
      </c>
    </row>
    <row r="1393" spans="3:9">
      <c r="C1393" s="23">
        <v>186</v>
      </c>
      <c r="D1393" s="23" t="s">
        <v>134</v>
      </c>
      <c r="E1393" s="23" t="str">
        <f>Withdrawals_Data!A187</f>
        <v>DA-001</v>
      </c>
      <c r="F1393" s="23" t="str">
        <f>Withdrawals_Data!B187</f>
        <v>DA-001-M0065</v>
      </c>
      <c r="G1393" s="24">
        <f>Withdrawals_Data!C187</f>
        <v>45482</v>
      </c>
      <c r="H1393" s="27">
        <v>0</v>
      </c>
      <c r="I1393" s="27">
        <f>-Withdrawals_Data!D187</f>
        <v>-7812.32</v>
      </c>
    </row>
    <row r="1394" spans="3:9">
      <c r="C1394" s="23">
        <v>187</v>
      </c>
      <c r="D1394" s="23" t="s">
        <v>134</v>
      </c>
      <c r="E1394" s="23" t="str">
        <f>Withdrawals_Data!A188</f>
        <v>DA-002</v>
      </c>
      <c r="F1394" s="23" t="str">
        <f>Withdrawals_Data!B188</f>
        <v>DA-002-M0050</v>
      </c>
      <c r="G1394" s="24">
        <f>Withdrawals_Data!C188</f>
        <v>45366</v>
      </c>
      <c r="H1394" s="27">
        <v>0</v>
      </c>
      <c r="I1394" s="27">
        <f>-Withdrawals_Data!D188</f>
        <v>-7802.15</v>
      </c>
    </row>
    <row r="1395" spans="3:9">
      <c r="C1395" s="23">
        <v>188</v>
      </c>
      <c r="D1395" s="23" t="s">
        <v>134</v>
      </c>
      <c r="E1395" s="23" t="str">
        <f>Withdrawals_Data!A189</f>
        <v>DA-003</v>
      </c>
      <c r="F1395" s="23" t="str">
        <f>Withdrawals_Data!B189</f>
        <v>DA-003-M0068</v>
      </c>
      <c r="G1395" s="24">
        <f>Withdrawals_Data!C189</f>
        <v>45361</v>
      </c>
      <c r="H1395" s="27">
        <v>0</v>
      </c>
      <c r="I1395" s="27">
        <f>-Withdrawals_Data!D189</f>
        <v>-7769.52</v>
      </c>
    </row>
    <row r="1396" spans="3:9">
      <c r="C1396" s="23">
        <v>189</v>
      </c>
      <c r="D1396" s="23" t="s">
        <v>134</v>
      </c>
      <c r="E1396" s="23" t="str">
        <f>Withdrawals_Data!A190</f>
        <v>DA-003</v>
      </c>
      <c r="F1396" s="23" t="str">
        <f>Withdrawals_Data!B190</f>
        <v>DA-003-M0012</v>
      </c>
      <c r="G1396" s="24">
        <f>Withdrawals_Data!C190</f>
        <v>45643</v>
      </c>
      <c r="H1396" s="27">
        <v>0</v>
      </c>
      <c r="I1396" s="27">
        <f>-Withdrawals_Data!D190</f>
        <v>-7761.9</v>
      </c>
    </row>
    <row r="1397" spans="3:9">
      <c r="C1397" s="23">
        <v>190</v>
      </c>
      <c r="D1397" s="23" t="s">
        <v>134</v>
      </c>
      <c r="E1397" s="23" t="str">
        <f>Withdrawals_Data!A191</f>
        <v>DA-003</v>
      </c>
      <c r="F1397" s="23" t="str">
        <f>Withdrawals_Data!B191</f>
        <v>DA-003-M0069</v>
      </c>
      <c r="G1397" s="24">
        <f>Withdrawals_Data!C191</f>
        <v>45331</v>
      </c>
      <c r="H1397" s="27">
        <v>0</v>
      </c>
      <c r="I1397" s="27">
        <f>-Withdrawals_Data!D191</f>
        <v>-7743.45</v>
      </c>
    </row>
    <row r="1398" spans="3:9">
      <c r="C1398" s="23">
        <v>191</v>
      </c>
      <c r="D1398" s="23" t="s">
        <v>134</v>
      </c>
      <c r="E1398" s="23" t="str">
        <f>Withdrawals_Data!A192</f>
        <v>DA-003</v>
      </c>
      <c r="F1398" s="23" t="str">
        <f>Withdrawals_Data!B192</f>
        <v>DA-003-M0066</v>
      </c>
      <c r="G1398" s="24">
        <f>Withdrawals_Data!C192</f>
        <v>45491</v>
      </c>
      <c r="H1398" s="27">
        <v>0</v>
      </c>
      <c r="I1398" s="27">
        <f>-Withdrawals_Data!D192</f>
        <v>-7713.59</v>
      </c>
    </row>
    <row r="1399" spans="3:9">
      <c r="C1399" s="23">
        <v>192</v>
      </c>
      <c r="D1399" s="23" t="s">
        <v>134</v>
      </c>
      <c r="E1399" s="23" t="str">
        <f>Withdrawals_Data!A193</f>
        <v>DA-003</v>
      </c>
      <c r="F1399" s="23" t="str">
        <f>Withdrawals_Data!B193</f>
        <v>DA-003-M0006</v>
      </c>
      <c r="G1399" s="24">
        <f>Withdrawals_Data!C193</f>
        <v>45339</v>
      </c>
      <c r="H1399" s="27">
        <v>0</v>
      </c>
      <c r="I1399" s="27">
        <f>-Withdrawals_Data!D193</f>
        <v>-7691.59</v>
      </c>
    </row>
    <row r="1400" spans="3:9">
      <c r="C1400" s="23">
        <v>193</v>
      </c>
      <c r="D1400" s="23" t="s">
        <v>134</v>
      </c>
      <c r="E1400" s="23" t="str">
        <f>Withdrawals_Data!A194</f>
        <v>DA-002</v>
      </c>
      <c r="F1400" s="23" t="str">
        <f>Withdrawals_Data!B194</f>
        <v>DA-002-M0067</v>
      </c>
      <c r="G1400" s="24">
        <f>Withdrawals_Data!C194</f>
        <v>45367</v>
      </c>
      <c r="H1400" s="27">
        <v>0</v>
      </c>
      <c r="I1400" s="27">
        <f>-Withdrawals_Data!D194</f>
        <v>-7677.13</v>
      </c>
    </row>
    <row r="1401" spans="3:9">
      <c r="C1401" s="23">
        <v>194</v>
      </c>
      <c r="D1401" s="23" t="s">
        <v>134</v>
      </c>
      <c r="E1401" s="23" t="str">
        <f>Withdrawals_Data!A195</f>
        <v>DA-001</v>
      </c>
      <c r="F1401" s="23" t="str">
        <f>Withdrawals_Data!B195</f>
        <v>DA-001-M0055</v>
      </c>
      <c r="G1401" s="24">
        <f>Withdrawals_Data!C195</f>
        <v>45575</v>
      </c>
      <c r="H1401" s="27">
        <v>0</v>
      </c>
      <c r="I1401" s="27">
        <f>-Withdrawals_Data!D195</f>
        <v>-7618.82</v>
      </c>
    </row>
    <row r="1402" spans="3:9">
      <c r="C1402" s="23">
        <v>195</v>
      </c>
      <c r="D1402" s="23" t="s">
        <v>134</v>
      </c>
      <c r="E1402" s="23" t="str">
        <f>Withdrawals_Data!A196</f>
        <v>DA-003</v>
      </c>
      <c r="F1402" s="23" t="str">
        <f>Withdrawals_Data!B196</f>
        <v>DA-003-M0079</v>
      </c>
      <c r="G1402" s="24">
        <f>Withdrawals_Data!C196</f>
        <v>45331</v>
      </c>
      <c r="H1402" s="27">
        <v>0</v>
      </c>
      <c r="I1402" s="27">
        <f>-Withdrawals_Data!D196</f>
        <v>-7604.44</v>
      </c>
    </row>
    <row r="1403" spans="3:9">
      <c r="C1403" s="23">
        <v>196</v>
      </c>
      <c r="D1403" s="23" t="s">
        <v>134</v>
      </c>
      <c r="E1403" s="23" t="str">
        <f>Withdrawals_Data!A197</f>
        <v>DA-001</v>
      </c>
      <c r="F1403" s="23" t="str">
        <f>Withdrawals_Data!B197</f>
        <v>DA-001-M0025</v>
      </c>
      <c r="G1403" s="24">
        <f>Withdrawals_Data!C197</f>
        <v>45449</v>
      </c>
      <c r="H1403" s="27">
        <v>0</v>
      </c>
      <c r="I1403" s="27">
        <f>-Withdrawals_Data!D197</f>
        <v>-7550.69</v>
      </c>
    </row>
    <row r="1404" spans="3:9">
      <c r="C1404" s="23">
        <v>197</v>
      </c>
      <c r="D1404" s="23" t="s">
        <v>134</v>
      </c>
      <c r="E1404" s="23" t="str">
        <f>Withdrawals_Data!A198</f>
        <v>DA-002</v>
      </c>
      <c r="F1404" s="23" t="str">
        <f>Withdrawals_Data!B198</f>
        <v>DA-002-M0094</v>
      </c>
      <c r="G1404" s="24">
        <f>Withdrawals_Data!C198</f>
        <v>45389</v>
      </c>
      <c r="H1404" s="27">
        <v>0</v>
      </c>
      <c r="I1404" s="27">
        <f>-Withdrawals_Data!D198</f>
        <v>-7513.01</v>
      </c>
    </row>
    <row r="1405" spans="3:9">
      <c r="C1405" s="23">
        <v>198</v>
      </c>
      <c r="D1405" s="23" t="s">
        <v>134</v>
      </c>
      <c r="E1405" s="23" t="str">
        <f>Withdrawals_Data!A199</f>
        <v>DA-003</v>
      </c>
      <c r="F1405" s="23" t="str">
        <f>Withdrawals_Data!B199</f>
        <v>DA-003-M0036</v>
      </c>
      <c r="G1405" s="24">
        <f>Withdrawals_Data!C199</f>
        <v>45454</v>
      </c>
      <c r="H1405" s="27">
        <v>0</v>
      </c>
      <c r="I1405" s="27">
        <f>-Withdrawals_Data!D199</f>
        <v>-7496.85</v>
      </c>
    </row>
    <row r="1406" spans="3:9">
      <c r="C1406" s="23">
        <v>199</v>
      </c>
      <c r="D1406" s="23" t="s">
        <v>134</v>
      </c>
      <c r="E1406" s="23" t="str">
        <f>Withdrawals_Data!A200</f>
        <v>DA-001</v>
      </c>
      <c r="F1406" s="23" t="str">
        <f>Withdrawals_Data!B200</f>
        <v>DA-001-M0075</v>
      </c>
      <c r="G1406" s="24">
        <f>Withdrawals_Data!C200</f>
        <v>45426</v>
      </c>
      <c r="H1406" s="27">
        <v>0</v>
      </c>
      <c r="I1406" s="27">
        <f>-Withdrawals_Data!D200</f>
        <v>-7480.72</v>
      </c>
    </row>
    <row r="1407" spans="3:9">
      <c r="C1407" s="23">
        <v>200</v>
      </c>
      <c r="D1407" s="23" t="s">
        <v>134</v>
      </c>
      <c r="E1407" s="23" t="str">
        <f>Withdrawals_Data!A201</f>
        <v>DA-002</v>
      </c>
      <c r="F1407" s="23" t="str">
        <f>Withdrawals_Data!B201</f>
        <v>DA-002-M0017</v>
      </c>
      <c r="G1407" s="24">
        <f>Withdrawals_Data!C201</f>
        <v>45651</v>
      </c>
      <c r="H1407" s="27">
        <v>0</v>
      </c>
      <c r="I1407" s="27">
        <f>-Withdrawals_Data!D201</f>
        <v>-7411.77</v>
      </c>
    </row>
    <row r="1408" spans="3:9">
      <c r="C1408" s="23">
        <v>201</v>
      </c>
      <c r="D1408" s="23" t="s">
        <v>134</v>
      </c>
      <c r="E1408" s="23" t="str">
        <f>Withdrawals_Data!A202</f>
        <v>DA-002</v>
      </c>
      <c r="F1408" s="23" t="str">
        <f>Withdrawals_Data!B202</f>
        <v>DA-002-M0070</v>
      </c>
      <c r="G1408" s="24">
        <f>Withdrawals_Data!C202</f>
        <v>45352</v>
      </c>
      <c r="H1408" s="27">
        <v>0</v>
      </c>
      <c r="I1408" s="27">
        <f>-Withdrawals_Data!D202</f>
        <v>-7399.78</v>
      </c>
    </row>
    <row r="1409" spans="3:9">
      <c r="C1409" s="23">
        <v>202</v>
      </c>
      <c r="D1409" s="23" t="s">
        <v>134</v>
      </c>
      <c r="E1409" s="23" t="str">
        <f>Withdrawals_Data!A203</f>
        <v>DA-003</v>
      </c>
      <c r="F1409" s="23" t="str">
        <f>Withdrawals_Data!B203</f>
        <v>DA-003-M0013</v>
      </c>
      <c r="G1409" s="24">
        <f>Withdrawals_Data!C203</f>
        <v>45408</v>
      </c>
      <c r="H1409" s="27">
        <v>0</v>
      </c>
      <c r="I1409" s="27">
        <f>-Withdrawals_Data!D203</f>
        <v>-7392.86</v>
      </c>
    </row>
    <row r="1410" spans="3:9">
      <c r="C1410" s="23">
        <v>203</v>
      </c>
      <c r="D1410" s="23" t="s">
        <v>134</v>
      </c>
      <c r="E1410" s="23" t="str">
        <f>Withdrawals_Data!A204</f>
        <v>DA-001</v>
      </c>
      <c r="F1410" s="23" t="str">
        <f>Withdrawals_Data!B204</f>
        <v>DA-001-M0093</v>
      </c>
      <c r="G1410" s="24">
        <f>Withdrawals_Data!C204</f>
        <v>45360</v>
      </c>
      <c r="H1410" s="27">
        <v>0</v>
      </c>
      <c r="I1410" s="27">
        <f>-Withdrawals_Data!D204</f>
        <v>-7319.26</v>
      </c>
    </row>
    <row r="1411" spans="3:9">
      <c r="C1411" s="23">
        <v>204</v>
      </c>
      <c r="D1411" s="23" t="s">
        <v>134</v>
      </c>
      <c r="E1411" s="23" t="str">
        <f>Withdrawals_Data!A205</f>
        <v>DA-002</v>
      </c>
      <c r="F1411" s="23" t="str">
        <f>Withdrawals_Data!B205</f>
        <v>DA-002-M0040</v>
      </c>
      <c r="G1411" s="24">
        <f>Withdrawals_Data!C205</f>
        <v>45345</v>
      </c>
      <c r="H1411" s="27">
        <v>0</v>
      </c>
      <c r="I1411" s="27">
        <f>-Withdrawals_Data!D205</f>
        <v>-7260.39</v>
      </c>
    </row>
    <row r="1412" spans="3:9">
      <c r="C1412" s="23">
        <v>205</v>
      </c>
      <c r="D1412" s="23" t="s">
        <v>134</v>
      </c>
      <c r="E1412" s="23" t="str">
        <f>Withdrawals_Data!A206</f>
        <v>DA-003</v>
      </c>
      <c r="F1412" s="23" t="str">
        <f>Withdrawals_Data!B206</f>
        <v>DA-003-M0081</v>
      </c>
      <c r="G1412" s="24">
        <f>Withdrawals_Data!C206</f>
        <v>45323</v>
      </c>
      <c r="H1412" s="27">
        <v>0</v>
      </c>
      <c r="I1412" s="27">
        <f>-Withdrawals_Data!D206</f>
        <v>-7252.11</v>
      </c>
    </row>
    <row r="1413" spans="3:9">
      <c r="C1413" s="23">
        <v>206</v>
      </c>
      <c r="D1413" s="23" t="s">
        <v>134</v>
      </c>
      <c r="E1413" s="23" t="str">
        <f>Withdrawals_Data!A207</f>
        <v>DA-002</v>
      </c>
      <c r="F1413" s="23" t="str">
        <f>Withdrawals_Data!B207</f>
        <v>DA-002-M0003</v>
      </c>
      <c r="G1413" s="24">
        <f>Withdrawals_Data!C207</f>
        <v>45382</v>
      </c>
      <c r="H1413" s="27">
        <v>0</v>
      </c>
      <c r="I1413" s="27">
        <f>-Withdrawals_Data!D207</f>
        <v>-7230.56</v>
      </c>
    </row>
    <row r="1414" spans="3:9">
      <c r="C1414" s="23">
        <v>207</v>
      </c>
      <c r="D1414" s="23" t="s">
        <v>134</v>
      </c>
      <c r="E1414" s="23" t="str">
        <f>Withdrawals_Data!A208</f>
        <v>DA-003</v>
      </c>
      <c r="F1414" s="23" t="str">
        <f>Withdrawals_Data!B208</f>
        <v>DA-003-M0076</v>
      </c>
      <c r="G1414" s="24">
        <f>Withdrawals_Data!C208</f>
        <v>45372</v>
      </c>
      <c r="H1414" s="27">
        <v>0</v>
      </c>
      <c r="I1414" s="27">
        <f>-Withdrawals_Data!D208</f>
        <v>-7185.68</v>
      </c>
    </row>
    <row r="1415" spans="3:9">
      <c r="C1415" s="23">
        <v>208</v>
      </c>
      <c r="D1415" s="23" t="s">
        <v>134</v>
      </c>
      <c r="E1415" s="23" t="str">
        <f>Withdrawals_Data!A209</f>
        <v>DA-003</v>
      </c>
      <c r="F1415" s="23" t="str">
        <f>Withdrawals_Data!B209</f>
        <v>DA-003-M0015</v>
      </c>
      <c r="G1415" s="24">
        <f>Withdrawals_Data!C209</f>
        <v>45515</v>
      </c>
      <c r="H1415" s="27">
        <v>0</v>
      </c>
      <c r="I1415" s="27">
        <f>-Withdrawals_Data!D209</f>
        <v>-7129.28</v>
      </c>
    </row>
    <row r="1416" spans="3:9">
      <c r="C1416" s="23">
        <v>209</v>
      </c>
      <c r="D1416" s="23" t="s">
        <v>134</v>
      </c>
      <c r="E1416" s="23" t="str">
        <f>Withdrawals_Data!A210</f>
        <v>DA-002</v>
      </c>
      <c r="F1416" s="23" t="str">
        <f>Withdrawals_Data!B210</f>
        <v>DA-002-M0037</v>
      </c>
      <c r="G1416" s="24">
        <f>Withdrawals_Data!C210</f>
        <v>45615</v>
      </c>
      <c r="H1416" s="27">
        <v>0</v>
      </c>
      <c r="I1416" s="27">
        <f>-Withdrawals_Data!D210</f>
        <v>-7076.26</v>
      </c>
    </row>
    <row r="1417" spans="3:9">
      <c r="C1417" s="23">
        <v>210</v>
      </c>
      <c r="D1417" s="23" t="s">
        <v>134</v>
      </c>
      <c r="E1417" s="23" t="str">
        <f>Withdrawals_Data!A211</f>
        <v>DA-001</v>
      </c>
      <c r="F1417" s="23" t="str">
        <f>Withdrawals_Data!B211</f>
        <v>DA-001-M0009</v>
      </c>
      <c r="G1417" s="24">
        <f>Withdrawals_Data!C211</f>
        <v>45428</v>
      </c>
      <c r="H1417" s="27">
        <v>0</v>
      </c>
      <c r="I1417" s="27">
        <f>-Withdrawals_Data!D211</f>
        <v>-7052.73</v>
      </c>
    </row>
    <row r="1418" spans="3:9">
      <c r="C1418" s="23">
        <v>211</v>
      </c>
      <c r="D1418" s="23" t="s">
        <v>134</v>
      </c>
      <c r="E1418" s="23" t="str">
        <f>Withdrawals_Data!A212</f>
        <v>DA-002</v>
      </c>
      <c r="F1418" s="23" t="str">
        <f>Withdrawals_Data!B212</f>
        <v>DA-002-M0057</v>
      </c>
      <c r="G1418" s="24">
        <f>Withdrawals_Data!C212</f>
        <v>45584</v>
      </c>
      <c r="H1418" s="27">
        <v>0</v>
      </c>
      <c r="I1418" s="27">
        <f>-Withdrawals_Data!D212</f>
        <v>-7035.06</v>
      </c>
    </row>
    <row r="1419" spans="3:9">
      <c r="C1419" s="23">
        <v>212</v>
      </c>
      <c r="D1419" s="23" t="s">
        <v>134</v>
      </c>
      <c r="E1419" s="23" t="str">
        <f>Withdrawals_Data!A213</f>
        <v>DA-001</v>
      </c>
      <c r="F1419" s="23" t="str">
        <f>Withdrawals_Data!B213</f>
        <v>DA-001-M0022</v>
      </c>
      <c r="G1419" s="24">
        <f>Withdrawals_Data!C213</f>
        <v>45611</v>
      </c>
      <c r="H1419" s="27">
        <v>0</v>
      </c>
      <c r="I1419" s="27">
        <f>-Withdrawals_Data!D213</f>
        <v>-7004.14</v>
      </c>
    </row>
    <row r="1420" spans="3:9">
      <c r="C1420" s="23">
        <v>213</v>
      </c>
      <c r="D1420" s="23" t="s">
        <v>134</v>
      </c>
      <c r="E1420" s="23" t="str">
        <f>Withdrawals_Data!A214</f>
        <v>DA-002</v>
      </c>
      <c r="F1420" s="23" t="str">
        <f>Withdrawals_Data!B214</f>
        <v>DA-002-M0026</v>
      </c>
      <c r="G1420" s="24">
        <f>Withdrawals_Data!C214</f>
        <v>45358</v>
      </c>
      <c r="H1420" s="27">
        <v>0</v>
      </c>
      <c r="I1420" s="27">
        <f>-Withdrawals_Data!D214</f>
        <v>-7003.86</v>
      </c>
    </row>
    <row r="1421" spans="3:9">
      <c r="C1421" s="23">
        <v>214</v>
      </c>
      <c r="D1421" s="23" t="s">
        <v>134</v>
      </c>
      <c r="E1421" s="23" t="str">
        <f>Withdrawals_Data!A215</f>
        <v>DA-003</v>
      </c>
      <c r="F1421" s="23" t="str">
        <f>Withdrawals_Data!B215</f>
        <v>DA-003-M0012</v>
      </c>
      <c r="G1421" s="24">
        <f>Withdrawals_Data!C215</f>
        <v>45571</v>
      </c>
      <c r="H1421" s="27">
        <v>0</v>
      </c>
      <c r="I1421" s="27">
        <f>-Withdrawals_Data!D215</f>
        <v>-6989.73</v>
      </c>
    </row>
    <row r="1422" spans="3:9">
      <c r="C1422" s="23">
        <v>215</v>
      </c>
      <c r="D1422" s="23" t="s">
        <v>134</v>
      </c>
      <c r="E1422" s="23" t="str">
        <f>Withdrawals_Data!A216</f>
        <v>DA-002</v>
      </c>
      <c r="F1422" s="23" t="str">
        <f>Withdrawals_Data!B216</f>
        <v>DA-002-M0037</v>
      </c>
      <c r="G1422" s="24">
        <f>Withdrawals_Data!C216</f>
        <v>45431</v>
      </c>
      <c r="H1422" s="27">
        <v>0</v>
      </c>
      <c r="I1422" s="27">
        <f>-Withdrawals_Data!D216</f>
        <v>-6909.11</v>
      </c>
    </row>
    <row r="1423" spans="3:9">
      <c r="C1423" s="23">
        <v>216</v>
      </c>
      <c r="D1423" s="23" t="s">
        <v>134</v>
      </c>
      <c r="E1423" s="23" t="str">
        <f>Withdrawals_Data!A217</f>
        <v>DA-002</v>
      </c>
      <c r="F1423" s="23" t="str">
        <f>Withdrawals_Data!B217</f>
        <v>DA-002-M0060</v>
      </c>
      <c r="G1423" s="24">
        <f>Withdrawals_Data!C217</f>
        <v>45378</v>
      </c>
      <c r="H1423" s="27">
        <v>0</v>
      </c>
      <c r="I1423" s="27">
        <f>-Withdrawals_Data!D217</f>
        <v>-6875.6</v>
      </c>
    </row>
    <row r="1424" spans="3:9">
      <c r="C1424" s="23">
        <v>217</v>
      </c>
      <c r="D1424" s="23" t="s">
        <v>134</v>
      </c>
      <c r="E1424" s="23" t="str">
        <f>Withdrawals_Data!A218</f>
        <v>DA-003</v>
      </c>
      <c r="F1424" s="23" t="str">
        <f>Withdrawals_Data!B218</f>
        <v>DA-003-M0081</v>
      </c>
      <c r="G1424" s="24">
        <f>Withdrawals_Data!C218</f>
        <v>45549</v>
      </c>
      <c r="H1424" s="27">
        <v>0</v>
      </c>
      <c r="I1424" s="27">
        <f>-Withdrawals_Data!D218</f>
        <v>-6779.1</v>
      </c>
    </row>
    <row r="1425" spans="3:9">
      <c r="C1425" s="23">
        <v>218</v>
      </c>
      <c r="D1425" s="23" t="s">
        <v>134</v>
      </c>
      <c r="E1425" s="23" t="str">
        <f>Withdrawals_Data!A219</f>
        <v>DA-001</v>
      </c>
      <c r="F1425" s="23" t="str">
        <f>Withdrawals_Data!B219</f>
        <v>DA-001-M0009</v>
      </c>
      <c r="G1425" s="24">
        <f>Withdrawals_Data!C219</f>
        <v>45449</v>
      </c>
      <c r="H1425" s="27">
        <v>0</v>
      </c>
      <c r="I1425" s="27">
        <f>-Withdrawals_Data!D219</f>
        <v>-6738.92</v>
      </c>
    </row>
    <row r="1426" spans="3:9">
      <c r="C1426" s="23">
        <v>219</v>
      </c>
      <c r="D1426" s="23" t="s">
        <v>134</v>
      </c>
      <c r="E1426" s="23" t="str">
        <f>Withdrawals_Data!A220</f>
        <v>DA-002</v>
      </c>
      <c r="F1426" s="23" t="str">
        <f>Withdrawals_Data!B220</f>
        <v>DA-002-M0017</v>
      </c>
      <c r="G1426" s="24">
        <f>Withdrawals_Data!C220</f>
        <v>45361</v>
      </c>
      <c r="H1426" s="27">
        <v>0</v>
      </c>
      <c r="I1426" s="27">
        <f>-Withdrawals_Data!D220</f>
        <v>-6714.46</v>
      </c>
    </row>
    <row r="1427" spans="3:9">
      <c r="C1427" s="23">
        <v>220</v>
      </c>
      <c r="D1427" s="23" t="s">
        <v>134</v>
      </c>
      <c r="E1427" s="23" t="str">
        <f>Withdrawals_Data!A221</f>
        <v>DA-001</v>
      </c>
      <c r="F1427" s="23" t="str">
        <f>Withdrawals_Data!B221</f>
        <v>DA-001-M0011</v>
      </c>
      <c r="G1427" s="24">
        <f>Withdrawals_Data!C221</f>
        <v>45477</v>
      </c>
      <c r="H1427" s="27">
        <v>0</v>
      </c>
      <c r="I1427" s="27">
        <f>-Withdrawals_Data!D221</f>
        <v>-6662</v>
      </c>
    </row>
    <row r="1428" spans="3:9">
      <c r="C1428" s="23">
        <v>221</v>
      </c>
      <c r="D1428" s="23" t="s">
        <v>134</v>
      </c>
      <c r="E1428" s="23" t="str">
        <f>Withdrawals_Data!A222</f>
        <v>DA-002</v>
      </c>
      <c r="F1428" s="23" t="str">
        <f>Withdrawals_Data!B222</f>
        <v>DA-002-M0037</v>
      </c>
      <c r="G1428" s="24">
        <f>Withdrawals_Data!C222</f>
        <v>45633</v>
      </c>
      <c r="H1428" s="27">
        <v>0</v>
      </c>
      <c r="I1428" s="27">
        <f>-Withdrawals_Data!D222</f>
        <v>-6656.86</v>
      </c>
    </row>
    <row r="1429" spans="3:9">
      <c r="C1429" s="23">
        <v>222</v>
      </c>
      <c r="D1429" s="23" t="s">
        <v>134</v>
      </c>
      <c r="E1429" s="23" t="str">
        <f>Withdrawals_Data!A223</f>
        <v>DA-003</v>
      </c>
      <c r="F1429" s="23" t="str">
        <f>Withdrawals_Data!B223</f>
        <v>DA-003-M0066</v>
      </c>
      <c r="G1429" s="24">
        <f>Withdrawals_Data!C223</f>
        <v>45397</v>
      </c>
      <c r="H1429" s="27">
        <v>0</v>
      </c>
      <c r="I1429" s="27">
        <f>-Withdrawals_Data!D223</f>
        <v>-6605.39</v>
      </c>
    </row>
    <row r="1430" spans="3:9">
      <c r="C1430" s="23">
        <v>223</v>
      </c>
      <c r="D1430" s="23" t="s">
        <v>134</v>
      </c>
      <c r="E1430" s="23" t="str">
        <f>Withdrawals_Data!A224</f>
        <v>DA-003</v>
      </c>
      <c r="F1430" s="23" t="str">
        <f>Withdrawals_Data!B224</f>
        <v>DA-003-M0086</v>
      </c>
      <c r="G1430" s="24">
        <f>Withdrawals_Data!C224</f>
        <v>45381</v>
      </c>
      <c r="H1430" s="27">
        <v>0</v>
      </c>
      <c r="I1430" s="27">
        <f>-Withdrawals_Data!D224</f>
        <v>-6538.71</v>
      </c>
    </row>
    <row r="1431" spans="3:9">
      <c r="C1431" s="23">
        <v>224</v>
      </c>
      <c r="D1431" s="23" t="s">
        <v>134</v>
      </c>
      <c r="E1431" s="23" t="str">
        <f>Withdrawals_Data!A225</f>
        <v>DA-003</v>
      </c>
      <c r="F1431" s="23" t="str">
        <f>Withdrawals_Data!B225</f>
        <v>DA-003-M0052</v>
      </c>
      <c r="G1431" s="24">
        <f>Withdrawals_Data!C225</f>
        <v>45595</v>
      </c>
      <c r="H1431" s="27">
        <v>0</v>
      </c>
      <c r="I1431" s="27">
        <f>-Withdrawals_Data!D225</f>
        <v>-6449.19</v>
      </c>
    </row>
    <row r="1432" spans="3:9">
      <c r="C1432" s="23">
        <v>225</v>
      </c>
      <c r="D1432" s="23" t="s">
        <v>134</v>
      </c>
      <c r="E1432" s="23" t="str">
        <f>Withdrawals_Data!A226</f>
        <v>DA-003</v>
      </c>
      <c r="F1432" s="23" t="str">
        <f>Withdrawals_Data!B226</f>
        <v>DA-003-M0048</v>
      </c>
      <c r="G1432" s="24">
        <f>Withdrawals_Data!C226</f>
        <v>45596</v>
      </c>
      <c r="H1432" s="27">
        <v>0</v>
      </c>
      <c r="I1432" s="27">
        <f>-Withdrawals_Data!D226</f>
        <v>-6262.02</v>
      </c>
    </row>
    <row r="1433" spans="3:9">
      <c r="C1433" s="23">
        <v>226</v>
      </c>
      <c r="D1433" s="23" t="s">
        <v>134</v>
      </c>
      <c r="E1433" s="23" t="str">
        <f>Withdrawals_Data!A227</f>
        <v>DA-001</v>
      </c>
      <c r="F1433" s="23" t="str">
        <f>Withdrawals_Data!B227</f>
        <v>DA-001-M0092</v>
      </c>
      <c r="G1433" s="24">
        <f>Withdrawals_Data!C227</f>
        <v>45591</v>
      </c>
      <c r="H1433" s="27">
        <v>0</v>
      </c>
      <c r="I1433" s="27">
        <f>-Withdrawals_Data!D227</f>
        <v>-6250.17</v>
      </c>
    </row>
    <row r="1434" spans="3:9">
      <c r="C1434" s="23">
        <v>227</v>
      </c>
      <c r="D1434" s="23" t="s">
        <v>134</v>
      </c>
      <c r="E1434" s="23" t="str">
        <f>Withdrawals_Data!A228</f>
        <v>DA-001</v>
      </c>
      <c r="F1434" s="23" t="str">
        <f>Withdrawals_Data!B228</f>
        <v>DA-001-M0049</v>
      </c>
      <c r="G1434" s="24">
        <f>Withdrawals_Data!C228</f>
        <v>45546</v>
      </c>
      <c r="H1434" s="27">
        <v>0</v>
      </c>
      <c r="I1434" s="27">
        <f>-Withdrawals_Data!D228</f>
        <v>-6217.99</v>
      </c>
    </row>
    <row r="1435" spans="3:9">
      <c r="C1435" s="23">
        <v>228</v>
      </c>
      <c r="D1435" s="23" t="s">
        <v>134</v>
      </c>
      <c r="E1435" s="23" t="str">
        <f>Withdrawals_Data!A229</f>
        <v>DA-001</v>
      </c>
      <c r="F1435" s="23" t="str">
        <f>Withdrawals_Data!B229</f>
        <v>DA-001-M0096</v>
      </c>
      <c r="G1435" s="24">
        <f>Withdrawals_Data!C229</f>
        <v>45472</v>
      </c>
      <c r="H1435" s="27">
        <v>0</v>
      </c>
      <c r="I1435" s="27">
        <f>-Withdrawals_Data!D229</f>
        <v>-6171.61</v>
      </c>
    </row>
    <row r="1436" spans="3:9">
      <c r="C1436" s="23">
        <v>229</v>
      </c>
      <c r="D1436" s="23" t="s">
        <v>134</v>
      </c>
      <c r="E1436" s="23" t="str">
        <f>Withdrawals_Data!A230</f>
        <v>DA-002</v>
      </c>
      <c r="F1436" s="23" t="str">
        <f>Withdrawals_Data!B230</f>
        <v>DA-002-M0033</v>
      </c>
      <c r="G1436" s="24">
        <f>Withdrawals_Data!C230</f>
        <v>45612</v>
      </c>
      <c r="H1436" s="27">
        <v>0</v>
      </c>
      <c r="I1436" s="27">
        <f>-Withdrawals_Data!D230</f>
        <v>-6162.56</v>
      </c>
    </row>
    <row r="1437" spans="3:9">
      <c r="C1437" s="23">
        <v>230</v>
      </c>
      <c r="D1437" s="23" t="s">
        <v>134</v>
      </c>
      <c r="E1437" s="23" t="str">
        <f>Withdrawals_Data!A231</f>
        <v>DA-001</v>
      </c>
      <c r="F1437" s="23" t="str">
        <f>Withdrawals_Data!B231</f>
        <v>DA-001-M0065</v>
      </c>
      <c r="G1437" s="24">
        <f>Withdrawals_Data!C231</f>
        <v>45295</v>
      </c>
      <c r="H1437" s="27">
        <v>0</v>
      </c>
      <c r="I1437" s="27">
        <f>-Withdrawals_Data!D231</f>
        <v>-6129.2</v>
      </c>
    </row>
    <row r="1438" spans="3:9">
      <c r="C1438" s="23">
        <v>231</v>
      </c>
      <c r="D1438" s="23" t="s">
        <v>134</v>
      </c>
      <c r="E1438" s="23" t="str">
        <f>Withdrawals_Data!A232</f>
        <v>DA-001</v>
      </c>
      <c r="F1438" s="23" t="str">
        <f>Withdrawals_Data!B232</f>
        <v>DA-001-M0053</v>
      </c>
      <c r="G1438" s="24">
        <f>Withdrawals_Data!C232</f>
        <v>45375</v>
      </c>
      <c r="H1438" s="27">
        <v>0</v>
      </c>
      <c r="I1438" s="27">
        <f>-Withdrawals_Data!D232</f>
        <v>-6042.24</v>
      </c>
    </row>
    <row r="1439" spans="3:9">
      <c r="C1439" s="23">
        <v>232</v>
      </c>
      <c r="D1439" s="23" t="s">
        <v>134</v>
      </c>
      <c r="E1439" s="23" t="str">
        <f>Withdrawals_Data!A233</f>
        <v>DA-001</v>
      </c>
      <c r="F1439" s="23" t="str">
        <f>Withdrawals_Data!B233</f>
        <v>DA-001-M0004</v>
      </c>
      <c r="G1439" s="24">
        <f>Withdrawals_Data!C233</f>
        <v>45429</v>
      </c>
      <c r="H1439" s="27">
        <v>0</v>
      </c>
      <c r="I1439" s="27">
        <f>-Withdrawals_Data!D233</f>
        <v>-5986.1</v>
      </c>
    </row>
    <row r="1440" spans="3:9">
      <c r="C1440" s="23">
        <v>233</v>
      </c>
      <c r="D1440" s="23" t="s">
        <v>134</v>
      </c>
      <c r="E1440" s="23" t="str">
        <f>Withdrawals_Data!A234</f>
        <v>DA-003</v>
      </c>
      <c r="F1440" s="23" t="str">
        <f>Withdrawals_Data!B234</f>
        <v>DA-003-M0036</v>
      </c>
      <c r="G1440" s="24">
        <f>Withdrawals_Data!C234</f>
        <v>45397</v>
      </c>
      <c r="H1440" s="27">
        <v>0</v>
      </c>
      <c r="I1440" s="27">
        <f>-Withdrawals_Data!D234</f>
        <v>-5955.14</v>
      </c>
    </row>
    <row r="1441" spans="3:9">
      <c r="C1441" s="23">
        <v>234</v>
      </c>
      <c r="D1441" s="23" t="s">
        <v>134</v>
      </c>
      <c r="E1441" s="23" t="str">
        <f>Withdrawals_Data!A235</f>
        <v>DA-001</v>
      </c>
      <c r="F1441" s="23" t="str">
        <f>Withdrawals_Data!B235</f>
        <v>DA-001-M0024</v>
      </c>
      <c r="G1441" s="24">
        <f>Withdrawals_Data!C235</f>
        <v>45528</v>
      </c>
      <c r="H1441" s="27">
        <v>0</v>
      </c>
      <c r="I1441" s="27">
        <f>-Withdrawals_Data!D235</f>
        <v>-5944.53</v>
      </c>
    </row>
    <row r="1442" spans="3:9">
      <c r="C1442" s="23">
        <v>235</v>
      </c>
      <c r="D1442" s="23" t="s">
        <v>134</v>
      </c>
      <c r="E1442" s="23" t="str">
        <f>Withdrawals_Data!A236</f>
        <v>DA-003</v>
      </c>
      <c r="F1442" s="23" t="str">
        <f>Withdrawals_Data!B236</f>
        <v>DA-003-M0001</v>
      </c>
      <c r="G1442" s="24">
        <f>Withdrawals_Data!C236</f>
        <v>45453</v>
      </c>
      <c r="H1442" s="27">
        <v>0</v>
      </c>
      <c r="I1442" s="27">
        <f>-Withdrawals_Data!D236</f>
        <v>-5926.92</v>
      </c>
    </row>
    <row r="1443" spans="3:9">
      <c r="C1443" s="23">
        <v>236</v>
      </c>
      <c r="D1443" s="23" t="s">
        <v>134</v>
      </c>
      <c r="E1443" s="23" t="str">
        <f>Withdrawals_Data!A237</f>
        <v>DA-001</v>
      </c>
      <c r="F1443" s="23" t="str">
        <f>Withdrawals_Data!B237</f>
        <v>DA-001-M0038</v>
      </c>
      <c r="G1443" s="24">
        <f>Withdrawals_Data!C237</f>
        <v>45349</v>
      </c>
      <c r="H1443" s="27">
        <v>0</v>
      </c>
      <c r="I1443" s="27">
        <f>-Withdrawals_Data!D237</f>
        <v>-5826.3</v>
      </c>
    </row>
    <row r="1444" spans="3:9">
      <c r="C1444" s="23">
        <v>237</v>
      </c>
      <c r="D1444" s="23" t="s">
        <v>134</v>
      </c>
      <c r="E1444" s="23" t="str">
        <f>Withdrawals_Data!A238</f>
        <v>DA-003</v>
      </c>
      <c r="F1444" s="23" t="str">
        <f>Withdrawals_Data!B238</f>
        <v>DA-003-M0084</v>
      </c>
      <c r="G1444" s="24">
        <f>Withdrawals_Data!C238</f>
        <v>45569</v>
      </c>
      <c r="H1444" s="27">
        <v>0</v>
      </c>
      <c r="I1444" s="27">
        <f>-Withdrawals_Data!D238</f>
        <v>-5815.02</v>
      </c>
    </row>
    <row r="1445" spans="3:9">
      <c r="C1445" s="23">
        <v>238</v>
      </c>
      <c r="D1445" s="23" t="s">
        <v>134</v>
      </c>
      <c r="E1445" s="23" t="str">
        <f>Withdrawals_Data!A239</f>
        <v>DA-001</v>
      </c>
      <c r="F1445" s="23" t="str">
        <f>Withdrawals_Data!B239</f>
        <v>DA-001-M0038</v>
      </c>
      <c r="G1445" s="24">
        <f>Withdrawals_Data!C239</f>
        <v>45512</v>
      </c>
      <c r="H1445" s="27">
        <v>0</v>
      </c>
      <c r="I1445" s="27">
        <f>-Withdrawals_Data!D239</f>
        <v>-5812.56</v>
      </c>
    </row>
    <row r="1446" spans="3:9">
      <c r="C1446" s="23">
        <v>239</v>
      </c>
      <c r="D1446" s="23" t="s">
        <v>134</v>
      </c>
      <c r="E1446" s="23" t="str">
        <f>Withdrawals_Data!A240</f>
        <v>DA-001</v>
      </c>
      <c r="F1446" s="23" t="str">
        <f>Withdrawals_Data!B240</f>
        <v>DA-001-M0093</v>
      </c>
      <c r="G1446" s="24">
        <f>Withdrawals_Data!C240</f>
        <v>45535</v>
      </c>
      <c r="H1446" s="27">
        <v>0</v>
      </c>
      <c r="I1446" s="27">
        <f>-Withdrawals_Data!D240</f>
        <v>-5795.26</v>
      </c>
    </row>
    <row r="1447" spans="3:9">
      <c r="C1447" s="23">
        <v>240</v>
      </c>
      <c r="D1447" s="23" t="s">
        <v>134</v>
      </c>
      <c r="E1447" s="23" t="str">
        <f>Withdrawals_Data!A241</f>
        <v>DA-001</v>
      </c>
      <c r="F1447" s="23" t="str">
        <f>Withdrawals_Data!B241</f>
        <v>DA-001-M0025</v>
      </c>
      <c r="G1447" s="24">
        <f>Withdrawals_Data!C241</f>
        <v>45446</v>
      </c>
      <c r="H1447" s="27">
        <v>0</v>
      </c>
      <c r="I1447" s="27">
        <f>-Withdrawals_Data!D241</f>
        <v>-5785.4</v>
      </c>
    </row>
    <row r="1448" spans="3:9">
      <c r="C1448" s="23">
        <v>241</v>
      </c>
      <c r="D1448" s="23" t="s">
        <v>134</v>
      </c>
      <c r="E1448" s="23" t="str">
        <f>Withdrawals_Data!A242</f>
        <v>DA-001</v>
      </c>
      <c r="F1448" s="23" t="str">
        <f>Withdrawals_Data!B242</f>
        <v>DA-001-M0075</v>
      </c>
      <c r="G1448" s="24">
        <f>Withdrawals_Data!C242</f>
        <v>45417</v>
      </c>
      <c r="H1448" s="27">
        <v>0</v>
      </c>
      <c r="I1448" s="27">
        <f>-Withdrawals_Data!D242</f>
        <v>-5770.03</v>
      </c>
    </row>
    <row r="1449" spans="3:9">
      <c r="C1449" s="23">
        <v>242</v>
      </c>
      <c r="D1449" s="23" t="s">
        <v>134</v>
      </c>
      <c r="E1449" s="23" t="str">
        <f>Withdrawals_Data!A243</f>
        <v>DA-002</v>
      </c>
      <c r="F1449" s="23" t="str">
        <f>Withdrawals_Data!B243</f>
        <v>DA-002-M0062</v>
      </c>
      <c r="G1449" s="24">
        <f>Withdrawals_Data!C243</f>
        <v>45393</v>
      </c>
      <c r="H1449" s="27">
        <v>0</v>
      </c>
      <c r="I1449" s="27">
        <f>-Withdrawals_Data!D243</f>
        <v>-5705.2</v>
      </c>
    </row>
    <row r="1450" spans="3:9">
      <c r="C1450" s="23">
        <v>243</v>
      </c>
      <c r="D1450" s="23" t="s">
        <v>134</v>
      </c>
      <c r="E1450" s="23" t="str">
        <f>Withdrawals_Data!A244</f>
        <v>DA-003</v>
      </c>
      <c r="F1450" s="23" t="str">
        <f>Withdrawals_Data!B244</f>
        <v>DA-003-M0015</v>
      </c>
      <c r="G1450" s="24">
        <f>Withdrawals_Data!C244</f>
        <v>45423</v>
      </c>
      <c r="H1450" s="27">
        <v>0</v>
      </c>
      <c r="I1450" s="27">
        <f>-Withdrawals_Data!D244</f>
        <v>-5633.71</v>
      </c>
    </row>
    <row r="1451" spans="3:9">
      <c r="C1451" s="23">
        <v>244</v>
      </c>
      <c r="D1451" s="23" t="s">
        <v>134</v>
      </c>
      <c r="E1451" s="23" t="str">
        <f>Withdrawals_Data!A245</f>
        <v>DA-003</v>
      </c>
      <c r="F1451" s="23" t="str">
        <f>Withdrawals_Data!B245</f>
        <v>DA-003-M0028</v>
      </c>
      <c r="G1451" s="24">
        <f>Withdrawals_Data!C245</f>
        <v>45415</v>
      </c>
      <c r="H1451" s="27">
        <v>0</v>
      </c>
      <c r="I1451" s="27">
        <f>-Withdrawals_Data!D245</f>
        <v>-5630.42</v>
      </c>
    </row>
    <row r="1452" spans="3:9">
      <c r="C1452" s="23">
        <v>245</v>
      </c>
      <c r="D1452" s="23" t="s">
        <v>134</v>
      </c>
      <c r="E1452" s="23" t="str">
        <f>Withdrawals_Data!A246</f>
        <v>DA-002</v>
      </c>
      <c r="F1452" s="23" t="str">
        <f>Withdrawals_Data!B246</f>
        <v>DA-002-M0021</v>
      </c>
      <c r="G1452" s="24">
        <f>Withdrawals_Data!C246</f>
        <v>45404</v>
      </c>
      <c r="H1452" s="27">
        <v>0</v>
      </c>
      <c r="I1452" s="27">
        <f>-Withdrawals_Data!D246</f>
        <v>-5602.5</v>
      </c>
    </row>
    <row r="1453" spans="3:9">
      <c r="C1453" s="23">
        <v>246</v>
      </c>
      <c r="D1453" s="23" t="s">
        <v>134</v>
      </c>
      <c r="E1453" s="23" t="str">
        <f>Withdrawals_Data!A247</f>
        <v>DA-001</v>
      </c>
      <c r="F1453" s="23" t="str">
        <f>Withdrawals_Data!B247</f>
        <v>DA-001-M0073</v>
      </c>
      <c r="G1453" s="24">
        <f>Withdrawals_Data!C247</f>
        <v>45474</v>
      </c>
      <c r="H1453" s="27">
        <v>0</v>
      </c>
      <c r="I1453" s="27">
        <f>-Withdrawals_Data!D247</f>
        <v>-5594.53</v>
      </c>
    </row>
    <row r="1454" spans="3:9">
      <c r="C1454" s="23">
        <v>247</v>
      </c>
      <c r="D1454" s="23" t="s">
        <v>134</v>
      </c>
      <c r="E1454" s="23" t="str">
        <f>Withdrawals_Data!A248</f>
        <v>DA-003</v>
      </c>
      <c r="F1454" s="23" t="str">
        <f>Withdrawals_Data!B248</f>
        <v>DA-003-M0031</v>
      </c>
      <c r="G1454" s="24">
        <f>Withdrawals_Data!C248</f>
        <v>45300</v>
      </c>
      <c r="H1454" s="27">
        <v>0</v>
      </c>
      <c r="I1454" s="27">
        <f>-Withdrawals_Data!D248</f>
        <v>-5584.06</v>
      </c>
    </row>
    <row r="1455" spans="3:9">
      <c r="C1455" s="23">
        <v>248</v>
      </c>
      <c r="D1455" s="23" t="s">
        <v>134</v>
      </c>
      <c r="E1455" s="23" t="str">
        <f>Withdrawals_Data!A249</f>
        <v>DA-002</v>
      </c>
      <c r="F1455" s="23" t="str">
        <f>Withdrawals_Data!B249</f>
        <v>DA-002-M0051</v>
      </c>
      <c r="G1455" s="24">
        <f>Withdrawals_Data!C249</f>
        <v>45583</v>
      </c>
      <c r="H1455" s="27">
        <v>0</v>
      </c>
      <c r="I1455" s="27">
        <f>-Withdrawals_Data!D249</f>
        <v>-5450.45</v>
      </c>
    </row>
    <row r="1456" spans="3:9">
      <c r="C1456" s="23">
        <v>249</v>
      </c>
      <c r="D1456" s="23" t="s">
        <v>134</v>
      </c>
      <c r="E1456" s="23" t="str">
        <f>Withdrawals_Data!A250</f>
        <v>DA-002</v>
      </c>
      <c r="F1456" s="23" t="str">
        <f>Withdrawals_Data!B250</f>
        <v>DA-002-M0070</v>
      </c>
      <c r="G1456" s="24">
        <f>Withdrawals_Data!C250</f>
        <v>45396</v>
      </c>
      <c r="H1456" s="27">
        <v>0</v>
      </c>
      <c r="I1456" s="27">
        <f>-Withdrawals_Data!D250</f>
        <v>-5444.15</v>
      </c>
    </row>
    <row r="1457" spans="3:9">
      <c r="C1457" s="23">
        <v>250</v>
      </c>
      <c r="D1457" s="23" t="s">
        <v>134</v>
      </c>
      <c r="E1457" s="23" t="str">
        <f>Withdrawals_Data!A251</f>
        <v>DA-003</v>
      </c>
      <c r="F1457" s="23" t="str">
        <f>Withdrawals_Data!B251</f>
        <v>DA-003-M0076</v>
      </c>
      <c r="G1457" s="24">
        <f>Withdrawals_Data!C251</f>
        <v>45648</v>
      </c>
      <c r="H1457" s="27">
        <v>0</v>
      </c>
      <c r="I1457" s="27">
        <f>-Withdrawals_Data!D251</f>
        <v>-5402.89</v>
      </c>
    </row>
    <row r="1458" spans="3:9">
      <c r="C1458" s="23">
        <v>251</v>
      </c>
      <c r="D1458" s="23" t="s">
        <v>134</v>
      </c>
      <c r="E1458" s="23" t="str">
        <f>Withdrawals_Data!A252</f>
        <v>DA-002</v>
      </c>
      <c r="F1458" s="23" t="str">
        <f>Withdrawals_Data!B252</f>
        <v>DA-002-M0062</v>
      </c>
      <c r="G1458" s="24">
        <f>Withdrawals_Data!C252</f>
        <v>45544</v>
      </c>
      <c r="H1458" s="27">
        <v>0</v>
      </c>
      <c r="I1458" s="27">
        <f>-Withdrawals_Data!D252</f>
        <v>-5394.33</v>
      </c>
    </row>
    <row r="1459" spans="3:9">
      <c r="C1459" s="23">
        <v>252</v>
      </c>
      <c r="D1459" s="23" t="s">
        <v>134</v>
      </c>
      <c r="E1459" s="23" t="str">
        <f>Withdrawals_Data!A253</f>
        <v>DA-001</v>
      </c>
      <c r="F1459" s="23" t="str">
        <f>Withdrawals_Data!B253</f>
        <v>DA-001-M0010</v>
      </c>
      <c r="G1459" s="24">
        <f>Withdrawals_Data!C253</f>
        <v>45344</v>
      </c>
      <c r="H1459" s="27">
        <v>0</v>
      </c>
      <c r="I1459" s="27">
        <f>-Withdrawals_Data!D253</f>
        <v>-5393.6</v>
      </c>
    </row>
    <row r="1460" spans="3:9">
      <c r="C1460" s="23">
        <v>253</v>
      </c>
      <c r="D1460" s="23" t="s">
        <v>134</v>
      </c>
      <c r="E1460" s="23" t="str">
        <f>Withdrawals_Data!A254</f>
        <v>DA-001</v>
      </c>
      <c r="F1460" s="23" t="str">
        <f>Withdrawals_Data!B254</f>
        <v>DA-001-M0074</v>
      </c>
      <c r="G1460" s="24">
        <f>Withdrawals_Data!C254</f>
        <v>45482</v>
      </c>
      <c r="H1460" s="27">
        <v>0</v>
      </c>
      <c r="I1460" s="27">
        <f>-Withdrawals_Data!D254</f>
        <v>-5306.04</v>
      </c>
    </row>
    <row r="1461" spans="3:9">
      <c r="C1461" s="23">
        <v>254</v>
      </c>
      <c r="D1461" s="23" t="s">
        <v>134</v>
      </c>
      <c r="E1461" s="23" t="str">
        <f>Withdrawals_Data!A255</f>
        <v>DA-001</v>
      </c>
      <c r="F1461" s="23" t="str">
        <f>Withdrawals_Data!B255</f>
        <v>DA-001-M0058</v>
      </c>
      <c r="G1461" s="24">
        <f>Withdrawals_Data!C255</f>
        <v>45386</v>
      </c>
      <c r="H1461" s="27">
        <v>0</v>
      </c>
      <c r="I1461" s="27">
        <f>-Withdrawals_Data!D255</f>
        <v>-5294.43</v>
      </c>
    </row>
    <row r="1462" spans="3:9">
      <c r="C1462" s="23">
        <v>255</v>
      </c>
      <c r="D1462" s="23" t="s">
        <v>134</v>
      </c>
      <c r="E1462" s="23" t="str">
        <f>Withdrawals_Data!A256</f>
        <v>DA-002</v>
      </c>
      <c r="F1462" s="23" t="str">
        <f>Withdrawals_Data!B256</f>
        <v>DA-002-M0016</v>
      </c>
      <c r="G1462" s="24">
        <f>Withdrawals_Data!C256</f>
        <v>45482</v>
      </c>
      <c r="H1462" s="27">
        <v>0</v>
      </c>
      <c r="I1462" s="27">
        <f>-Withdrawals_Data!D256</f>
        <v>-5291.35</v>
      </c>
    </row>
    <row r="1463" spans="3:9">
      <c r="C1463" s="23">
        <v>256</v>
      </c>
      <c r="D1463" s="23" t="s">
        <v>134</v>
      </c>
      <c r="E1463" s="23" t="str">
        <f>Withdrawals_Data!A257</f>
        <v>DA-003</v>
      </c>
      <c r="F1463" s="23" t="str">
        <f>Withdrawals_Data!B257</f>
        <v>DA-003-M0014</v>
      </c>
      <c r="G1463" s="24">
        <f>Withdrawals_Data!C257</f>
        <v>45576</v>
      </c>
      <c r="H1463" s="27">
        <v>0</v>
      </c>
      <c r="I1463" s="27">
        <f>-Withdrawals_Data!D257</f>
        <v>-5228.3599999999997</v>
      </c>
    </row>
    <row r="1464" spans="3:9">
      <c r="C1464" s="23">
        <v>257</v>
      </c>
      <c r="D1464" s="23" t="s">
        <v>134</v>
      </c>
      <c r="E1464" s="23" t="str">
        <f>Withdrawals_Data!A258</f>
        <v>DA-003</v>
      </c>
      <c r="F1464" s="23" t="str">
        <f>Withdrawals_Data!B258</f>
        <v>DA-003-M0045</v>
      </c>
      <c r="G1464" s="24">
        <f>Withdrawals_Data!C258</f>
        <v>45404</v>
      </c>
      <c r="H1464" s="27">
        <v>0</v>
      </c>
      <c r="I1464" s="27">
        <f>-Withdrawals_Data!D258</f>
        <v>-5187.29</v>
      </c>
    </row>
    <row r="1465" spans="3:9">
      <c r="C1465" s="23">
        <v>258</v>
      </c>
      <c r="D1465" s="23" t="s">
        <v>134</v>
      </c>
      <c r="E1465" s="23" t="str">
        <f>Withdrawals_Data!A259</f>
        <v>DA-001</v>
      </c>
      <c r="F1465" s="23" t="str">
        <f>Withdrawals_Data!B259</f>
        <v>DA-001-M0010</v>
      </c>
      <c r="G1465" s="24">
        <f>Withdrawals_Data!C259</f>
        <v>45321</v>
      </c>
      <c r="H1465" s="27">
        <v>0</v>
      </c>
      <c r="I1465" s="27">
        <f>-Withdrawals_Data!D259</f>
        <v>-5138.79</v>
      </c>
    </row>
    <row r="1466" spans="3:9">
      <c r="C1466" s="23">
        <v>259</v>
      </c>
      <c r="D1466" s="23" t="s">
        <v>134</v>
      </c>
      <c r="E1466" s="23" t="str">
        <f>Withdrawals_Data!A260</f>
        <v>DA-001</v>
      </c>
      <c r="F1466" s="23" t="str">
        <f>Withdrawals_Data!B260</f>
        <v>DA-001-M0074</v>
      </c>
      <c r="G1466" s="24">
        <f>Withdrawals_Data!C260</f>
        <v>45479</v>
      </c>
      <c r="H1466" s="27">
        <v>0</v>
      </c>
      <c r="I1466" s="27">
        <f>-Withdrawals_Data!D260</f>
        <v>-5126.37</v>
      </c>
    </row>
    <row r="1467" spans="3:9">
      <c r="C1467" s="23">
        <v>260</v>
      </c>
      <c r="D1467" s="23" t="s">
        <v>134</v>
      </c>
      <c r="E1467" s="23" t="str">
        <f>Withdrawals_Data!A261</f>
        <v>DA-001</v>
      </c>
      <c r="F1467" s="23" t="str">
        <f>Withdrawals_Data!B261</f>
        <v>DA-001-M0098</v>
      </c>
      <c r="G1467" s="24">
        <f>Withdrawals_Data!C261</f>
        <v>45623</v>
      </c>
      <c r="H1467" s="27">
        <v>0</v>
      </c>
      <c r="I1467" s="27">
        <f>-Withdrawals_Data!D261</f>
        <v>-5061.63</v>
      </c>
    </row>
    <row r="1468" spans="3:9">
      <c r="C1468" s="23">
        <v>261</v>
      </c>
      <c r="D1468" s="23" t="s">
        <v>134</v>
      </c>
      <c r="E1468" s="23" t="str">
        <f>Withdrawals_Data!A262</f>
        <v>DA-002</v>
      </c>
      <c r="F1468" s="23" t="str">
        <f>Withdrawals_Data!B262</f>
        <v>DA-002-M0097</v>
      </c>
      <c r="G1468" s="24">
        <f>Withdrawals_Data!C262</f>
        <v>45657</v>
      </c>
      <c r="H1468" s="27">
        <v>0</v>
      </c>
      <c r="I1468" s="27">
        <f>-Withdrawals_Data!D262</f>
        <v>-5011.1499999999996</v>
      </c>
    </row>
    <row r="1469" spans="3:9">
      <c r="C1469" s="23">
        <v>262</v>
      </c>
      <c r="D1469" s="23" t="s">
        <v>134</v>
      </c>
      <c r="E1469" s="23" t="str">
        <f>Withdrawals_Data!A263</f>
        <v>DA-003</v>
      </c>
      <c r="F1469" s="23" t="str">
        <f>Withdrawals_Data!B263</f>
        <v>DA-003-M0006</v>
      </c>
      <c r="G1469" s="24">
        <f>Withdrawals_Data!C263</f>
        <v>45307</v>
      </c>
      <c r="H1469" s="27">
        <v>0</v>
      </c>
      <c r="I1469" s="27">
        <f>-Withdrawals_Data!D263</f>
        <v>-4985.0600000000004</v>
      </c>
    </row>
    <row r="1470" spans="3:9">
      <c r="C1470" s="23">
        <v>263</v>
      </c>
      <c r="D1470" s="23" t="s">
        <v>134</v>
      </c>
      <c r="E1470" s="23" t="str">
        <f>Withdrawals_Data!A264</f>
        <v>DA-002</v>
      </c>
      <c r="F1470" s="23" t="str">
        <f>Withdrawals_Data!B264</f>
        <v>DA-002-M0072</v>
      </c>
      <c r="G1470" s="24">
        <f>Withdrawals_Data!C264</f>
        <v>45469</v>
      </c>
      <c r="H1470" s="27">
        <v>0</v>
      </c>
      <c r="I1470" s="27">
        <f>-Withdrawals_Data!D264</f>
        <v>-4984.1400000000003</v>
      </c>
    </row>
    <row r="1471" spans="3:9">
      <c r="C1471" s="23">
        <v>264</v>
      </c>
      <c r="D1471" s="23" t="s">
        <v>134</v>
      </c>
      <c r="E1471" s="23" t="str">
        <f>Withdrawals_Data!A265</f>
        <v>DA-002</v>
      </c>
      <c r="F1471" s="23" t="str">
        <f>Withdrawals_Data!B265</f>
        <v>DA-002-M0020</v>
      </c>
      <c r="G1471" s="24">
        <f>Withdrawals_Data!C265</f>
        <v>45360</v>
      </c>
      <c r="H1471" s="27">
        <v>0</v>
      </c>
      <c r="I1471" s="27">
        <f>-Withdrawals_Data!D265</f>
        <v>-4963.47</v>
      </c>
    </row>
    <row r="1472" spans="3:9">
      <c r="C1472" s="23">
        <v>265</v>
      </c>
      <c r="D1472" s="23" t="s">
        <v>134</v>
      </c>
      <c r="E1472" s="23" t="str">
        <f>Withdrawals_Data!A266</f>
        <v>DA-003</v>
      </c>
      <c r="F1472" s="23" t="str">
        <f>Withdrawals_Data!B266</f>
        <v>DA-003-M0029</v>
      </c>
      <c r="G1472" s="24">
        <f>Withdrawals_Data!C266</f>
        <v>45626</v>
      </c>
      <c r="H1472" s="27">
        <v>0</v>
      </c>
      <c r="I1472" s="27">
        <f>-Withdrawals_Data!D266</f>
        <v>-4946.96</v>
      </c>
    </row>
    <row r="1473" spans="3:9">
      <c r="C1473" s="23">
        <v>266</v>
      </c>
      <c r="D1473" s="23" t="s">
        <v>134</v>
      </c>
      <c r="E1473" s="23" t="str">
        <f>Withdrawals_Data!A267</f>
        <v>DA-001</v>
      </c>
      <c r="F1473" s="23" t="str">
        <f>Withdrawals_Data!B267</f>
        <v>DA-001-M0025</v>
      </c>
      <c r="G1473" s="24">
        <f>Withdrawals_Data!C267</f>
        <v>45409</v>
      </c>
      <c r="H1473" s="27">
        <v>0</v>
      </c>
      <c r="I1473" s="27">
        <f>-Withdrawals_Data!D267</f>
        <v>-4828.51</v>
      </c>
    </row>
    <row r="1474" spans="3:9">
      <c r="C1474" s="23">
        <v>267</v>
      </c>
      <c r="D1474" s="23" t="s">
        <v>134</v>
      </c>
      <c r="E1474" s="23" t="str">
        <f>Withdrawals_Data!A268</f>
        <v>DA-003</v>
      </c>
      <c r="F1474" s="23" t="str">
        <f>Withdrawals_Data!B268</f>
        <v>DA-003-M0100</v>
      </c>
      <c r="G1474" s="24">
        <f>Withdrawals_Data!C268</f>
        <v>45368</v>
      </c>
      <c r="H1474" s="27">
        <v>0</v>
      </c>
      <c r="I1474" s="27">
        <f>-Withdrawals_Data!D268</f>
        <v>-4803.2299999999996</v>
      </c>
    </row>
    <row r="1475" spans="3:9">
      <c r="C1475" s="23">
        <v>268</v>
      </c>
      <c r="D1475" s="23" t="s">
        <v>134</v>
      </c>
      <c r="E1475" s="23" t="str">
        <f>Withdrawals_Data!A269</f>
        <v>DA-002</v>
      </c>
      <c r="F1475" s="23" t="str">
        <f>Withdrawals_Data!B269</f>
        <v>DA-002-M0016</v>
      </c>
      <c r="G1475" s="24">
        <f>Withdrawals_Data!C269</f>
        <v>45531</v>
      </c>
      <c r="H1475" s="27">
        <v>0</v>
      </c>
      <c r="I1475" s="27">
        <f>-Withdrawals_Data!D269</f>
        <v>-4727.12</v>
      </c>
    </row>
    <row r="1476" spans="3:9">
      <c r="C1476" s="23">
        <v>269</v>
      </c>
      <c r="D1476" s="23" t="s">
        <v>134</v>
      </c>
      <c r="E1476" s="23" t="str">
        <f>Withdrawals_Data!A270</f>
        <v>DA-001</v>
      </c>
      <c r="F1476" s="23" t="str">
        <f>Withdrawals_Data!B270</f>
        <v>DA-001-M0096</v>
      </c>
      <c r="G1476" s="24">
        <f>Withdrawals_Data!C270</f>
        <v>45524</v>
      </c>
      <c r="H1476" s="27">
        <v>0</v>
      </c>
      <c r="I1476" s="27">
        <f>-Withdrawals_Data!D270</f>
        <v>-4692.4799999999996</v>
      </c>
    </row>
    <row r="1477" spans="3:9">
      <c r="C1477" s="23">
        <v>270</v>
      </c>
      <c r="D1477" s="23" t="s">
        <v>134</v>
      </c>
      <c r="E1477" s="23" t="str">
        <f>Withdrawals_Data!A271</f>
        <v>DA-003</v>
      </c>
      <c r="F1477" s="23" t="str">
        <f>Withdrawals_Data!B271</f>
        <v>DA-003-M0014</v>
      </c>
      <c r="G1477" s="24">
        <f>Withdrawals_Data!C271</f>
        <v>45319</v>
      </c>
      <c r="H1477" s="27">
        <v>0</v>
      </c>
      <c r="I1477" s="27">
        <f>-Withdrawals_Data!D271</f>
        <v>-4684.0200000000004</v>
      </c>
    </row>
    <row r="1478" spans="3:9">
      <c r="C1478" s="23">
        <v>271</v>
      </c>
      <c r="D1478" s="23" t="s">
        <v>134</v>
      </c>
      <c r="E1478" s="23" t="str">
        <f>Withdrawals_Data!A272</f>
        <v>DA-003</v>
      </c>
      <c r="F1478" s="23" t="str">
        <f>Withdrawals_Data!B272</f>
        <v>DA-003-M0007</v>
      </c>
      <c r="G1478" s="24">
        <f>Withdrawals_Data!C272</f>
        <v>45407</v>
      </c>
      <c r="H1478" s="27">
        <v>0</v>
      </c>
      <c r="I1478" s="27">
        <f>-Withdrawals_Data!D272</f>
        <v>-4612.83</v>
      </c>
    </row>
    <row r="1479" spans="3:9">
      <c r="C1479" s="23">
        <v>272</v>
      </c>
      <c r="D1479" s="23" t="s">
        <v>134</v>
      </c>
      <c r="E1479" s="23" t="str">
        <f>Withdrawals_Data!A273</f>
        <v>DA-002</v>
      </c>
      <c r="F1479" s="23" t="str">
        <f>Withdrawals_Data!B273</f>
        <v>DA-002-M0091</v>
      </c>
      <c r="G1479" s="24">
        <f>Withdrawals_Data!C273</f>
        <v>45344</v>
      </c>
      <c r="H1479" s="27">
        <v>0</v>
      </c>
      <c r="I1479" s="27">
        <f>-Withdrawals_Data!D273</f>
        <v>-4597.92</v>
      </c>
    </row>
    <row r="1480" spans="3:9">
      <c r="C1480" s="23">
        <v>273</v>
      </c>
      <c r="D1480" s="23" t="s">
        <v>134</v>
      </c>
      <c r="E1480" s="23" t="str">
        <f>Withdrawals_Data!A274</f>
        <v>DA-003</v>
      </c>
      <c r="F1480" s="23" t="str">
        <f>Withdrawals_Data!B274</f>
        <v>DA-003-M0007</v>
      </c>
      <c r="G1480" s="24">
        <f>Withdrawals_Data!C274</f>
        <v>45618</v>
      </c>
      <c r="H1480" s="27">
        <v>0</v>
      </c>
      <c r="I1480" s="27">
        <f>-Withdrawals_Data!D274</f>
        <v>-4571.37</v>
      </c>
    </row>
    <row r="1481" spans="3:9">
      <c r="C1481" s="23">
        <v>274</v>
      </c>
      <c r="D1481" s="23" t="s">
        <v>134</v>
      </c>
      <c r="E1481" s="23" t="str">
        <f>Withdrawals_Data!A275</f>
        <v>DA-002</v>
      </c>
      <c r="F1481" s="23" t="str">
        <f>Withdrawals_Data!B275</f>
        <v>DA-002-M0020</v>
      </c>
      <c r="G1481" s="24">
        <f>Withdrawals_Data!C275</f>
        <v>45654</v>
      </c>
      <c r="H1481" s="27">
        <v>0</v>
      </c>
      <c r="I1481" s="27">
        <f>-Withdrawals_Data!D275</f>
        <v>-4406.34</v>
      </c>
    </row>
    <row r="1482" spans="3:9">
      <c r="C1482" s="23">
        <v>275</v>
      </c>
      <c r="D1482" s="23" t="s">
        <v>134</v>
      </c>
      <c r="E1482" s="23" t="str">
        <f>Withdrawals_Data!A276</f>
        <v>DA-001</v>
      </c>
      <c r="F1482" s="23" t="str">
        <f>Withdrawals_Data!B276</f>
        <v>DA-001-M0034</v>
      </c>
      <c r="G1482" s="24">
        <f>Withdrawals_Data!C276</f>
        <v>45574</v>
      </c>
      <c r="H1482" s="27">
        <v>0</v>
      </c>
      <c r="I1482" s="27">
        <f>-Withdrawals_Data!D276</f>
        <v>-4311.34</v>
      </c>
    </row>
    <row r="1483" spans="3:9">
      <c r="C1483" s="23">
        <v>276</v>
      </c>
      <c r="D1483" s="23" t="s">
        <v>134</v>
      </c>
      <c r="E1483" s="23" t="str">
        <f>Withdrawals_Data!A277</f>
        <v>DA-003</v>
      </c>
      <c r="F1483" s="23" t="str">
        <f>Withdrawals_Data!B277</f>
        <v>DA-003-M0084</v>
      </c>
      <c r="G1483" s="24">
        <f>Withdrawals_Data!C277</f>
        <v>45300</v>
      </c>
      <c r="H1483" s="27">
        <v>0</v>
      </c>
      <c r="I1483" s="27">
        <f>-Withdrawals_Data!D277</f>
        <v>-4266.93</v>
      </c>
    </row>
    <row r="1484" spans="3:9">
      <c r="C1484" s="23">
        <v>277</v>
      </c>
      <c r="D1484" s="23" t="s">
        <v>134</v>
      </c>
      <c r="E1484" s="23" t="str">
        <f>Withdrawals_Data!A278</f>
        <v>DA-003</v>
      </c>
      <c r="F1484" s="23" t="str">
        <f>Withdrawals_Data!B278</f>
        <v>DA-003-M0008</v>
      </c>
      <c r="G1484" s="24">
        <f>Withdrawals_Data!C278</f>
        <v>45366</v>
      </c>
      <c r="H1484" s="27">
        <v>0</v>
      </c>
      <c r="I1484" s="27">
        <f>-Withdrawals_Data!D278</f>
        <v>-4248.7</v>
      </c>
    </row>
    <row r="1485" spans="3:9">
      <c r="C1485" s="23">
        <v>278</v>
      </c>
      <c r="D1485" s="23" t="s">
        <v>134</v>
      </c>
      <c r="E1485" s="23" t="str">
        <f>Withdrawals_Data!A279</f>
        <v>DA-002</v>
      </c>
      <c r="F1485" s="23" t="str">
        <f>Withdrawals_Data!B279</f>
        <v>DA-002-M0094</v>
      </c>
      <c r="G1485" s="24">
        <f>Withdrawals_Data!C279</f>
        <v>45517</v>
      </c>
      <c r="H1485" s="27">
        <v>0</v>
      </c>
      <c r="I1485" s="27">
        <f>-Withdrawals_Data!D279</f>
        <v>-4162.24</v>
      </c>
    </row>
    <row r="1486" spans="3:9">
      <c r="C1486" s="23">
        <v>279</v>
      </c>
      <c r="D1486" s="23" t="s">
        <v>134</v>
      </c>
      <c r="E1486" s="23" t="str">
        <f>Withdrawals_Data!A280</f>
        <v>DA-001</v>
      </c>
      <c r="F1486" s="23" t="str">
        <f>Withdrawals_Data!B280</f>
        <v>DA-001-M0087</v>
      </c>
      <c r="G1486" s="24">
        <f>Withdrawals_Data!C280</f>
        <v>45522</v>
      </c>
      <c r="H1486" s="27">
        <v>0</v>
      </c>
      <c r="I1486" s="27">
        <f>-Withdrawals_Data!D280</f>
        <v>-4113.54</v>
      </c>
    </row>
    <row r="1487" spans="3:9">
      <c r="C1487" s="23">
        <v>280</v>
      </c>
      <c r="D1487" s="23" t="s">
        <v>134</v>
      </c>
      <c r="E1487" s="23" t="str">
        <f>Withdrawals_Data!A281</f>
        <v>DA-001</v>
      </c>
      <c r="F1487" s="23" t="str">
        <f>Withdrawals_Data!B281</f>
        <v>DA-001-M0034</v>
      </c>
      <c r="G1487" s="24">
        <f>Withdrawals_Data!C281</f>
        <v>45308</v>
      </c>
      <c r="H1487" s="27">
        <v>0</v>
      </c>
      <c r="I1487" s="27">
        <f>-Withdrawals_Data!D281</f>
        <v>-4084.95</v>
      </c>
    </row>
    <row r="1488" spans="3:9">
      <c r="C1488" s="23">
        <v>281</v>
      </c>
      <c r="D1488" s="23" t="s">
        <v>134</v>
      </c>
      <c r="E1488" s="23" t="str">
        <f>Withdrawals_Data!A282</f>
        <v>DA-003</v>
      </c>
      <c r="F1488" s="23" t="str">
        <f>Withdrawals_Data!B282</f>
        <v>DA-003-M0013</v>
      </c>
      <c r="G1488" s="24">
        <f>Withdrawals_Data!C282</f>
        <v>45395</v>
      </c>
      <c r="H1488" s="27">
        <v>0</v>
      </c>
      <c r="I1488" s="27">
        <f>-Withdrawals_Data!D282</f>
        <v>-4073.97</v>
      </c>
    </row>
    <row r="1489" spans="3:9">
      <c r="C1489" s="23">
        <v>282</v>
      </c>
      <c r="D1489" s="23" t="s">
        <v>134</v>
      </c>
      <c r="E1489" s="23" t="str">
        <f>Withdrawals_Data!A283</f>
        <v>DA-001</v>
      </c>
      <c r="F1489" s="23" t="str">
        <f>Withdrawals_Data!B283</f>
        <v>DA-001-M0073</v>
      </c>
      <c r="G1489" s="24">
        <f>Withdrawals_Data!C283</f>
        <v>45486</v>
      </c>
      <c r="H1489" s="27">
        <v>0</v>
      </c>
      <c r="I1489" s="27">
        <f>-Withdrawals_Data!D283</f>
        <v>-4070.05</v>
      </c>
    </row>
    <row r="1490" spans="3:9">
      <c r="C1490" s="23">
        <v>283</v>
      </c>
      <c r="D1490" s="23" t="s">
        <v>134</v>
      </c>
      <c r="E1490" s="23" t="str">
        <f>Withdrawals_Data!A284</f>
        <v>DA-002</v>
      </c>
      <c r="F1490" s="23" t="str">
        <f>Withdrawals_Data!B284</f>
        <v>DA-002-M0016</v>
      </c>
      <c r="G1490" s="24">
        <f>Withdrawals_Data!C284</f>
        <v>45347</v>
      </c>
      <c r="H1490" s="27">
        <v>0</v>
      </c>
      <c r="I1490" s="27">
        <f>-Withdrawals_Data!D284</f>
        <v>-3975.93</v>
      </c>
    </row>
    <row r="1491" spans="3:9">
      <c r="C1491" s="23">
        <v>284</v>
      </c>
      <c r="D1491" s="23" t="s">
        <v>134</v>
      </c>
      <c r="E1491" s="23" t="str">
        <f>Withdrawals_Data!A285</f>
        <v>DA-003</v>
      </c>
      <c r="F1491" s="23" t="str">
        <f>Withdrawals_Data!B285</f>
        <v>DA-003-M0036</v>
      </c>
      <c r="G1491" s="24">
        <f>Withdrawals_Data!C285</f>
        <v>45432</v>
      </c>
      <c r="H1491" s="27">
        <v>0</v>
      </c>
      <c r="I1491" s="27">
        <f>-Withdrawals_Data!D285</f>
        <v>-3951.58</v>
      </c>
    </row>
    <row r="1492" spans="3:9">
      <c r="C1492" s="23">
        <v>285</v>
      </c>
      <c r="D1492" s="23" t="s">
        <v>134</v>
      </c>
      <c r="E1492" s="23" t="str">
        <f>Withdrawals_Data!A286</f>
        <v>DA-001</v>
      </c>
      <c r="F1492" s="23" t="str">
        <f>Withdrawals_Data!B286</f>
        <v>DA-001-M0055</v>
      </c>
      <c r="G1492" s="24">
        <f>Withdrawals_Data!C286</f>
        <v>45313</v>
      </c>
      <c r="H1492" s="27">
        <v>0</v>
      </c>
      <c r="I1492" s="27">
        <f>-Withdrawals_Data!D286</f>
        <v>-3893.94</v>
      </c>
    </row>
    <row r="1493" spans="3:9">
      <c r="C1493" s="23">
        <v>286</v>
      </c>
      <c r="D1493" s="23" t="s">
        <v>134</v>
      </c>
      <c r="E1493" s="23" t="str">
        <f>Withdrawals_Data!A287</f>
        <v>DA-002</v>
      </c>
      <c r="F1493" s="23" t="str">
        <f>Withdrawals_Data!B287</f>
        <v>DA-002-M0067</v>
      </c>
      <c r="G1493" s="24">
        <f>Withdrawals_Data!C287</f>
        <v>45326</v>
      </c>
      <c r="H1493" s="27">
        <v>0</v>
      </c>
      <c r="I1493" s="27">
        <f>-Withdrawals_Data!D287</f>
        <v>-3840.38</v>
      </c>
    </row>
    <row r="1494" spans="3:9">
      <c r="C1494" s="23">
        <v>287</v>
      </c>
      <c r="D1494" s="23" t="s">
        <v>134</v>
      </c>
      <c r="E1494" s="23" t="str">
        <f>Withdrawals_Data!A288</f>
        <v>DA-001</v>
      </c>
      <c r="F1494" s="23" t="str">
        <f>Withdrawals_Data!B288</f>
        <v>DA-001-M0004</v>
      </c>
      <c r="G1494" s="24">
        <f>Withdrawals_Data!C288</f>
        <v>45444</v>
      </c>
      <c r="H1494" s="27">
        <v>0</v>
      </c>
      <c r="I1494" s="27">
        <f>-Withdrawals_Data!D288</f>
        <v>-3750.79</v>
      </c>
    </row>
    <row r="1495" spans="3:9">
      <c r="C1495" s="23">
        <v>288</v>
      </c>
      <c r="D1495" s="23" t="s">
        <v>134</v>
      </c>
      <c r="E1495" s="23" t="str">
        <f>Withdrawals_Data!A289</f>
        <v>DA-002</v>
      </c>
      <c r="F1495" s="23" t="str">
        <f>Withdrawals_Data!B289</f>
        <v>DA-002-M0040</v>
      </c>
      <c r="G1495" s="24">
        <f>Withdrawals_Data!C289</f>
        <v>45510</v>
      </c>
      <c r="H1495" s="27">
        <v>0</v>
      </c>
      <c r="I1495" s="27">
        <f>-Withdrawals_Data!D289</f>
        <v>-3675.75</v>
      </c>
    </row>
    <row r="1496" spans="3:9">
      <c r="C1496" s="23">
        <v>289</v>
      </c>
      <c r="D1496" s="23" t="s">
        <v>134</v>
      </c>
      <c r="E1496" s="23" t="str">
        <f>Withdrawals_Data!A290</f>
        <v>DA-002</v>
      </c>
      <c r="F1496" s="23" t="str">
        <f>Withdrawals_Data!B290</f>
        <v>DA-002-M0027</v>
      </c>
      <c r="G1496" s="24">
        <f>Withdrawals_Data!C290</f>
        <v>45472</v>
      </c>
      <c r="H1496" s="27">
        <v>0</v>
      </c>
      <c r="I1496" s="27">
        <f>-Withdrawals_Data!D290</f>
        <v>-3673.81</v>
      </c>
    </row>
    <row r="1497" spans="3:9">
      <c r="C1497" s="23">
        <v>290</v>
      </c>
      <c r="D1497" s="23" t="s">
        <v>134</v>
      </c>
      <c r="E1497" s="23" t="str">
        <f>Withdrawals_Data!A291</f>
        <v>DA-002</v>
      </c>
      <c r="F1497" s="23" t="str">
        <f>Withdrawals_Data!B291</f>
        <v>DA-002-M0070</v>
      </c>
      <c r="G1497" s="24">
        <f>Withdrawals_Data!C291</f>
        <v>45646</v>
      </c>
      <c r="H1497" s="27">
        <v>0</v>
      </c>
      <c r="I1497" s="27">
        <f>-Withdrawals_Data!D291</f>
        <v>-3614.9</v>
      </c>
    </row>
    <row r="1498" spans="3:9">
      <c r="C1498" s="23">
        <v>291</v>
      </c>
      <c r="D1498" s="23" t="s">
        <v>134</v>
      </c>
      <c r="E1498" s="23" t="str">
        <f>Withdrawals_Data!A292</f>
        <v>DA-003</v>
      </c>
      <c r="F1498" s="23" t="str">
        <f>Withdrawals_Data!B292</f>
        <v>DA-003-M0079</v>
      </c>
      <c r="G1498" s="24">
        <f>Withdrawals_Data!C292</f>
        <v>45308</v>
      </c>
      <c r="H1498" s="27">
        <v>0</v>
      </c>
      <c r="I1498" s="27">
        <f>-Withdrawals_Data!D292</f>
        <v>-3586.53</v>
      </c>
    </row>
    <row r="1499" spans="3:9">
      <c r="C1499" s="23">
        <v>292</v>
      </c>
      <c r="D1499" s="23" t="s">
        <v>134</v>
      </c>
      <c r="E1499" s="23" t="str">
        <f>Withdrawals_Data!A293</f>
        <v>DA-002</v>
      </c>
      <c r="F1499" s="23" t="str">
        <f>Withdrawals_Data!B293</f>
        <v>DA-002-M0037</v>
      </c>
      <c r="G1499" s="24">
        <f>Withdrawals_Data!C293</f>
        <v>45509</v>
      </c>
      <c r="H1499" s="27">
        <v>0</v>
      </c>
      <c r="I1499" s="27">
        <f>-Withdrawals_Data!D293</f>
        <v>-3573.9</v>
      </c>
    </row>
    <row r="1500" spans="3:9">
      <c r="C1500" s="23">
        <v>293</v>
      </c>
      <c r="D1500" s="23" t="s">
        <v>134</v>
      </c>
      <c r="E1500" s="23" t="str">
        <f>Withdrawals_Data!A294</f>
        <v>DA-002</v>
      </c>
      <c r="F1500" s="23" t="str">
        <f>Withdrawals_Data!B294</f>
        <v>DA-002-M0039</v>
      </c>
      <c r="G1500" s="24">
        <f>Withdrawals_Data!C294</f>
        <v>45533</v>
      </c>
      <c r="H1500" s="27">
        <v>0</v>
      </c>
      <c r="I1500" s="27">
        <f>-Withdrawals_Data!D294</f>
        <v>-3557.7</v>
      </c>
    </row>
    <row r="1501" spans="3:9">
      <c r="C1501" s="23">
        <v>294</v>
      </c>
      <c r="D1501" s="23" t="s">
        <v>134</v>
      </c>
      <c r="E1501" s="23" t="str">
        <f>Withdrawals_Data!A295</f>
        <v>DA-001</v>
      </c>
      <c r="F1501" s="23" t="str">
        <f>Withdrawals_Data!B295</f>
        <v>DA-001-M0065</v>
      </c>
      <c r="G1501" s="24">
        <f>Withdrawals_Data!C295</f>
        <v>45580</v>
      </c>
      <c r="H1501" s="27">
        <v>0</v>
      </c>
      <c r="I1501" s="27">
        <f>-Withdrawals_Data!D295</f>
        <v>-3521.32</v>
      </c>
    </row>
    <row r="1502" spans="3:9">
      <c r="C1502" s="23">
        <v>295</v>
      </c>
      <c r="D1502" s="23" t="s">
        <v>134</v>
      </c>
      <c r="E1502" s="23" t="str">
        <f>Withdrawals_Data!A296</f>
        <v>DA-002</v>
      </c>
      <c r="F1502" s="23" t="str">
        <f>Withdrawals_Data!B296</f>
        <v>DA-002-M0050</v>
      </c>
      <c r="G1502" s="24">
        <f>Withdrawals_Data!C296</f>
        <v>45654</v>
      </c>
      <c r="H1502" s="27">
        <v>0</v>
      </c>
      <c r="I1502" s="27">
        <f>-Withdrawals_Data!D296</f>
        <v>-3509.11</v>
      </c>
    </row>
    <row r="1503" spans="3:9">
      <c r="C1503" s="23">
        <v>296</v>
      </c>
      <c r="D1503" s="23" t="s">
        <v>134</v>
      </c>
      <c r="E1503" s="23" t="str">
        <f>Withdrawals_Data!A297</f>
        <v>DA-001</v>
      </c>
      <c r="F1503" s="23" t="str">
        <f>Withdrawals_Data!B297</f>
        <v>DA-001-M0022</v>
      </c>
      <c r="G1503" s="24">
        <f>Withdrawals_Data!C297</f>
        <v>45418</v>
      </c>
      <c r="H1503" s="27">
        <v>0</v>
      </c>
      <c r="I1503" s="27">
        <f>-Withdrawals_Data!D297</f>
        <v>-3501.43</v>
      </c>
    </row>
    <row r="1504" spans="3:9">
      <c r="C1504" s="23">
        <v>297</v>
      </c>
      <c r="D1504" s="23" t="s">
        <v>134</v>
      </c>
      <c r="E1504" s="23" t="str">
        <f>Withdrawals_Data!A298</f>
        <v>DA-001</v>
      </c>
      <c r="F1504" s="23" t="str">
        <f>Withdrawals_Data!B298</f>
        <v>DA-001-M0035</v>
      </c>
      <c r="G1504" s="24">
        <f>Withdrawals_Data!C298</f>
        <v>45550</v>
      </c>
      <c r="H1504" s="27">
        <v>0</v>
      </c>
      <c r="I1504" s="27">
        <f>-Withdrawals_Data!D298</f>
        <v>-3498.04</v>
      </c>
    </row>
    <row r="1505" spans="3:9">
      <c r="C1505" s="23">
        <v>298</v>
      </c>
      <c r="D1505" s="23" t="s">
        <v>134</v>
      </c>
      <c r="E1505" s="23" t="str">
        <f>Withdrawals_Data!A299</f>
        <v>DA-002</v>
      </c>
      <c r="F1505" s="23" t="str">
        <f>Withdrawals_Data!B299</f>
        <v>DA-002-M0094</v>
      </c>
      <c r="G1505" s="24">
        <f>Withdrawals_Data!C299</f>
        <v>45444</v>
      </c>
      <c r="H1505" s="27">
        <v>0</v>
      </c>
      <c r="I1505" s="27">
        <f>-Withdrawals_Data!D299</f>
        <v>-3433.24</v>
      </c>
    </row>
    <row r="1506" spans="3:9">
      <c r="C1506" s="23">
        <v>299</v>
      </c>
      <c r="D1506" s="23" t="s">
        <v>134</v>
      </c>
      <c r="E1506" s="23" t="str">
        <f>Withdrawals_Data!A300</f>
        <v>DA-003</v>
      </c>
      <c r="F1506" s="23" t="str">
        <f>Withdrawals_Data!B300</f>
        <v>DA-003-M0068</v>
      </c>
      <c r="G1506" s="24">
        <f>Withdrawals_Data!C300</f>
        <v>45310</v>
      </c>
      <c r="H1506" s="27">
        <v>0</v>
      </c>
      <c r="I1506" s="27">
        <f>-Withdrawals_Data!D300</f>
        <v>-3427.98</v>
      </c>
    </row>
    <row r="1507" spans="3:9">
      <c r="C1507" s="23">
        <v>300</v>
      </c>
      <c r="D1507" s="23" t="s">
        <v>134</v>
      </c>
      <c r="E1507" s="23" t="str">
        <f>Withdrawals_Data!A301</f>
        <v>DA-002</v>
      </c>
      <c r="F1507" s="23" t="str">
        <f>Withdrawals_Data!B301</f>
        <v>DA-002-M0003</v>
      </c>
      <c r="G1507" s="24">
        <f>Withdrawals_Data!C301</f>
        <v>45630</v>
      </c>
      <c r="H1507" s="27">
        <v>0</v>
      </c>
      <c r="I1507" s="27">
        <f>-Withdrawals_Data!D301</f>
        <v>-3325.29</v>
      </c>
    </row>
    <row r="1508" spans="3:9">
      <c r="C1508" s="23">
        <v>301</v>
      </c>
      <c r="D1508" s="23" t="s">
        <v>134</v>
      </c>
      <c r="E1508" s="23" t="str">
        <f>Withdrawals_Data!A302</f>
        <v>DA-001</v>
      </c>
      <c r="F1508" s="23" t="str">
        <f>Withdrawals_Data!B302</f>
        <v>DA-001-M0096</v>
      </c>
      <c r="G1508" s="24">
        <f>Withdrawals_Data!C302</f>
        <v>45423</v>
      </c>
      <c r="H1508" s="27">
        <v>0</v>
      </c>
      <c r="I1508" s="27">
        <f>-Withdrawals_Data!D302</f>
        <v>-3320.33</v>
      </c>
    </row>
    <row r="1509" spans="3:9">
      <c r="C1509" s="23">
        <v>302</v>
      </c>
      <c r="D1509" s="23" t="s">
        <v>134</v>
      </c>
      <c r="E1509" s="23" t="str">
        <f>Withdrawals_Data!A303</f>
        <v>DA-003</v>
      </c>
      <c r="F1509" s="23" t="str">
        <f>Withdrawals_Data!B303</f>
        <v>DA-003-M0006</v>
      </c>
      <c r="G1509" s="24">
        <f>Withdrawals_Data!C303</f>
        <v>45333</v>
      </c>
      <c r="H1509" s="27">
        <v>0</v>
      </c>
      <c r="I1509" s="27">
        <f>-Withdrawals_Data!D303</f>
        <v>-3234.79</v>
      </c>
    </row>
    <row r="1510" spans="3:9">
      <c r="C1510" s="23">
        <v>303</v>
      </c>
      <c r="D1510" s="23" t="s">
        <v>134</v>
      </c>
      <c r="E1510" s="23" t="str">
        <f>Withdrawals_Data!A304</f>
        <v>DA-003</v>
      </c>
      <c r="F1510" s="23" t="str">
        <f>Withdrawals_Data!B304</f>
        <v>DA-003-M0077</v>
      </c>
      <c r="G1510" s="24">
        <f>Withdrawals_Data!C304</f>
        <v>45546</v>
      </c>
      <c r="H1510" s="27">
        <v>0</v>
      </c>
      <c r="I1510" s="27">
        <f>-Withdrawals_Data!D304</f>
        <v>-3161.44</v>
      </c>
    </row>
    <row r="1511" spans="3:9">
      <c r="C1511" s="23">
        <v>304</v>
      </c>
      <c r="D1511" s="23" t="s">
        <v>134</v>
      </c>
      <c r="E1511" s="23" t="str">
        <f>Withdrawals_Data!A305</f>
        <v>DA-002</v>
      </c>
      <c r="F1511" s="23" t="str">
        <f>Withdrawals_Data!B305</f>
        <v>DA-002-M0030</v>
      </c>
      <c r="G1511" s="24">
        <f>Withdrawals_Data!C305</f>
        <v>45591</v>
      </c>
      <c r="H1511" s="27">
        <v>0</v>
      </c>
      <c r="I1511" s="27">
        <f>-Withdrawals_Data!D305</f>
        <v>-3155.94</v>
      </c>
    </row>
    <row r="1512" spans="3:9">
      <c r="C1512" s="23">
        <v>305</v>
      </c>
      <c r="D1512" s="23" t="s">
        <v>134</v>
      </c>
      <c r="E1512" s="23" t="str">
        <f>Withdrawals_Data!A306</f>
        <v>DA-002</v>
      </c>
      <c r="F1512" s="23" t="str">
        <f>Withdrawals_Data!B306</f>
        <v>DA-002-M0039</v>
      </c>
      <c r="G1512" s="24">
        <f>Withdrawals_Data!C306</f>
        <v>45418</v>
      </c>
      <c r="H1512" s="27">
        <v>0</v>
      </c>
      <c r="I1512" s="27">
        <f>-Withdrawals_Data!D306</f>
        <v>-3111.49</v>
      </c>
    </row>
    <row r="1513" spans="3:9">
      <c r="C1513" s="23">
        <v>306</v>
      </c>
      <c r="D1513" s="23" t="s">
        <v>134</v>
      </c>
      <c r="E1513" s="23" t="str">
        <f>Withdrawals_Data!A307</f>
        <v>DA-002</v>
      </c>
      <c r="F1513" s="23" t="str">
        <f>Withdrawals_Data!B307</f>
        <v>DA-002-M0063</v>
      </c>
      <c r="G1513" s="24">
        <f>Withdrawals_Data!C307</f>
        <v>45593</v>
      </c>
      <c r="H1513" s="27">
        <v>0</v>
      </c>
      <c r="I1513" s="27">
        <f>-Withdrawals_Data!D307</f>
        <v>-3096.94</v>
      </c>
    </row>
    <row r="1514" spans="3:9">
      <c r="C1514" s="23">
        <v>307</v>
      </c>
      <c r="D1514" s="23" t="s">
        <v>134</v>
      </c>
      <c r="E1514" s="23" t="str">
        <f>Withdrawals_Data!A308</f>
        <v>DA-001</v>
      </c>
      <c r="F1514" s="23" t="str">
        <f>Withdrawals_Data!B308</f>
        <v>DA-001-M0074</v>
      </c>
      <c r="G1514" s="24">
        <f>Withdrawals_Data!C308</f>
        <v>45320</v>
      </c>
      <c r="H1514" s="27">
        <v>0</v>
      </c>
      <c r="I1514" s="27">
        <f>-Withdrawals_Data!D308</f>
        <v>-3024.55</v>
      </c>
    </row>
    <row r="1515" spans="3:9">
      <c r="C1515" s="23">
        <v>308</v>
      </c>
      <c r="D1515" s="23" t="s">
        <v>134</v>
      </c>
      <c r="E1515" s="23" t="str">
        <f>Withdrawals_Data!A309</f>
        <v>DA-003</v>
      </c>
      <c r="F1515" s="23" t="str">
        <f>Withdrawals_Data!B309</f>
        <v>DA-003-M0008</v>
      </c>
      <c r="G1515" s="24">
        <f>Withdrawals_Data!C309</f>
        <v>45403</v>
      </c>
      <c r="H1515" s="27">
        <v>0</v>
      </c>
      <c r="I1515" s="27">
        <f>-Withdrawals_Data!D309</f>
        <v>-3017.04</v>
      </c>
    </row>
    <row r="1516" spans="3:9">
      <c r="C1516" s="23">
        <v>309</v>
      </c>
      <c r="D1516" s="23" t="s">
        <v>134</v>
      </c>
      <c r="E1516" s="23" t="str">
        <f>Withdrawals_Data!A310</f>
        <v>DA-003</v>
      </c>
      <c r="F1516" s="23" t="str">
        <f>Withdrawals_Data!B310</f>
        <v>DA-003-M0047</v>
      </c>
      <c r="G1516" s="24">
        <f>Withdrawals_Data!C310</f>
        <v>45549</v>
      </c>
      <c r="H1516" s="27">
        <v>0</v>
      </c>
      <c r="I1516" s="27">
        <f>-Withdrawals_Data!D310</f>
        <v>-2893.01</v>
      </c>
    </row>
    <row r="1517" spans="3:9">
      <c r="C1517" s="23">
        <v>310</v>
      </c>
      <c r="D1517" s="23" t="s">
        <v>134</v>
      </c>
      <c r="E1517" s="23" t="str">
        <f>Withdrawals_Data!A311</f>
        <v>DA-001</v>
      </c>
      <c r="F1517" s="23" t="str">
        <f>Withdrawals_Data!B311</f>
        <v>DA-001-M0056</v>
      </c>
      <c r="G1517" s="24">
        <f>Withdrawals_Data!C311</f>
        <v>45491</v>
      </c>
      <c r="H1517" s="27">
        <v>0</v>
      </c>
      <c r="I1517" s="27">
        <f>-Withdrawals_Data!D311</f>
        <v>-2878.78</v>
      </c>
    </row>
    <row r="1518" spans="3:9">
      <c r="C1518" s="23">
        <v>311</v>
      </c>
      <c r="D1518" s="23" t="s">
        <v>134</v>
      </c>
      <c r="E1518" s="23" t="str">
        <f>Withdrawals_Data!A312</f>
        <v>DA-001</v>
      </c>
      <c r="F1518" s="23" t="str">
        <f>Withdrawals_Data!B312</f>
        <v>DA-001-M0024</v>
      </c>
      <c r="G1518" s="24">
        <f>Withdrawals_Data!C312</f>
        <v>45437</v>
      </c>
      <c r="H1518" s="27">
        <v>0</v>
      </c>
      <c r="I1518" s="27">
        <f>-Withdrawals_Data!D312</f>
        <v>-2782.12</v>
      </c>
    </row>
    <row r="1519" spans="3:9">
      <c r="C1519" s="23">
        <v>312</v>
      </c>
      <c r="D1519" s="23" t="s">
        <v>134</v>
      </c>
      <c r="E1519" s="23" t="str">
        <f>Withdrawals_Data!A313</f>
        <v>DA-003</v>
      </c>
      <c r="F1519" s="23" t="str">
        <f>Withdrawals_Data!B313</f>
        <v>DA-003-M0005</v>
      </c>
      <c r="G1519" s="24">
        <f>Withdrawals_Data!C313</f>
        <v>45630</v>
      </c>
      <c r="H1519" s="27">
        <v>0</v>
      </c>
      <c r="I1519" s="27">
        <f>-Withdrawals_Data!D313</f>
        <v>-2718.17</v>
      </c>
    </row>
    <row r="1520" spans="3:9">
      <c r="C1520" s="23">
        <v>313</v>
      </c>
      <c r="D1520" s="23" t="s">
        <v>134</v>
      </c>
      <c r="E1520" s="23" t="str">
        <f>Withdrawals_Data!A314</f>
        <v>DA-002</v>
      </c>
      <c r="F1520" s="23" t="str">
        <f>Withdrawals_Data!B314</f>
        <v>DA-002-M0054</v>
      </c>
      <c r="G1520" s="24">
        <f>Withdrawals_Data!C314</f>
        <v>45575</v>
      </c>
      <c r="H1520" s="27">
        <v>0</v>
      </c>
      <c r="I1520" s="27">
        <f>-Withdrawals_Data!D314</f>
        <v>-2560.58</v>
      </c>
    </row>
    <row r="1521" spans="3:9">
      <c r="C1521" s="23">
        <v>314</v>
      </c>
      <c r="D1521" s="23" t="s">
        <v>134</v>
      </c>
      <c r="E1521" s="23" t="str">
        <f>Withdrawals_Data!A315</f>
        <v>DA-002</v>
      </c>
      <c r="F1521" s="23" t="str">
        <f>Withdrawals_Data!B315</f>
        <v>DA-002-M0085</v>
      </c>
      <c r="G1521" s="24">
        <f>Withdrawals_Data!C315</f>
        <v>45493</v>
      </c>
      <c r="H1521" s="27">
        <v>0</v>
      </c>
      <c r="I1521" s="27">
        <f>-Withdrawals_Data!D315</f>
        <v>-2512.4</v>
      </c>
    </row>
    <row r="1522" spans="3:9">
      <c r="C1522" s="23">
        <v>315</v>
      </c>
      <c r="D1522" s="23" t="s">
        <v>134</v>
      </c>
      <c r="E1522" s="23" t="str">
        <f>Withdrawals_Data!A316</f>
        <v>DA-003</v>
      </c>
      <c r="F1522" s="23" t="str">
        <f>Withdrawals_Data!B316</f>
        <v>DA-003-M0028</v>
      </c>
      <c r="G1522" s="24">
        <f>Withdrawals_Data!C316</f>
        <v>45447</v>
      </c>
      <c r="H1522" s="27">
        <v>0</v>
      </c>
      <c r="I1522" s="27">
        <f>-Withdrawals_Data!D316</f>
        <v>-2468.8000000000002</v>
      </c>
    </row>
    <row r="1523" spans="3:9">
      <c r="C1523" s="23">
        <v>316</v>
      </c>
      <c r="D1523" s="23" t="s">
        <v>134</v>
      </c>
      <c r="E1523" s="23" t="str">
        <f>Withdrawals_Data!A317</f>
        <v>DA-002</v>
      </c>
      <c r="F1523" s="23" t="str">
        <f>Withdrawals_Data!B317</f>
        <v>DA-002-M0044</v>
      </c>
      <c r="G1523" s="24">
        <f>Withdrawals_Data!C317</f>
        <v>45295</v>
      </c>
      <c r="H1523" s="27">
        <v>0</v>
      </c>
      <c r="I1523" s="27">
        <f>-Withdrawals_Data!D317</f>
        <v>-2373.36</v>
      </c>
    </row>
    <row r="1524" spans="3:9">
      <c r="C1524" s="23">
        <v>317</v>
      </c>
      <c r="D1524" s="23" t="s">
        <v>134</v>
      </c>
      <c r="E1524" s="23" t="str">
        <f>Withdrawals_Data!A318</f>
        <v>DA-002</v>
      </c>
      <c r="F1524" s="23" t="str">
        <f>Withdrawals_Data!B318</f>
        <v>DA-002-M0041</v>
      </c>
      <c r="G1524" s="24">
        <f>Withdrawals_Data!C318</f>
        <v>45646</v>
      </c>
      <c r="H1524" s="27">
        <v>0</v>
      </c>
      <c r="I1524" s="27">
        <f>-Withdrawals_Data!D318</f>
        <v>-2366.15</v>
      </c>
    </row>
    <row r="1525" spans="3:9">
      <c r="C1525" s="23">
        <v>318</v>
      </c>
      <c r="D1525" s="23" t="s">
        <v>134</v>
      </c>
      <c r="E1525" s="23" t="str">
        <f>Withdrawals_Data!A319</f>
        <v>DA-001</v>
      </c>
      <c r="F1525" s="23" t="str">
        <f>Withdrawals_Data!B319</f>
        <v>DA-001-M0087</v>
      </c>
      <c r="G1525" s="24">
        <f>Withdrawals_Data!C319</f>
        <v>45547</v>
      </c>
      <c r="H1525" s="27">
        <v>0</v>
      </c>
      <c r="I1525" s="27">
        <f>-Withdrawals_Data!D319</f>
        <v>-2312.7600000000002</v>
      </c>
    </row>
    <row r="1526" spans="3:9">
      <c r="C1526" s="23">
        <v>319</v>
      </c>
      <c r="D1526" s="23" t="s">
        <v>134</v>
      </c>
      <c r="E1526" s="23" t="str">
        <f>Withdrawals_Data!A320</f>
        <v>DA-002</v>
      </c>
      <c r="F1526" s="23" t="str">
        <f>Withdrawals_Data!B320</f>
        <v>DA-002-M0027</v>
      </c>
      <c r="G1526" s="24">
        <f>Withdrawals_Data!C320</f>
        <v>45541</v>
      </c>
      <c r="H1526" s="27">
        <v>0</v>
      </c>
      <c r="I1526" s="27">
        <f>-Withdrawals_Data!D320</f>
        <v>-2310.9899999999998</v>
      </c>
    </row>
    <row r="1527" spans="3:9">
      <c r="C1527" s="23">
        <v>320</v>
      </c>
      <c r="D1527" s="23" t="s">
        <v>134</v>
      </c>
      <c r="E1527" s="23" t="str">
        <f>Withdrawals_Data!A321</f>
        <v>DA-001</v>
      </c>
      <c r="F1527" s="23" t="str">
        <f>Withdrawals_Data!B321</f>
        <v>DA-001-M0056</v>
      </c>
      <c r="G1527" s="24">
        <f>Withdrawals_Data!C321</f>
        <v>45321</v>
      </c>
      <c r="H1527" s="27">
        <v>0</v>
      </c>
      <c r="I1527" s="27">
        <f>-Withdrawals_Data!D321</f>
        <v>-2207.94</v>
      </c>
    </row>
    <row r="1528" spans="3:9">
      <c r="C1528" s="23">
        <v>321</v>
      </c>
      <c r="D1528" s="23" t="s">
        <v>134</v>
      </c>
      <c r="E1528" s="23" t="str">
        <f>Withdrawals_Data!A322</f>
        <v>DA-002</v>
      </c>
      <c r="F1528" s="23" t="str">
        <f>Withdrawals_Data!B322</f>
        <v>DA-002-M0017</v>
      </c>
      <c r="G1528" s="24">
        <f>Withdrawals_Data!C322</f>
        <v>45539</v>
      </c>
      <c r="H1528" s="27">
        <v>0</v>
      </c>
      <c r="I1528" s="27">
        <f>-Withdrawals_Data!D322</f>
        <v>-2207.66</v>
      </c>
    </row>
    <row r="1529" spans="3:9">
      <c r="C1529" s="23">
        <v>322</v>
      </c>
      <c r="D1529" s="23" t="s">
        <v>134</v>
      </c>
      <c r="E1529" s="23" t="str">
        <f>Withdrawals_Data!A323</f>
        <v>DA-001</v>
      </c>
      <c r="F1529" s="23" t="str">
        <f>Withdrawals_Data!B323</f>
        <v>DA-001-M0002</v>
      </c>
      <c r="G1529" s="24">
        <f>Withdrawals_Data!C323</f>
        <v>45354</v>
      </c>
      <c r="H1529" s="27">
        <v>0</v>
      </c>
      <c r="I1529" s="27">
        <f>-Withdrawals_Data!D323</f>
        <v>-2145.94</v>
      </c>
    </row>
    <row r="1530" spans="3:9">
      <c r="C1530" s="23">
        <v>323</v>
      </c>
      <c r="D1530" s="23" t="s">
        <v>134</v>
      </c>
      <c r="E1530" s="23" t="str">
        <f>Withdrawals_Data!A324</f>
        <v>DA-002</v>
      </c>
      <c r="F1530" s="23" t="str">
        <f>Withdrawals_Data!B324</f>
        <v>DA-002-M0037</v>
      </c>
      <c r="G1530" s="24">
        <f>Withdrawals_Data!C324</f>
        <v>45613</v>
      </c>
      <c r="H1530" s="27">
        <v>0</v>
      </c>
      <c r="I1530" s="27">
        <f>-Withdrawals_Data!D324</f>
        <v>-1987.43</v>
      </c>
    </row>
    <row r="1531" spans="3:9">
      <c r="C1531" s="23">
        <v>324</v>
      </c>
      <c r="D1531" s="23" t="s">
        <v>134</v>
      </c>
      <c r="E1531" s="23" t="str">
        <f>Withdrawals_Data!A325</f>
        <v>DA-001</v>
      </c>
      <c r="F1531" s="23" t="str">
        <f>Withdrawals_Data!B325</f>
        <v>DA-001-M0055</v>
      </c>
      <c r="G1531" s="24">
        <f>Withdrawals_Data!C325</f>
        <v>45619</v>
      </c>
      <c r="H1531" s="27">
        <v>0</v>
      </c>
      <c r="I1531" s="27">
        <f>-Withdrawals_Data!D325</f>
        <v>-1907.25</v>
      </c>
    </row>
    <row r="1532" spans="3:9">
      <c r="C1532" s="23">
        <v>325</v>
      </c>
      <c r="D1532" s="23" t="s">
        <v>134</v>
      </c>
      <c r="E1532" s="23" t="str">
        <f>Withdrawals_Data!A326</f>
        <v>DA-002</v>
      </c>
      <c r="F1532" s="23" t="str">
        <f>Withdrawals_Data!B326</f>
        <v>DA-002-M0097</v>
      </c>
      <c r="G1532" s="24">
        <f>Withdrawals_Data!C326</f>
        <v>45549</v>
      </c>
      <c r="H1532" s="27">
        <v>0</v>
      </c>
      <c r="I1532" s="27">
        <f>-Withdrawals_Data!D326</f>
        <v>-1749.82</v>
      </c>
    </row>
    <row r="1533" spans="3:9">
      <c r="C1533" s="23">
        <v>326</v>
      </c>
      <c r="D1533" s="23" t="s">
        <v>134</v>
      </c>
      <c r="E1533" s="23" t="str">
        <f>Withdrawals_Data!A327</f>
        <v>DA-002</v>
      </c>
      <c r="F1533" s="23" t="str">
        <f>Withdrawals_Data!B327</f>
        <v>DA-002-M0072</v>
      </c>
      <c r="G1533" s="24">
        <f>Withdrawals_Data!C327</f>
        <v>45622</v>
      </c>
      <c r="H1533" s="27">
        <v>0</v>
      </c>
      <c r="I1533" s="27">
        <f>-Withdrawals_Data!D327</f>
        <v>-1718</v>
      </c>
    </row>
    <row r="1534" spans="3:9">
      <c r="C1534" s="23">
        <v>327</v>
      </c>
      <c r="D1534" s="23" t="s">
        <v>134</v>
      </c>
      <c r="E1534" s="23" t="str">
        <f>Withdrawals_Data!A328</f>
        <v>DA-002</v>
      </c>
      <c r="F1534" s="23" t="str">
        <f>Withdrawals_Data!B328</f>
        <v>DA-002-M0064</v>
      </c>
      <c r="G1534" s="24">
        <f>Withdrawals_Data!C328</f>
        <v>45383</v>
      </c>
      <c r="H1534" s="27">
        <v>0</v>
      </c>
      <c r="I1534" s="27">
        <f>-Withdrawals_Data!D328</f>
        <v>-1694.43</v>
      </c>
    </row>
    <row r="1535" spans="3:9">
      <c r="C1535" s="23">
        <v>328</v>
      </c>
      <c r="D1535" s="23" t="s">
        <v>134</v>
      </c>
      <c r="E1535" s="23" t="str">
        <f>Withdrawals_Data!A329</f>
        <v>DA-001</v>
      </c>
      <c r="F1535" s="23" t="str">
        <f>Withdrawals_Data!B329</f>
        <v>DA-001-M0073</v>
      </c>
      <c r="G1535" s="24">
        <f>Withdrawals_Data!C329</f>
        <v>45547</v>
      </c>
      <c r="H1535" s="27">
        <v>0</v>
      </c>
      <c r="I1535" s="27">
        <f>-Withdrawals_Data!D329</f>
        <v>-1628.03</v>
      </c>
    </row>
    <row r="1536" spans="3:9">
      <c r="C1536" s="23">
        <v>329</v>
      </c>
      <c r="D1536" s="23" t="s">
        <v>134</v>
      </c>
      <c r="E1536" s="23" t="str">
        <f>Withdrawals_Data!A330</f>
        <v>DA-001</v>
      </c>
      <c r="F1536" s="23" t="str">
        <f>Withdrawals_Data!B330</f>
        <v>DA-001-M0071</v>
      </c>
      <c r="G1536" s="24">
        <f>Withdrawals_Data!C330</f>
        <v>45600</v>
      </c>
      <c r="H1536" s="27">
        <v>0</v>
      </c>
      <c r="I1536" s="27">
        <f>-Withdrawals_Data!D330</f>
        <v>-1418.41</v>
      </c>
    </row>
    <row r="1537" spans="3:9">
      <c r="C1537" s="23">
        <v>330</v>
      </c>
      <c r="D1537" s="23" t="s">
        <v>134</v>
      </c>
      <c r="E1537" s="23" t="str">
        <f>Withdrawals_Data!A331</f>
        <v>DA-003</v>
      </c>
      <c r="F1537" s="23" t="str">
        <f>Withdrawals_Data!B331</f>
        <v>DA-003-M0029</v>
      </c>
      <c r="G1537" s="24">
        <f>Withdrawals_Data!C331</f>
        <v>45469</v>
      </c>
      <c r="H1537" s="27">
        <v>0</v>
      </c>
      <c r="I1537" s="27">
        <f>-Withdrawals_Data!D331</f>
        <v>-1353.92</v>
      </c>
    </row>
    <row r="1538" spans="3:9">
      <c r="C1538" s="23">
        <v>331</v>
      </c>
      <c r="D1538" s="23" t="s">
        <v>134</v>
      </c>
      <c r="E1538" s="23" t="str">
        <f>Withdrawals_Data!A332</f>
        <v>DA-001</v>
      </c>
      <c r="F1538" s="23" t="str">
        <f>Withdrawals_Data!B332</f>
        <v>DA-001-M0043</v>
      </c>
      <c r="G1538" s="24">
        <f>Withdrawals_Data!C332</f>
        <v>45511</v>
      </c>
      <c r="H1538" s="27">
        <v>0</v>
      </c>
      <c r="I1538" s="27">
        <f>-Withdrawals_Data!D332</f>
        <v>-1189.67</v>
      </c>
    </row>
    <row r="1539" spans="3:9">
      <c r="C1539" s="23">
        <v>332</v>
      </c>
      <c r="D1539" s="23" t="s">
        <v>134</v>
      </c>
      <c r="E1539" s="23" t="str">
        <f>Withdrawals_Data!A333</f>
        <v>DA-001</v>
      </c>
      <c r="F1539" s="23" t="str">
        <f>Withdrawals_Data!B333</f>
        <v>DA-001-M0092</v>
      </c>
      <c r="G1539" s="24">
        <f>Withdrawals_Data!C333</f>
        <v>45653</v>
      </c>
      <c r="H1539" s="27">
        <v>0</v>
      </c>
      <c r="I1539" s="27">
        <f>-Withdrawals_Data!D333</f>
        <v>-956.76</v>
      </c>
    </row>
    <row r="1540" spans="3:9">
      <c r="C1540" s="23">
        <v>333</v>
      </c>
      <c r="D1540" s="23" t="s">
        <v>134</v>
      </c>
      <c r="E1540" s="23" t="str">
        <f>Withdrawals_Data!A334</f>
        <v>DA-001</v>
      </c>
      <c r="F1540" s="23" t="str">
        <f>Withdrawals_Data!B334</f>
        <v>DA-001-M0009</v>
      </c>
      <c r="G1540" s="24">
        <f>Withdrawals_Data!C334</f>
        <v>45466</v>
      </c>
      <c r="H1540" s="27">
        <v>0</v>
      </c>
      <c r="I1540" s="27">
        <f>-Withdrawals_Data!D334</f>
        <v>-530.94000000000005</v>
      </c>
    </row>
    <row r="1541" spans="3:9">
      <c r="C1541" s="23">
        <v>334</v>
      </c>
      <c r="D1541" s="23" t="s">
        <v>134</v>
      </c>
      <c r="E1541" s="23" t="str">
        <f>Withdrawals_Data!A335</f>
        <v>DA-003</v>
      </c>
      <c r="F1541" s="23" t="str">
        <f>Withdrawals_Data!B335</f>
        <v>DA-003-M0032</v>
      </c>
      <c r="G1541" s="24">
        <f>Withdrawals_Data!C335</f>
        <v>45572</v>
      </c>
      <c r="H1541" s="27">
        <v>0</v>
      </c>
      <c r="I1541" s="27">
        <f>-Withdrawals_Data!D335</f>
        <v>-516.83000000000004</v>
      </c>
    </row>
    <row r="1542" spans="3:9">
      <c r="C1542" s="23">
        <v>335</v>
      </c>
      <c r="D1542" s="23" t="s">
        <v>134</v>
      </c>
      <c r="E1542" s="23" t="str">
        <f>Withdrawals_Data!A336</f>
        <v>DA-002</v>
      </c>
      <c r="F1542" s="23" t="str">
        <f>Withdrawals_Data!B336</f>
        <v>DA-002-M0067</v>
      </c>
      <c r="G1542" s="24">
        <f>Withdrawals_Data!C336</f>
        <v>45605</v>
      </c>
      <c r="H1542" s="27">
        <v>0</v>
      </c>
      <c r="I1542" s="27">
        <f>-Withdrawals_Data!D336</f>
        <v>-20222</v>
      </c>
    </row>
    <row r="1543" spans="3:9">
      <c r="C1543" s="23">
        <v>336</v>
      </c>
      <c r="D1543" s="23" t="s">
        <v>134</v>
      </c>
      <c r="E1543" s="23" t="str">
        <f>Withdrawals_Data!A337</f>
        <v>DA-003</v>
      </c>
      <c r="F1543" s="23" t="str">
        <f>Withdrawals_Data!B337</f>
        <v>DA-003-M0001</v>
      </c>
      <c r="G1543" s="24">
        <f>Withdrawals_Data!C337</f>
        <v>45571</v>
      </c>
      <c r="H1543" s="27">
        <v>0</v>
      </c>
      <c r="I1543" s="27">
        <f>-Withdrawals_Data!D337</f>
        <v>-4696</v>
      </c>
    </row>
    <row r="1544" spans="3:9">
      <c r="C1544" s="23">
        <v>337</v>
      </c>
      <c r="D1544" s="23" t="s">
        <v>134</v>
      </c>
      <c r="E1544" s="23" t="str">
        <f>Withdrawals_Data!A338</f>
        <v>DA-003</v>
      </c>
      <c r="F1544" s="23" t="str">
        <f>Withdrawals_Data!B338</f>
        <v>DA-003-M0001</v>
      </c>
      <c r="G1544" s="24">
        <f>Withdrawals_Data!C338</f>
        <v>45297</v>
      </c>
      <c r="H1544" s="27">
        <v>0</v>
      </c>
      <c r="I1544" s="27">
        <f>-Withdrawals_Data!D338</f>
        <v>-10162</v>
      </c>
    </row>
    <row r="1545" spans="3:9">
      <c r="C1545" s="23">
        <v>338</v>
      </c>
      <c r="D1545" s="23" t="s">
        <v>134</v>
      </c>
      <c r="E1545" s="23" t="str">
        <f>Withdrawals_Data!A339</f>
        <v>DA-003</v>
      </c>
      <c r="F1545" s="23" t="str">
        <f>Withdrawals_Data!B339</f>
        <v>DA-003-M0001</v>
      </c>
      <c r="G1545" s="24">
        <f>Withdrawals_Data!C339</f>
        <v>45584</v>
      </c>
      <c r="H1545" s="27">
        <v>0</v>
      </c>
      <c r="I1545" s="27">
        <f>-Withdrawals_Data!D339</f>
        <v>-1553</v>
      </c>
    </row>
    <row r="1546" spans="3:9">
      <c r="C1546" s="23">
        <v>339</v>
      </c>
      <c r="D1546" s="23" t="s">
        <v>134</v>
      </c>
      <c r="E1546" s="23" t="str">
        <f>Withdrawals_Data!A340</f>
        <v>DA-003</v>
      </c>
      <c r="F1546" s="23" t="str">
        <f>Withdrawals_Data!B340</f>
        <v>DA-003-M0001</v>
      </c>
      <c r="G1546" s="24">
        <f>Withdrawals_Data!C340</f>
        <v>45451</v>
      </c>
      <c r="H1546" s="27">
        <v>0</v>
      </c>
      <c r="I1546" s="27">
        <f>-Withdrawals_Data!D340</f>
        <v>-1692</v>
      </c>
    </row>
    <row r="1547" spans="3:9">
      <c r="C1547" s="23">
        <v>340</v>
      </c>
      <c r="D1547" s="23" t="s">
        <v>134</v>
      </c>
      <c r="E1547" s="23" t="str">
        <f>Withdrawals_Data!A341</f>
        <v>DA-003</v>
      </c>
      <c r="F1547" s="23" t="str">
        <f>Withdrawals_Data!B341</f>
        <v>DA-003-M0001</v>
      </c>
      <c r="G1547" s="24">
        <f>Withdrawals_Data!C341</f>
        <v>45462</v>
      </c>
      <c r="H1547" s="27">
        <v>0</v>
      </c>
      <c r="I1547" s="27">
        <f>-Withdrawals_Data!D341</f>
        <v>-4878</v>
      </c>
    </row>
    <row r="1548" spans="3:9">
      <c r="C1548" s="23">
        <v>341</v>
      </c>
      <c r="D1548" s="23" t="s">
        <v>134</v>
      </c>
      <c r="E1548" s="23" t="str">
        <f>Withdrawals_Data!A342</f>
        <v>DA-003</v>
      </c>
      <c r="F1548" s="23" t="str">
        <f>Withdrawals_Data!B342</f>
        <v>DA-003-M0001</v>
      </c>
      <c r="G1548" s="24">
        <f>Withdrawals_Data!C342</f>
        <v>45432</v>
      </c>
      <c r="H1548" s="27">
        <v>0</v>
      </c>
      <c r="I1548" s="27">
        <f>-Withdrawals_Data!D342</f>
        <v>-5691</v>
      </c>
    </row>
    <row r="1549" spans="3:9">
      <c r="C1549" s="23">
        <v>342</v>
      </c>
      <c r="D1549" s="23" t="s">
        <v>134</v>
      </c>
      <c r="E1549" s="23" t="str">
        <f>Withdrawals_Data!A343</f>
        <v>DA-003</v>
      </c>
      <c r="F1549" s="23" t="str">
        <f>Withdrawals_Data!B343</f>
        <v>DA-003-M0001</v>
      </c>
      <c r="G1549" s="24">
        <f>Withdrawals_Data!C343</f>
        <v>45340</v>
      </c>
      <c r="H1549" s="27">
        <v>0</v>
      </c>
      <c r="I1549" s="27">
        <f>-Withdrawals_Data!D343</f>
        <v>-8974</v>
      </c>
    </row>
    <row r="1550" spans="3:9">
      <c r="C1550" s="23">
        <v>343</v>
      </c>
      <c r="D1550" s="23" t="s">
        <v>134</v>
      </c>
      <c r="E1550" s="23" t="str">
        <f>Withdrawals_Data!A344</f>
        <v>DA-003</v>
      </c>
      <c r="F1550" s="23" t="str">
        <f>Withdrawals_Data!B344</f>
        <v>DA-003-M0001</v>
      </c>
      <c r="G1550" s="24">
        <f>Withdrawals_Data!C344</f>
        <v>45647</v>
      </c>
      <c r="H1550" s="27">
        <v>0</v>
      </c>
      <c r="I1550" s="27">
        <f>-Withdrawals_Data!D344</f>
        <v>-10529</v>
      </c>
    </row>
    <row r="1551" spans="3:9">
      <c r="C1551" s="23">
        <v>344</v>
      </c>
      <c r="D1551" s="23" t="s">
        <v>134</v>
      </c>
      <c r="E1551" s="23" t="str">
        <f>Withdrawals_Data!A345</f>
        <v>DA-001</v>
      </c>
      <c r="F1551" s="23" t="str">
        <f>Withdrawals_Data!B345</f>
        <v>DA-001-M0002</v>
      </c>
      <c r="G1551" s="24">
        <f>Withdrawals_Data!C345</f>
        <v>45488</v>
      </c>
      <c r="H1551" s="27">
        <v>0</v>
      </c>
      <c r="I1551" s="27">
        <f>-Withdrawals_Data!D345</f>
        <v>-21456</v>
      </c>
    </row>
    <row r="1552" spans="3:9">
      <c r="C1552" s="23">
        <v>345</v>
      </c>
      <c r="D1552" s="23" t="s">
        <v>134</v>
      </c>
      <c r="E1552" s="23" t="str">
        <f>Withdrawals_Data!A346</f>
        <v>DA-001</v>
      </c>
      <c r="F1552" s="23" t="str">
        <f>Withdrawals_Data!B346</f>
        <v>DA-001-M0002</v>
      </c>
      <c r="G1552" s="24">
        <f>Withdrawals_Data!C346</f>
        <v>45431</v>
      </c>
      <c r="H1552" s="27">
        <v>0</v>
      </c>
      <c r="I1552" s="27">
        <f>-Withdrawals_Data!D346</f>
        <v>-19552</v>
      </c>
    </row>
    <row r="1553" spans="3:9">
      <c r="C1553" s="23">
        <v>346</v>
      </c>
      <c r="D1553" s="23" t="s">
        <v>134</v>
      </c>
      <c r="E1553" s="23" t="str">
        <f>Withdrawals_Data!A347</f>
        <v>DA-001</v>
      </c>
      <c r="F1553" s="23" t="str">
        <f>Withdrawals_Data!B347</f>
        <v>DA-001-M0002</v>
      </c>
      <c r="G1553" s="24">
        <f>Withdrawals_Data!C347</f>
        <v>45450</v>
      </c>
      <c r="H1553" s="27">
        <v>0</v>
      </c>
      <c r="I1553" s="27">
        <f>-Withdrawals_Data!D347</f>
        <v>-14324</v>
      </c>
    </row>
    <row r="1554" spans="3:9">
      <c r="C1554" s="23">
        <v>347</v>
      </c>
      <c r="D1554" s="23" t="s">
        <v>134</v>
      </c>
      <c r="E1554" s="23" t="str">
        <f>Withdrawals_Data!A348</f>
        <v>DA-001</v>
      </c>
      <c r="F1554" s="23" t="str">
        <f>Withdrawals_Data!B348</f>
        <v>DA-001-M0002</v>
      </c>
      <c r="G1554" s="24">
        <f>Withdrawals_Data!C348</f>
        <v>45496</v>
      </c>
      <c r="H1554" s="27">
        <v>0</v>
      </c>
      <c r="I1554" s="27">
        <f>-Withdrawals_Data!D348</f>
        <v>-16187</v>
      </c>
    </row>
    <row r="1555" spans="3:9">
      <c r="C1555" s="23">
        <v>348</v>
      </c>
      <c r="D1555" s="23" t="s">
        <v>134</v>
      </c>
      <c r="E1555" s="23" t="str">
        <f>Withdrawals_Data!A349</f>
        <v>DA-001</v>
      </c>
      <c r="F1555" s="23" t="str">
        <f>Withdrawals_Data!B349</f>
        <v>DA-001-M0002</v>
      </c>
      <c r="G1555" s="24">
        <f>Withdrawals_Data!C349</f>
        <v>45560</v>
      </c>
      <c r="H1555" s="27">
        <v>0</v>
      </c>
      <c r="I1555" s="27">
        <f>-Withdrawals_Data!D349</f>
        <v>-9239</v>
      </c>
    </row>
    <row r="1556" spans="3:9">
      <c r="C1556" s="23">
        <v>349</v>
      </c>
      <c r="D1556" s="23" t="s">
        <v>134</v>
      </c>
      <c r="E1556" s="23" t="str">
        <f>Withdrawals_Data!A350</f>
        <v>DA-001</v>
      </c>
      <c r="F1556" s="23" t="str">
        <f>Withdrawals_Data!B350</f>
        <v>DA-001-M0002</v>
      </c>
      <c r="G1556" s="24">
        <f>Withdrawals_Data!C350</f>
        <v>45354</v>
      </c>
      <c r="H1556" s="27">
        <v>0</v>
      </c>
      <c r="I1556" s="27">
        <f>-Withdrawals_Data!D350</f>
        <v>-13490</v>
      </c>
    </row>
    <row r="1557" spans="3:9">
      <c r="C1557" s="23">
        <v>350</v>
      </c>
      <c r="D1557" s="23" t="s">
        <v>134</v>
      </c>
      <c r="E1557" s="23" t="str">
        <f>Withdrawals_Data!A351</f>
        <v>DA-001</v>
      </c>
      <c r="F1557" s="23" t="str">
        <f>Withdrawals_Data!B351</f>
        <v>DA-001-M0002</v>
      </c>
      <c r="G1557" s="24">
        <f>Withdrawals_Data!C351</f>
        <v>45502</v>
      </c>
      <c r="H1557" s="27">
        <v>0</v>
      </c>
      <c r="I1557" s="27">
        <f>-Withdrawals_Data!D351</f>
        <v>-12529</v>
      </c>
    </row>
    <row r="1558" spans="3:9">
      <c r="C1558" s="23">
        <v>351</v>
      </c>
      <c r="D1558" s="23" t="s">
        <v>134</v>
      </c>
      <c r="E1558" s="23" t="str">
        <f>Withdrawals_Data!A352</f>
        <v>DA-001</v>
      </c>
      <c r="F1558" s="23" t="str">
        <f>Withdrawals_Data!B352</f>
        <v>DA-001-M0002</v>
      </c>
      <c r="G1558" s="24">
        <f>Withdrawals_Data!C352</f>
        <v>45643</v>
      </c>
      <c r="H1558" s="27">
        <v>0</v>
      </c>
      <c r="I1558" s="27">
        <f>-Withdrawals_Data!D352</f>
        <v>-10607</v>
      </c>
    </row>
    <row r="1559" spans="3:9">
      <c r="C1559" s="23">
        <v>352</v>
      </c>
      <c r="D1559" s="23" t="s">
        <v>134</v>
      </c>
      <c r="E1559" s="23" t="str">
        <f>Withdrawals_Data!A353</f>
        <v>DA-001</v>
      </c>
      <c r="F1559" s="23" t="str">
        <f>Withdrawals_Data!B353</f>
        <v>DA-001-M0002</v>
      </c>
      <c r="G1559" s="24">
        <f>Withdrawals_Data!C353</f>
        <v>45624</v>
      </c>
      <c r="H1559" s="27">
        <v>0</v>
      </c>
      <c r="I1559" s="27">
        <f>-Withdrawals_Data!D353</f>
        <v>-10870</v>
      </c>
    </row>
    <row r="1560" spans="3:9">
      <c r="C1560" s="23">
        <v>353</v>
      </c>
      <c r="D1560" s="23" t="s">
        <v>134</v>
      </c>
      <c r="E1560" s="23" t="str">
        <f>Withdrawals_Data!A354</f>
        <v>DA-001</v>
      </c>
      <c r="F1560" s="23" t="str">
        <f>Withdrawals_Data!B354</f>
        <v>DA-001-M0002</v>
      </c>
      <c r="G1560" s="24">
        <f>Withdrawals_Data!C354</f>
        <v>45374</v>
      </c>
      <c r="H1560" s="27">
        <v>0</v>
      </c>
      <c r="I1560" s="27">
        <f>-Withdrawals_Data!D354</f>
        <v>-2311</v>
      </c>
    </row>
    <row r="1561" spans="3:9">
      <c r="C1561" s="23">
        <v>354</v>
      </c>
      <c r="D1561" s="23" t="s">
        <v>134</v>
      </c>
      <c r="E1561" s="23" t="str">
        <f>Withdrawals_Data!A355</f>
        <v>DA-001</v>
      </c>
      <c r="F1561" s="23" t="str">
        <f>Withdrawals_Data!B355</f>
        <v>DA-001-M0002</v>
      </c>
      <c r="G1561" s="24">
        <f>Withdrawals_Data!C355</f>
        <v>45417</v>
      </c>
      <c r="H1561" s="27">
        <v>0</v>
      </c>
      <c r="I1561" s="27">
        <f>-Withdrawals_Data!D355</f>
        <v>-8283</v>
      </c>
    </row>
    <row r="1562" spans="3:9">
      <c r="C1562" s="23">
        <v>355</v>
      </c>
      <c r="D1562" s="23" t="s">
        <v>134</v>
      </c>
      <c r="E1562" s="23" t="str">
        <f>Withdrawals_Data!A356</f>
        <v>DA-002</v>
      </c>
      <c r="F1562" s="23" t="str">
        <f>Withdrawals_Data!B356</f>
        <v>DA-002-M0003</v>
      </c>
      <c r="G1562" s="24">
        <f>Withdrawals_Data!C356</f>
        <v>45618</v>
      </c>
      <c r="H1562" s="27">
        <v>0</v>
      </c>
      <c r="I1562" s="27">
        <f>-Withdrawals_Data!D356</f>
        <v>-6325</v>
      </c>
    </row>
    <row r="1563" spans="3:9">
      <c r="C1563" s="23">
        <v>356</v>
      </c>
      <c r="D1563" s="23" t="s">
        <v>134</v>
      </c>
      <c r="E1563" s="23" t="str">
        <f>Withdrawals_Data!A357</f>
        <v>DA-002</v>
      </c>
      <c r="F1563" s="23" t="str">
        <f>Withdrawals_Data!B357</f>
        <v>DA-002-M0003</v>
      </c>
      <c r="G1563" s="24">
        <f>Withdrawals_Data!C357</f>
        <v>45338</v>
      </c>
      <c r="H1563" s="27">
        <v>0</v>
      </c>
      <c r="I1563" s="27">
        <f>-Withdrawals_Data!D357</f>
        <v>-21517</v>
      </c>
    </row>
    <row r="1564" spans="3:9">
      <c r="C1564" s="23">
        <v>357</v>
      </c>
      <c r="D1564" s="23" t="s">
        <v>134</v>
      </c>
      <c r="E1564" s="23" t="str">
        <f>Withdrawals_Data!A358</f>
        <v>DA-002</v>
      </c>
      <c r="F1564" s="23" t="str">
        <f>Withdrawals_Data!B358</f>
        <v>DA-002-M0003</v>
      </c>
      <c r="G1564" s="24">
        <f>Withdrawals_Data!C358</f>
        <v>45583</v>
      </c>
      <c r="H1564" s="27">
        <v>0</v>
      </c>
      <c r="I1564" s="27">
        <f>-Withdrawals_Data!D358</f>
        <v>-7126</v>
      </c>
    </row>
    <row r="1565" spans="3:9">
      <c r="C1565" s="23">
        <v>358</v>
      </c>
      <c r="D1565" s="23" t="s">
        <v>134</v>
      </c>
      <c r="E1565" s="23" t="str">
        <f>Withdrawals_Data!A359</f>
        <v>DA-002</v>
      </c>
      <c r="F1565" s="23" t="str">
        <f>Withdrawals_Data!B359</f>
        <v>DA-002-M0003</v>
      </c>
      <c r="G1565" s="24">
        <f>Withdrawals_Data!C359</f>
        <v>45388</v>
      </c>
      <c r="H1565" s="27">
        <v>0</v>
      </c>
      <c r="I1565" s="27">
        <f>-Withdrawals_Data!D359</f>
        <v>-10245</v>
      </c>
    </row>
    <row r="1566" spans="3:9">
      <c r="C1566" s="23">
        <v>359</v>
      </c>
      <c r="D1566" s="23" t="s">
        <v>134</v>
      </c>
      <c r="E1566" s="23" t="str">
        <f>Withdrawals_Data!A360</f>
        <v>DA-002</v>
      </c>
      <c r="F1566" s="23" t="str">
        <f>Withdrawals_Data!B360</f>
        <v>DA-002-M0003</v>
      </c>
      <c r="G1566" s="24">
        <f>Withdrawals_Data!C360</f>
        <v>45309</v>
      </c>
      <c r="H1566" s="27">
        <v>0</v>
      </c>
      <c r="I1566" s="27">
        <f>-Withdrawals_Data!D360</f>
        <v>-15245</v>
      </c>
    </row>
    <row r="1567" spans="3:9">
      <c r="C1567" s="23">
        <v>360</v>
      </c>
      <c r="D1567" s="23" t="s">
        <v>134</v>
      </c>
      <c r="E1567" s="23" t="str">
        <f>Withdrawals_Data!A361</f>
        <v>DA-002</v>
      </c>
      <c r="F1567" s="23" t="str">
        <f>Withdrawals_Data!B361</f>
        <v>DA-002-M0003</v>
      </c>
      <c r="G1567" s="24">
        <f>Withdrawals_Data!C361</f>
        <v>45307</v>
      </c>
      <c r="H1567" s="27">
        <v>0</v>
      </c>
      <c r="I1567" s="27">
        <f>-Withdrawals_Data!D361</f>
        <v>-1879</v>
      </c>
    </row>
    <row r="1568" spans="3:9">
      <c r="C1568" s="23">
        <v>361</v>
      </c>
      <c r="D1568" s="23" t="s">
        <v>134</v>
      </c>
      <c r="E1568" s="23" t="str">
        <f>Withdrawals_Data!A362</f>
        <v>DA-001</v>
      </c>
      <c r="F1568" s="23" t="str">
        <f>Withdrawals_Data!B362</f>
        <v>DA-001-M0004</v>
      </c>
      <c r="G1568" s="24">
        <f>Withdrawals_Data!C362</f>
        <v>45308</v>
      </c>
      <c r="H1568" s="27">
        <v>0</v>
      </c>
      <c r="I1568" s="27">
        <f>-Withdrawals_Data!D362</f>
        <v>-13181</v>
      </c>
    </row>
    <row r="1569" spans="3:9">
      <c r="C1569" s="23">
        <v>362</v>
      </c>
      <c r="D1569" s="23" t="s">
        <v>134</v>
      </c>
      <c r="E1569" s="23" t="str">
        <f>Withdrawals_Data!A363</f>
        <v>DA-001</v>
      </c>
      <c r="F1569" s="23" t="str">
        <f>Withdrawals_Data!B363</f>
        <v>DA-001-M0004</v>
      </c>
      <c r="G1569" s="24">
        <f>Withdrawals_Data!C363</f>
        <v>45622</v>
      </c>
      <c r="H1569" s="27">
        <v>0</v>
      </c>
      <c r="I1569" s="27">
        <f>-Withdrawals_Data!D363</f>
        <v>-6210</v>
      </c>
    </row>
    <row r="1570" spans="3:9">
      <c r="C1570" s="23">
        <v>363</v>
      </c>
      <c r="D1570" s="23" t="s">
        <v>134</v>
      </c>
      <c r="E1570" s="23" t="str">
        <f>Withdrawals_Data!A364</f>
        <v>DA-001</v>
      </c>
      <c r="F1570" s="23" t="str">
        <f>Withdrawals_Data!B364</f>
        <v>DA-001-M0004</v>
      </c>
      <c r="G1570" s="24">
        <f>Withdrawals_Data!C364</f>
        <v>45331</v>
      </c>
      <c r="H1570" s="27">
        <v>0</v>
      </c>
      <c r="I1570" s="27">
        <f>-Withdrawals_Data!D364</f>
        <v>-4259</v>
      </c>
    </row>
    <row r="1571" spans="3:9">
      <c r="C1571" s="23">
        <v>364</v>
      </c>
      <c r="D1571" s="23" t="s">
        <v>134</v>
      </c>
      <c r="E1571" s="23" t="str">
        <f>Withdrawals_Data!A365</f>
        <v>DA-001</v>
      </c>
      <c r="F1571" s="23" t="str">
        <f>Withdrawals_Data!B365</f>
        <v>DA-001-M0004</v>
      </c>
      <c r="G1571" s="24">
        <f>Withdrawals_Data!C365</f>
        <v>45323</v>
      </c>
      <c r="H1571" s="27">
        <v>0</v>
      </c>
      <c r="I1571" s="27">
        <f>-Withdrawals_Data!D365</f>
        <v>-12669</v>
      </c>
    </row>
    <row r="1572" spans="3:9">
      <c r="C1572" s="23">
        <v>365</v>
      </c>
      <c r="D1572" s="23" t="s">
        <v>134</v>
      </c>
      <c r="E1572" s="23" t="str">
        <f>Withdrawals_Data!A366</f>
        <v>DA-001</v>
      </c>
      <c r="F1572" s="23" t="str">
        <f>Withdrawals_Data!B366</f>
        <v>DA-001-M0004</v>
      </c>
      <c r="G1572" s="24">
        <f>Withdrawals_Data!C366</f>
        <v>45377</v>
      </c>
      <c r="H1572" s="27">
        <v>0</v>
      </c>
      <c r="I1572" s="27">
        <f>-Withdrawals_Data!D366</f>
        <v>-2141</v>
      </c>
    </row>
    <row r="1573" spans="3:9">
      <c r="C1573" s="23">
        <v>366</v>
      </c>
      <c r="D1573" s="23" t="s">
        <v>134</v>
      </c>
      <c r="E1573" s="23" t="str">
        <f>Withdrawals_Data!A367</f>
        <v>DA-001</v>
      </c>
      <c r="F1573" s="23" t="str">
        <f>Withdrawals_Data!B367</f>
        <v>DA-001-M0004</v>
      </c>
      <c r="G1573" s="24">
        <f>Withdrawals_Data!C367</f>
        <v>45448</v>
      </c>
      <c r="H1573" s="27">
        <v>0</v>
      </c>
      <c r="I1573" s="27">
        <f>-Withdrawals_Data!D367</f>
        <v>-3620</v>
      </c>
    </row>
    <row r="1574" spans="3:9">
      <c r="C1574" s="23">
        <v>367</v>
      </c>
      <c r="D1574" s="23" t="s">
        <v>134</v>
      </c>
      <c r="E1574" s="23" t="str">
        <f>Withdrawals_Data!A368</f>
        <v>DA-001</v>
      </c>
      <c r="F1574" s="23" t="str">
        <f>Withdrawals_Data!B368</f>
        <v>DA-001-M0004</v>
      </c>
      <c r="G1574" s="24">
        <f>Withdrawals_Data!C368</f>
        <v>45369</v>
      </c>
      <c r="H1574" s="27">
        <v>0</v>
      </c>
      <c r="I1574" s="27">
        <f>-Withdrawals_Data!D368</f>
        <v>-19177</v>
      </c>
    </row>
    <row r="1575" spans="3:9">
      <c r="C1575" s="23">
        <v>368</v>
      </c>
      <c r="D1575" s="23" t="s">
        <v>134</v>
      </c>
      <c r="E1575" s="23" t="str">
        <f>Withdrawals_Data!A369</f>
        <v>DA-001</v>
      </c>
      <c r="F1575" s="23" t="str">
        <f>Withdrawals_Data!B369</f>
        <v>DA-001-M0004</v>
      </c>
      <c r="G1575" s="24">
        <f>Withdrawals_Data!C369</f>
        <v>45501</v>
      </c>
      <c r="H1575" s="27">
        <v>0</v>
      </c>
      <c r="I1575" s="27">
        <f>-Withdrawals_Data!D369</f>
        <v>-9021</v>
      </c>
    </row>
    <row r="1576" spans="3:9">
      <c r="C1576" s="23">
        <v>369</v>
      </c>
      <c r="D1576" s="23" t="s">
        <v>134</v>
      </c>
      <c r="E1576" s="23" t="str">
        <f>Withdrawals_Data!A370</f>
        <v>DA-003</v>
      </c>
      <c r="F1576" s="23" t="str">
        <f>Withdrawals_Data!B370</f>
        <v>DA-003-M0005</v>
      </c>
      <c r="G1576" s="24">
        <f>Withdrawals_Data!C370</f>
        <v>45553</v>
      </c>
      <c r="H1576" s="27">
        <v>0</v>
      </c>
      <c r="I1576" s="27">
        <f>-Withdrawals_Data!D370</f>
        <v>-21509</v>
      </c>
    </row>
    <row r="1577" spans="3:9">
      <c r="C1577" s="23">
        <v>370</v>
      </c>
      <c r="D1577" s="23" t="s">
        <v>134</v>
      </c>
      <c r="E1577" s="23" t="str">
        <f>Withdrawals_Data!A371</f>
        <v>DA-003</v>
      </c>
      <c r="F1577" s="23" t="str">
        <f>Withdrawals_Data!B371</f>
        <v>DA-003-M0005</v>
      </c>
      <c r="G1577" s="24">
        <f>Withdrawals_Data!C371</f>
        <v>45655</v>
      </c>
      <c r="H1577" s="27">
        <v>0</v>
      </c>
      <c r="I1577" s="27">
        <f>-Withdrawals_Data!D371</f>
        <v>-19397</v>
      </c>
    </row>
    <row r="1578" spans="3:9">
      <c r="C1578" s="23">
        <v>371</v>
      </c>
      <c r="D1578" s="23" t="s">
        <v>134</v>
      </c>
      <c r="E1578" s="23" t="str">
        <f>Withdrawals_Data!A372</f>
        <v>DA-003</v>
      </c>
      <c r="F1578" s="23" t="str">
        <f>Withdrawals_Data!B372</f>
        <v>DA-003-M0005</v>
      </c>
      <c r="G1578" s="24">
        <f>Withdrawals_Data!C372</f>
        <v>45324</v>
      </c>
      <c r="H1578" s="27">
        <v>0</v>
      </c>
      <c r="I1578" s="27">
        <f>-Withdrawals_Data!D372</f>
        <v>-5612</v>
      </c>
    </row>
    <row r="1579" spans="3:9">
      <c r="C1579" s="23">
        <v>372</v>
      </c>
      <c r="D1579" s="23" t="s">
        <v>134</v>
      </c>
      <c r="E1579" s="23" t="str">
        <f>Withdrawals_Data!A373</f>
        <v>DA-003</v>
      </c>
      <c r="F1579" s="23" t="str">
        <f>Withdrawals_Data!B373</f>
        <v>DA-003-M0005</v>
      </c>
      <c r="G1579" s="24">
        <f>Withdrawals_Data!C373</f>
        <v>45449</v>
      </c>
      <c r="H1579" s="27">
        <v>0</v>
      </c>
      <c r="I1579" s="27">
        <f>-Withdrawals_Data!D373</f>
        <v>-9432</v>
      </c>
    </row>
    <row r="1580" spans="3:9">
      <c r="C1580" s="23">
        <v>373</v>
      </c>
      <c r="D1580" s="23" t="s">
        <v>134</v>
      </c>
      <c r="E1580" s="23" t="str">
        <f>Withdrawals_Data!A374</f>
        <v>DA-003</v>
      </c>
      <c r="F1580" s="23" t="str">
        <f>Withdrawals_Data!B374</f>
        <v>DA-003-M0005</v>
      </c>
      <c r="G1580" s="24">
        <f>Withdrawals_Data!C374</f>
        <v>45367</v>
      </c>
      <c r="H1580" s="27">
        <v>0</v>
      </c>
      <c r="I1580" s="27">
        <f>-Withdrawals_Data!D374</f>
        <v>-9761</v>
      </c>
    </row>
    <row r="1581" spans="3:9">
      <c r="C1581" s="23">
        <v>374</v>
      </c>
      <c r="D1581" s="23" t="s">
        <v>134</v>
      </c>
      <c r="E1581" s="23" t="str">
        <f>Withdrawals_Data!A375</f>
        <v>DA-003</v>
      </c>
      <c r="F1581" s="23" t="str">
        <f>Withdrawals_Data!B375</f>
        <v>DA-003-M0005</v>
      </c>
      <c r="G1581" s="24">
        <f>Withdrawals_Data!C375</f>
        <v>45531</v>
      </c>
      <c r="H1581" s="27">
        <v>0</v>
      </c>
      <c r="I1581" s="27">
        <f>-Withdrawals_Data!D375</f>
        <v>-18537</v>
      </c>
    </row>
    <row r="1582" spans="3:9">
      <c r="C1582" s="23">
        <v>375</v>
      </c>
      <c r="D1582" s="23" t="s">
        <v>134</v>
      </c>
      <c r="E1582" s="23" t="str">
        <f>Withdrawals_Data!A376</f>
        <v>DA-003</v>
      </c>
      <c r="F1582" s="23" t="str">
        <f>Withdrawals_Data!B376</f>
        <v>DA-003-M0006</v>
      </c>
      <c r="G1582" s="24">
        <f>Withdrawals_Data!C376</f>
        <v>45365</v>
      </c>
      <c r="H1582" s="27">
        <v>0</v>
      </c>
      <c r="I1582" s="27">
        <f>-Withdrawals_Data!D376</f>
        <v>-7086</v>
      </c>
    </row>
    <row r="1583" spans="3:9">
      <c r="C1583" s="23">
        <v>376</v>
      </c>
      <c r="D1583" s="23" t="s">
        <v>134</v>
      </c>
      <c r="E1583" s="23" t="str">
        <f>Withdrawals_Data!A377</f>
        <v>DA-003</v>
      </c>
      <c r="F1583" s="23" t="str">
        <f>Withdrawals_Data!B377</f>
        <v>DA-003-M0006</v>
      </c>
      <c r="G1583" s="24">
        <f>Withdrawals_Data!C377</f>
        <v>45451</v>
      </c>
      <c r="H1583" s="27">
        <v>0</v>
      </c>
      <c r="I1583" s="27">
        <f>-Withdrawals_Data!D377</f>
        <v>-21480</v>
      </c>
    </row>
    <row r="1584" spans="3:9">
      <c r="C1584" s="23">
        <v>377</v>
      </c>
      <c r="D1584" s="23" t="s">
        <v>134</v>
      </c>
      <c r="E1584" s="23" t="str">
        <f>Withdrawals_Data!A378</f>
        <v>DA-003</v>
      </c>
      <c r="F1584" s="23" t="str">
        <f>Withdrawals_Data!B378</f>
        <v>DA-003-M0006</v>
      </c>
      <c r="G1584" s="24">
        <f>Withdrawals_Data!C378</f>
        <v>45596</v>
      </c>
      <c r="H1584" s="27">
        <v>0</v>
      </c>
      <c r="I1584" s="27">
        <f>-Withdrawals_Data!D378</f>
        <v>-20552</v>
      </c>
    </row>
    <row r="1585" spans="3:9">
      <c r="C1585" s="23">
        <v>378</v>
      </c>
      <c r="D1585" s="23" t="s">
        <v>134</v>
      </c>
      <c r="E1585" s="23" t="str">
        <f>Withdrawals_Data!A379</f>
        <v>DA-003</v>
      </c>
      <c r="F1585" s="23" t="str">
        <f>Withdrawals_Data!B379</f>
        <v>DA-003-M0006</v>
      </c>
      <c r="G1585" s="24">
        <f>Withdrawals_Data!C379</f>
        <v>45618</v>
      </c>
      <c r="H1585" s="27">
        <v>0</v>
      </c>
      <c r="I1585" s="27">
        <f>-Withdrawals_Data!D379</f>
        <v>-13477</v>
      </c>
    </row>
    <row r="1586" spans="3:9">
      <c r="C1586" s="23">
        <v>379</v>
      </c>
      <c r="D1586" s="23" t="s">
        <v>134</v>
      </c>
      <c r="E1586" s="23" t="str">
        <f>Withdrawals_Data!A380</f>
        <v>DA-003</v>
      </c>
      <c r="F1586" s="23" t="str">
        <f>Withdrawals_Data!B380</f>
        <v>DA-003-M0006</v>
      </c>
      <c r="G1586" s="24">
        <f>Withdrawals_Data!C380</f>
        <v>45444</v>
      </c>
      <c r="H1586" s="27">
        <v>0</v>
      </c>
      <c r="I1586" s="27">
        <f>-Withdrawals_Data!D380</f>
        <v>-1374</v>
      </c>
    </row>
    <row r="1587" spans="3:9">
      <c r="C1587" s="23">
        <v>380</v>
      </c>
      <c r="D1587" s="23" t="s">
        <v>134</v>
      </c>
      <c r="E1587" s="23" t="str">
        <f>Withdrawals_Data!A381</f>
        <v>DA-003</v>
      </c>
      <c r="F1587" s="23" t="str">
        <f>Withdrawals_Data!B381</f>
        <v>DA-003-M0006</v>
      </c>
      <c r="G1587" s="24">
        <f>Withdrawals_Data!C381</f>
        <v>45575</v>
      </c>
      <c r="H1587" s="27">
        <v>0</v>
      </c>
      <c r="I1587" s="27">
        <f>-Withdrawals_Data!D381</f>
        <v>-2440</v>
      </c>
    </row>
    <row r="1588" spans="3:9">
      <c r="C1588" s="23">
        <v>381</v>
      </c>
      <c r="D1588" s="23" t="s">
        <v>134</v>
      </c>
      <c r="E1588" s="23" t="str">
        <f>Withdrawals_Data!A382</f>
        <v>DA-003</v>
      </c>
      <c r="F1588" s="23" t="str">
        <f>Withdrawals_Data!B382</f>
        <v>DA-003-M0006</v>
      </c>
      <c r="G1588" s="24">
        <f>Withdrawals_Data!C382</f>
        <v>45345</v>
      </c>
      <c r="H1588" s="27">
        <v>0</v>
      </c>
      <c r="I1588" s="27">
        <f>-Withdrawals_Data!D382</f>
        <v>-7951</v>
      </c>
    </row>
    <row r="1589" spans="3:9">
      <c r="C1589" s="23">
        <v>382</v>
      </c>
      <c r="D1589" s="23" t="s">
        <v>134</v>
      </c>
      <c r="E1589" s="23" t="str">
        <f>Withdrawals_Data!A383</f>
        <v>DA-003</v>
      </c>
      <c r="F1589" s="23" t="str">
        <f>Withdrawals_Data!B383</f>
        <v>DA-003-M0006</v>
      </c>
      <c r="G1589" s="24">
        <f>Withdrawals_Data!C383</f>
        <v>45311</v>
      </c>
      <c r="H1589" s="27">
        <v>0</v>
      </c>
      <c r="I1589" s="27">
        <f>-Withdrawals_Data!D383</f>
        <v>-2110</v>
      </c>
    </row>
    <row r="1590" spans="3:9">
      <c r="C1590" s="23">
        <v>383</v>
      </c>
      <c r="D1590" s="23" t="s">
        <v>134</v>
      </c>
      <c r="E1590" s="23" t="str">
        <f>Withdrawals_Data!A384</f>
        <v>DA-003</v>
      </c>
      <c r="F1590" s="23" t="str">
        <f>Withdrawals_Data!B384</f>
        <v>DA-003-M0007</v>
      </c>
      <c r="G1590" s="24">
        <f>Withdrawals_Data!C384</f>
        <v>45582</v>
      </c>
      <c r="H1590" s="27">
        <v>0</v>
      </c>
      <c r="I1590" s="27">
        <f>-Withdrawals_Data!D384</f>
        <v>-16620</v>
      </c>
    </row>
    <row r="1591" spans="3:9">
      <c r="C1591" s="23">
        <v>384</v>
      </c>
      <c r="D1591" s="23" t="s">
        <v>134</v>
      </c>
      <c r="E1591" s="23" t="str">
        <f>Withdrawals_Data!A385</f>
        <v>DA-003</v>
      </c>
      <c r="F1591" s="23" t="str">
        <f>Withdrawals_Data!B385</f>
        <v>DA-003-M0007</v>
      </c>
      <c r="G1591" s="24">
        <f>Withdrawals_Data!C385</f>
        <v>45635</v>
      </c>
      <c r="H1591" s="27">
        <v>0</v>
      </c>
      <c r="I1591" s="27">
        <f>-Withdrawals_Data!D385</f>
        <v>-16516</v>
      </c>
    </row>
    <row r="1592" spans="3:9">
      <c r="C1592" s="23">
        <v>385</v>
      </c>
      <c r="D1592" s="23" t="s">
        <v>134</v>
      </c>
      <c r="E1592" s="23" t="str">
        <f>Withdrawals_Data!A386</f>
        <v>DA-003</v>
      </c>
      <c r="F1592" s="23" t="str">
        <f>Withdrawals_Data!B386</f>
        <v>DA-003-M0007</v>
      </c>
      <c r="G1592" s="24">
        <f>Withdrawals_Data!C386</f>
        <v>45382</v>
      </c>
      <c r="H1592" s="27">
        <v>0</v>
      </c>
      <c r="I1592" s="27">
        <f>-Withdrawals_Data!D386</f>
        <v>-11026</v>
      </c>
    </row>
    <row r="1593" spans="3:9">
      <c r="C1593" s="23">
        <v>386</v>
      </c>
      <c r="D1593" s="23" t="s">
        <v>134</v>
      </c>
      <c r="E1593" s="23" t="str">
        <f>Withdrawals_Data!A387</f>
        <v>DA-003</v>
      </c>
      <c r="F1593" s="23" t="str">
        <f>Withdrawals_Data!B387</f>
        <v>DA-003-M0007</v>
      </c>
      <c r="G1593" s="24">
        <f>Withdrawals_Data!C387</f>
        <v>45353</v>
      </c>
      <c r="H1593" s="27">
        <v>0</v>
      </c>
      <c r="I1593" s="27">
        <f>-Withdrawals_Data!D387</f>
        <v>-18166</v>
      </c>
    </row>
    <row r="1594" spans="3:9">
      <c r="C1594" s="23">
        <v>387</v>
      </c>
      <c r="D1594" s="23" t="s">
        <v>134</v>
      </c>
      <c r="E1594" s="23" t="str">
        <f>Withdrawals_Data!A388</f>
        <v>DA-003</v>
      </c>
      <c r="F1594" s="23" t="str">
        <f>Withdrawals_Data!B388</f>
        <v>DA-003-M0007</v>
      </c>
      <c r="G1594" s="24">
        <f>Withdrawals_Data!C388</f>
        <v>45387</v>
      </c>
      <c r="H1594" s="27">
        <v>0</v>
      </c>
      <c r="I1594" s="27">
        <f>-Withdrawals_Data!D388</f>
        <v>-13916</v>
      </c>
    </row>
    <row r="1595" spans="3:9">
      <c r="C1595" s="23">
        <v>388</v>
      </c>
      <c r="D1595" s="23" t="s">
        <v>134</v>
      </c>
      <c r="E1595" s="23" t="str">
        <f>Withdrawals_Data!A389</f>
        <v>DA-003</v>
      </c>
      <c r="F1595" s="23" t="str">
        <f>Withdrawals_Data!B389</f>
        <v>DA-003-M0007</v>
      </c>
      <c r="G1595" s="24">
        <f>Withdrawals_Data!C389</f>
        <v>45402</v>
      </c>
      <c r="H1595" s="27">
        <v>0</v>
      </c>
      <c r="I1595" s="27">
        <f>-Withdrawals_Data!D389</f>
        <v>-11335</v>
      </c>
    </row>
    <row r="1596" spans="3:9">
      <c r="C1596" s="23">
        <v>389</v>
      </c>
      <c r="D1596" s="23" t="s">
        <v>134</v>
      </c>
      <c r="E1596" s="23" t="str">
        <f>Withdrawals_Data!A390</f>
        <v>DA-003</v>
      </c>
      <c r="F1596" s="23" t="str">
        <f>Withdrawals_Data!B390</f>
        <v>DA-003-M0007</v>
      </c>
      <c r="G1596" s="24">
        <f>Withdrawals_Data!C390</f>
        <v>45530</v>
      </c>
      <c r="H1596" s="27">
        <v>0</v>
      </c>
      <c r="I1596" s="27">
        <f>-Withdrawals_Data!D390</f>
        <v>-19002</v>
      </c>
    </row>
    <row r="1597" spans="3:9">
      <c r="C1597" s="23">
        <v>390</v>
      </c>
      <c r="D1597" s="23" t="s">
        <v>134</v>
      </c>
      <c r="E1597" s="23" t="str">
        <f>Withdrawals_Data!A391</f>
        <v>DA-003</v>
      </c>
      <c r="F1597" s="23" t="str">
        <f>Withdrawals_Data!B391</f>
        <v>DA-003-M0007</v>
      </c>
      <c r="G1597" s="24">
        <f>Withdrawals_Data!C391</f>
        <v>45504</v>
      </c>
      <c r="H1597" s="27">
        <v>0</v>
      </c>
      <c r="I1597" s="27">
        <f>-Withdrawals_Data!D391</f>
        <v>-16243</v>
      </c>
    </row>
    <row r="1598" spans="3:9">
      <c r="C1598" s="23">
        <v>391</v>
      </c>
      <c r="D1598" s="23" t="s">
        <v>134</v>
      </c>
      <c r="E1598" s="23" t="str">
        <f>Withdrawals_Data!A392</f>
        <v>DA-003</v>
      </c>
      <c r="F1598" s="23" t="str">
        <f>Withdrawals_Data!B392</f>
        <v>DA-003-M0008</v>
      </c>
      <c r="G1598" s="24">
        <f>Withdrawals_Data!C392</f>
        <v>45532</v>
      </c>
      <c r="H1598" s="27">
        <v>0</v>
      </c>
      <c r="I1598" s="27">
        <f>-Withdrawals_Data!D392</f>
        <v>-16922</v>
      </c>
    </row>
    <row r="1599" spans="3:9">
      <c r="C1599" s="23">
        <v>392</v>
      </c>
      <c r="D1599" s="23" t="s">
        <v>134</v>
      </c>
      <c r="E1599" s="23" t="str">
        <f>Withdrawals_Data!A393</f>
        <v>DA-003</v>
      </c>
      <c r="F1599" s="23" t="str">
        <f>Withdrawals_Data!B393</f>
        <v>DA-003-M0008</v>
      </c>
      <c r="G1599" s="24">
        <f>Withdrawals_Data!C393</f>
        <v>45607</v>
      </c>
      <c r="H1599" s="27">
        <v>0</v>
      </c>
      <c r="I1599" s="27">
        <f>-Withdrawals_Data!D393</f>
        <v>-4027</v>
      </c>
    </row>
    <row r="1600" spans="3:9">
      <c r="C1600" s="23">
        <v>393</v>
      </c>
      <c r="D1600" s="23" t="s">
        <v>134</v>
      </c>
      <c r="E1600" s="23" t="str">
        <f>Withdrawals_Data!A394</f>
        <v>DA-003</v>
      </c>
      <c r="F1600" s="23" t="str">
        <f>Withdrawals_Data!B394</f>
        <v>DA-003-M0008</v>
      </c>
      <c r="G1600" s="24">
        <f>Withdrawals_Data!C394</f>
        <v>45536</v>
      </c>
      <c r="H1600" s="27">
        <v>0</v>
      </c>
      <c r="I1600" s="27">
        <f>-Withdrawals_Data!D394</f>
        <v>-17274</v>
      </c>
    </row>
    <row r="1601" spans="3:9">
      <c r="C1601" s="23">
        <v>394</v>
      </c>
      <c r="D1601" s="23" t="s">
        <v>134</v>
      </c>
      <c r="E1601" s="23" t="str">
        <f>Withdrawals_Data!A395</f>
        <v>DA-003</v>
      </c>
      <c r="F1601" s="23" t="str">
        <f>Withdrawals_Data!B395</f>
        <v>DA-003-M0008</v>
      </c>
      <c r="G1601" s="24">
        <f>Withdrawals_Data!C395</f>
        <v>45514</v>
      </c>
      <c r="H1601" s="27">
        <v>0</v>
      </c>
      <c r="I1601" s="27">
        <f>-Withdrawals_Data!D395</f>
        <v>-2699</v>
      </c>
    </row>
    <row r="1602" spans="3:9">
      <c r="C1602" s="23">
        <v>395</v>
      </c>
      <c r="D1602" s="23" t="s">
        <v>134</v>
      </c>
      <c r="E1602" s="23" t="str">
        <f>Withdrawals_Data!A396</f>
        <v>DA-003</v>
      </c>
      <c r="F1602" s="23" t="str">
        <f>Withdrawals_Data!B396</f>
        <v>DA-003-M0008</v>
      </c>
      <c r="G1602" s="24">
        <f>Withdrawals_Data!C396</f>
        <v>45406</v>
      </c>
      <c r="H1602" s="27">
        <v>0</v>
      </c>
      <c r="I1602" s="27">
        <f>-Withdrawals_Data!D396</f>
        <v>-19480</v>
      </c>
    </row>
    <row r="1603" spans="3:9">
      <c r="C1603" s="23">
        <v>396</v>
      </c>
      <c r="D1603" s="23" t="s">
        <v>134</v>
      </c>
      <c r="E1603" s="23" t="str">
        <f>Withdrawals_Data!A397</f>
        <v>DA-003</v>
      </c>
      <c r="F1603" s="23" t="str">
        <f>Withdrawals_Data!B397</f>
        <v>DA-003-M0008</v>
      </c>
      <c r="G1603" s="24">
        <f>Withdrawals_Data!C397</f>
        <v>45297</v>
      </c>
      <c r="H1603" s="27">
        <v>0</v>
      </c>
      <c r="I1603" s="27">
        <f>-Withdrawals_Data!D397</f>
        <v>-5138</v>
      </c>
    </row>
    <row r="1604" spans="3:9">
      <c r="C1604" s="23">
        <v>397</v>
      </c>
      <c r="D1604" s="23" t="s">
        <v>134</v>
      </c>
      <c r="E1604" s="23" t="str">
        <f>Withdrawals_Data!A398</f>
        <v>DA-003</v>
      </c>
      <c r="F1604" s="23" t="str">
        <f>Withdrawals_Data!B398</f>
        <v>DA-003-M0008</v>
      </c>
      <c r="G1604" s="24">
        <f>Withdrawals_Data!C398</f>
        <v>45518</v>
      </c>
      <c r="H1604" s="27">
        <v>0</v>
      </c>
      <c r="I1604" s="27">
        <f>-Withdrawals_Data!D398</f>
        <v>-16853</v>
      </c>
    </row>
    <row r="1605" spans="3:9">
      <c r="C1605" s="23">
        <v>398</v>
      </c>
      <c r="D1605" s="23" t="s">
        <v>134</v>
      </c>
      <c r="E1605" s="23" t="str">
        <f>Withdrawals_Data!A399</f>
        <v>DA-001</v>
      </c>
      <c r="F1605" s="23" t="str">
        <f>Withdrawals_Data!B399</f>
        <v>DA-001-M0009</v>
      </c>
      <c r="G1605" s="24">
        <f>Withdrawals_Data!C399</f>
        <v>45323</v>
      </c>
      <c r="H1605" s="27">
        <v>0</v>
      </c>
      <c r="I1605" s="27">
        <f>-Withdrawals_Data!D399</f>
        <v>-16079</v>
      </c>
    </row>
    <row r="1606" spans="3:9">
      <c r="C1606" s="23">
        <v>399</v>
      </c>
      <c r="D1606" s="23" t="s">
        <v>134</v>
      </c>
      <c r="E1606" s="23" t="str">
        <f>Withdrawals_Data!A400</f>
        <v>DA-001</v>
      </c>
      <c r="F1606" s="23" t="str">
        <f>Withdrawals_Data!B400</f>
        <v>DA-001-M0009</v>
      </c>
      <c r="G1606" s="24">
        <f>Withdrawals_Data!C400</f>
        <v>45305</v>
      </c>
      <c r="H1606" s="27">
        <v>0</v>
      </c>
      <c r="I1606" s="27">
        <f>-Withdrawals_Data!D400</f>
        <v>-12827</v>
      </c>
    </row>
    <row r="1607" spans="3:9">
      <c r="C1607" s="23">
        <v>400</v>
      </c>
      <c r="D1607" s="23" t="s">
        <v>134</v>
      </c>
      <c r="E1607" s="23" t="str">
        <f>Withdrawals_Data!A401</f>
        <v>DA-001</v>
      </c>
      <c r="F1607" s="23" t="str">
        <f>Withdrawals_Data!B401</f>
        <v>DA-001-M0009</v>
      </c>
      <c r="G1607" s="24">
        <f>Withdrawals_Data!C401</f>
        <v>45474</v>
      </c>
      <c r="H1607" s="27">
        <v>0</v>
      </c>
      <c r="I1607" s="27">
        <f>-Withdrawals_Data!D401</f>
        <v>-9975</v>
      </c>
    </row>
    <row r="1608" spans="3:9">
      <c r="C1608" s="23">
        <v>401</v>
      </c>
      <c r="D1608" s="23" t="s">
        <v>134</v>
      </c>
      <c r="E1608" s="23" t="str">
        <f>Withdrawals_Data!A402</f>
        <v>DA-001</v>
      </c>
      <c r="F1608" s="23" t="str">
        <f>Withdrawals_Data!B402</f>
        <v>DA-001-M0009</v>
      </c>
      <c r="G1608" s="24">
        <f>Withdrawals_Data!C402</f>
        <v>45506</v>
      </c>
      <c r="H1608" s="27">
        <v>0</v>
      </c>
      <c r="I1608" s="27">
        <f>-Withdrawals_Data!D402</f>
        <v>-20039</v>
      </c>
    </row>
    <row r="1609" spans="3:9">
      <c r="C1609" s="23">
        <v>402</v>
      </c>
      <c r="D1609" s="23" t="s">
        <v>134</v>
      </c>
      <c r="E1609" s="23" t="str">
        <f>Withdrawals_Data!A403</f>
        <v>DA-001</v>
      </c>
      <c r="F1609" s="23" t="str">
        <f>Withdrawals_Data!B403</f>
        <v>DA-001-M0009</v>
      </c>
      <c r="G1609" s="24">
        <f>Withdrawals_Data!C403</f>
        <v>45372</v>
      </c>
      <c r="H1609" s="27">
        <v>0</v>
      </c>
      <c r="I1609" s="27">
        <f>-Withdrawals_Data!D403</f>
        <v>-2512</v>
      </c>
    </row>
    <row r="1610" spans="3:9">
      <c r="C1610" s="23">
        <v>403</v>
      </c>
      <c r="D1610" s="23" t="s">
        <v>134</v>
      </c>
      <c r="E1610" s="23" t="str">
        <f>Withdrawals_Data!A404</f>
        <v>DA-001</v>
      </c>
      <c r="F1610" s="23" t="str">
        <f>Withdrawals_Data!B404</f>
        <v>DA-001-M0009</v>
      </c>
      <c r="G1610" s="24">
        <f>Withdrawals_Data!C404</f>
        <v>45490</v>
      </c>
      <c r="H1610" s="27">
        <v>0</v>
      </c>
      <c r="I1610" s="27">
        <f>-Withdrawals_Data!D404</f>
        <v>-8867</v>
      </c>
    </row>
    <row r="1611" spans="3:9">
      <c r="C1611" s="23">
        <v>404</v>
      </c>
      <c r="D1611" s="23" t="s">
        <v>134</v>
      </c>
      <c r="E1611" s="23" t="str">
        <f>Withdrawals_Data!A405</f>
        <v>DA-001</v>
      </c>
      <c r="F1611" s="23" t="str">
        <f>Withdrawals_Data!B405</f>
        <v>DA-001-M0009</v>
      </c>
      <c r="G1611" s="24">
        <f>Withdrawals_Data!C405</f>
        <v>45473</v>
      </c>
      <c r="H1611" s="27">
        <v>0</v>
      </c>
      <c r="I1611" s="27">
        <f>-Withdrawals_Data!D405</f>
        <v>-5998</v>
      </c>
    </row>
    <row r="1612" spans="3:9">
      <c r="C1612" s="23">
        <v>405</v>
      </c>
      <c r="D1612" s="23" t="s">
        <v>134</v>
      </c>
      <c r="E1612" s="23" t="str">
        <f>Withdrawals_Data!A406</f>
        <v>DA-001</v>
      </c>
      <c r="F1612" s="23" t="str">
        <f>Withdrawals_Data!B406</f>
        <v>DA-001-M0009</v>
      </c>
      <c r="G1612" s="24">
        <f>Withdrawals_Data!C406</f>
        <v>45294</v>
      </c>
      <c r="H1612" s="27">
        <v>0</v>
      </c>
      <c r="I1612" s="27">
        <f>-Withdrawals_Data!D406</f>
        <v>-13820</v>
      </c>
    </row>
    <row r="1613" spans="3:9">
      <c r="C1613" s="23">
        <v>406</v>
      </c>
      <c r="D1613" s="23" t="s">
        <v>134</v>
      </c>
      <c r="E1613" s="23" t="str">
        <f>Withdrawals_Data!A407</f>
        <v>DA-001</v>
      </c>
      <c r="F1613" s="23" t="str">
        <f>Withdrawals_Data!B407</f>
        <v>DA-001-M0010</v>
      </c>
      <c r="G1613" s="24">
        <f>Withdrawals_Data!C407</f>
        <v>45363</v>
      </c>
      <c r="H1613" s="27">
        <v>0</v>
      </c>
      <c r="I1613" s="27">
        <f>-Withdrawals_Data!D407</f>
        <v>-1862</v>
      </c>
    </row>
    <row r="1614" spans="3:9">
      <c r="C1614" s="23">
        <v>407</v>
      </c>
      <c r="D1614" s="23" t="s">
        <v>134</v>
      </c>
      <c r="E1614" s="23" t="str">
        <f>Withdrawals_Data!A408</f>
        <v>DA-001</v>
      </c>
      <c r="F1614" s="23" t="str">
        <f>Withdrawals_Data!B408</f>
        <v>DA-001-M0010</v>
      </c>
      <c r="G1614" s="24">
        <f>Withdrawals_Data!C408</f>
        <v>45298</v>
      </c>
      <c r="H1614" s="27">
        <v>0</v>
      </c>
      <c r="I1614" s="27">
        <f>-Withdrawals_Data!D408</f>
        <v>-18456</v>
      </c>
    </row>
    <row r="1615" spans="3:9">
      <c r="C1615" s="23">
        <v>408</v>
      </c>
      <c r="D1615" s="23" t="s">
        <v>134</v>
      </c>
      <c r="E1615" s="23" t="str">
        <f>Withdrawals_Data!A409</f>
        <v>DA-001</v>
      </c>
      <c r="F1615" s="23" t="str">
        <f>Withdrawals_Data!B409</f>
        <v>DA-001-M0010</v>
      </c>
      <c r="G1615" s="24">
        <f>Withdrawals_Data!C409</f>
        <v>45529</v>
      </c>
      <c r="H1615" s="27">
        <v>0</v>
      </c>
      <c r="I1615" s="27">
        <f>-Withdrawals_Data!D409</f>
        <v>-18837</v>
      </c>
    </row>
    <row r="1616" spans="3:9">
      <c r="C1616" s="23">
        <v>409</v>
      </c>
      <c r="D1616" s="23" t="s">
        <v>134</v>
      </c>
      <c r="E1616" s="23" t="str">
        <f>Withdrawals_Data!A410</f>
        <v>DA-001</v>
      </c>
      <c r="F1616" s="23" t="str">
        <f>Withdrawals_Data!B410</f>
        <v>DA-001-M0010</v>
      </c>
      <c r="G1616" s="24">
        <f>Withdrawals_Data!C410</f>
        <v>45516</v>
      </c>
      <c r="H1616" s="27">
        <v>0</v>
      </c>
      <c r="I1616" s="27">
        <f>-Withdrawals_Data!D410</f>
        <v>-13206</v>
      </c>
    </row>
    <row r="1617" spans="3:9">
      <c r="C1617" s="23">
        <v>410</v>
      </c>
      <c r="D1617" s="23" t="s">
        <v>134</v>
      </c>
      <c r="E1617" s="23" t="str">
        <f>Withdrawals_Data!A411</f>
        <v>DA-001</v>
      </c>
      <c r="F1617" s="23" t="str">
        <f>Withdrawals_Data!B411</f>
        <v>DA-001-M0010</v>
      </c>
      <c r="G1617" s="24">
        <f>Withdrawals_Data!C411</f>
        <v>45381</v>
      </c>
      <c r="H1617" s="27">
        <v>0</v>
      </c>
      <c r="I1617" s="27">
        <f>-Withdrawals_Data!D411</f>
        <v>-16410</v>
      </c>
    </row>
    <row r="1618" spans="3:9">
      <c r="C1618" s="23">
        <v>411</v>
      </c>
      <c r="D1618" s="23" t="s">
        <v>134</v>
      </c>
      <c r="E1618" s="23" t="str">
        <f>Withdrawals_Data!A412</f>
        <v>DA-001</v>
      </c>
      <c r="F1618" s="23" t="str">
        <f>Withdrawals_Data!B412</f>
        <v>DA-001-M0010</v>
      </c>
      <c r="G1618" s="24">
        <f>Withdrawals_Data!C412</f>
        <v>45445</v>
      </c>
      <c r="H1618" s="27">
        <v>0</v>
      </c>
      <c r="I1618" s="27">
        <f>-Withdrawals_Data!D412</f>
        <v>-4487</v>
      </c>
    </row>
    <row r="1619" spans="3:9">
      <c r="C1619" s="23">
        <v>412</v>
      </c>
      <c r="D1619" s="23" t="s">
        <v>134</v>
      </c>
      <c r="E1619" s="23" t="str">
        <f>Withdrawals_Data!A413</f>
        <v>DA-001</v>
      </c>
      <c r="F1619" s="23" t="str">
        <f>Withdrawals_Data!B413</f>
        <v>DA-001-M0010</v>
      </c>
      <c r="G1619" s="24">
        <f>Withdrawals_Data!C413</f>
        <v>45523</v>
      </c>
      <c r="H1619" s="27">
        <v>0</v>
      </c>
      <c r="I1619" s="27">
        <f>-Withdrawals_Data!D413</f>
        <v>-1927</v>
      </c>
    </row>
    <row r="1620" spans="3:9">
      <c r="C1620" s="23">
        <v>413</v>
      </c>
      <c r="D1620" s="23" t="s">
        <v>134</v>
      </c>
      <c r="E1620" s="23" t="str">
        <f>Withdrawals_Data!A414</f>
        <v>DA-001</v>
      </c>
      <c r="F1620" s="23" t="str">
        <f>Withdrawals_Data!B414</f>
        <v>DA-001-M0010</v>
      </c>
      <c r="G1620" s="24">
        <f>Withdrawals_Data!C414</f>
        <v>45629</v>
      </c>
      <c r="H1620" s="27">
        <v>0</v>
      </c>
      <c r="I1620" s="27">
        <f>-Withdrawals_Data!D414</f>
        <v>-8032</v>
      </c>
    </row>
    <row r="1621" spans="3:9">
      <c r="C1621" s="23">
        <v>414</v>
      </c>
      <c r="D1621" s="23" t="s">
        <v>134</v>
      </c>
      <c r="E1621" s="23" t="str">
        <f>Withdrawals_Data!A415</f>
        <v>DA-001</v>
      </c>
      <c r="F1621" s="23" t="str">
        <f>Withdrawals_Data!B415</f>
        <v>DA-001-M0010</v>
      </c>
      <c r="G1621" s="24">
        <f>Withdrawals_Data!C415</f>
        <v>45456</v>
      </c>
      <c r="H1621" s="27">
        <v>0</v>
      </c>
      <c r="I1621" s="27">
        <f>-Withdrawals_Data!D415</f>
        <v>-3290</v>
      </c>
    </row>
    <row r="1622" spans="3:9">
      <c r="C1622" s="23">
        <v>415</v>
      </c>
      <c r="D1622" s="23" t="s">
        <v>134</v>
      </c>
      <c r="E1622" s="23" t="str">
        <f>Withdrawals_Data!A416</f>
        <v>DA-001</v>
      </c>
      <c r="F1622" s="23" t="str">
        <f>Withdrawals_Data!B416</f>
        <v>DA-001-M0011</v>
      </c>
      <c r="G1622" s="24">
        <f>Withdrawals_Data!C416</f>
        <v>45350</v>
      </c>
      <c r="H1622" s="27">
        <v>0</v>
      </c>
      <c r="I1622" s="27">
        <f>-Withdrawals_Data!D416</f>
        <v>-1434</v>
      </c>
    </row>
    <row r="1623" spans="3:9">
      <c r="C1623" s="23">
        <v>416</v>
      </c>
      <c r="D1623" s="23" t="s">
        <v>134</v>
      </c>
      <c r="E1623" s="23" t="str">
        <f>Withdrawals_Data!A417</f>
        <v>DA-001</v>
      </c>
      <c r="F1623" s="23" t="str">
        <f>Withdrawals_Data!B417</f>
        <v>DA-001-M0011</v>
      </c>
      <c r="G1623" s="24">
        <f>Withdrawals_Data!C417</f>
        <v>45397</v>
      </c>
      <c r="H1623" s="27">
        <v>0</v>
      </c>
      <c r="I1623" s="27">
        <f>-Withdrawals_Data!D417</f>
        <v>-20381</v>
      </c>
    </row>
    <row r="1624" spans="3:9">
      <c r="C1624" s="23">
        <v>417</v>
      </c>
      <c r="D1624" s="23" t="s">
        <v>134</v>
      </c>
      <c r="E1624" s="23" t="str">
        <f>Withdrawals_Data!A418</f>
        <v>DA-001</v>
      </c>
      <c r="F1624" s="23" t="str">
        <f>Withdrawals_Data!B418</f>
        <v>DA-001-M0011</v>
      </c>
      <c r="G1624" s="24">
        <f>Withdrawals_Data!C418</f>
        <v>45427</v>
      </c>
      <c r="H1624" s="27">
        <v>0</v>
      </c>
      <c r="I1624" s="27">
        <f>-Withdrawals_Data!D418</f>
        <v>-4651</v>
      </c>
    </row>
    <row r="1625" spans="3:9">
      <c r="C1625" s="23">
        <v>418</v>
      </c>
      <c r="D1625" s="23" t="s">
        <v>134</v>
      </c>
      <c r="E1625" s="23" t="str">
        <f>Withdrawals_Data!A419</f>
        <v>DA-001</v>
      </c>
      <c r="F1625" s="23" t="str">
        <f>Withdrawals_Data!B419</f>
        <v>DA-001-M0011</v>
      </c>
      <c r="G1625" s="24">
        <f>Withdrawals_Data!C419</f>
        <v>45294</v>
      </c>
      <c r="H1625" s="27">
        <v>0</v>
      </c>
      <c r="I1625" s="27">
        <f>-Withdrawals_Data!D419</f>
        <v>-15636</v>
      </c>
    </row>
    <row r="1626" spans="3:9">
      <c r="C1626" s="23">
        <v>419</v>
      </c>
      <c r="D1626" s="23" t="s">
        <v>134</v>
      </c>
      <c r="E1626" s="23" t="str">
        <f>Withdrawals_Data!A420</f>
        <v>DA-001</v>
      </c>
      <c r="F1626" s="23" t="str">
        <f>Withdrawals_Data!B420</f>
        <v>DA-001-M0011</v>
      </c>
      <c r="G1626" s="24">
        <f>Withdrawals_Data!C420</f>
        <v>45495</v>
      </c>
      <c r="H1626" s="27">
        <v>0</v>
      </c>
      <c r="I1626" s="27">
        <f>-Withdrawals_Data!D420</f>
        <v>-3941</v>
      </c>
    </row>
    <row r="1627" spans="3:9">
      <c r="C1627" s="23">
        <v>420</v>
      </c>
      <c r="D1627" s="23" t="s">
        <v>134</v>
      </c>
      <c r="E1627" s="23" t="str">
        <f>Withdrawals_Data!A421</f>
        <v>DA-001</v>
      </c>
      <c r="F1627" s="23" t="str">
        <f>Withdrawals_Data!B421</f>
        <v>DA-001-M0011</v>
      </c>
      <c r="G1627" s="24">
        <f>Withdrawals_Data!C421</f>
        <v>45563</v>
      </c>
      <c r="H1627" s="27">
        <v>0</v>
      </c>
      <c r="I1627" s="27">
        <f>-Withdrawals_Data!D421</f>
        <v>-4629</v>
      </c>
    </row>
    <row r="1628" spans="3:9">
      <c r="C1628" s="23">
        <v>421</v>
      </c>
      <c r="D1628" s="23" t="s">
        <v>134</v>
      </c>
      <c r="E1628" s="23" t="str">
        <f>Withdrawals_Data!A422</f>
        <v>DA-001</v>
      </c>
      <c r="F1628" s="23" t="str">
        <f>Withdrawals_Data!B422</f>
        <v>DA-001-M0011</v>
      </c>
      <c r="G1628" s="24">
        <f>Withdrawals_Data!C422</f>
        <v>45596</v>
      </c>
      <c r="H1628" s="27">
        <v>0</v>
      </c>
      <c r="I1628" s="27">
        <f>-Withdrawals_Data!D422</f>
        <v>-14565</v>
      </c>
    </row>
    <row r="1629" spans="3:9">
      <c r="C1629" s="23">
        <v>422</v>
      </c>
      <c r="D1629" s="23" t="s">
        <v>134</v>
      </c>
      <c r="E1629" s="23" t="str">
        <f>Withdrawals_Data!A423</f>
        <v>DA-001</v>
      </c>
      <c r="F1629" s="23" t="str">
        <f>Withdrawals_Data!B423</f>
        <v>DA-001-M0011</v>
      </c>
      <c r="G1629" s="24">
        <f>Withdrawals_Data!C423</f>
        <v>45381</v>
      </c>
      <c r="H1629" s="27">
        <v>0</v>
      </c>
      <c r="I1629" s="27">
        <f>-Withdrawals_Data!D423</f>
        <v>-13840</v>
      </c>
    </row>
    <row r="1630" spans="3:9">
      <c r="C1630" s="23">
        <v>423</v>
      </c>
      <c r="D1630" s="23" t="s">
        <v>134</v>
      </c>
      <c r="E1630" s="23" t="str">
        <f>Withdrawals_Data!A424</f>
        <v>DA-003</v>
      </c>
      <c r="F1630" s="23" t="str">
        <f>Withdrawals_Data!B424</f>
        <v>DA-003-M0012</v>
      </c>
      <c r="G1630" s="24">
        <f>Withdrawals_Data!C424</f>
        <v>45298</v>
      </c>
      <c r="H1630" s="27">
        <v>0</v>
      </c>
      <c r="I1630" s="27">
        <f>-Withdrawals_Data!D424</f>
        <v>-11880</v>
      </c>
    </row>
    <row r="1631" spans="3:9">
      <c r="C1631" s="23">
        <v>424</v>
      </c>
      <c r="D1631" s="23" t="s">
        <v>134</v>
      </c>
      <c r="E1631" s="23" t="str">
        <f>Withdrawals_Data!A425</f>
        <v>DA-003</v>
      </c>
      <c r="F1631" s="23" t="str">
        <f>Withdrawals_Data!B425</f>
        <v>DA-003-M0012</v>
      </c>
      <c r="G1631" s="24">
        <f>Withdrawals_Data!C425</f>
        <v>45382</v>
      </c>
      <c r="H1631" s="27">
        <v>0</v>
      </c>
      <c r="I1631" s="27">
        <f>-Withdrawals_Data!D425</f>
        <v>-10644</v>
      </c>
    </row>
    <row r="1632" spans="3:9">
      <c r="C1632" s="23">
        <v>425</v>
      </c>
      <c r="D1632" s="23" t="s">
        <v>134</v>
      </c>
      <c r="E1632" s="23" t="str">
        <f>Withdrawals_Data!A426</f>
        <v>DA-003</v>
      </c>
      <c r="F1632" s="23" t="str">
        <f>Withdrawals_Data!B426</f>
        <v>DA-003-M0012</v>
      </c>
      <c r="G1632" s="24">
        <f>Withdrawals_Data!C426</f>
        <v>45642</v>
      </c>
      <c r="H1632" s="27">
        <v>0</v>
      </c>
      <c r="I1632" s="27">
        <f>-Withdrawals_Data!D426</f>
        <v>-13985</v>
      </c>
    </row>
    <row r="1633" spans="3:9">
      <c r="C1633" s="23">
        <v>426</v>
      </c>
      <c r="D1633" s="23" t="s">
        <v>134</v>
      </c>
      <c r="E1633" s="23" t="str">
        <f>Withdrawals_Data!A427</f>
        <v>DA-003</v>
      </c>
      <c r="F1633" s="23" t="str">
        <f>Withdrawals_Data!B427</f>
        <v>DA-003-M0012</v>
      </c>
      <c r="G1633" s="24">
        <f>Withdrawals_Data!C427</f>
        <v>45366</v>
      </c>
      <c r="H1633" s="27">
        <v>0</v>
      </c>
      <c r="I1633" s="27">
        <f>-Withdrawals_Data!D427</f>
        <v>-13348</v>
      </c>
    </row>
    <row r="1634" spans="3:9">
      <c r="C1634" s="23">
        <v>427</v>
      </c>
      <c r="D1634" s="23" t="s">
        <v>134</v>
      </c>
      <c r="E1634" s="23" t="str">
        <f>Withdrawals_Data!A428</f>
        <v>DA-003</v>
      </c>
      <c r="F1634" s="23" t="str">
        <f>Withdrawals_Data!B428</f>
        <v>DA-003-M0012</v>
      </c>
      <c r="G1634" s="24">
        <f>Withdrawals_Data!C428</f>
        <v>45595</v>
      </c>
      <c r="H1634" s="27">
        <v>0</v>
      </c>
      <c r="I1634" s="27">
        <f>-Withdrawals_Data!D428</f>
        <v>-11821</v>
      </c>
    </row>
    <row r="1635" spans="3:9">
      <c r="C1635" s="23">
        <v>428</v>
      </c>
      <c r="D1635" s="23" t="s">
        <v>134</v>
      </c>
      <c r="E1635" s="23" t="str">
        <f>Withdrawals_Data!A429</f>
        <v>DA-003</v>
      </c>
      <c r="F1635" s="23" t="str">
        <f>Withdrawals_Data!B429</f>
        <v>DA-003-M0012</v>
      </c>
      <c r="G1635" s="24">
        <f>Withdrawals_Data!C429</f>
        <v>45574</v>
      </c>
      <c r="H1635" s="27">
        <v>0</v>
      </c>
      <c r="I1635" s="27">
        <f>-Withdrawals_Data!D429</f>
        <v>-13472</v>
      </c>
    </row>
    <row r="1636" spans="3:9">
      <c r="C1636" s="23">
        <v>429</v>
      </c>
      <c r="D1636" s="23" t="s">
        <v>134</v>
      </c>
      <c r="E1636" s="23" t="str">
        <f>Withdrawals_Data!A430</f>
        <v>DA-003</v>
      </c>
      <c r="F1636" s="23" t="str">
        <f>Withdrawals_Data!B430</f>
        <v>DA-003-M0013</v>
      </c>
      <c r="G1636" s="24">
        <f>Withdrawals_Data!C430</f>
        <v>45491</v>
      </c>
      <c r="H1636" s="27">
        <v>0</v>
      </c>
      <c r="I1636" s="27">
        <f>-Withdrawals_Data!D430</f>
        <v>-7413</v>
      </c>
    </row>
    <row r="1637" spans="3:9">
      <c r="C1637" s="23">
        <v>430</v>
      </c>
      <c r="D1637" s="23" t="s">
        <v>134</v>
      </c>
      <c r="E1637" s="23" t="str">
        <f>Withdrawals_Data!A431</f>
        <v>DA-003</v>
      </c>
      <c r="F1637" s="23" t="str">
        <f>Withdrawals_Data!B431</f>
        <v>DA-003-M0013</v>
      </c>
      <c r="G1637" s="24">
        <f>Withdrawals_Data!C431</f>
        <v>45594</v>
      </c>
      <c r="H1637" s="27">
        <v>0</v>
      </c>
      <c r="I1637" s="27">
        <f>-Withdrawals_Data!D431</f>
        <v>-12005</v>
      </c>
    </row>
    <row r="1638" spans="3:9">
      <c r="C1638" s="23">
        <v>431</v>
      </c>
      <c r="D1638" s="23" t="s">
        <v>134</v>
      </c>
      <c r="E1638" s="23" t="str">
        <f>Withdrawals_Data!A432</f>
        <v>DA-003</v>
      </c>
      <c r="F1638" s="23" t="str">
        <f>Withdrawals_Data!B432</f>
        <v>DA-003-M0013</v>
      </c>
      <c r="G1638" s="24">
        <f>Withdrawals_Data!C432</f>
        <v>45621</v>
      </c>
      <c r="H1638" s="27">
        <v>0</v>
      </c>
      <c r="I1638" s="27">
        <f>-Withdrawals_Data!D432</f>
        <v>-14445</v>
      </c>
    </row>
    <row r="1639" spans="3:9">
      <c r="C1639" s="23">
        <v>432</v>
      </c>
      <c r="D1639" s="23" t="s">
        <v>134</v>
      </c>
      <c r="E1639" s="23" t="str">
        <f>Withdrawals_Data!A433</f>
        <v>DA-003</v>
      </c>
      <c r="F1639" s="23" t="str">
        <f>Withdrawals_Data!B433</f>
        <v>DA-003-M0013</v>
      </c>
      <c r="G1639" s="24">
        <f>Withdrawals_Data!C433</f>
        <v>45652</v>
      </c>
      <c r="H1639" s="27">
        <v>0</v>
      </c>
      <c r="I1639" s="27">
        <f>-Withdrawals_Data!D433</f>
        <v>-12737</v>
      </c>
    </row>
    <row r="1640" spans="3:9">
      <c r="C1640" s="23">
        <v>433</v>
      </c>
      <c r="D1640" s="23" t="s">
        <v>134</v>
      </c>
      <c r="E1640" s="23" t="str">
        <f>Withdrawals_Data!A434</f>
        <v>DA-003</v>
      </c>
      <c r="F1640" s="23" t="str">
        <f>Withdrawals_Data!B434</f>
        <v>DA-003-M0013</v>
      </c>
      <c r="G1640" s="24">
        <f>Withdrawals_Data!C434</f>
        <v>45630</v>
      </c>
      <c r="H1640" s="27">
        <v>0</v>
      </c>
      <c r="I1640" s="27">
        <f>-Withdrawals_Data!D434</f>
        <v>-7445</v>
      </c>
    </row>
    <row r="1641" spans="3:9">
      <c r="C1641" s="23">
        <v>434</v>
      </c>
      <c r="D1641" s="23" t="s">
        <v>134</v>
      </c>
      <c r="E1641" s="23" t="str">
        <f>Withdrawals_Data!A435</f>
        <v>DA-003</v>
      </c>
      <c r="F1641" s="23" t="str">
        <f>Withdrawals_Data!B435</f>
        <v>DA-003-M0013</v>
      </c>
      <c r="G1641" s="24">
        <f>Withdrawals_Data!C435</f>
        <v>45478</v>
      </c>
      <c r="H1641" s="27">
        <v>0</v>
      </c>
      <c r="I1641" s="27">
        <f>-Withdrawals_Data!D435</f>
        <v>-4954</v>
      </c>
    </row>
    <row r="1642" spans="3:9">
      <c r="C1642" s="23">
        <v>435</v>
      </c>
      <c r="D1642" s="23" t="s">
        <v>134</v>
      </c>
      <c r="E1642" s="23" t="str">
        <f>Withdrawals_Data!A436</f>
        <v>DA-003</v>
      </c>
      <c r="F1642" s="23" t="str">
        <f>Withdrawals_Data!B436</f>
        <v>DA-003-M0013</v>
      </c>
      <c r="G1642" s="24">
        <f>Withdrawals_Data!C436</f>
        <v>45629</v>
      </c>
      <c r="H1642" s="27">
        <v>0</v>
      </c>
      <c r="I1642" s="27">
        <f>-Withdrawals_Data!D436</f>
        <v>-7271</v>
      </c>
    </row>
    <row r="1643" spans="3:9">
      <c r="C1643" s="23">
        <v>436</v>
      </c>
      <c r="D1643" s="23" t="s">
        <v>134</v>
      </c>
      <c r="E1643" s="23" t="str">
        <f>Withdrawals_Data!A437</f>
        <v>DA-003</v>
      </c>
      <c r="F1643" s="23" t="str">
        <f>Withdrawals_Data!B437</f>
        <v>DA-003-M0013</v>
      </c>
      <c r="G1643" s="24">
        <f>Withdrawals_Data!C437</f>
        <v>45478</v>
      </c>
      <c r="H1643" s="27">
        <v>0</v>
      </c>
      <c r="I1643" s="27">
        <f>-Withdrawals_Data!D437</f>
        <v>-16224</v>
      </c>
    </row>
    <row r="1644" spans="3:9">
      <c r="C1644" s="23">
        <v>437</v>
      </c>
      <c r="D1644" s="23" t="s">
        <v>134</v>
      </c>
      <c r="E1644" s="23" t="str">
        <f>Withdrawals_Data!A438</f>
        <v>DA-003</v>
      </c>
      <c r="F1644" s="23" t="str">
        <f>Withdrawals_Data!B438</f>
        <v>DA-003-M0014</v>
      </c>
      <c r="G1644" s="24">
        <f>Withdrawals_Data!C438</f>
        <v>45459</v>
      </c>
      <c r="H1644" s="27">
        <v>0</v>
      </c>
      <c r="I1644" s="27">
        <f>-Withdrawals_Data!D438</f>
        <v>-3788</v>
      </c>
    </row>
    <row r="1645" spans="3:9">
      <c r="C1645" s="23">
        <v>438</v>
      </c>
      <c r="D1645" s="23" t="s">
        <v>134</v>
      </c>
      <c r="E1645" s="23" t="str">
        <f>Withdrawals_Data!A439</f>
        <v>DA-003</v>
      </c>
      <c r="F1645" s="23" t="str">
        <f>Withdrawals_Data!B439</f>
        <v>DA-003-M0014</v>
      </c>
      <c r="G1645" s="24">
        <f>Withdrawals_Data!C439</f>
        <v>45494</v>
      </c>
      <c r="H1645" s="27">
        <v>0</v>
      </c>
      <c r="I1645" s="27">
        <f>-Withdrawals_Data!D439</f>
        <v>-13772</v>
      </c>
    </row>
    <row r="1646" spans="3:9">
      <c r="C1646" s="23">
        <v>439</v>
      </c>
      <c r="D1646" s="23" t="s">
        <v>134</v>
      </c>
      <c r="E1646" s="23" t="str">
        <f>Withdrawals_Data!A440</f>
        <v>DA-003</v>
      </c>
      <c r="F1646" s="23" t="str">
        <f>Withdrawals_Data!B440</f>
        <v>DA-003-M0014</v>
      </c>
      <c r="G1646" s="24">
        <f>Withdrawals_Data!C440</f>
        <v>45577</v>
      </c>
      <c r="H1646" s="27">
        <v>0</v>
      </c>
      <c r="I1646" s="27">
        <f>-Withdrawals_Data!D440</f>
        <v>-10135</v>
      </c>
    </row>
    <row r="1647" spans="3:9">
      <c r="C1647" s="23">
        <v>440</v>
      </c>
      <c r="D1647" s="23" t="s">
        <v>134</v>
      </c>
      <c r="E1647" s="23" t="str">
        <f>Withdrawals_Data!A441</f>
        <v>DA-003</v>
      </c>
      <c r="F1647" s="23" t="str">
        <f>Withdrawals_Data!B441</f>
        <v>DA-003-M0014</v>
      </c>
      <c r="G1647" s="24">
        <f>Withdrawals_Data!C441</f>
        <v>45434</v>
      </c>
      <c r="H1647" s="27">
        <v>0</v>
      </c>
      <c r="I1647" s="27">
        <f>-Withdrawals_Data!D441</f>
        <v>-16448</v>
      </c>
    </row>
    <row r="1648" spans="3:9">
      <c r="C1648" s="23">
        <v>441</v>
      </c>
      <c r="D1648" s="23" t="s">
        <v>134</v>
      </c>
      <c r="E1648" s="23" t="str">
        <f>Withdrawals_Data!A442</f>
        <v>DA-003</v>
      </c>
      <c r="F1648" s="23" t="str">
        <f>Withdrawals_Data!B442</f>
        <v>DA-003-M0014</v>
      </c>
      <c r="G1648" s="24">
        <f>Withdrawals_Data!C442</f>
        <v>45498</v>
      </c>
      <c r="H1648" s="27">
        <v>0</v>
      </c>
      <c r="I1648" s="27">
        <f>-Withdrawals_Data!D442</f>
        <v>-11365</v>
      </c>
    </row>
    <row r="1649" spans="3:9">
      <c r="C1649" s="23">
        <v>442</v>
      </c>
      <c r="D1649" s="23" t="s">
        <v>134</v>
      </c>
      <c r="E1649" s="23" t="str">
        <f>Withdrawals_Data!A443</f>
        <v>DA-003</v>
      </c>
      <c r="F1649" s="23" t="str">
        <f>Withdrawals_Data!B443</f>
        <v>DA-003-M0014</v>
      </c>
      <c r="G1649" s="24">
        <f>Withdrawals_Data!C443</f>
        <v>45589</v>
      </c>
      <c r="H1649" s="27">
        <v>0</v>
      </c>
      <c r="I1649" s="27">
        <f>-Withdrawals_Data!D443</f>
        <v>-16232</v>
      </c>
    </row>
    <row r="1650" spans="3:9">
      <c r="C1650" s="23">
        <v>443</v>
      </c>
      <c r="D1650" s="23" t="s">
        <v>134</v>
      </c>
      <c r="E1650" s="23" t="str">
        <f>Withdrawals_Data!A444</f>
        <v>DA-003</v>
      </c>
      <c r="F1650" s="23" t="str">
        <f>Withdrawals_Data!B444</f>
        <v>DA-003-M0014</v>
      </c>
      <c r="G1650" s="24">
        <f>Withdrawals_Data!C444</f>
        <v>45453</v>
      </c>
      <c r="H1650" s="27">
        <v>0</v>
      </c>
      <c r="I1650" s="27">
        <f>-Withdrawals_Data!D444</f>
        <v>-16185</v>
      </c>
    </row>
    <row r="1651" spans="3:9">
      <c r="C1651" s="23">
        <v>444</v>
      </c>
      <c r="D1651" s="23" t="s">
        <v>134</v>
      </c>
      <c r="E1651" s="23" t="str">
        <f>Withdrawals_Data!A445</f>
        <v>DA-003</v>
      </c>
      <c r="F1651" s="23" t="str">
        <f>Withdrawals_Data!B445</f>
        <v>DA-003-M0014</v>
      </c>
      <c r="G1651" s="24">
        <f>Withdrawals_Data!C445</f>
        <v>45512</v>
      </c>
      <c r="H1651" s="27">
        <v>0</v>
      </c>
      <c r="I1651" s="27">
        <f>-Withdrawals_Data!D445</f>
        <v>-21469</v>
      </c>
    </row>
    <row r="1652" spans="3:9">
      <c r="C1652" s="23">
        <v>445</v>
      </c>
      <c r="D1652" s="23" t="s">
        <v>134</v>
      </c>
      <c r="E1652" s="23" t="str">
        <f>Withdrawals_Data!A446</f>
        <v>DA-003</v>
      </c>
      <c r="F1652" s="23" t="str">
        <f>Withdrawals_Data!B446</f>
        <v>DA-003-M0014</v>
      </c>
      <c r="G1652" s="24">
        <f>Withdrawals_Data!C446</f>
        <v>45593</v>
      </c>
      <c r="H1652" s="27">
        <v>0</v>
      </c>
      <c r="I1652" s="27">
        <f>-Withdrawals_Data!D446</f>
        <v>-11900</v>
      </c>
    </row>
    <row r="1653" spans="3:9">
      <c r="C1653" s="23">
        <v>446</v>
      </c>
      <c r="D1653" s="23" t="s">
        <v>134</v>
      </c>
      <c r="E1653" s="23" t="str">
        <f>Withdrawals_Data!A447</f>
        <v>DA-003</v>
      </c>
      <c r="F1653" s="23" t="str">
        <f>Withdrawals_Data!B447</f>
        <v>DA-003-M0014</v>
      </c>
      <c r="G1653" s="24">
        <f>Withdrawals_Data!C447</f>
        <v>45292</v>
      </c>
      <c r="H1653" s="27">
        <v>0</v>
      </c>
      <c r="I1653" s="27">
        <f>-Withdrawals_Data!D447</f>
        <v>-4643</v>
      </c>
    </row>
    <row r="1654" spans="3:9">
      <c r="C1654" s="23">
        <v>447</v>
      </c>
      <c r="D1654" s="23" t="s">
        <v>134</v>
      </c>
      <c r="E1654" s="23" t="str">
        <f>Withdrawals_Data!A448</f>
        <v>DA-003</v>
      </c>
      <c r="F1654" s="23" t="str">
        <f>Withdrawals_Data!B448</f>
        <v>DA-003-M0015</v>
      </c>
      <c r="G1654" s="24">
        <f>Withdrawals_Data!C448</f>
        <v>45411</v>
      </c>
      <c r="H1654" s="27">
        <v>0</v>
      </c>
      <c r="I1654" s="27">
        <f>-Withdrawals_Data!D448</f>
        <v>-10959</v>
      </c>
    </row>
    <row r="1655" spans="3:9">
      <c r="C1655" s="23">
        <v>448</v>
      </c>
      <c r="D1655" s="23" t="s">
        <v>134</v>
      </c>
      <c r="E1655" s="23" t="str">
        <f>Withdrawals_Data!A449</f>
        <v>DA-003</v>
      </c>
      <c r="F1655" s="23" t="str">
        <f>Withdrawals_Data!B449</f>
        <v>DA-003-M0015</v>
      </c>
      <c r="G1655" s="24">
        <f>Withdrawals_Data!C449</f>
        <v>45349</v>
      </c>
      <c r="H1655" s="27">
        <v>0</v>
      </c>
      <c r="I1655" s="27">
        <f>-Withdrawals_Data!D449</f>
        <v>-15903</v>
      </c>
    </row>
    <row r="1656" spans="3:9">
      <c r="C1656" s="23">
        <v>449</v>
      </c>
      <c r="D1656" s="23" t="s">
        <v>134</v>
      </c>
      <c r="E1656" s="23" t="str">
        <f>Withdrawals_Data!A450</f>
        <v>DA-003</v>
      </c>
      <c r="F1656" s="23" t="str">
        <f>Withdrawals_Data!B450</f>
        <v>DA-003-M0015</v>
      </c>
      <c r="G1656" s="24">
        <f>Withdrawals_Data!C450</f>
        <v>45352</v>
      </c>
      <c r="H1656" s="27">
        <v>0</v>
      </c>
      <c r="I1656" s="27">
        <f>-Withdrawals_Data!D450</f>
        <v>-4628</v>
      </c>
    </row>
    <row r="1657" spans="3:9">
      <c r="C1657" s="23">
        <v>450</v>
      </c>
      <c r="D1657" s="23" t="s">
        <v>134</v>
      </c>
      <c r="E1657" s="23" t="str">
        <f>Withdrawals_Data!A451</f>
        <v>DA-003</v>
      </c>
      <c r="F1657" s="23" t="str">
        <f>Withdrawals_Data!B451</f>
        <v>DA-003-M0015</v>
      </c>
      <c r="G1657" s="24">
        <f>Withdrawals_Data!C451</f>
        <v>45486</v>
      </c>
      <c r="H1657" s="27">
        <v>0</v>
      </c>
      <c r="I1657" s="27">
        <f>-Withdrawals_Data!D451</f>
        <v>-18437</v>
      </c>
    </row>
    <row r="1658" spans="3:9">
      <c r="C1658" s="23">
        <v>451</v>
      </c>
      <c r="D1658" s="23" t="s">
        <v>134</v>
      </c>
      <c r="E1658" s="23" t="str">
        <f>Withdrawals_Data!A452</f>
        <v>DA-003</v>
      </c>
      <c r="F1658" s="23" t="str">
        <f>Withdrawals_Data!B452</f>
        <v>DA-003-M0015</v>
      </c>
      <c r="G1658" s="24">
        <f>Withdrawals_Data!C452</f>
        <v>45415</v>
      </c>
      <c r="H1658" s="27">
        <v>0</v>
      </c>
      <c r="I1658" s="27">
        <f>-Withdrawals_Data!D452</f>
        <v>-15370</v>
      </c>
    </row>
    <row r="1659" spans="3:9">
      <c r="C1659" s="23">
        <v>452</v>
      </c>
      <c r="D1659" s="23" t="s">
        <v>134</v>
      </c>
      <c r="E1659" s="23" t="str">
        <f>Withdrawals_Data!A453</f>
        <v>DA-003</v>
      </c>
      <c r="F1659" s="23" t="str">
        <f>Withdrawals_Data!B453</f>
        <v>DA-003-M0015</v>
      </c>
      <c r="G1659" s="24">
        <f>Withdrawals_Data!C453</f>
        <v>45383</v>
      </c>
      <c r="H1659" s="27">
        <v>0</v>
      </c>
      <c r="I1659" s="27">
        <f>-Withdrawals_Data!D453</f>
        <v>-18654</v>
      </c>
    </row>
    <row r="1660" spans="3:9">
      <c r="C1660" s="23">
        <v>453</v>
      </c>
      <c r="D1660" s="23" t="s">
        <v>134</v>
      </c>
      <c r="E1660" s="23" t="str">
        <f>Withdrawals_Data!A454</f>
        <v>DA-003</v>
      </c>
      <c r="F1660" s="23" t="str">
        <f>Withdrawals_Data!B454</f>
        <v>DA-003-M0015</v>
      </c>
      <c r="G1660" s="24">
        <f>Withdrawals_Data!C454</f>
        <v>45292</v>
      </c>
      <c r="H1660" s="27">
        <v>0</v>
      </c>
      <c r="I1660" s="27">
        <f>-Withdrawals_Data!D454</f>
        <v>-3334</v>
      </c>
    </row>
    <row r="1661" spans="3:9">
      <c r="C1661" s="23">
        <v>454</v>
      </c>
      <c r="D1661" s="23" t="s">
        <v>134</v>
      </c>
      <c r="E1661" s="23" t="str">
        <f>Withdrawals_Data!A455</f>
        <v>DA-003</v>
      </c>
      <c r="F1661" s="23" t="str">
        <f>Withdrawals_Data!B455</f>
        <v>DA-003-M0015</v>
      </c>
      <c r="G1661" s="24">
        <f>Withdrawals_Data!C455</f>
        <v>45359</v>
      </c>
      <c r="H1661" s="27">
        <v>0</v>
      </c>
      <c r="I1661" s="27">
        <f>-Withdrawals_Data!D455</f>
        <v>-7589</v>
      </c>
    </row>
    <row r="1662" spans="3:9">
      <c r="C1662" s="23">
        <v>455</v>
      </c>
      <c r="D1662" s="23" t="s">
        <v>134</v>
      </c>
      <c r="E1662" s="23" t="str">
        <f>Withdrawals_Data!A456</f>
        <v>DA-002</v>
      </c>
      <c r="F1662" s="23" t="str">
        <f>Withdrawals_Data!B456</f>
        <v>DA-002-M0016</v>
      </c>
      <c r="G1662" s="24">
        <f>Withdrawals_Data!C456</f>
        <v>45521</v>
      </c>
      <c r="H1662" s="27">
        <v>0</v>
      </c>
      <c r="I1662" s="27">
        <f>-Withdrawals_Data!D456</f>
        <v>-2958</v>
      </c>
    </row>
    <row r="1663" spans="3:9">
      <c r="C1663" s="23">
        <v>456</v>
      </c>
      <c r="D1663" s="23" t="s">
        <v>134</v>
      </c>
      <c r="E1663" s="23" t="str">
        <f>Withdrawals_Data!A457</f>
        <v>DA-002</v>
      </c>
      <c r="F1663" s="23" t="str">
        <f>Withdrawals_Data!B457</f>
        <v>DA-002-M0016</v>
      </c>
      <c r="G1663" s="24">
        <f>Withdrawals_Data!C457</f>
        <v>45475</v>
      </c>
      <c r="H1663" s="27">
        <v>0</v>
      </c>
      <c r="I1663" s="27">
        <f>-Withdrawals_Data!D457</f>
        <v>-13668</v>
      </c>
    </row>
    <row r="1664" spans="3:9">
      <c r="C1664" s="23">
        <v>457</v>
      </c>
      <c r="D1664" s="23" t="s">
        <v>134</v>
      </c>
      <c r="E1664" s="23" t="str">
        <f>Withdrawals_Data!A458</f>
        <v>DA-002</v>
      </c>
      <c r="F1664" s="23" t="str">
        <f>Withdrawals_Data!B458</f>
        <v>DA-002-M0016</v>
      </c>
      <c r="G1664" s="24">
        <f>Withdrawals_Data!C458</f>
        <v>45441</v>
      </c>
      <c r="H1664" s="27">
        <v>0</v>
      </c>
      <c r="I1664" s="27">
        <f>-Withdrawals_Data!D458</f>
        <v>-20621</v>
      </c>
    </row>
    <row r="1665" spans="3:9">
      <c r="C1665" s="23">
        <v>458</v>
      </c>
      <c r="D1665" s="23" t="s">
        <v>134</v>
      </c>
      <c r="E1665" s="23" t="str">
        <f>Withdrawals_Data!A459</f>
        <v>DA-002</v>
      </c>
      <c r="F1665" s="23" t="str">
        <f>Withdrawals_Data!B459</f>
        <v>DA-002-M0016</v>
      </c>
      <c r="G1665" s="24">
        <f>Withdrawals_Data!C459</f>
        <v>45422</v>
      </c>
      <c r="H1665" s="27">
        <v>0</v>
      </c>
      <c r="I1665" s="27">
        <f>-Withdrawals_Data!D459</f>
        <v>-2269</v>
      </c>
    </row>
    <row r="1666" spans="3:9">
      <c r="C1666" s="23">
        <v>459</v>
      </c>
      <c r="D1666" s="23" t="s">
        <v>134</v>
      </c>
      <c r="E1666" s="23" t="str">
        <f>Withdrawals_Data!A460</f>
        <v>DA-002</v>
      </c>
      <c r="F1666" s="23" t="str">
        <f>Withdrawals_Data!B460</f>
        <v>DA-002-M0016</v>
      </c>
      <c r="G1666" s="24">
        <f>Withdrawals_Data!C460</f>
        <v>45574</v>
      </c>
      <c r="H1666" s="27">
        <v>0</v>
      </c>
      <c r="I1666" s="27">
        <f>-Withdrawals_Data!D460</f>
        <v>-10809</v>
      </c>
    </row>
    <row r="1667" spans="3:9">
      <c r="C1667" s="23">
        <v>460</v>
      </c>
      <c r="D1667" s="23" t="s">
        <v>134</v>
      </c>
      <c r="E1667" s="23" t="str">
        <f>Withdrawals_Data!A461</f>
        <v>DA-002</v>
      </c>
      <c r="F1667" s="23" t="str">
        <f>Withdrawals_Data!B461</f>
        <v>DA-002-M0016</v>
      </c>
      <c r="G1667" s="24">
        <f>Withdrawals_Data!C461</f>
        <v>45448</v>
      </c>
      <c r="H1667" s="27">
        <v>0</v>
      </c>
      <c r="I1667" s="27">
        <f>-Withdrawals_Data!D461</f>
        <v>-19256</v>
      </c>
    </row>
    <row r="1668" spans="3:9">
      <c r="C1668" s="23">
        <v>461</v>
      </c>
      <c r="D1668" s="23" t="s">
        <v>134</v>
      </c>
      <c r="E1668" s="23" t="str">
        <f>Withdrawals_Data!A462</f>
        <v>DA-002</v>
      </c>
      <c r="F1668" s="23" t="str">
        <f>Withdrawals_Data!B462</f>
        <v>DA-002-M0016</v>
      </c>
      <c r="G1668" s="24">
        <f>Withdrawals_Data!C462</f>
        <v>45421</v>
      </c>
      <c r="H1668" s="27">
        <v>0</v>
      </c>
      <c r="I1668" s="27">
        <f>-Withdrawals_Data!D462</f>
        <v>-16280</v>
      </c>
    </row>
    <row r="1669" spans="3:9">
      <c r="C1669" s="23">
        <v>462</v>
      </c>
      <c r="D1669" s="23" t="s">
        <v>134</v>
      </c>
      <c r="E1669" s="23" t="str">
        <f>Withdrawals_Data!A463</f>
        <v>DA-002</v>
      </c>
      <c r="F1669" s="23" t="str">
        <f>Withdrawals_Data!B463</f>
        <v>DA-002-M0017</v>
      </c>
      <c r="G1669" s="24">
        <f>Withdrawals_Data!C463</f>
        <v>45501</v>
      </c>
      <c r="H1669" s="27">
        <v>0</v>
      </c>
      <c r="I1669" s="27">
        <f>-Withdrawals_Data!D463</f>
        <v>-7357</v>
      </c>
    </row>
    <row r="1670" spans="3:9">
      <c r="C1670" s="23">
        <v>463</v>
      </c>
      <c r="D1670" s="23" t="s">
        <v>134</v>
      </c>
      <c r="E1670" s="23" t="str">
        <f>Withdrawals_Data!A464</f>
        <v>DA-002</v>
      </c>
      <c r="F1670" s="23" t="str">
        <f>Withdrawals_Data!B464</f>
        <v>DA-002-M0017</v>
      </c>
      <c r="G1670" s="24">
        <f>Withdrawals_Data!C464</f>
        <v>45499</v>
      </c>
      <c r="H1670" s="27">
        <v>0</v>
      </c>
      <c r="I1670" s="27">
        <f>-Withdrawals_Data!D464</f>
        <v>-6250</v>
      </c>
    </row>
    <row r="1671" spans="3:9">
      <c r="C1671" s="23">
        <v>464</v>
      </c>
      <c r="D1671" s="23" t="s">
        <v>134</v>
      </c>
      <c r="E1671" s="23" t="str">
        <f>Withdrawals_Data!A465</f>
        <v>DA-002</v>
      </c>
      <c r="F1671" s="23" t="str">
        <f>Withdrawals_Data!B465</f>
        <v>DA-002-M0017</v>
      </c>
      <c r="G1671" s="24">
        <f>Withdrawals_Data!C465</f>
        <v>45307</v>
      </c>
      <c r="H1671" s="27">
        <v>0</v>
      </c>
      <c r="I1671" s="27">
        <f>-Withdrawals_Data!D465</f>
        <v>-4861</v>
      </c>
    </row>
    <row r="1672" spans="3:9">
      <c r="C1672" s="23">
        <v>465</v>
      </c>
      <c r="D1672" s="23" t="s">
        <v>134</v>
      </c>
      <c r="E1672" s="23" t="str">
        <f>Withdrawals_Data!A466</f>
        <v>DA-002</v>
      </c>
      <c r="F1672" s="23" t="str">
        <f>Withdrawals_Data!B466</f>
        <v>DA-002-M0017</v>
      </c>
      <c r="G1672" s="24">
        <f>Withdrawals_Data!C466</f>
        <v>45296</v>
      </c>
      <c r="H1672" s="27">
        <v>0</v>
      </c>
      <c r="I1672" s="27">
        <f>-Withdrawals_Data!D466</f>
        <v>-6425</v>
      </c>
    </row>
    <row r="1673" spans="3:9">
      <c r="C1673" s="23">
        <v>466</v>
      </c>
      <c r="D1673" s="23" t="s">
        <v>134</v>
      </c>
      <c r="E1673" s="23" t="str">
        <f>Withdrawals_Data!A467</f>
        <v>DA-002</v>
      </c>
      <c r="F1673" s="23" t="str">
        <f>Withdrawals_Data!B467</f>
        <v>DA-002-M0017</v>
      </c>
      <c r="G1673" s="24">
        <f>Withdrawals_Data!C467</f>
        <v>45390</v>
      </c>
      <c r="H1673" s="27">
        <v>0</v>
      </c>
      <c r="I1673" s="27">
        <f>-Withdrawals_Data!D467</f>
        <v>-8591</v>
      </c>
    </row>
    <row r="1674" spans="3:9">
      <c r="C1674" s="23">
        <v>467</v>
      </c>
      <c r="D1674" s="23" t="s">
        <v>134</v>
      </c>
      <c r="E1674" s="23" t="str">
        <f>Withdrawals_Data!A468</f>
        <v>DA-002</v>
      </c>
      <c r="F1674" s="23" t="str">
        <f>Withdrawals_Data!B468</f>
        <v>DA-002-M0017</v>
      </c>
      <c r="G1674" s="24">
        <f>Withdrawals_Data!C468</f>
        <v>45328</v>
      </c>
      <c r="H1674" s="27">
        <v>0</v>
      </c>
      <c r="I1674" s="27">
        <f>-Withdrawals_Data!D468</f>
        <v>-21265</v>
      </c>
    </row>
    <row r="1675" spans="3:9">
      <c r="C1675" s="23">
        <v>468</v>
      </c>
      <c r="D1675" s="23" t="s">
        <v>134</v>
      </c>
      <c r="E1675" s="23" t="str">
        <f>Withdrawals_Data!A469</f>
        <v>DA-002</v>
      </c>
      <c r="F1675" s="23" t="str">
        <f>Withdrawals_Data!B469</f>
        <v>DA-002-M0017</v>
      </c>
      <c r="G1675" s="24">
        <f>Withdrawals_Data!C469</f>
        <v>45487</v>
      </c>
      <c r="H1675" s="27">
        <v>0</v>
      </c>
      <c r="I1675" s="27">
        <f>-Withdrawals_Data!D469</f>
        <v>-7719</v>
      </c>
    </row>
    <row r="1676" spans="3:9">
      <c r="C1676" s="23">
        <v>469</v>
      </c>
      <c r="D1676" s="23" t="s">
        <v>134</v>
      </c>
      <c r="E1676" s="23" t="str">
        <f>Withdrawals_Data!A470</f>
        <v>DA-002</v>
      </c>
      <c r="F1676" s="23" t="str">
        <f>Withdrawals_Data!B470</f>
        <v>DA-002-M0017</v>
      </c>
      <c r="G1676" s="24">
        <f>Withdrawals_Data!C470</f>
        <v>45413</v>
      </c>
      <c r="H1676" s="27">
        <v>0</v>
      </c>
      <c r="I1676" s="27">
        <f>-Withdrawals_Data!D470</f>
        <v>-6114</v>
      </c>
    </row>
    <row r="1677" spans="3:9">
      <c r="C1677" s="23">
        <v>470</v>
      </c>
      <c r="D1677" s="23" t="s">
        <v>134</v>
      </c>
      <c r="E1677" s="23" t="str">
        <f>Withdrawals_Data!A471</f>
        <v>DA-002</v>
      </c>
      <c r="F1677" s="23" t="str">
        <f>Withdrawals_Data!B471</f>
        <v>DA-002-M0017</v>
      </c>
      <c r="G1677" s="24">
        <f>Withdrawals_Data!C471</f>
        <v>45303</v>
      </c>
      <c r="H1677" s="27">
        <v>0</v>
      </c>
      <c r="I1677" s="27">
        <f>-Withdrawals_Data!D471</f>
        <v>-8552</v>
      </c>
    </row>
    <row r="1678" spans="3:9">
      <c r="C1678" s="23">
        <v>471</v>
      </c>
      <c r="D1678" s="23" t="s">
        <v>134</v>
      </c>
      <c r="E1678" s="23" t="str">
        <f>Withdrawals_Data!A472</f>
        <v>DA-002</v>
      </c>
      <c r="F1678" s="23" t="str">
        <f>Withdrawals_Data!B472</f>
        <v>DA-002-M0018</v>
      </c>
      <c r="G1678" s="24">
        <f>Withdrawals_Data!C472</f>
        <v>45319</v>
      </c>
      <c r="H1678" s="27">
        <v>0</v>
      </c>
      <c r="I1678" s="27">
        <f>-Withdrawals_Data!D472</f>
        <v>-4437</v>
      </c>
    </row>
    <row r="1679" spans="3:9">
      <c r="C1679" s="23">
        <v>472</v>
      </c>
      <c r="D1679" s="23" t="s">
        <v>134</v>
      </c>
      <c r="E1679" s="23" t="str">
        <f>Withdrawals_Data!A473</f>
        <v>DA-002</v>
      </c>
      <c r="F1679" s="23" t="str">
        <f>Withdrawals_Data!B473</f>
        <v>DA-002-M0018</v>
      </c>
      <c r="G1679" s="24">
        <f>Withdrawals_Data!C473</f>
        <v>45358</v>
      </c>
      <c r="H1679" s="27">
        <v>0</v>
      </c>
      <c r="I1679" s="27">
        <f>-Withdrawals_Data!D473</f>
        <v>-15897</v>
      </c>
    </row>
    <row r="1680" spans="3:9">
      <c r="C1680" s="23">
        <v>473</v>
      </c>
      <c r="D1680" s="23" t="s">
        <v>134</v>
      </c>
      <c r="E1680" s="23" t="str">
        <f>Withdrawals_Data!A474</f>
        <v>DA-002</v>
      </c>
      <c r="F1680" s="23" t="str">
        <f>Withdrawals_Data!B474</f>
        <v>DA-002-M0018</v>
      </c>
      <c r="G1680" s="24">
        <f>Withdrawals_Data!C474</f>
        <v>45593</v>
      </c>
      <c r="H1680" s="27">
        <v>0</v>
      </c>
      <c r="I1680" s="27">
        <f>-Withdrawals_Data!D474</f>
        <v>-4292</v>
      </c>
    </row>
    <row r="1681" spans="3:9">
      <c r="C1681" s="23">
        <v>474</v>
      </c>
      <c r="D1681" s="23" t="s">
        <v>134</v>
      </c>
      <c r="E1681" s="23" t="str">
        <f>Withdrawals_Data!A475</f>
        <v>DA-002</v>
      </c>
      <c r="F1681" s="23" t="str">
        <f>Withdrawals_Data!B475</f>
        <v>DA-002-M0018</v>
      </c>
      <c r="G1681" s="24">
        <f>Withdrawals_Data!C475</f>
        <v>45451</v>
      </c>
      <c r="H1681" s="27">
        <v>0</v>
      </c>
      <c r="I1681" s="27">
        <f>-Withdrawals_Data!D475</f>
        <v>-8255</v>
      </c>
    </row>
    <row r="1682" spans="3:9">
      <c r="C1682" s="23">
        <v>475</v>
      </c>
      <c r="D1682" s="23" t="s">
        <v>134</v>
      </c>
      <c r="E1682" s="23" t="str">
        <f>Withdrawals_Data!A476</f>
        <v>DA-002</v>
      </c>
      <c r="F1682" s="23" t="str">
        <f>Withdrawals_Data!B476</f>
        <v>DA-002-M0018</v>
      </c>
      <c r="G1682" s="24">
        <f>Withdrawals_Data!C476</f>
        <v>45521</v>
      </c>
      <c r="H1682" s="27">
        <v>0</v>
      </c>
      <c r="I1682" s="27">
        <f>-Withdrawals_Data!D476</f>
        <v>-8616</v>
      </c>
    </row>
    <row r="1683" spans="3:9">
      <c r="C1683" s="23">
        <v>476</v>
      </c>
      <c r="D1683" s="23" t="s">
        <v>134</v>
      </c>
      <c r="E1683" s="23" t="str">
        <f>Withdrawals_Data!A477</f>
        <v>DA-002</v>
      </c>
      <c r="F1683" s="23" t="str">
        <f>Withdrawals_Data!B477</f>
        <v>DA-002-M0018</v>
      </c>
      <c r="G1683" s="24">
        <f>Withdrawals_Data!C477</f>
        <v>45328</v>
      </c>
      <c r="H1683" s="27">
        <v>0</v>
      </c>
      <c r="I1683" s="27">
        <f>-Withdrawals_Data!D477</f>
        <v>-21045</v>
      </c>
    </row>
    <row r="1684" spans="3:9">
      <c r="C1684" s="23">
        <v>477</v>
      </c>
      <c r="D1684" s="23" t="s">
        <v>134</v>
      </c>
      <c r="E1684" s="23" t="str">
        <f>Withdrawals_Data!A478</f>
        <v>DA-002</v>
      </c>
      <c r="F1684" s="23" t="str">
        <f>Withdrawals_Data!B478</f>
        <v>DA-002-M0018</v>
      </c>
      <c r="G1684" s="24">
        <f>Withdrawals_Data!C478</f>
        <v>45651</v>
      </c>
      <c r="H1684" s="27">
        <v>0</v>
      </c>
      <c r="I1684" s="27">
        <f>-Withdrawals_Data!D478</f>
        <v>-12055</v>
      </c>
    </row>
    <row r="1685" spans="3:9">
      <c r="C1685" s="23">
        <v>478</v>
      </c>
      <c r="D1685" s="23" t="s">
        <v>134</v>
      </c>
      <c r="E1685" s="23" t="str">
        <f>Withdrawals_Data!A479</f>
        <v>DA-002</v>
      </c>
      <c r="F1685" s="23" t="str">
        <f>Withdrawals_Data!B479</f>
        <v>DA-002-M0018</v>
      </c>
      <c r="G1685" s="24">
        <f>Withdrawals_Data!C479</f>
        <v>45376</v>
      </c>
      <c r="H1685" s="27">
        <v>0</v>
      </c>
      <c r="I1685" s="27">
        <f>-Withdrawals_Data!D479</f>
        <v>-1853</v>
      </c>
    </row>
    <row r="1686" spans="3:9">
      <c r="C1686" s="23">
        <v>479</v>
      </c>
      <c r="D1686" s="23" t="s">
        <v>134</v>
      </c>
      <c r="E1686" s="23" t="str">
        <f>Withdrawals_Data!A480</f>
        <v>DA-002</v>
      </c>
      <c r="F1686" s="23" t="str">
        <f>Withdrawals_Data!B480</f>
        <v>DA-002-M0018</v>
      </c>
      <c r="G1686" s="24">
        <f>Withdrawals_Data!C480</f>
        <v>45297</v>
      </c>
      <c r="H1686" s="27">
        <v>0</v>
      </c>
      <c r="I1686" s="27">
        <f>-Withdrawals_Data!D480</f>
        <v>-4946</v>
      </c>
    </row>
    <row r="1687" spans="3:9">
      <c r="C1687" s="23">
        <v>480</v>
      </c>
      <c r="D1687" s="23" t="s">
        <v>134</v>
      </c>
      <c r="E1687" s="23" t="str">
        <f>Withdrawals_Data!A481</f>
        <v>DA-001</v>
      </c>
      <c r="F1687" s="23" t="str">
        <f>Withdrawals_Data!B481</f>
        <v>DA-001-M0019</v>
      </c>
      <c r="G1687" s="24">
        <f>Withdrawals_Data!C481</f>
        <v>45437</v>
      </c>
      <c r="H1687" s="27">
        <v>0</v>
      </c>
      <c r="I1687" s="27">
        <f>-Withdrawals_Data!D481</f>
        <v>-11074</v>
      </c>
    </row>
    <row r="1688" spans="3:9">
      <c r="C1688" s="23">
        <v>481</v>
      </c>
      <c r="D1688" s="23" t="s">
        <v>134</v>
      </c>
      <c r="E1688" s="23" t="str">
        <f>Withdrawals_Data!A482</f>
        <v>DA-001</v>
      </c>
      <c r="F1688" s="23" t="str">
        <f>Withdrawals_Data!B482</f>
        <v>DA-001-M0019</v>
      </c>
      <c r="G1688" s="24">
        <f>Withdrawals_Data!C482</f>
        <v>45512</v>
      </c>
      <c r="H1688" s="27">
        <v>0</v>
      </c>
      <c r="I1688" s="27">
        <f>-Withdrawals_Data!D482</f>
        <v>-9911</v>
      </c>
    </row>
    <row r="1689" spans="3:9">
      <c r="C1689" s="23">
        <v>482</v>
      </c>
      <c r="D1689" s="23" t="s">
        <v>134</v>
      </c>
      <c r="E1689" s="23" t="str">
        <f>Withdrawals_Data!A483</f>
        <v>DA-001</v>
      </c>
      <c r="F1689" s="23" t="str">
        <f>Withdrawals_Data!B483</f>
        <v>DA-001-M0019</v>
      </c>
      <c r="G1689" s="24">
        <f>Withdrawals_Data!C483</f>
        <v>45547</v>
      </c>
      <c r="H1689" s="27">
        <v>0</v>
      </c>
      <c r="I1689" s="27">
        <f>-Withdrawals_Data!D483</f>
        <v>-5507</v>
      </c>
    </row>
    <row r="1690" spans="3:9">
      <c r="C1690" s="23">
        <v>483</v>
      </c>
      <c r="D1690" s="23" t="s">
        <v>134</v>
      </c>
      <c r="E1690" s="23" t="str">
        <f>Withdrawals_Data!A484</f>
        <v>DA-001</v>
      </c>
      <c r="F1690" s="23" t="str">
        <f>Withdrawals_Data!B484</f>
        <v>DA-001-M0019</v>
      </c>
      <c r="G1690" s="24">
        <f>Withdrawals_Data!C484</f>
        <v>45415</v>
      </c>
      <c r="H1690" s="27">
        <v>0</v>
      </c>
      <c r="I1690" s="27">
        <f>-Withdrawals_Data!D484</f>
        <v>-11258</v>
      </c>
    </row>
    <row r="1691" spans="3:9">
      <c r="C1691" s="23">
        <v>484</v>
      </c>
      <c r="D1691" s="23" t="s">
        <v>134</v>
      </c>
      <c r="E1691" s="23" t="str">
        <f>Withdrawals_Data!A485</f>
        <v>DA-001</v>
      </c>
      <c r="F1691" s="23" t="str">
        <f>Withdrawals_Data!B485</f>
        <v>DA-001-M0019</v>
      </c>
      <c r="G1691" s="24">
        <f>Withdrawals_Data!C485</f>
        <v>45406</v>
      </c>
      <c r="H1691" s="27">
        <v>0</v>
      </c>
      <c r="I1691" s="27">
        <f>-Withdrawals_Data!D485</f>
        <v>-11583</v>
      </c>
    </row>
    <row r="1692" spans="3:9">
      <c r="C1692" s="23">
        <v>485</v>
      </c>
      <c r="D1692" s="23" t="s">
        <v>134</v>
      </c>
      <c r="E1692" s="23" t="str">
        <f>Withdrawals_Data!A486</f>
        <v>DA-001</v>
      </c>
      <c r="F1692" s="23" t="str">
        <f>Withdrawals_Data!B486</f>
        <v>DA-001-M0019</v>
      </c>
      <c r="G1692" s="24">
        <f>Withdrawals_Data!C486</f>
        <v>45618</v>
      </c>
      <c r="H1692" s="27">
        <v>0</v>
      </c>
      <c r="I1692" s="27">
        <f>-Withdrawals_Data!D486</f>
        <v>-14082</v>
      </c>
    </row>
    <row r="1693" spans="3:9">
      <c r="C1693" s="23">
        <v>486</v>
      </c>
      <c r="D1693" s="23" t="s">
        <v>134</v>
      </c>
      <c r="E1693" s="23" t="str">
        <f>Withdrawals_Data!A487</f>
        <v>DA-001</v>
      </c>
      <c r="F1693" s="23" t="str">
        <f>Withdrawals_Data!B487</f>
        <v>DA-001-M0019</v>
      </c>
      <c r="G1693" s="24">
        <f>Withdrawals_Data!C487</f>
        <v>45578</v>
      </c>
      <c r="H1693" s="27">
        <v>0</v>
      </c>
      <c r="I1693" s="27">
        <f>-Withdrawals_Data!D487</f>
        <v>-1941</v>
      </c>
    </row>
    <row r="1694" spans="3:9">
      <c r="C1694" s="23">
        <v>487</v>
      </c>
      <c r="D1694" s="23" t="s">
        <v>134</v>
      </c>
      <c r="E1694" s="23" t="str">
        <f>Withdrawals_Data!A488</f>
        <v>DA-001</v>
      </c>
      <c r="F1694" s="23" t="str">
        <f>Withdrawals_Data!B488</f>
        <v>DA-001-M0019</v>
      </c>
      <c r="G1694" s="24">
        <f>Withdrawals_Data!C488</f>
        <v>45645</v>
      </c>
      <c r="H1694" s="27">
        <v>0</v>
      </c>
      <c r="I1694" s="27">
        <f>-Withdrawals_Data!D488</f>
        <v>-14928</v>
      </c>
    </row>
    <row r="1695" spans="3:9">
      <c r="C1695" s="23">
        <v>488</v>
      </c>
      <c r="D1695" s="23" t="s">
        <v>134</v>
      </c>
      <c r="E1695" s="23" t="str">
        <f>Withdrawals_Data!A489</f>
        <v>DA-001</v>
      </c>
      <c r="F1695" s="23" t="str">
        <f>Withdrawals_Data!B489</f>
        <v>DA-001-M0019</v>
      </c>
      <c r="G1695" s="24">
        <f>Withdrawals_Data!C489</f>
        <v>45622</v>
      </c>
      <c r="H1695" s="27">
        <v>0</v>
      </c>
      <c r="I1695" s="27">
        <f>-Withdrawals_Data!D489</f>
        <v>-14910</v>
      </c>
    </row>
    <row r="1696" spans="3:9">
      <c r="C1696" s="23">
        <v>489</v>
      </c>
      <c r="D1696" s="23" t="s">
        <v>134</v>
      </c>
      <c r="E1696" s="23" t="str">
        <f>Withdrawals_Data!A490</f>
        <v>DA-002</v>
      </c>
      <c r="F1696" s="23" t="str">
        <f>Withdrawals_Data!B490</f>
        <v>DA-002-M0020</v>
      </c>
      <c r="G1696" s="24">
        <f>Withdrawals_Data!C490</f>
        <v>45432</v>
      </c>
      <c r="H1696" s="27">
        <v>0</v>
      </c>
      <c r="I1696" s="27">
        <f>-Withdrawals_Data!D490</f>
        <v>-21423</v>
      </c>
    </row>
    <row r="1697" spans="3:9">
      <c r="C1697" s="23">
        <v>490</v>
      </c>
      <c r="D1697" s="23" t="s">
        <v>134</v>
      </c>
      <c r="E1697" s="23" t="str">
        <f>Withdrawals_Data!A491</f>
        <v>DA-002</v>
      </c>
      <c r="F1697" s="23" t="str">
        <f>Withdrawals_Data!B491</f>
        <v>DA-002-M0020</v>
      </c>
      <c r="G1697" s="24">
        <f>Withdrawals_Data!C491</f>
        <v>45599</v>
      </c>
      <c r="H1697" s="27">
        <v>0</v>
      </c>
      <c r="I1697" s="27">
        <f>-Withdrawals_Data!D491</f>
        <v>-16786</v>
      </c>
    </row>
    <row r="1698" spans="3:9">
      <c r="C1698" s="23">
        <v>491</v>
      </c>
      <c r="D1698" s="23" t="s">
        <v>134</v>
      </c>
      <c r="E1698" s="23" t="str">
        <f>Withdrawals_Data!A492</f>
        <v>DA-002</v>
      </c>
      <c r="F1698" s="23" t="str">
        <f>Withdrawals_Data!B492</f>
        <v>DA-002-M0020</v>
      </c>
      <c r="G1698" s="24">
        <f>Withdrawals_Data!C492</f>
        <v>45333</v>
      </c>
      <c r="H1698" s="27">
        <v>0</v>
      </c>
      <c r="I1698" s="27">
        <f>-Withdrawals_Data!D492</f>
        <v>-11346</v>
      </c>
    </row>
    <row r="1699" spans="3:9">
      <c r="C1699" s="23">
        <v>492</v>
      </c>
      <c r="D1699" s="23" t="s">
        <v>134</v>
      </c>
      <c r="E1699" s="23" t="str">
        <f>Withdrawals_Data!A493</f>
        <v>DA-002</v>
      </c>
      <c r="F1699" s="23" t="str">
        <f>Withdrawals_Data!B493</f>
        <v>DA-002-M0020</v>
      </c>
      <c r="G1699" s="24">
        <f>Withdrawals_Data!C493</f>
        <v>45640</v>
      </c>
      <c r="H1699" s="27">
        <v>0</v>
      </c>
      <c r="I1699" s="27">
        <f>-Withdrawals_Data!D493</f>
        <v>-5031</v>
      </c>
    </row>
    <row r="1700" spans="3:9">
      <c r="C1700" s="23">
        <v>493</v>
      </c>
      <c r="D1700" s="23" t="s">
        <v>134</v>
      </c>
      <c r="E1700" s="23" t="str">
        <f>Withdrawals_Data!A494</f>
        <v>DA-002</v>
      </c>
      <c r="F1700" s="23" t="str">
        <f>Withdrawals_Data!B494</f>
        <v>DA-002-M0020</v>
      </c>
      <c r="G1700" s="24">
        <f>Withdrawals_Data!C494</f>
        <v>45461</v>
      </c>
      <c r="H1700" s="27">
        <v>0</v>
      </c>
      <c r="I1700" s="27">
        <f>-Withdrawals_Data!D494</f>
        <v>-19587</v>
      </c>
    </row>
    <row r="1701" spans="3:9">
      <c r="C1701" s="23">
        <v>494</v>
      </c>
      <c r="D1701" s="23" t="s">
        <v>134</v>
      </c>
      <c r="E1701" s="23" t="str">
        <f>Withdrawals_Data!A495</f>
        <v>DA-002</v>
      </c>
      <c r="F1701" s="23" t="str">
        <f>Withdrawals_Data!B495</f>
        <v>DA-002-M0020</v>
      </c>
      <c r="G1701" s="24">
        <f>Withdrawals_Data!C495</f>
        <v>45521</v>
      </c>
      <c r="H1701" s="27">
        <v>0</v>
      </c>
      <c r="I1701" s="27">
        <f>-Withdrawals_Data!D495</f>
        <v>-13539</v>
      </c>
    </row>
    <row r="1702" spans="3:9">
      <c r="C1702" s="23">
        <v>495</v>
      </c>
      <c r="D1702" s="23" t="s">
        <v>134</v>
      </c>
      <c r="E1702" s="23" t="str">
        <f>Withdrawals_Data!A496</f>
        <v>DA-002</v>
      </c>
      <c r="F1702" s="23" t="str">
        <f>Withdrawals_Data!B496</f>
        <v>DA-002-M0020</v>
      </c>
      <c r="G1702" s="24">
        <f>Withdrawals_Data!C496</f>
        <v>45496</v>
      </c>
      <c r="H1702" s="27">
        <v>0</v>
      </c>
      <c r="I1702" s="27">
        <f>-Withdrawals_Data!D496</f>
        <v>-13319</v>
      </c>
    </row>
    <row r="1703" spans="3:9">
      <c r="C1703" s="23">
        <v>496</v>
      </c>
      <c r="D1703" s="23" t="s">
        <v>134</v>
      </c>
      <c r="E1703" s="23" t="str">
        <f>Withdrawals_Data!A497</f>
        <v>DA-002</v>
      </c>
      <c r="F1703" s="23" t="str">
        <f>Withdrawals_Data!B497</f>
        <v>DA-002-M0020</v>
      </c>
      <c r="G1703" s="24">
        <f>Withdrawals_Data!C497</f>
        <v>45612</v>
      </c>
      <c r="H1703" s="27">
        <v>0</v>
      </c>
      <c r="I1703" s="27">
        <f>-Withdrawals_Data!D497</f>
        <v>-17176</v>
      </c>
    </row>
    <row r="1704" spans="3:9">
      <c r="C1704" s="23">
        <v>497</v>
      </c>
      <c r="D1704" s="23" t="s">
        <v>134</v>
      </c>
      <c r="E1704" s="23" t="str">
        <f>Withdrawals_Data!A498</f>
        <v>DA-002</v>
      </c>
      <c r="F1704" s="23" t="str">
        <f>Withdrawals_Data!B498</f>
        <v>DA-002-M0020</v>
      </c>
      <c r="G1704" s="24">
        <f>Withdrawals_Data!C498</f>
        <v>45330</v>
      </c>
      <c r="H1704" s="27">
        <v>0</v>
      </c>
      <c r="I1704" s="27">
        <f>-Withdrawals_Data!D498</f>
        <v>-9181</v>
      </c>
    </row>
    <row r="1705" spans="3:9">
      <c r="C1705" s="23">
        <v>498</v>
      </c>
      <c r="D1705" s="23" t="s">
        <v>134</v>
      </c>
      <c r="E1705" s="23" t="str">
        <f>Withdrawals_Data!A499</f>
        <v>DA-002</v>
      </c>
      <c r="F1705" s="23" t="str">
        <f>Withdrawals_Data!B499</f>
        <v>DA-002-M0020</v>
      </c>
      <c r="G1705" s="24">
        <f>Withdrawals_Data!C499</f>
        <v>45557</v>
      </c>
      <c r="H1705" s="27">
        <v>0</v>
      </c>
      <c r="I1705" s="27">
        <f>-Withdrawals_Data!D499</f>
        <v>-6357</v>
      </c>
    </row>
    <row r="1706" spans="3:9">
      <c r="C1706" s="23">
        <v>499</v>
      </c>
      <c r="D1706" s="23" t="s">
        <v>134</v>
      </c>
      <c r="E1706" s="23" t="str">
        <f>Withdrawals_Data!A500</f>
        <v>DA-002</v>
      </c>
      <c r="F1706" s="23" t="str">
        <f>Withdrawals_Data!B500</f>
        <v>DA-002-M0021</v>
      </c>
      <c r="G1706" s="24">
        <f>Withdrawals_Data!C500</f>
        <v>45475</v>
      </c>
      <c r="H1706" s="27">
        <v>0</v>
      </c>
      <c r="I1706" s="27">
        <f>-Withdrawals_Data!D500</f>
        <v>-9295</v>
      </c>
    </row>
    <row r="1707" spans="3:9">
      <c r="C1707" s="23">
        <v>500</v>
      </c>
      <c r="D1707" s="23" t="s">
        <v>134</v>
      </c>
      <c r="E1707" s="23" t="str">
        <f>Withdrawals_Data!A501</f>
        <v>DA-002</v>
      </c>
      <c r="F1707" s="23" t="str">
        <f>Withdrawals_Data!B501</f>
        <v>DA-002-M0021</v>
      </c>
      <c r="G1707" s="24">
        <f>Withdrawals_Data!C501</f>
        <v>45396</v>
      </c>
      <c r="H1707" s="27">
        <v>0</v>
      </c>
      <c r="I1707" s="27">
        <f>-Withdrawals_Data!D501</f>
        <v>-6888</v>
      </c>
    </row>
    <row r="1708" spans="3:9">
      <c r="C1708" s="23">
        <v>501</v>
      </c>
      <c r="D1708" s="23" t="s">
        <v>134</v>
      </c>
      <c r="E1708" s="23" t="str">
        <f>Withdrawals_Data!A502</f>
        <v>DA-002</v>
      </c>
      <c r="F1708" s="23" t="str">
        <f>Withdrawals_Data!B502</f>
        <v>DA-002-M0021</v>
      </c>
      <c r="G1708" s="24">
        <f>Withdrawals_Data!C502</f>
        <v>45590</v>
      </c>
      <c r="H1708" s="27">
        <v>0</v>
      </c>
      <c r="I1708" s="27">
        <f>-Withdrawals_Data!D502</f>
        <v>-12956</v>
      </c>
    </row>
    <row r="1709" spans="3:9">
      <c r="C1709" s="23">
        <v>502</v>
      </c>
      <c r="D1709" s="23" t="s">
        <v>134</v>
      </c>
      <c r="E1709" s="23" t="str">
        <f>Withdrawals_Data!A503</f>
        <v>DA-002</v>
      </c>
      <c r="F1709" s="23" t="str">
        <f>Withdrawals_Data!B503</f>
        <v>DA-002-M0021</v>
      </c>
      <c r="G1709" s="24">
        <f>Withdrawals_Data!C503</f>
        <v>45330</v>
      </c>
      <c r="H1709" s="27">
        <v>0</v>
      </c>
      <c r="I1709" s="27">
        <f>-Withdrawals_Data!D503</f>
        <v>-12299</v>
      </c>
    </row>
    <row r="1710" spans="3:9">
      <c r="C1710" s="23">
        <v>503</v>
      </c>
      <c r="D1710" s="23" t="s">
        <v>134</v>
      </c>
      <c r="E1710" s="23" t="str">
        <f>Withdrawals_Data!A504</f>
        <v>DA-002</v>
      </c>
      <c r="F1710" s="23" t="str">
        <f>Withdrawals_Data!B504</f>
        <v>DA-002-M0021</v>
      </c>
      <c r="G1710" s="24">
        <f>Withdrawals_Data!C504</f>
        <v>45390</v>
      </c>
      <c r="H1710" s="27">
        <v>0</v>
      </c>
      <c r="I1710" s="27">
        <f>-Withdrawals_Data!D504</f>
        <v>-17660</v>
      </c>
    </row>
    <row r="1711" spans="3:9">
      <c r="C1711" s="23">
        <v>504</v>
      </c>
      <c r="D1711" s="23" t="s">
        <v>134</v>
      </c>
      <c r="E1711" s="23" t="str">
        <f>Withdrawals_Data!A505</f>
        <v>DA-002</v>
      </c>
      <c r="F1711" s="23" t="str">
        <f>Withdrawals_Data!B505</f>
        <v>DA-002-M0021</v>
      </c>
      <c r="G1711" s="24">
        <f>Withdrawals_Data!C505</f>
        <v>45584</v>
      </c>
      <c r="H1711" s="27">
        <v>0</v>
      </c>
      <c r="I1711" s="27">
        <f>-Withdrawals_Data!D505</f>
        <v>-6171</v>
      </c>
    </row>
    <row r="1712" spans="3:9">
      <c r="C1712" s="23">
        <v>505</v>
      </c>
      <c r="D1712" s="23" t="s">
        <v>134</v>
      </c>
      <c r="E1712" s="23" t="str">
        <f>Withdrawals_Data!A506</f>
        <v>DA-002</v>
      </c>
      <c r="F1712" s="23" t="str">
        <f>Withdrawals_Data!B506</f>
        <v>DA-002-M0021</v>
      </c>
      <c r="G1712" s="24">
        <f>Withdrawals_Data!C506</f>
        <v>45367</v>
      </c>
      <c r="H1712" s="27">
        <v>0</v>
      </c>
      <c r="I1712" s="27">
        <f>-Withdrawals_Data!D506</f>
        <v>-15298</v>
      </c>
    </row>
    <row r="1713" spans="3:9">
      <c r="C1713" s="23">
        <v>506</v>
      </c>
      <c r="D1713" s="23" t="s">
        <v>134</v>
      </c>
      <c r="E1713" s="23" t="str">
        <f>Withdrawals_Data!A507</f>
        <v>DA-002</v>
      </c>
      <c r="F1713" s="23" t="str">
        <f>Withdrawals_Data!B507</f>
        <v>DA-002-M0021</v>
      </c>
      <c r="G1713" s="24">
        <f>Withdrawals_Data!C507</f>
        <v>45501</v>
      </c>
      <c r="H1713" s="27">
        <v>0</v>
      </c>
      <c r="I1713" s="27">
        <f>-Withdrawals_Data!D507</f>
        <v>-2626</v>
      </c>
    </row>
    <row r="1714" spans="3:9">
      <c r="C1714" s="23">
        <v>507</v>
      </c>
      <c r="D1714" s="23" t="s">
        <v>134</v>
      </c>
      <c r="E1714" s="23" t="str">
        <f>Withdrawals_Data!A508</f>
        <v>DA-002</v>
      </c>
      <c r="F1714" s="23" t="str">
        <f>Withdrawals_Data!B508</f>
        <v>DA-002-M0021</v>
      </c>
      <c r="G1714" s="24">
        <f>Withdrawals_Data!C508</f>
        <v>45382</v>
      </c>
      <c r="H1714" s="27">
        <v>0</v>
      </c>
      <c r="I1714" s="27">
        <f>-Withdrawals_Data!D508</f>
        <v>-13933</v>
      </c>
    </row>
    <row r="1715" spans="3:9">
      <c r="C1715" s="23">
        <v>508</v>
      </c>
      <c r="D1715" s="23" t="s">
        <v>134</v>
      </c>
      <c r="E1715" s="23" t="str">
        <f>Withdrawals_Data!A509</f>
        <v>DA-001</v>
      </c>
      <c r="F1715" s="23" t="str">
        <f>Withdrawals_Data!B509</f>
        <v>DA-001-M0022</v>
      </c>
      <c r="G1715" s="24">
        <f>Withdrawals_Data!C509</f>
        <v>45524</v>
      </c>
      <c r="H1715" s="27">
        <v>0</v>
      </c>
      <c r="I1715" s="27">
        <f>-Withdrawals_Data!D509</f>
        <v>-18813</v>
      </c>
    </row>
    <row r="1716" spans="3:9">
      <c r="C1716" s="23">
        <v>509</v>
      </c>
      <c r="D1716" s="23" t="s">
        <v>134</v>
      </c>
      <c r="E1716" s="23" t="str">
        <f>Withdrawals_Data!A510</f>
        <v>DA-001</v>
      </c>
      <c r="F1716" s="23" t="str">
        <f>Withdrawals_Data!B510</f>
        <v>DA-001-M0022</v>
      </c>
      <c r="G1716" s="24">
        <f>Withdrawals_Data!C510</f>
        <v>45442</v>
      </c>
      <c r="H1716" s="27">
        <v>0</v>
      </c>
      <c r="I1716" s="27">
        <f>-Withdrawals_Data!D510</f>
        <v>-4010</v>
      </c>
    </row>
    <row r="1717" spans="3:9">
      <c r="C1717" s="23">
        <v>510</v>
      </c>
      <c r="D1717" s="23" t="s">
        <v>134</v>
      </c>
      <c r="E1717" s="23" t="str">
        <f>Withdrawals_Data!A511</f>
        <v>DA-001</v>
      </c>
      <c r="F1717" s="23" t="str">
        <f>Withdrawals_Data!B511</f>
        <v>DA-001-M0022</v>
      </c>
      <c r="G1717" s="24">
        <f>Withdrawals_Data!C511</f>
        <v>45302</v>
      </c>
      <c r="H1717" s="27">
        <v>0</v>
      </c>
      <c r="I1717" s="27">
        <f>-Withdrawals_Data!D511</f>
        <v>-4177</v>
      </c>
    </row>
    <row r="1718" spans="3:9">
      <c r="C1718" s="23">
        <v>511</v>
      </c>
      <c r="D1718" s="23" t="s">
        <v>134</v>
      </c>
      <c r="E1718" s="23" t="str">
        <f>Withdrawals_Data!A512</f>
        <v>DA-001</v>
      </c>
      <c r="F1718" s="23" t="str">
        <f>Withdrawals_Data!B512</f>
        <v>DA-001-M0022</v>
      </c>
      <c r="G1718" s="24">
        <f>Withdrawals_Data!C512</f>
        <v>45461</v>
      </c>
      <c r="H1718" s="27">
        <v>0</v>
      </c>
      <c r="I1718" s="27">
        <f>-Withdrawals_Data!D512</f>
        <v>-12540</v>
      </c>
    </row>
    <row r="1719" spans="3:9">
      <c r="C1719" s="23">
        <v>512</v>
      </c>
      <c r="D1719" s="23" t="s">
        <v>134</v>
      </c>
      <c r="E1719" s="23" t="str">
        <f>Withdrawals_Data!A513</f>
        <v>DA-001</v>
      </c>
      <c r="F1719" s="23" t="str">
        <f>Withdrawals_Data!B513</f>
        <v>DA-001-M0022</v>
      </c>
      <c r="G1719" s="24">
        <f>Withdrawals_Data!C513</f>
        <v>45596</v>
      </c>
      <c r="H1719" s="27">
        <v>0</v>
      </c>
      <c r="I1719" s="27">
        <f>-Withdrawals_Data!D513</f>
        <v>-17020</v>
      </c>
    </row>
    <row r="1720" spans="3:9">
      <c r="C1720" s="23">
        <v>513</v>
      </c>
      <c r="D1720" s="23" t="s">
        <v>134</v>
      </c>
      <c r="E1720" s="23" t="str">
        <f>Withdrawals_Data!A514</f>
        <v>DA-001</v>
      </c>
      <c r="F1720" s="23" t="str">
        <f>Withdrawals_Data!B514</f>
        <v>DA-001-M0022</v>
      </c>
      <c r="G1720" s="24">
        <f>Withdrawals_Data!C514</f>
        <v>45627</v>
      </c>
      <c r="H1720" s="27">
        <v>0</v>
      </c>
      <c r="I1720" s="27">
        <f>-Withdrawals_Data!D514</f>
        <v>-13258</v>
      </c>
    </row>
    <row r="1721" spans="3:9">
      <c r="C1721" s="23">
        <v>514</v>
      </c>
      <c r="D1721" s="23" t="s">
        <v>134</v>
      </c>
      <c r="E1721" s="23" t="str">
        <f>Withdrawals_Data!A515</f>
        <v>DA-001</v>
      </c>
      <c r="F1721" s="23" t="str">
        <f>Withdrawals_Data!B515</f>
        <v>DA-001-M0022</v>
      </c>
      <c r="G1721" s="24">
        <f>Withdrawals_Data!C515</f>
        <v>45525</v>
      </c>
      <c r="H1721" s="27">
        <v>0</v>
      </c>
      <c r="I1721" s="27">
        <f>-Withdrawals_Data!D515</f>
        <v>-21052</v>
      </c>
    </row>
    <row r="1722" spans="3:9">
      <c r="C1722" s="23">
        <v>515</v>
      </c>
      <c r="D1722" s="23" t="s">
        <v>134</v>
      </c>
      <c r="E1722" s="23" t="str">
        <f>Withdrawals_Data!A516</f>
        <v>DA-001</v>
      </c>
      <c r="F1722" s="23" t="str">
        <f>Withdrawals_Data!B516</f>
        <v>DA-001-M0022</v>
      </c>
      <c r="G1722" s="24">
        <f>Withdrawals_Data!C516</f>
        <v>45309</v>
      </c>
      <c r="H1722" s="27">
        <v>0</v>
      </c>
      <c r="I1722" s="27">
        <f>-Withdrawals_Data!D516</f>
        <v>-8843</v>
      </c>
    </row>
    <row r="1723" spans="3:9">
      <c r="C1723" s="23">
        <v>516</v>
      </c>
      <c r="D1723" s="23" t="s">
        <v>134</v>
      </c>
      <c r="E1723" s="23" t="str">
        <f>Withdrawals_Data!A517</f>
        <v>DA-002</v>
      </c>
      <c r="F1723" s="23" t="str">
        <f>Withdrawals_Data!B517</f>
        <v>DA-002-M0023</v>
      </c>
      <c r="G1723" s="24">
        <f>Withdrawals_Data!C517</f>
        <v>45458</v>
      </c>
      <c r="H1723" s="27">
        <v>0</v>
      </c>
      <c r="I1723" s="27">
        <f>-Withdrawals_Data!D517</f>
        <v>-18337</v>
      </c>
    </row>
    <row r="1724" spans="3:9">
      <c r="C1724" s="23">
        <v>517</v>
      </c>
      <c r="D1724" s="23" t="s">
        <v>134</v>
      </c>
      <c r="E1724" s="23" t="str">
        <f>Withdrawals_Data!A518</f>
        <v>DA-002</v>
      </c>
      <c r="F1724" s="23" t="str">
        <f>Withdrawals_Data!B518</f>
        <v>DA-002-M0023</v>
      </c>
      <c r="G1724" s="24">
        <f>Withdrawals_Data!C518</f>
        <v>45362</v>
      </c>
      <c r="H1724" s="27">
        <v>0</v>
      </c>
      <c r="I1724" s="27">
        <f>-Withdrawals_Data!D518</f>
        <v>-20333</v>
      </c>
    </row>
    <row r="1725" spans="3:9">
      <c r="C1725" s="23">
        <v>518</v>
      </c>
      <c r="D1725" s="23" t="s">
        <v>134</v>
      </c>
      <c r="E1725" s="23" t="str">
        <f>Withdrawals_Data!A519</f>
        <v>DA-002</v>
      </c>
      <c r="F1725" s="23" t="str">
        <f>Withdrawals_Data!B519</f>
        <v>DA-002-M0023</v>
      </c>
      <c r="G1725" s="24">
        <f>Withdrawals_Data!C519</f>
        <v>45628</v>
      </c>
      <c r="H1725" s="27">
        <v>0</v>
      </c>
      <c r="I1725" s="27">
        <f>-Withdrawals_Data!D519</f>
        <v>-4178</v>
      </c>
    </row>
    <row r="1726" spans="3:9">
      <c r="C1726" s="23">
        <v>519</v>
      </c>
      <c r="D1726" s="23" t="s">
        <v>134</v>
      </c>
      <c r="E1726" s="23" t="str">
        <f>Withdrawals_Data!A520</f>
        <v>DA-002</v>
      </c>
      <c r="F1726" s="23" t="str">
        <f>Withdrawals_Data!B520</f>
        <v>DA-002-M0023</v>
      </c>
      <c r="G1726" s="24">
        <f>Withdrawals_Data!C520</f>
        <v>45338</v>
      </c>
      <c r="H1726" s="27">
        <v>0</v>
      </c>
      <c r="I1726" s="27">
        <f>-Withdrawals_Data!D520</f>
        <v>-6114</v>
      </c>
    </row>
    <row r="1727" spans="3:9">
      <c r="C1727" s="23">
        <v>520</v>
      </c>
      <c r="D1727" s="23" t="s">
        <v>134</v>
      </c>
      <c r="E1727" s="23" t="str">
        <f>Withdrawals_Data!A521</f>
        <v>DA-002</v>
      </c>
      <c r="F1727" s="23" t="str">
        <f>Withdrawals_Data!B521</f>
        <v>DA-002-M0023</v>
      </c>
      <c r="G1727" s="24">
        <f>Withdrawals_Data!C521</f>
        <v>45426</v>
      </c>
      <c r="H1727" s="27">
        <v>0</v>
      </c>
      <c r="I1727" s="27">
        <f>-Withdrawals_Data!D521</f>
        <v>-2548</v>
      </c>
    </row>
    <row r="1728" spans="3:9">
      <c r="C1728" s="23">
        <v>521</v>
      </c>
      <c r="D1728" s="23" t="s">
        <v>134</v>
      </c>
      <c r="E1728" s="23" t="str">
        <f>Withdrawals_Data!A522</f>
        <v>DA-002</v>
      </c>
      <c r="F1728" s="23" t="str">
        <f>Withdrawals_Data!B522</f>
        <v>DA-002-M0023</v>
      </c>
      <c r="G1728" s="24">
        <f>Withdrawals_Data!C522</f>
        <v>45576</v>
      </c>
      <c r="H1728" s="27">
        <v>0</v>
      </c>
      <c r="I1728" s="27">
        <f>-Withdrawals_Data!D522</f>
        <v>-5992</v>
      </c>
    </row>
    <row r="1729" spans="3:9">
      <c r="C1729" s="23">
        <v>522</v>
      </c>
      <c r="D1729" s="23" t="s">
        <v>134</v>
      </c>
      <c r="E1729" s="23" t="str">
        <f>Withdrawals_Data!A523</f>
        <v>DA-002</v>
      </c>
      <c r="F1729" s="23" t="str">
        <f>Withdrawals_Data!B523</f>
        <v>DA-002-M0023</v>
      </c>
      <c r="G1729" s="24">
        <f>Withdrawals_Data!C523</f>
        <v>45579</v>
      </c>
      <c r="H1729" s="27">
        <v>0</v>
      </c>
      <c r="I1729" s="27">
        <f>-Withdrawals_Data!D523</f>
        <v>-7904</v>
      </c>
    </row>
    <row r="1730" spans="3:9">
      <c r="C1730" s="23">
        <v>523</v>
      </c>
      <c r="D1730" s="23" t="s">
        <v>134</v>
      </c>
      <c r="E1730" s="23" t="str">
        <f>Withdrawals_Data!A524</f>
        <v>DA-002</v>
      </c>
      <c r="F1730" s="23" t="str">
        <f>Withdrawals_Data!B524</f>
        <v>DA-002-M0023</v>
      </c>
      <c r="G1730" s="24">
        <f>Withdrawals_Data!C524</f>
        <v>45487</v>
      </c>
      <c r="H1730" s="27">
        <v>0</v>
      </c>
      <c r="I1730" s="27">
        <f>-Withdrawals_Data!D524</f>
        <v>-16761</v>
      </c>
    </row>
    <row r="1731" spans="3:9">
      <c r="C1731" s="23">
        <v>524</v>
      </c>
      <c r="D1731" s="23" t="s">
        <v>134</v>
      </c>
      <c r="E1731" s="23" t="str">
        <f>Withdrawals_Data!A525</f>
        <v>DA-002</v>
      </c>
      <c r="F1731" s="23" t="str">
        <f>Withdrawals_Data!B525</f>
        <v>DA-002-M0023</v>
      </c>
      <c r="G1731" s="24">
        <f>Withdrawals_Data!C525</f>
        <v>45443</v>
      </c>
      <c r="H1731" s="27">
        <v>0</v>
      </c>
      <c r="I1731" s="27">
        <f>-Withdrawals_Data!D525</f>
        <v>-10563</v>
      </c>
    </row>
    <row r="1732" spans="3:9">
      <c r="C1732" s="23">
        <v>525</v>
      </c>
      <c r="D1732" s="23" t="s">
        <v>134</v>
      </c>
      <c r="E1732" s="23" t="str">
        <f>Withdrawals_Data!A526</f>
        <v>DA-002</v>
      </c>
      <c r="F1732" s="23" t="str">
        <f>Withdrawals_Data!B526</f>
        <v>DA-002-M0023</v>
      </c>
      <c r="G1732" s="24">
        <f>Withdrawals_Data!C526</f>
        <v>45627</v>
      </c>
      <c r="H1732" s="27">
        <v>0</v>
      </c>
      <c r="I1732" s="27">
        <f>-Withdrawals_Data!D526</f>
        <v>-12936</v>
      </c>
    </row>
    <row r="1733" spans="3:9">
      <c r="C1733" s="23">
        <v>526</v>
      </c>
      <c r="D1733" s="23" t="s">
        <v>134</v>
      </c>
      <c r="E1733" s="23" t="str">
        <f>Withdrawals_Data!A527</f>
        <v>DA-002</v>
      </c>
      <c r="F1733" s="23" t="str">
        <f>Withdrawals_Data!B527</f>
        <v>DA-002-M0023</v>
      </c>
      <c r="G1733" s="24">
        <f>Withdrawals_Data!C527</f>
        <v>45553</v>
      </c>
      <c r="H1733" s="27">
        <v>0</v>
      </c>
      <c r="I1733" s="27">
        <f>-Withdrawals_Data!D527</f>
        <v>-8712</v>
      </c>
    </row>
    <row r="1734" spans="3:9">
      <c r="C1734" s="23">
        <v>527</v>
      </c>
      <c r="D1734" s="23" t="s">
        <v>134</v>
      </c>
      <c r="E1734" s="23" t="str">
        <f>Withdrawals_Data!A528</f>
        <v>DA-001</v>
      </c>
      <c r="F1734" s="23" t="str">
        <f>Withdrawals_Data!B528</f>
        <v>DA-001-M0024</v>
      </c>
      <c r="G1734" s="24">
        <f>Withdrawals_Data!C528</f>
        <v>45446</v>
      </c>
      <c r="H1734" s="27">
        <v>0</v>
      </c>
      <c r="I1734" s="27">
        <f>-Withdrawals_Data!D528</f>
        <v>-7472</v>
      </c>
    </row>
    <row r="1735" spans="3:9">
      <c r="C1735" s="23">
        <v>528</v>
      </c>
      <c r="D1735" s="23" t="s">
        <v>134</v>
      </c>
      <c r="E1735" s="23" t="str">
        <f>Withdrawals_Data!A529</f>
        <v>DA-001</v>
      </c>
      <c r="F1735" s="23" t="str">
        <f>Withdrawals_Data!B529</f>
        <v>DA-001-M0024</v>
      </c>
      <c r="G1735" s="24">
        <f>Withdrawals_Data!C529</f>
        <v>45594</v>
      </c>
      <c r="H1735" s="27">
        <v>0</v>
      </c>
      <c r="I1735" s="27">
        <f>-Withdrawals_Data!D529</f>
        <v>-16410</v>
      </c>
    </row>
    <row r="1736" spans="3:9">
      <c r="C1736" s="23">
        <v>529</v>
      </c>
      <c r="D1736" s="23" t="s">
        <v>134</v>
      </c>
      <c r="E1736" s="23" t="str">
        <f>Withdrawals_Data!A530</f>
        <v>DA-001</v>
      </c>
      <c r="F1736" s="23" t="str">
        <f>Withdrawals_Data!B530</f>
        <v>DA-001-M0024</v>
      </c>
      <c r="G1736" s="24">
        <f>Withdrawals_Data!C530</f>
        <v>45556</v>
      </c>
      <c r="H1736" s="27">
        <v>0</v>
      </c>
      <c r="I1736" s="27">
        <f>-Withdrawals_Data!D530</f>
        <v>-8035</v>
      </c>
    </row>
    <row r="1737" spans="3:9">
      <c r="C1737" s="23">
        <v>530</v>
      </c>
      <c r="D1737" s="23" t="s">
        <v>134</v>
      </c>
      <c r="E1737" s="23" t="str">
        <f>Withdrawals_Data!A531</f>
        <v>DA-001</v>
      </c>
      <c r="F1737" s="23" t="str">
        <f>Withdrawals_Data!B531</f>
        <v>DA-001-M0024</v>
      </c>
      <c r="G1737" s="24">
        <f>Withdrawals_Data!C531</f>
        <v>45538</v>
      </c>
      <c r="H1737" s="27">
        <v>0</v>
      </c>
      <c r="I1737" s="27">
        <f>-Withdrawals_Data!D531</f>
        <v>-16641</v>
      </c>
    </row>
    <row r="1738" spans="3:9">
      <c r="C1738" s="23">
        <v>531</v>
      </c>
      <c r="D1738" s="23" t="s">
        <v>134</v>
      </c>
      <c r="E1738" s="23" t="str">
        <f>Withdrawals_Data!A532</f>
        <v>DA-001</v>
      </c>
      <c r="F1738" s="23" t="str">
        <f>Withdrawals_Data!B532</f>
        <v>DA-001-M0024</v>
      </c>
      <c r="G1738" s="24">
        <f>Withdrawals_Data!C532</f>
        <v>45358</v>
      </c>
      <c r="H1738" s="27">
        <v>0</v>
      </c>
      <c r="I1738" s="27">
        <f>-Withdrawals_Data!D532</f>
        <v>-11331</v>
      </c>
    </row>
    <row r="1739" spans="3:9">
      <c r="C1739" s="23">
        <v>532</v>
      </c>
      <c r="D1739" s="23" t="s">
        <v>134</v>
      </c>
      <c r="E1739" s="23" t="str">
        <f>Withdrawals_Data!A533</f>
        <v>DA-001</v>
      </c>
      <c r="F1739" s="23" t="str">
        <f>Withdrawals_Data!B533</f>
        <v>DA-001-M0024</v>
      </c>
      <c r="G1739" s="24">
        <f>Withdrawals_Data!C533</f>
        <v>45570</v>
      </c>
      <c r="H1739" s="27">
        <v>0</v>
      </c>
      <c r="I1739" s="27">
        <f>-Withdrawals_Data!D533</f>
        <v>-17934</v>
      </c>
    </row>
    <row r="1740" spans="3:9">
      <c r="C1740" s="23">
        <v>533</v>
      </c>
      <c r="D1740" s="23" t="s">
        <v>134</v>
      </c>
      <c r="E1740" s="23" t="str">
        <f>Withdrawals_Data!A534</f>
        <v>DA-001</v>
      </c>
      <c r="F1740" s="23" t="str">
        <f>Withdrawals_Data!B534</f>
        <v>DA-001-M0024</v>
      </c>
      <c r="G1740" s="24">
        <f>Withdrawals_Data!C534</f>
        <v>45488</v>
      </c>
      <c r="H1740" s="27">
        <v>0</v>
      </c>
      <c r="I1740" s="27">
        <f>-Withdrawals_Data!D534</f>
        <v>-10013</v>
      </c>
    </row>
    <row r="1741" spans="3:9">
      <c r="C1741" s="23">
        <v>534</v>
      </c>
      <c r="D1741" s="23" t="s">
        <v>134</v>
      </c>
      <c r="E1741" s="23" t="str">
        <f>Withdrawals_Data!A535</f>
        <v>DA-001</v>
      </c>
      <c r="F1741" s="23" t="str">
        <f>Withdrawals_Data!B535</f>
        <v>DA-001-M0024</v>
      </c>
      <c r="G1741" s="24">
        <f>Withdrawals_Data!C535</f>
        <v>45557</v>
      </c>
      <c r="H1741" s="27">
        <v>0</v>
      </c>
      <c r="I1741" s="27">
        <f>-Withdrawals_Data!D535</f>
        <v>-19156</v>
      </c>
    </row>
    <row r="1742" spans="3:9">
      <c r="C1742" s="23">
        <v>535</v>
      </c>
      <c r="D1742" s="23" t="s">
        <v>134</v>
      </c>
      <c r="E1742" s="23" t="str">
        <f>Withdrawals_Data!A536</f>
        <v>DA-001</v>
      </c>
      <c r="F1742" s="23" t="str">
        <f>Withdrawals_Data!B536</f>
        <v>DA-001-M0025</v>
      </c>
      <c r="G1742" s="24">
        <f>Withdrawals_Data!C536</f>
        <v>45540</v>
      </c>
      <c r="H1742" s="27">
        <v>0</v>
      </c>
      <c r="I1742" s="27">
        <f>-Withdrawals_Data!D536</f>
        <v>-15120</v>
      </c>
    </row>
    <row r="1743" spans="3:9">
      <c r="C1743" s="23">
        <v>536</v>
      </c>
      <c r="D1743" s="23" t="s">
        <v>134</v>
      </c>
      <c r="E1743" s="23" t="str">
        <f>Withdrawals_Data!A537</f>
        <v>DA-001</v>
      </c>
      <c r="F1743" s="23" t="str">
        <f>Withdrawals_Data!B537</f>
        <v>DA-001-M0025</v>
      </c>
      <c r="G1743" s="24">
        <f>Withdrawals_Data!C537</f>
        <v>45316</v>
      </c>
      <c r="H1743" s="27">
        <v>0</v>
      </c>
      <c r="I1743" s="27">
        <f>-Withdrawals_Data!D537</f>
        <v>-18546</v>
      </c>
    </row>
    <row r="1744" spans="3:9">
      <c r="C1744" s="23">
        <v>537</v>
      </c>
      <c r="D1744" s="23" t="s">
        <v>134</v>
      </c>
      <c r="E1744" s="23" t="str">
        <f>Withdrawals_Data!A538</f>
        <v>DA-001</v>
      </c>
      <c r="F1744" s="23" t="str">
        <f>Withdrawals_Data!B538</f>
        <v>DA-001-M0025</v>
      </c>
      <c r="G1744" s="24">
        <f>Withdrawals_Data!C538</f>
        <v>45459</v>
      </c>
      <c r="H1744" s="27">
        <v>0</v>
      </c>
      <c r="I1744" s="27">
        <f>-Withdrawals_Data!D538</f>
        <v>-1456</v>
      </c>
    </row>
    <row r="1745" spans="3:9">
      <c r="C1745" s="23">
        <v>538</v>
      </c>
      <c r="D1745" s="23" t="s">
        <v>134</v>
      </c>
      <c r="E1745" s="23" t="str">
        <f>Withdrawals_Data!A539</f>
        <v>DA-001</v>
      </c>
      <c r="F1745" s="23" t="str">
        <f>Withdrawals_Data!B539</f>
        <v>DA-001-M0025</v>
      </c>
      <c r="G1745" s="24">
        <f>Withdrawals_Data!C539</f>
        <v>45637</v>
      </c>
      <c r="H1745" s="27">
        <v>0</v>
      </c>
      <c r="I1745" s="27">
        <f>-Withdrawals_Data!D539</f>
        <v>-21614</v>
      </c>
    </row>
    <row r="1746" spans="3:9">
      <c r="C1746" s="23">
        <v>539</v>
      </c>
      <c r="D1746" s="23" t="s">
        <v>134</v>
      </c>
      <c r="E1746" s="23" t="str">
        <f>Withdrawals_Data!A540</f>
        <v>DA-001</v>
      </c>
      <c r="F1746" s="23" t="str">
        <f>Withdrawals_Data!B540</f>
        <v>DA-001-M0025</v>
      </c>
      <c r="G1746" s="24">
        <f>Withdrawals_Data!C540</f>
        <v>45514</v>
      </c>
      <c r="H1746" s="27">
        <v>0</v>
      </c>
      <c r="I1746" s="27">
        <f>-Withdrawals_Data!D540</f>
        <v>-12524</v>
      </c>
    </row>
    <row r="1747" spans="3:9">
      <c r="C1747" s="23">
        <v>540</v>
      </c>
      <c r="D1747" s="23" t="s">
        <v>134</v>
      </c>
      <c r="E1747" s="23" t="str">
        <f>Withdrawals_Data!A541</f>
        <v>DA-001</v>
      </c>
      <c r="F1747" s="23" t="str">
        <f>Withdrawals_Data!B541</f>
        <v>DA-001-M0025</v>
      </c>
      <c r="G1747" s="24">
        <f>Withdrawals_Data!C541</f>
        <v>45574</v>
      </c>
      <c r="H1747" s="27">
        <v>0</v>
      </c>
      <c r="I1747" s="27">
        <f>-Withdrawals_Data!D541</f>
        <v>-16403</v>
      </c>
    </row>
    <row r="1748" spans="3:9">
      <c r="C1748" s="23">
        <v>541</v>
      </c>
      <c r="D1748" s="23" t="s">
        <v>134</v>
      </c>
      <c r="E1748" s="23" t="str">
        <f>Withdrawals_Data!A542</f>
        <v>DA-001</v>
      </c>
      <c r="F1748" s="23" t="str">
        <f>Withdrawals_Data!B542</f>
        <v>DA-001-M0025</v>
      </c>
      <c r="G1748" s="24">
        <f>Withdrawals_Data!C542</f>
        <v>45635</v>
      </c>
      <c r="H1748" s="27">
        <v>0</v>
      </c>
      <c r="I1748" s="27">
        <f>-Withdrawals_Data!D542</f>
        <v>-19670</v>
      </c>
    </row>
    <row r="1749" spans="3:9">
      <c r="C1749" s="23">
        <v>542</v>
      </c>
      <c r="D1749" s="23" t="s">
        <v>134</v>
      </c>
      <c r="E1749" s="23" t="str">
        <f>Withdrawals_Data!A543</f>
        <v>DA-001</v>
      </c>
      <c r="F1749" s="23" t="str">
        <f>Withdrawals_Data!B543</f>
        <v>DA-001-M0025</v>
      </c>
      <c r="G1749" s="24">
        <f>Withdrawals_Data!C543</f>
        <v>45633</v>
      </c>
      <c r="H1749" s="27">
        <v>0</v>
      </c>
      <c r="I1749" s="27">
        <f>-Withdrawals_Data!D543</f>
        <v>-18443</v>
      </c>
    </row>
    <row r="1750" spans="3:9">
      <c r="C1750" s="23">
        <v>543</v>
      </c>
      <c r="D1750" s="23" t="s">
        <v>134</v>
      </c>
      <c r="E1750" s="23" t="str">
        <f>Withdrawals_Data!A544</f>
        <v>DA-002</v>
      </c>
      <c r="F1750" s="23" t="str">
        <f>Withdrawals_Data!B544</f>
        <v>DA-002-M0026</v>
      </c>
      <c r="G1750" s="24">
        <f>Withdrawals_Data!C544</f>
        <v>45359</v>
      </c>
      <c r="H1750" s="27">
        <v>0</v>
      </c>
      <c r="I1750" s="27">
        <f>-Withdrawals_Data!D544</f>
        <v>-3303</v>
      </c>
    </row>
    <row r="1751" spans="3:9">
      <c r="C1751" s="23">
        <v>544</v>
      </c>
      <c r="D1751" s="23" t="s">
        <v>134</v>
      </c>
      <c r="E1751" s="23" t="str">
        <f>Withdrawals_Data!A545</f>
        <v>DA-002</v>
      </c>
      <c r="F1751" s="23" t="str">
        <f>Withdrawals_Data!B545</f>
        <v>DA-002-M0026</v>
      </c>
      <c r="G1751" s="24">
        <f>Withdrawals_Data!C545</f>
        <v>45413</v>
      </c>
      <c r="H1751" s="27">
        <v>0</v>
      </c>
      <c r="I1751" s="27">
        <f>-Withdrawals_Data!D545</f>
        <v>-5553</v>
      </c>
    </row>
    <row r="1752" spans="3:9">
      <c r="C1752" s="23">
        <v>545</v>
      </c>
      <c r="D1752" s="23" t="s">
        <v>134</v>
      </c>
      <c r="E1752" s="23" t="str">
        <f>Withdrawals_Data!A546</f>
        <v>DA-002</v>
      </c>
      <c r="F1752" s="23" t="str">
        <f>Withdrawals_Data!B546</f>
        <v>DA-002-M0026</v>
      </c>
      <c r="G1752" s="24">
        <f>Withdrawals_Data!C546</f>
        <v>45648</v>
      </c>
      <c r="H1752" s="27">
        <v>0</v>
      </c>
      <c r="I1752" s="27">
        <f>-Withdrawals_Data!D546</f>
        <v>-10739</v>
      </c>
    </row>
    <row r="1753" spans="3:9">
      <c r="C1753" s="23">
        <v>546</v>
      </c>
      <c r="D1753" s="23" t="s">
        <v>134</v>
      </c>
      <c r="E1753" s="23" t="str">
        <f>Withdrawals_Data!A547</f>
        <v>DA-002</v>
      </c>
      <c r="F1753" s="23" t="str">
        <f>Withdrawals_Data!B547</f>
        <v>DA-002-M0026</v>
      </c>
      <c r="G1753" s="24">
        <f>Withdrawals_Data!C547</f>
        <v>45382</v>
      </c>
      <c r="H1753" s="27">
        <v>0</v>
      </c>
      <c r="I1753" s="27">
        <f>-Withdrawals_Data!D547</f>
        <v>-5055</v>
      </c>
    </row>
    <row r="1754" spans="3:9">
      <c r="C1754" s="23">
        <v>547</v>
      </c>
      <c r="D1754" s="23" t="s">
        <v>134</v>
      </c>
      <c r="E1754" s="23" t="str">
        <f>Withdrawals_Data!A548</f>
        <v>DA-002</v>
      </c>
      <c r="F1754" s="23" t="str">
        <f>Withdrawals_Data!B548</f>
        <v>DA-002-M0026</v>
      </c>
      <c r="G1754" s="24">
        <f>Withdrawals_Data!C548</f>
        <v>45336</v>
      </c>
      <c r="H1754" s="27">
        <v>0</v>
      </c>
      <c r="I1754" s="27">
        <f>-Withdrawals_Data!D548</f>
        <v>-10523</v>
      </c>
    </row>
    <row r="1755" spans="3:9">
      <c r="C1755" s="23">
        <v>548</v>
      </c>
      <c r="D1755" s="23" t="s">
        <v>134</v>
      </c>
      <c r="E1755" s="23" t="str">
        <f>Withdrawals_Data!A549</f>
        <v>DA-002</v>
      </c>
      <c r="F1755" s="23" t="str">
        <f>Withdrawals_Data!B549</f>
        <v>DA-002-M0026</v>
      </c>
      <c r="G1755" s="24">
        <f>Withdrawals_Data!C549</f>
        <v>45654</v>
      </c>
      <c r="H1755" s="27">
        <v>0</v>
      </c>
      <c r="I1755" s="27">
        <f>-Withdrawals_Data!D549</f>
        <v>-8990</v>
      </c>
    </row>
    <row r="1756" spans="3:9">
      <c r="C1756" s="23">
        <v>549</v>
      </c>
      <c r="D1756" s="23" t="s">
        <v>134</v>
      </c>
      <c r="E1756" s="23" t="str">
        <f>Withdrawals_Data!A550</f>
        <v>DA-002</v>
      </c>
      <c r="F1756" s="23" t="str">
        <f>Withdrawals_Data!B550</f>
        <v>DA-002-M0026</v>
      </c>
      <c r="G1756" s="24">
        <f>Withdrawals_Data!C550</f>
        <v>45629</v>
      </c>
      <c r="H1756" s="27">
        <v>0</v>
      </c>
      <c r="I1756" s="27">
        <f>-Withdrawals_Data!D550</f>
        <v>-13550</v>
      </c>
    </row>
    <row r="1757" spans="3:9">
      <c r="C1757" s="23">
        <v>550</v>
      </c>
      <c r="D1757" s="23" t="s">
        <v>134</v>
      </c>
      <c r="E1757" s="23" t="str">
        <f>Withdrawals_Data!A551</f>
        <v>DA-002</v>
      </c>
      <c r="F1757" s="23" t="str">
        <f>Withdrawals_Data!B551</f>
        <v>DA-002-M0026</v>
      </c>
      <c r="G1757" s="24">
        <f>Withdrawals_Data!C551</f>
        <v>45375</v>
      </c>
      <c r="H1757" s="27">
        <v>0</v>
      </c>
      <c r="I1757" s="27">
        <f>-Withdrawals_Data!D551</f>
        <v>-13435</v>
      </c>
    </row>
    <row r="1758" spans="3:9">
      <c r="C1758" s="23">
        <v>551</v>
      </c>
      <c r="D1758" s="23" t="s">
        <v>134</v>
      </c>
      <c r="E1758" s="23" t="str">
        <f>Withdrawals_Data!A552</f>
        <v>DA-002</v>
      </c>
      <c r="F1758" s="23" t="str">
        <f>Withdrawals_Data!B552</f>
        <v>DA-002-M0026</v>
      </c>
      <c r="G1758" s="24">
        <f>Withdrawals_Data!C552</f>
        <v>45480</v>
      </c>
      <c r="H1758" s="27">
        <v>0</v>
      </c>
      <c r="I1758" s="27">
        <f>-Withdrawals_Data!D552</f>
        <v>-7047</v>
      </c>
    </row>
    <row r="1759" spans="3:9">
      <c r="C1759" s="23">
        <v>552</v>
      </c>
      <c r="D1759" s="23" t="s">
        <v>134</v>
      </c>
      <c r="E1759" s="23" t="str">
        <f>Withdrawals_Data!A553</f>
        <v>DA-002</v>
      </c>
      <c r="F1759" s="23" t="str">
        <f>Withdrawals_Data!B553</f>
        <v>DA-002-M0027</v>
      </c>
      <c r="G1759" s="24">
        <f>Withdrawals_Data!C553</f>
        <v>45421</v>
      </c>
      <c r="H1759" s="27">
        <v>0</v>
      </c>
      <c r="I1759" s="27">
        <f>-Withdrawals_Data!D553</f>
        <v>-8494</v>
      </c>
    </row>
    <row r="1760" spans="3:9">
      <c r="C1760" s="23">
        <v>553</v>
      </c>
      <c r="D1760" s="23" t="s">
        <v>134</v>
      </c>
      <c r="E1760" s="23" t="str">
        <f>Withdrawals_Data!A554</f>
        <v>DA-002</v>
      </c>
      <c r="F1760" s="23" t="str">
        <f>Withdrawals_Data!B554</f>
        <v>DA-002-M0027</v>
      </c>
      <c r="G1760" s="24">
        <f>Withdrawals_Data!C554</f>
        <v>45412</v>
      </c>
      <c r="H1760" s="27">
        <v>0</v>
      </c>
      <c r="I1760" s="27">
        <f>-Withdrawals_Data!D554</f>
        <v>-10411</v>
      </c>
    </row>
    <row r="1761" spans="3:9">
      <c r="C1761" s="23">
        <v>554</v>
      </c>
      <c r="D1761" s="23" t="s">
        <v>134</v>
      </c>
      <c r="E1761" s="23" t="str">
        <f>Withdrawals_Data!A555</f>
        <v>DA-002</v>
      </c>
      <c r="F1761" s="23" t="str">
        <f>Withdrawals_Data!B555</f>
        <v>DA-002-M0027</v>
      </c>
      <c r="G1761" s="24">
        <f>Withdrawals_Data!C555</f>
        <v>45639</v>
      </c>
      <c r="H1761" s="27">
        <v>0</v>
      </c>
      <c r="I1761" s="27">
        <f>-Withdrawals_Data!D555</f>
        <v>-20395</v>
      </c>
    </row>
    <row r="1762" spans="3:9">
      <c r="C1762" s="23">
        <v>555</v>
      </c>
      <c r="D1762" s="23" t="s">
        <v>134</v>
      </c>
      <c r="E1762" s="23" t="str">
        <f>Withdrawals_Data!A556</f>
        <v>DA-002</v>
      </c>
      <c r="F1762" s="23" t="str">
        <f>Withdrawals_Data!B556</f>
        <v>DA-002-M0027</v>
      </c>
      <c r="G1762" s="24">
        <f>Withdrawals_Data!C556</f>
        <v>45310</v>
      </c>
      <c r="H1762" s="27">
        <v>0</v>
      </c>
      <c r="I1762" s="27">
        <f>-Withdrawals_Data!D556</f>
        <v>-13591</v>
      </c>
    </row>
    <row r="1763" spans="3:9">
      <c r="C1763" s="23">
        <v>556</v>
      </c>
      <c r="D1763" s="23" t="s">
        <v>134</v>
      </c>
      <c r="E1763" s="23" t="str">
        <f>Withdrawals_Data!A557</f>
        <v>DA-002</v>
      </c>
      <c r="F1763" s="23" t="str">
        <f>Withdrawals_Data!B557</f>
        <v>DA-002-M0027</v>
      </c>
      <c r="G1763" s="24">
        <f>Withdrawals_Data!C557</f>
        <v>45449</v>
      </c>
      <c r="H1763" s="27">
        <v>0</v>
      </c>
      <c r="I1763" s="27">
        <f>-Withdrawals_Data!D557</f>
        <v>-3554</v>
      </c>
    </row>
    <row r="1764" spans="3:9">
      <c r="C1764" s="23">
        <v>557</v>
      </c>
      <c r="D1764" s="23" t="s">
        <v>134</v>
      </c>
      <c r="E1764" s="23" t="str">
        <f>Withdrawals_Data!A558</f>
        <v>DA-002</v>
      </c>
      <c r="F1764" s="23" t="str">
        <f>Withdrawals_Data!B558</f>
        <v>DA-002-M0027</v>
      </c>
      <c r="G1764" s="24">
        <f>Withdrawals_Data!C558</f>
        <v>45366</v>
      </c>
      <c r="H1764" s="27">
        <v>0</v>
      </c>
      <c r="I1764" s="27">
        <f>-Withdrawals_Data!D558</f>
        <v>-5776</v>
      </c>
    </row>
    <row r="1765" spans="3:9">
      <c r="C1765" s="23">
        <v>558</v>
      </c>
      <c r="D1765" s="23" t="s">
        <v>134</v>
      </c>
      <c r="E1765" s="23" t="str">
        <f>Withdrawals_Data!A559</f>
        <v>DA-002</v>
      </c>
      <c r="F1765" s="23" t="str">
        <f>Withdrawals_Data!B559</f>
        <v>DA-002-M0027</v>
      </c>
      <c r="G1765" s="24">
        <f>Withdrawals_Data!C559</f>
        <v>45359</v>
      </c>
      <c r="H1765" s="27">
        <v>0</v>
      </c>
      <c r="I1765" s="27">
        <f>-Withdrawals_Data!D559</f>
        <v>-17279</v>
      </c>
    </row>
    <row r="1766" spans="3:9">
      <c r="C1766" s="23">
        <v>559</v>
      </c>
      <c r="D1766" s="23" t="s">
        <v>134</v>
      </c>
      <c r="E1766" s="23" t="str">
        <f>Withdrawals_Data!A560</f>
        <v>DA-002</v>
      </c>
      <c r="F1766" s="23" t="str">
        <f>Withdrawals_Data!B560</f>
        <v>DA-002-M0027</v>
      </c>
      <c r="G1766" s="24">
        <f>Withdrawals_Data!C560</f>
        <v>45401</v>
      </c>
      <c r="H1766" s="27">
        <v>0</v>
      </c>
      <c r="I1766" s="27">
        <f>-Withdrawals_Data!D560</f>
        <v>-16378</v>
      </c>
    </row>
    <row r="1767" spans="3:9">
      <c r="C1767" s="23">
        <v>560</v>
      </c>
      <c r="D1767" s="23" t="s">
        <v>134</v>
      </c>
      <c r="E1767" s="23" t="str">
        <f>Withdrawals_Data!A561</f>
        <v>DA-002</v>
      </c>
      <c r="F1767" s="23" t="str">
        <f>Withdrawals_Data!B561</f>
        <v>DA-002-M0027</v>
      </c>
      <c r="G1767" s="24">
        <f>Withdrawals_Data!C561</f>
        <v>45588</v>
      </c>
      <c r="H1767" s="27">
        <v>0</v>
      </c>
      <c r="I1767" s="27">
        <f>-Withdrawals_Data!D561</f>
        <v>-9827</v>
      </c>
    </row>
    <row r="1768" spans="3:9">
      <c r="C1768" s="23">
        <v>561</v>
      </c>
      <c r="D1768" s="23" t="s">
        <v>134</v>
      </c>
      <c r="E1768" s="23" t="str">
        <f>Withdrawals_Data!A562</f>
        <v>DA-002</v>
      </c>
      <c r="F1768" s="23" t="str">
        <f>Withdrawals_Data!B562</f>
        <v>DA-002-M0027</v>
      </c>
      <c r="G1768" s="24">
        <f>Withdrawals_Data!C562</f>
        <v>45623</v>
      </c>
      <c r="H1768" s="27">
        <v>0</v>
      </c>
      <c r="I1768" s="27">
        <f>-Withdrawals_Data!D562</f>
        <v>-7201</v>
      </c>
    </row>
    <row r="1769" spans="3:9">
      <c r="C1769" s="23">
        <v>562</v>
      </c>
      <c r="D1769" s="23" t="s">
        <v>134</v>
      </c>
      <c r="E1769" s="23" t="str">
        <f>Withdrawals_Data!A563</f>
        <v>DA-003</v>
      </c>
      <c r="F1769" s="23" t="str">
        <f>Withdrawals_Data!B563</f>
        <v>DA-003-M0028</v>
      </c>
      <c r="G1769" s="24">
        <f>Withdrawals_Data!C563</f>
        <v>45481</v>
      </c>
      <c r="H1769" s="27">
        <v>0</v>
      </c>
      <c r="I1769" s="27">
        <f>-Withdrawals_Data!D563</f>
        <v>-19140</v>
      </c>
    </row>
    <row r="1770" spans="3:9">
      <c r="C1770" s="23">
        <v>563</v>
      </c>
      <c r="D1770" s="23" t="s">
        <v>134</v>
      </c>
      <c r="E1770" s="23" t="str">
        <f>Withdrawals_Data!A564</f>
        <v>DA-003</v>
      </c>
      <c r="F1770" s="23" t="str">
        <f>Withdrawals_Data!B564</f>
        <v>DA-003-M0028</v>
      </c>
      <c r="G1770" s="24">
        <f>Withdrawals_Data!C564</f>
        <v>45334</v>
      </c>
      <c r="H1770" s="27">
        <v>0</v>
      </c>
      <c r="I1770" s="27">
        <f>-Withdrawals_Data!D564</f>
        <v>-17150</v>
      </c>
    </row>
    <row r="1771" spans="3:9">
      <c r="C1771" s="23">
        <v>564</v>
      </c>
      <c r="D1771" s="23" t="s">
        <v>134</v>
      </c>
      <c r="E1771" s="23" t="str">
        <f>Withdrawals_Data!A565</f>
        <v>DA-003</v>
      </c>
      <c r="F1771" s="23" t="str">
        <f>Withdrawals_Data!B565</f>
        <v>DA-003-M0028</v>
      </c>
      <c r="G1771" s="24">
        <f>Withdrawals_Data!C565</f>
        <v>45359</v>
      </c>
      <c r="H1771" s="27">
        <v>0</v>
      </c>
      <c r="I1771" s="27">
        <f>-Withdrawals_Data!D565</f>
        <v>-10546</v>
      </c>
    </row>
    <row r="1772" spans="3:9">
      <c r="C1772" s="23">
        <v>565</v>
      </c>
      <c r="D1772" s="23" t="s">
        <v>134</v>
      </c>
      <c r="E1772" s="23" t="str">
        <f>Withdrawals_Data!A566</f>
        <v>DA-003</v>
      </c>
      <c r="F1772" s="23" t="str">
        <f>Withdrawals_Data!B566</f>
        <v>DA-003-M0028</v>
      </c>
      <c r="G1772" s="24">
        <f>Withdrawals_Data!C566</f>
        <v>45604</v>
      </c>
      <c r="H1772" s="27">
        <v>0</v>
      </c>
      <c r="I1772" s="27">
        <f>-Withdrawals_Data!D566</f>
        <v>-14103</v>
      </c>
    </row>
    <row r="1773" spans="3:9">
      <c r="C1773" s="23">
        <v>566</v>
      </c>
      <c r="D1773" s="23" t="s">
        <v>134</v>
      </c>
      <c r="E1773" s="23" t="str">
        <f>Withdrawals_Data!A567</f>
        <v>DA-003</v>
      </c>
      <c r="F1773" s="23" t="str">
        <f>Withdrawals_Data!B567</f>
        <v>DA-003-M0028</v>
      </c>
      <c r="G1773" s="24">
        <f>Withdrawals_Data!C567</f>
        <v>45306</v>
      </c>
      <c r="H1773" s="27">
        <v>0</v>
      </c>
      <c r="I1773" s="27">
        <f>-Withdrawals_Data!D567</f>
        <v>-6334</v>
      </c>
    </row>
    <row r="1774" spans="3:9">
      <c r="C1774" s="23">
        <v>567</v>
      </c>
      <c r="D1774" s="23" t="s">
        <v>134</v>
      </c>
      <c r="E1774" s="23" t="str">
        <f>Withdrawals_Data!A568</f>
        <v>DA-003</v>
      </c>
      <c r="F1774" s="23" t="str">
        <f>Withdrawals_Data!B568</f>
        <v>DA-003-M0028</v>
      </c>
      <c r="G1774" s="24">
        <f>Withdrawals_Data!C568</f>
        <v>45384</v>
      </c>
      <c r="H1774" s="27">
        <v>0</v>
      </c>
      <c r="I1774" s="27">
        <f>-Withdrawals_Data!D568</f>
        <v>-14858</v>
      </c>
    </row>
    <row r="1775" spans="3:9">
      <c r="C1775" s="23">
        <v>568</v>
      </c>
      <c r="D1775" s="23" t="s">
        <v>134</v>
      </c>
      <c r="E1775" s="23" t="str">
        <f>Withdrawals_Data!A569</f>
        <v>DA-003</v>
      </c>
      <c r="F1775" s="23" t="str">
        <f>Withdrawals_Data!B569</f>
        <v>DA-003-M0028</v>
      </c>
      <c r="G1775" s="24">
        <f>Withdrawals_Data!C569</f>
        <v>45500</v>
      </c>
      <c r="H1775" s="27">
        <v>0</v>
      </c>
      <c r="I1775" s="27">
        <f>-Withdrawals_Data!D569</f>
        <v>-6641</v>
      </c>
    </row>
    <row r="1776" spans="3:9">
      <c r="C1776" s="23">
        <v>569</v>
      </c>
      <c r="D1776" s="23" t="s">
        <v>134</v>
      </c>
      <c r="E1776" s="23" t="str">
        <f>Withdrawals_Data!A570</f>
        <v>DA-003</v>
      </c>
      <c r="F1776" s="23" t="str">
        <f>Withdrawals_Data!B570</f>
        <v>DA-003-M0029</v>
      </c>
      <c r="G1776" s="24">
        <f>Withdrawals_Data!C570</f>
        <v>45559</v>
      </c>
      <c r="H1776" s="27">
        <v>0</v>
      </c>
      <c r="I1776" s="27">
        <f>-Withdrawals_Data!D570</f>
        <v>-3424</v>
      </c>
    </row>
    <row r="1777" spans="3:9">
      <c r="C1777" s="23">
        <v>570</v>
      </c>
      <c r="D1777" s="23" t="s">
        <v>134</v>
      </c>
      <c r="E1777" s="23" t="str">
        <f>Withdrawals_Data!A571</f>
        <v>DA-003</v>
      </c>
      <c r="F1777" s="23" t="str">
        <f>Withdrawals_Data!B571</f>
        <v>DA-003-M0029</v>
      </c>
      <c r="G1777" s="24">
        <f>Withdrawals_Data!C571</f>
        <v>45340</v>
      </c>
      <c r="H1777" s="27">
        <v>0</v>
      </c>
      <c r="I1777" s="27">
        <f>-Withdrawals_Data!D571</f>
        <v>-16601</v>
      </c>
    </row>
    <row r="1778" spans="3:9">
      <c r="C1778" s="23">
        <v>571</v>
      </c>
      <c r="D1778" s="23" t="s">
        <v>134</v>
      </c>
      <c r="E1778" s="23" t="str">
        <f>Withdrawals_Data!A572</f>
        <v>DA-003</v>
      </c>
      <c r="F1778" s="23" t="str">
        <f>Withdrawals_Data!B572</f>
        <v>DA-003-M0029</v>
      </c>
      <c r="G1778" s="24">
        <f>Withdrawals_Data!C572</f>
        <v>45467</v>
      </c>
      <c r="H1778" s="27">
        <v>0</v>
      </c>
      <c r="I1778" s="27">
        <f>-Withdrawals_Data!D572</f>
        <v>-7668</v>
      </c>
    </row>
    <row r="1779" spans="3:9">
      <c r="C1779" s="23">
        <v>572</v>
      </c>
      <c r="D1779" s="23" t="s">
        <v>134</v>
      </c>
      <c r="E1779" s="23" t="str">
        <f>Withdrawals_Data!A573</f>
        <v>DA-003</v>
      </c>
      <c r="F1779" s="23" t="str">
        <f>Withdrawals_Data!B573</f>
        <v>DA-003-M0029</v>
      </c>
      <c r="G1779" s="24">
        <f>Withdrawals_Data!C573</f>
        <v>45346</v>
      </c>
      <c r="H1779" s="27">
        <v>0</v>
      </c>
      <c r="I1779" s="27">
        <f>-Withdrawals_Data!D573</f>
        <v>-3766</v>
      </c>
    </row>
    <row r="1780" spans="3:9">
      <c r="C1780" s="23">
        <v>573</v>
      </c>
      <c r="D1780" s="23" t="s">
        <v>134</v>
      </c>
      <c r="E1780" s="23" t="str">
        <f>Withdrawals_Data!A574</f>
        <v>DA-003</v>
      </c>
      <c r="F1780" s="23" t="str">
        <f>Withdrawals_Data!B574</f>
        <v>DA-003-M0029</v>
      </c>
      <c r="G1780" s="24">
        <f>Withdrawals_Data!C574</f>
        <v>45530</v>
      </c>
      <c r="H1780" s="27">
        <v>0</v>
      </c>
      <c r="I1780" s="27">
        <f>-Withdrawals_Data!D574</f>
        <v>-12203</v>
      </c>
    </row>
    <row r="1781" spans="3:9">
      <c r="C1781" s="23">
        <v>574</v>
      </c>
      <c r="D1781" s="23" t="s">
        <v>134</v>
      </c>
      <c r="E1781" s="23" t="str">
        <f>Withdrawals_Data!A575</f>
        <v>DA-003</v>
      </c>
      <c r="F1781" s="23" t="str">
        <f>Withdrawals_Data!B575</f>
        <v>DA-003-M0029</v>
      </c>
      <c r="G1781" s="24">
        <f>Withdrawals_Data!C575</f>
        <v>45388</v>
      </c>
      <c r="H1781" s="27">
        <v>0</v>
      </c>
      <c r="I1781" s="27">
        <f>-Withdrawals_Data!D575</f>
        <v>-1670</v>
      </c>
    </row>
    <row r="1782" spans="3:9">
      <c r="C1782" s="23">
        <v>575</v>
      </c>
      <c r="D1782" s="23" t="s">
        <v>134</v>
      </c>
      <c r="E1782" s="23" t="str">
        <f>Withdrawals_Data!A576</f>
        <v>DA-003</v>
      </c>
      <c r="F1782" s="23" t="str">
        <f>Withdrawals_Data!B576</f>
        <v>DA-003-M0029</v>
      </c>
      <c r="G1782" s="24">
        <f>Withdrawals_Data!C576</f>
        <v>45331</v>
      </c>
      <c r="H1782" s="27">
        <v>0</v>
      </c>
      <c r="I1782" s="27">
        <f>-Withdrawals_Data!D576</f>
        <v>-17347</v>
      </c>
    </row>
    <row r="1783" spans="3:9">
      <c r="C1783" s="23">
        <v>576</v>
      </c>
      <c r="D1783" s="23" t="s">
        <v>134</v>
      </c>
      <c r="E1783" s="23" t="str">
        <f>Withdrawals_Data!A577</f>
        <v>DA-002</v>
      </c>
      <c r="F1783" s="23" t="str">
        <f>Withdrawals_Data!B577</f>
        <v>DA-002-M0030</v>
      </c>
      <c r="G1783" s="24">
        <f>Withdrawals_Data!C577</f>
        <v>45478</v>
      </c>
      <c r="H1783" s="27">
        <v>0</v>
      </c>
      <c r="I1783" s="27">
        <f>-Withdrawals_Data!D577</f>
        <v>-3207</v>
      </c>
    </row>
    <row r="1784" spans="3:9">
      <c r="C1784" s="23">
        <v>577</v>
      </c>
      <c r="D1784" s="23" t="s">
        <v>134</v>
      </c>
      <c r="E1784" s="23" t="str">
        <f>Withdrawals_Data!A578</f>
        <v>DA-002</v>
      </c>
      <c r="F1784" s="23" t="str">
        <f>Withdrawals_Data!B578</f>
        <v>DA-002-M0030</v>
      </c>
      <c r="G1784" s="24">
        <f>Withdrawals_Data!C578</f>
        <v>45574</v>
      </c>
      <c r="H1784" s="27">
        <v>0</v>
      </c>
      <c r="I1784" s="27">
        <f>-Withdrawals_Data!D578</f>
        <v>-1523</v>
      </c>
    </row>
    <row r="1785" spans="3:9">
      <c r="C1785" s="23">
        <v>578</v>
      </c>
      <c r="D1785" s="23" t="s">
        <v>134</v>
      </c>
      <c r="E1785" s="23" t="str">
        <f>Withdrawals_Data!A579</f>
        <v>DA-002</v>
      </c>
      <c r="F1785" s="23" t="str">
        <f>Withdrawals_Data!B579</f>
        <v>DA-002-M0030</v>
      </c>
      <c r="G1785" s="24">
        <f>Withdrawals_Data!C579</f>
        <v>45635</v>
      </c>
      <c r="H1785" s="27">
        <v>0</v>
      </c>
      <c r="I1785" s="27">
        <f>-Withdrawals_Data!D579</f>
        <v>-4150</v>
      </c>
    </row>
    <row r="1786" spans="3:9">
      <c r="C1786" s="23">
        <v>579</v>
      </c>
      <c r="D1786" s="23" t="s">
        <v>134</v>
      </c>
      <c r="E1786" s="23" t="str">
        <f>Withdrawals_Data!A580</f>
        <v>DA-002</v>
      </c>
      <c r="F1786" s="23" t="str">
        <f>Withdrawals_Data!B580</f>
        <v>DA-002-M0030</v>
      </c>
      <c r="G1786" s="24">
        <f>Withdrawals_Data!C580</f>
        <v>45353</v>
      </c>
      <c r="H1786" s="27">
        <v>0</v>
      </c>
      <c r="I1786" s="27">
        <f>-Withdrawals_Data!D580</f>
        <v>-19531</v>
      </c>
    </row>
    <row r="1787" spans="3:9">
      <c r="C1787" s="23">
        <v>580</v>
      </c>
      <c r="D1787" s="23" t="s">
        <v>134</v>
      </c>
      <c r="E1787" s="23" t="str">
        <f>Withdrawals_Data!A581</f>
        <v>DA-002</v>
      </c>
      <c r="F1787" s="23" t="str">
        <f>Withdrawals_Data!B581</f>
        <v>DA-002-M0030</v>
      </c>
      <c r="G1787" s="24">
        <f>Withdrawals_Data!C581</f>
        <v>45326</v>
      </c>
      <c r="H1787" s="27">
        <v>0</v>
      </c>
      <c r="I1787" s="27">
        <f>-Withdrawals_Data!D581</f>
        <v>-12197</v>
      </c>
    </row>
    <row r="1788" spans="3:9">
      <c r="C1788" s="23">
        <v>581</v>
      </c>
      <c r="D1788" s="23" t="s">
        <v>134</v>
      </c>
      <c r="E1788" s="23" t="str">
        <f>Withdrawals_Data!A582</f>
        <v>DA-002</v>
      </c>
      <c r="F1788" s="23" t="str">
        <f>Withdrawals_Data!B582</f>
        <v>DA-002-M0030</v>
      </c>
      <c r="G1788" s="24">
        <f>Withdrawals_Data!C582</f>
        <v>45337</v>
      </c>
      <c r="H1788" s="27">
        <v>0</v>
      </c>
      <c r="I1788" s="27">
        <f>-Withdrawals_Data!D582</f>
        <v>-7973</v>
      </c>
    </row>
    <row r="1789" spans="3:9">
      <c r="C1789" s="23">
        <v>582</v>
      </c>
      <c r="D1789" s="23" t="s">
        <v>134</v>
      </c>
      <c r="E1789" s="23" t="str">
        <f>Withdrawals_Data!A583</f>
        <v>DA-002</v>
      </c>
      <c r="F1789" s="23" t="str">
        <f>Withdrawals_Data!B583</f>
        <v>DA-002-M0030</v>
      </c>
      <c r="G1789" s="24">
        <f>Withdrawals_Data!C583</f>
        <v>45556</v>
      </c>
      <c r="H1789" s="27">
        <v>0</v>
      </c>
      <c r="I1789" s="27">
        <f>-Withdrawals_Data!D583</f>
        <v>-13763</v>
      </c>
    </row>
    <row r="1790" spans="3:9">
      <c r="C1790" s="23">
        <v>583</v>
      </c>
      <c r="D1790" s="23" t="s">
        <v>134</v>
      </c>
      <c r="E1790" s="23" t="str">
        <f>Withdrawals_Data!A584</f>
        <v>DA-002</v>
      </c>
      <c r="F1790" s="23" t="str">
        <f>Withdrawals_Data!B584</f>
        <v>DA-002-M0030</v>
      </c>
      <c r="G1790" s="24">
        <f>Withdrawals_Data!C584</f>
        <v>45306</v>
      </c>
      <c r="H1790" s="27">
        <v>0</v>
      </c>
      <c r="I1790" s="27">
        <f>-Withdrawals_Data!D584</f>
        <v>-12410</v>
      </c>
    </row>
    <row r="1791" spans="3:9">
      <c r="C1791" s="23">
        <v>584</v>
      </c>
      <c r="D1791" s="23" t="s">
        <v>134</v>
      </c>
      <c r="E1791" s="23" t="str">
        <f>Withdrawals_Data!A585</f>
        <v>DA-003</v>
      </c>
      <c r="F1791" s="23" t="str">
        <f>Withdrawals_Data!B585</f>
        <v>DA-003-M0031</v>
      </c>
      <c r="G1791" s="24">
        <f>Withdrawals_Data!C585</f>
        <v>45407</v>
      </c>
      <c r="H1791" s="27">
        <v>0</v>
      </c>
      <c r="I1791" s="27">
        <f>-Withdrawals_Data!D585</f>
        <v>-2999</v>
      </c>
    </row>
    <row r="1792" spans="3:9">
      <c r="C1792" s="23">
        <v>585</v>
      </c>
      <c r="D1792" s="23" t="s">
        <v>134</v>
      </c>
      <c r="E1792" s="23" t="str">
        <f>Withdrawals_Data!A586</f>
        <v>DA-003</v>
      </c>
      <c r="F1792" s="23" t="str">
        <f>Withdrawals_Data!B586</f>
        <v>DA-003-M0031</v>
      </c>
      <c r="G1792" s="24">
        <f>Withdrawals_Data!C586</f>
        <v>45369</v>
      </c>
      <c r="H1792" s="27">
        <v>0</v>
      </c>
      <c r="I1792" s="27">
        <f>-Withdrawals_Data!D586</f>
        <v>-7435</v>
      </c>
    </row>
    <row r="1793" spans="3:9">
      <c r="C1793" s="23">
        <v>586</v>
      </c>
      <c r="D1793" s="23" t="s">
        <v>134</v>
      </c>
      <c r="E1793" s="23" t="str">
        <f>Withdrawals_Data!A587</f>
        <v>DA-003</v>
      </c>
      <c r="F1793" s="23" t="str">
        <f>Withdrawals_Data!B587</f>
        <v>DA-003-M0031</v>
      </c>
      <c r="G1793" s="24">
        <f>Withdrawals_Data!C587</f>
        <v>45539</v>
      </c>
      <c r="H1793" s="27">
        <v>0</v>
      </c>
      <c r="I1793" s="27">
        <f>-Withdrawals_Data!D587</f>
        <v>-10672</v>
      </c>
    </row>
    <row r="1794" spans="3:9">
      <c r="C1794" s="23">
        <v>587</v>
      </c>
      <c r="D1794" s="23" t="s">
        <v>134</v>
      </c>
      <c r="E1794" s="23" t="str">
        <f>Withdrawals_Data!A588</f>
        <v>DA-003</v>
      </c>
      <c r="F1794" s="23" t="str">
        <f>Withdrawals_Data!B588</f>
        <v>DA-003-M0031</v>
      </c>
      <c r="G1794" s="24">
        <f>Withdrawals_Data!C588</f>
        <v>45446</v>
      </c>
      <c r="H1794" s="27">
        <v>0</v>
      </c>
      <c r="I1794" s="27">
        <f>-Withdrawals_Data!D588</f>
        <v>-2187</v>
      </c>
    </row>
    <row r="1795" spans="3:9">
      <c r="C1795" s="23">
        <v>588</v>
      </c>
      <c r="D1795" s="23" t="s">
        <v>134</v>
      </c>
      <c r="E1795" s="23" t="str">
        <f>Withdrawals_Data!A589</f>
        <v>DA-003</v>
      </c>
      <c r="F1795" s="23" t="str">
        <f>Withdrawals_Data!B589</f>
        <v>DA-003-M0031</v>
      </c>
      <c r="G1795" s="24">
        <f>Withdrawals_Data!C589</f>
        <v>45582</v>
      </c>
      <c r="H1795" s="27">
        <v>0</v>
      </c>
      <c r="I1795" s="27">
        <f>-Withdrawals_Data!D589</f>
        <v>-3670</v>
      </c>
    </row>
    <row r="1796" spans="3:9">
      <c r="C1796" s="23">
        <v>589</v>
      </c>
      <c r="D1796" s="23" t="s">
        <v>134</v>
      </c>
      <c r="E1796" s="23" t="str">
        <f>Withdrawals_Data!A590</f>
        <v>DA-003</v>
      </c>
      <c r="F1796" s="23" t="str">
        <f>Withdrawals_Data!B590</f>
        <v>DA-003-M0031</v>
      </c>
      <c r="G1796" s="24">
        <f>Withdrawals_Data!C590</f>
        <v>45491</v>
      </c>
      <c r="H1796" s="27">
        <v>0</v>
      </c>
      <c r="I1796" s="27">
        <f>-Withdrawals_Data!D590</f>
        <v>-9890</v>
      </c>
    </row>
    <row r="1797" spans="3:9">
      <c r="C1797" s="23">
        <v>590</v>
      </c>
      <c r="D1797" s="23" t="s">
        <v>134</v>
      </c>
      <c r="E1797" s="23" t="str">
        <f>Withdrawals_Data!A591</f>
        <v>DA-003</v>
      </c>
      <c r="F1797" s="23" t="str">
        <f>Withdrawals_Data!B591</f>
        <v>DA-003-M0031</v>
      </c>
      <c r="G1797" s="24">
        <f>Withdrawals_Data!C591</f>
        <v>45305</v>
      </c>
      <c r="H1797" s="27">
        <v>0</v>
      </c>
      <c r="I1797" s="27">
        <f>-Withdrawals_Data!D591</f>
        <v>-17443</v>
      </c>
    </row>
    <row r="1798" spans="3:9">
      <c r="C1798" s="23">
        <v>591</v>
      </c>
      <c r="D1798" s="23" t="s">
        <v>134</v>
      </c>
      <c r="E1798" s="23" t="str">
        <f>Withdrawals_Data!A592</f>
        <v>DA-003</v>
      </c>
      <c r="F1798" s="23" t="str">
        <f>Withdrawals_Data!B592</f>
        <v>DA-003-M0031</v>
      </c>
      <c r="G1798" s="24">
        <f>Withdrawals_Data!C592</f>
        <v>45492</v>
      </c>
      <c r="H1798" s="27">
        <v>0</v>
      </c>
      <c r="I1798" s="27">
        <f>-Withdrawals_Data!D592</f>
        <v>-10524</v>
      </c>
    </row>
    <row r="1799" spans="3:9">
      <c r="C1799" s="23">
        <v>592</v>
      </c>
      <c r="D1799" s="23" t="s">
        <v>134</v>
      </c>
      <c r="E1799" s="23" t="str">
        <f>Withdrawals_Data!A593</f>
        <v>DA-003</v>
      </c>
      <c r="F1799" s="23" t="str">
        <f>Withdrawals_Data!B593</f>
        <v>DA-003-M0031</v>
      </c>
      <c r="G1799" s="24">
        <f>Withdrawals_Data!C593</f>
        <v>45308</v>
      </c>
      <c r="H1799" s="27">
        <v>0</v>
      </c>
      <c r="I1799" s="27">
        <f>-Withdrawals_Data!D593</f>
        <v>-16084</v>
      </c>
    </row>
    <row r="1800" spans="3:9">
      <c r="C1800" s="23">
        <v>593</v>
      </c>
      <c r="D1800" s="23" t="s">
        <v>134</v>
      </c>
      <c r="E1800" s="23" t="str">
        <f>Withdrawals_Data!A594</f>
        <v>DA-003</v>
      </c>
      <c r="F1800" s="23" t="str">
        <f>Withdrawals_Data!B594</f>
        <v>DA-003-M0032</v>
      </c>
      <c r="G1800" s="24">
        <f>Withdrawals_Data!C594</f>
        <v>45573</v>
      </c>
      <c r="H1800" s="27">
        <v>0</v>
      </c>
      <c r="I1800" s="27">
        <f>-Withdrawals_Data!D594</f>
        <v>-11985</v>
      </c>
    </row>
    <row r="1801" spans="3:9">
      <c r="C1801" s="23">
        <v>594</v>
      </c>
      <c r="D1801" s="23" t="s">
        <v>134</v>
      </c>
      <c r="E1801" s="23" t="str">
        <f>Withdrawals_Data!A595</f>
        <v>DA-003</v>
      </c>
      <c r="F1801" s="23" t="str">
        <f>Withdrawals_Data!B595</f>
        <v>DA-003-M0032</v>
      </c>
      <c r="G1801" s="24">
        <f>Withdrawals_Data!C595</f>
        <v>45515</v>
      </c>
      <c r="H1801" s="27">
        <v>0</v>
      </c>
      <c r="I1801" s="27">
        <f>-Withdrawals_Data!D595</f>
        <v>-12244</v>
      </c>
    </row>
    <row r="1802" spans="3:9">
      <c r="C1802" s="23">
        <v>595</v>
      </c>
      <c r="D1802" s="23" t="s">
        <v>134</v>
      </c>
      <c r="E1802" s="23" t="str">
        <f>Withdrawals_Data!A596</f>
        <v>DA-003</v>
      </c>
      <c r="F1802" s="23" t="str">
        <f>Withdrawals_Data!B596</f>
        <v>DA-003-M0032</v>
      </c>
      <c r="G1802" s="24">
        <f>Withdrawals_Data!C596</f>
        <v>45459</v>
      </c>
      <c r="H1802" s="27">
        <v>0</v>
      </c>
      <c r="I1802" s="27">
        <f>-Withdrawals_Data!D596</f>
        <v>-9792</v>
      </c>
    </row>
    <row r="1803" spans="3:9">
      <c r="C1803" s="23">
        <v>596</v>
      </c>
      <c r="D1803" s="23" t="s">
        <v>134</v>
      </c>
      <c r="E1803" s="23" t="str">
        <f>Withdrawals_Data!A597</f>
        <v>DA-003</v>
      </c>
      <c r="F1803" s="23" t="str">
        <f>Withdrawals_Data!B597</f>
        <v>DA-003-M0032</v>
      </c>
      <c r="G1803" s="24">
        <f>Withdrawals_Data!C597</f>
        <v>45425</v>
      </c>
      <c r="H1803" s="27">
        <v>0</v>
      </c>
      <c r="I1803" s="27">
        <f>-Withdrawals_Data!D597</f>
        <v>-8169</v>
      </c>
    </row>
    <row r="1804" spans="3:9">
      <c r="C1804" s="23">
        <v>597</v>
      </c>
      <c r="D1804" s="23" t="s">
        <v>134</v>
      </c>
      <c r="E1804" s="23" t="str">
        <f>Withdrawals_Data!A598</f>
        <v>DA-003</v>
      </c>
      <c r="F1804" s="23" t="str">
        <f>Withdrawals_Data!B598</f>
        <v>DA-003-M0032</v>
      </c>
      <c r="G1804" s="24">
        <f>Withdrawals_Data!C598</f>
        <v>45556</v>
      </c>
      <c r="H1804" s="27">
        <v>0</v>
      </c>
      <c r="I1804" s="27">
        <f>-Withdrawals_Data!D598</f>
        <v>-15206</v>
      </c>
    </row>
    <row r="1805" spans="3:9">
      <c r="C1805" s="23">
        <v>598</v>
      </c>
      <c r="D1805" s="23" t="s">
        <v>134</v>
      </c>
      <c r="E1805" s="23" t="str">
        <f>Withdrawals_Data!A599</f>
        <v>DA-003</v>
      </c>
      <c r="F1805" s="23" t="str">
        <f>Withdrawals_Data!B599</f>
        <v>DA-003-M0032</v>
      </c>
      <c r="G1805" s="24">
        <f>Withdrawals_Data!C599</f>
        <v>45513</v>
      </c>
      <c r="H1805" s="27">
        <v>0</v>
      </c>
      <c r="I1805" s="27">
        <f>-Withdrawals_Data!D599</f>
        <v>-4004</v>
      </c>
    </row>
    <row r="1806" spans="3:9">
      <c r="C1806" s="23">
        <v>599</v>
      </c>
      <c r="D1806" s="23" t="s">
        <v>134</v>
      </c>
      <c r="E1806" s="23" t="str">
        <f>Withdrawals_Data!A600</f>
        <v>DA-003</v>
      </c>
      <c r="F1806" s="23" t="str">
        <f>Withdrawals_Data!B600</f>
        <v>DA-003-M0032</v>
      </c>
      <c r="G1806" s="24">
        <f>Withdrawals_Data!C600</f>
        <v>45308</v>
      </c>
      <c r="H1806" s="27">
        <v>0</v>
      </c>
      <c r="I1806" s="27">
        <f>-Withdrawals_Data!D600</f>
        <v>-10579</v>
      </c>
    </row>
    <row r="1807" spans="3:9">
      <c r="C1807" s="23">
        <v>600</v>
      </c>
      <c r="D1807" s="23" t="s">
        <v>134</v>
      </c>
      <c r="E1807" s="23" t="str">
        <f>Withdrawals_Data!A601</f>
        <v>DA-003</v>
      </c>
      <c r="F1807" s="23" t="str">
        <f>Withdrawals_Data!B601</f>
        <v>DA-003-M0032</v>
      </c>
      <c r="G1807" s="24">
        <f>Withdrawals_Data!C601</f>
        <v>45379</v>
      </c>
      <c r="H1807" s="27">
        <v>0</v>
      </c>
      <c r="I1807" s="27">
        <f>-Withdrawals_Data!D601</f>
        <v>-20828</v>
      </c>
    </row>
    <row r="1808" spans="3:9">
      <c r="C1808" s="23">
        <v>601</v>
      </c>
      <c r="D1808" s="23" t="s">
        <v>134</v>
      </c>
      <c r="E1808" s="23" t="str">
        <f>Withdrawals_Data!A602</f>
        <v>DA-003</v>
      </c>
      <c r="F1808" s="23" t="str">
        <f>Withdrawals_Data!B602</f>
        <v>DA-003-M0032</v>
      </c>
      <c r="G1808" s="24">
        <f>Withdrawals_Data!C602</f>
        <v>45645</v>
      </c>
      <c r="H1808" s="27">
        <v>0</v>
      </c>
      <c r="I1808" s="27">
        <f>-Withdrawals_Data!D602</f>
        <v>-4559</v>
      </c>
    </row>
    <row r="1809" spans="3:9">
      <c r="C1809" s="23">
        <v>602</v>
      </c>
      <c r="D1809" s="23" t="s">
        <v>134</v>
      </c>
      <c r="E1809" s="23" t="str">
        <f>Withdrawals_Data!A603</f>
        <v>DA-003</v>
      </c>
      <c r="F1809" s="23" t="str">
        <f>Withdrawals_Data!B603</f>
        <v>DA-003-M0032</v>
      </c>
      <c r="G1809" s="24">
        <f>Withdrawals_Data!C603</f>
        <v>45565</v>
      </c>
      <c r="H1809" s="27">
        <v>0</v>
      </c>
      <c r="I1809" s="27">
        <f>-Withdrawals_Data!D603</f>
        <v>-16077</v>
      </c>
    </row>
    <row r="1810" spans="3:9">
      <c r="C1810" s="23">
        <v>603</v>
      </c>
      <c r="D1810" s="23" t="s">
        <v>134</v>
      </c>
      <c r="E1810" s="23" t="str">
        <f>Withdrawals_Data!A604</f>
        <v>DA-002</v>
      </c>
      <c r="F1810" s="23" t="str">
        <f>Withdrawals_Data!B604</f>
        <v>DA-002-M0033</v>
      </c>
      <c r="G1810" s="24">
        <f>Withdrawals_Data!C604</f>
        <v>45565</v>
      </c>
      <c r="H1810" s="27">
        <v>0</v>
      </c>
      <c r="I1810" s="27">
        <f>-Withdrawals_Data!D604</f>
        <v>-15293</v>
      </c>
    </row>
    <row r="1811" spans="3:9">
      <c r="C1811" s="23">
        <v>604</v>
      </c>
      <c r="D1811" s="23" t="s">
        <v>134</v>
      </c>
      <c r="E1811" s="23" t="str">
        <f>Withdrawals_Data!A605</f>
        <v>DA-002</v>
      </c>
      <c r="F1811" s="23" t="str">
        <f>Withdrawals_Data!B605</f>
        <v>DA-002-M0033</v>
      </c>
      <c r="G1811" s="24">
        <f>Withdrawals_Data!C605</f>
        <v>45307</v>
      </c>
      <c r="H1811" s="27">
        <v>0</v>
      </c>
      <c r="I1811" s="27">
        <f>-Withdrawals_Data!D605</f>
        <v>-14349</v>
      </c>
    </row>
    <row r="1812" spans="3:9">
      <c r="C1812" s="23">
        <v>605</v>
      </c>
      <c r="D1812" s="23" t="s">
        <v>134</v>
      </c>
      <c r="E1812" s="23" t="str">
        <f>Withdrawals_Data!A606</f>
        <v>DA-002</v>
      </c>
      <c r="F1812" s="23" t="str">
        <f>Withdrawals_Data!B606</f>
        <v>DA-002-M0033</v>
      </c>
      <c r="G1812" s="24">
        <f>Withdrawals_Data!C606</f>
        <v>45557</v>
      </c>
      <c r="H1812" s="27">
        <v>0</v>
      </c>
      <c r="I1812" s="27">
        <f>-Withdrawals_Data!D606</f>
        <v>-13602</v>
      </c>
    </row>
    <row r="1813" spans="3:9">
      <c r="C1813" s="23">
        <v>606</v>
      </c>
      <c r="D1813" s="23" t="s">
        <v>134</v>
      </c>
      <c r="E1813" s="23" t="str">
        <f>Withdrawals_Data!A607</f>
        <v>DA-002</v>
      </c>
      <c r="F1813" s="23" t="str">
        <f>Withdrawals_Data!B607</f>
        <v>DA-002-M0033</v>
      </c>
      <c r="G1813" s="24">
        <f>Withdrawals_Data!C607</f>
        <v>45373</v>
      </c>
      <c r="H1813" s="27">
        <v>0</v>
      </c>
      <c r="I1813" s="27">
        <f>-Withdrawals_Data!D607</f>
        <v>-4439</v>
      </c>
    </row>
    <row r="1814" spans="3:9">
      <c r="C1814" s="23">
        <v>607</v>
      </c>
      <c r="D1814" s="23" t="s">
        <v>134</v>
      </c>
      <c r="E1814" s="23" t="str">
        <f>Withdrawals_Data!A608</f>
        <v>DA-002</v>
      </c>
      <c r="F1814" s="23" t="str">
        <f>Withdrawals_Data!B608</f>
        <v>DA-002-M0033</v>
      </c>
      <c r="G1814" s="24">
        <f>Withdrawals_Data!C608</f>
        <v>45314</v>
      </c>
      <c r="H1814" s="27">
        <v>0</v>
      </c>
      <c r="I1814" s="27">
        <f>-Withdrawals_Data!D608</f>
        <v>-6441</v>
      </c>
    </row>
    <row r="1815" spans="3:9">
      <c r="C1815" s="23">
        <v>608</v>
      </c>
      <c r="D1815" s="23" t="s">
        <v>134</v>
      </c>
      <c r="E1815" s="23" t="str">
        <f>Withdrawals_Data!A609</f>
        <v>DA-002</v>
      </c>
      <c r="F1815" s="23" t="str">
        <f>Withdrawals_Data!B609</f>
        <v>DA-002-M0033</v>
      </c>
      <c r="G1815" s="24">
        <f>Withdrawals_Data!C609</f>
        <v>45526</v>
      </c>
      <c r="H1815" s="27">
        <v>0</v>
      </c>
      <c r="I1815" s="27">
        <f>-Withdrawals_Data!D609</f>
        <v>-2683</v>
      </c>
    </row>
    <row r="1816" spans="3:9">
      <c r="C1816" s="23">
        <v>609</v>
      </c>
      <c r="D1816" s="23" t="s">
        <v>134</v>
      </c>
      <c r="E1816" s="23" t="str">
        <f>Withdrawals_Data!A610</f>
        <v>DA-002</v>
      </c>
      <c r="F1816" s="23" t="str">
        <f>Withdrawals_Data!B610</f>
        <v>DA-002-M0033</v>
      </c>
      <c r="G1816" s="24">
        <f>Withdrawals_Data!C610</f>
        <v>45509</v>
      </c>
      <c r="H1816" s="27">
        <v>0</v>
      </c>
      <c r="I1816" s="27">
        <f>-Withdrawals_Data!D610</f>
        <v>-13840</v>
      </c>
    </row>
    <row r="1817" spans="3:9">
      <c r="C1817" s="23">
        <v>610</v>
      </c>
      <c r="D1817" s="23" t="s">
        <v>134</v>
      </c>
      <c r="E1817" s="23" t="str">
        <f>Withdrawals_Data!A611</f>
        <v>DA-002</v>
      </c>
      <c r="F1817" s="23" t="str">
        <f>Withdrawals_Data!B611</f>
        <v>DA-002-M0033</v>
      </c>
      <c r="G1817" s="24">
        <f>Withdrawals_Data!C611</f>
        <v>45610</v>
      </c>
      <c r="H1817" s="27">
        <v>0</v>
      </c>
      <c r="I1817" s="27">
        <f>-Withdrawals_Data!D611</f>
        <v>-12859</v>
      </c>
    </row>
    <row r="1818" spans="3:9">
      <c r="C1818" s="23">
        <v>611</v>
      </c>
      <c r="D1818" s="23" t="s">
        <v>134</v>
      </c>
      <c r="E1818" s="23" t="str">
        <f>Withdrawals_Data!A612</f>
        <v>DA-002</v>
      </c>
      <c r="F1818" s="23" t="str">
        <f>Withdrawals_Data!B612</f>
        <v>DA-002-M0033</v>
      </c>
      <c r="G1818" s="24">
        <f>Withdrawals_Data!C612</f>
        <v>45411</v>
      </c>
      <c r="H1818" s="27">
        <v>0</v>
      </c>
      <c r="I1818" s="27">
        <f>-Withdrawals_Data!D612</f>
        <v>-3070</v>
      </c>
    </row>
    <row r="1819" spans="3:9">
      <c r="C1819" s="23">
        <v>612</v>
      </c>
      <c r="D1819" s="23" t="s">
        <v>134</v>
      </c>
      <c r="E1819" s="23" t="str">
        <f>Withdrawals_Data!A613</f>
        <v>DA-001</v>
      </c>
      <c r="F1819" s="23" t="str">
        <f>Withdrawals_Data!B613</f>
        <v>DA-001-M0034</v>
      </c>
      <c r="G1819" s="24">
        <f>Withdrawals_Data!C613</f>
        <v>45488</v>
      </c>
      <c r="H1819" s="27">
        <v>0</v>
      </c>
      <c r="I1819" s="27">
        <f>-Withdrawals_Data!D613</f>
        <v>-12380</v>
      </c>
    </row>
    <row r="1820" spans="3:9">
      <c r="C1820" s="23">
        <v>613</v>
      </c>
      <c r="D1820" s="23" t="s">
        <v>134</v>
      </c>
      <c r="E1820" s="23" t="str">
        <f>Withdrawals_Data!A614</f>
        <v>DA-001</v>
      </c>
      <c r="F1820" s="23" t="str">
        <f>Withdrawals_Data!B614</f>
        <v>DA-001-M0034</v>
      </c>
      <c r="G1820" s="24">
        <f>Withdrawals_Data!C614</f>
        <v>45563</v>
      </c>
      <c r="H1820" s="27">
        <v>0</v>
      </c>
      <c r="I1820" s="27">
        <f>-Withdrawals_Data!D614</f>
        <v>-7530</v>
      </c>
    </row>
    <row r="1821" spans="3:9">
      <c r="C1821" s="23">
        <v>614</v>
      </c>
      <c r="D1821" s="23" t="s">
        <v>134</v>
      </c>
      <c r="E1821" s="23" t="str">
        <f>Withdrawals_Data!A615</f>
        <v>DA-001</v>
      </c>
      <c r="F1821" s="23" t="str">
        <f>Withdrawals_Data!B615</f>
        <v>DA-001-M0034</v>
      </c>
      <c r="G1821" s="24">
        <f>Withdrawals_Data!C615</f>
        <v>45636</v>
      </c>
      <c r="H1821" s="27">
        <v>0</v>
      </c>
      <c r="I1821" s="27">
        <f>-Withdrawals_Data!D615</f>
        <v>-14623</v>
      </c>
    </row>
    <row r="1822" spans="3:9">
      <c r="C1822" s="23">
        <v>615</v>
      </c>
      <c r="D1822" s="23" t="s">
        <v>134</v>
      </c>
      <c r="E1822" s="23" t="str">
        <f>Withdrawals_Data!A616</f>
        <v>DA-001</v>
      </c>
      <c r="F1822" s="23" t="str">
        <f>Withdrawals_Data!B616</f>
        <v>DA-001-M0034</v>
      </c>
      <c r="G1822" s="24">
        <f>Withdrawals_Data!C616</f>
        <v>45403</v>
      </c>
      <c r="H1822" s="27">
        <v>0</v>
      </c>
      <c r="I1822" s="27">
        <f>-Withdrawals_Data!D616</f>
        <v>-8659</v>
      </c>
    </row>
    <row r="1823" spans="3:9">
      <c r="C1823" s="23">
        <v>616</v>
      </c>
      <c r="D1823" s="23" t="s">
        <v>134</v>
      </c>
      <c r="E1823" s="23" t="str">
        <f>Withdrawals_Data!A617</f>
        <v>DA-001</v>
      </c>
      <c r="F1823" s="23" t="str">
        <f>Withdrawals_Data!B617</f>
        <v>DA-001-M0034</v>
      </c>
      <c r="G1823" s="24">
        <f>Withdrawals_Data!C617</f>
        <v>45634</v>
      </c>
      <c r="H1823" s="27">
        <v>0</v>
      </c>
      <c r="I1823" s="27">
        <f>-Withdrawals_Data!D617</f>
        <v>-13091</v>
      </c>
    </row>
    <row r="1824" spans="3:9">
      <c r="C1824" s="23">
        <v>617</v>
      </c>
      <c r="D1824" s="23" t="s">
        <v>134</v>
      </c>
      <c r="E1824" s="23" t="str">
        <f>Withdrawals_Data!A618</f>
        <v>DA-001</v>
      </c>
      <c r="F1824" s="23" t="str">
        <f>Withdrawals_Data!B618</f>
        <v>DA-001-M0034</v>
      </c>
      <c r="G1824" s="24">
        <f>Withdrawals_Data!C618</f>
        <v>45295</v>
      </c>
      <c r="H1824" s="27">
        <v>0</v>
      </c>
      <c r="I1824" s="27">
        <f>-Withdrawals_Data!D618</f>
        <v>-2317</v>
      </c>
    </row>
    <row r="1825" spans="3:9">
      <c r="C1825" s="23">
        <v>618</v>
      </c>
      <c r="D1825" s="23" t="s">
        <v>134</v>
      </c>
      <c r="E1825" s="23" t="str">
        <f>Withdrawals_Data!A619</f>
        <v>DA-001</v>
      </c>
      <c r="F1825" s="23" t="str">
        <f>Withdrawals_Data!B619</f>
        <v>DA-001-M0034</v>
      </c>
      <c r="G1825" s="24">
        <f>Withdrawals_Data!C619</f>
        <v>45487</v>
      </c>
      <c r="H1825" s="27">
        <v>0</v>
      </c>
      <c r="I1825" s="27">
        <f>-Withdrawals_Data!D619</f>
        <v>-14597</v>
      </c>
    </row>
    <row r="1826" spans="3:9">
      <c r="C1826" s="23">
        <v>619</v>
      </c>
      <c r="D1826" s="23" t="s">
        <v>134</v>
      </c>
      <c r="E1826" s="23" t="str">
        <f>Withdrawals_Data!A620</f>
        <v>DA-001</v>
      </c>
      <c r="F1826" s="23" t="str">
        <f>Withdrawals_Data!B620</f>
        <v>DA-001-M0034</v>
      </c>
      <c r="G1826" s="24">
        <f>Withdrawals_Data!C620</f>
        <v>45585</v>
      </c>
      <c r="H1826" s="27">
        <v>0</v>
      </c>
      <c r="I1826" s="27">
        <f>-Withdrawals_Data!D620</f>
        <v>-11810</v>
      </c>
    </row>
    <row r="1827" spans="3:9">
      <c r="C1827" s="23">
        <v>620</v>
      </c>
      <c r="D1827" s="23" t="s">
        <v>134</v>
      </c>
      <c r="E1827" s="23" t="str">
        <f>Withdrawals_Data!A621</f>
        <v>DA-001</v>
      </c>
      <c r="F1827" s="23" t="str">
        <f>Withdrawals_Data!B621</f>
        <v>DA-001-M0034</v>
      </c>
      <c r="G1827" s="24">
        <f>Withdrawals_Data!C621</f>
        <v>45469</v>
      </c>
      <c r="H1827" s="27">
        <v>0</v>
      </c>
      <c r="I1827" s="27">
        <f>-Withdrawals_Data!D621</f>
        <v>-2284</v>
      </c>
    </row>
    <row r="1828" spans="3:9">
      <c r="C1828" s="23">
        <v>621</v>
      </c>
      <c r="D1828" s="23" t="s">
        <v>134</v>
      </c>
      <c r="E1828" s="23" t="str">
        <f>Withdrawals_Data!A622</f>
        <v>DA-001</v>
      </c>
      <c r="F1828" s="23" t="str">
        <f>Withdrawals_Data!B622</f>
        <v>DA-001-M0035</v>
      </c>
      <c r="G1828" s="24">
        <f>Withdrawals_Data!C622</f>
        <v>45545</v>
      </c>
      <c r="H1828" s="27">
        <v>0</v>
      </c>
      <c r="I1828" s="27">
        <f>-Withdrawals_Data!D622</f>
        <v>-3315</v>
      </c>
    </row>
    <row r="1829" spans="3:9">
      <c r="C1829" s="23">
        <v>622</v>
      </c>
      <c r="D1829" s="23" t="s">
        <v>134</v>
      </c>
      <c r="E1829" s="23" t="str">
        <f>Withdrawals_Data!A623</f>
        <v>DA-001</v>
      </c>
      <c r="F1829" s="23" t="str">
        <f>Withdrawals_Data!B623</f>
        <v>DA-001-M0035</v>
      </c>
      <c r="G1829" s="24">
        <f>Withdrawals_Data!C623</f>
        <v>45609</v>
      </c>
      <c r="H1829" s="27">
        <v>0</v>
      </c>
      <c r="I1829" s="27">
        <f>-Withdrawals_Data!D623</f>
        <v>-13630</v>
      </c>
    </row>
    <row r="1830" spans="3:9">
      <c r="C1830" s="23">
        <v>623</v>
      </c>
      <c r="D1830" s="23" t="s">
        <v>134</v>
      </c>
      <c r="E1830" s="23" t="str">
        <f>Withdrawals_Data!A624</f>
        <v>DA-001</v>
      </c>
      <c r="F1830" s="23" t="str">
        <f>Withdrawals_Data!B624</f>
        <v>DA-001-M0035</v>
      </c>
      <c r="G1830" s="24">
        <f>Withdrawals_Data!C624</f>
        <v>45361</v>
      </c>
      <c r="H1830" s="27">
        <v>0</v>
      </c>
      <c r="I1830" s="27">
        <f>-Withdrawals_Data!D624</f>
        <v>-1834</v>
      </c>
    </row>
    <row r="1831" spans="3:9">
      <c r="C1831" s="23">
        <v>624</v>
      </c>
      <c r="D1831" s="23" t="s">
        <v>134</v>
      </c>
      <c r="E1831" s="23" t="str">
        <f>Withdrawals_Data!A625</f>
        <v>DA-001</v>
      </c>
      <c r="F1831" s="23" t="str">
        <f>Withdrawals_Data!B625</f>
        <v>DA-001-M0035</v>
      </c>
      <c r="G1831" s="24">
        <f>Withdrawals_Data!C625</f>
        <v>45484</v>
      </c>
      <c r="H1831" s="27">
        <v>0</v>
      </c>
      <c r="I1831" s="27">
        <f>-Withdrawals_Data!D625</f>
        <v>-3598</v>
      </c>
    </row>
    <row r="1832" spans="3:9">
      <c r="C1832" s="23">
        <v>625</v>
      </c>
      <c r="D1832" s="23" t="s">
        <v>134</v>
      </c>
      <c r="E1832" s="23" t="str">
        <f>Withdrawals_Data!A626</f>
        <v>DA-001</v>
      </c>
      <c r="F1832" s="23" t="str">
        <f>Withdrawals_Data!B626</f>
        <v>DA-001-M0035</v>
      </c>
      <c r="G1832" s="24">
        <f>Withdrawals_Data!C626</f>
        <v>45455</v>
      </c>
      <c r="H1832" s="27">
        <v>0</v>
      </c>
      <c r="I1832" s="27">
        <f>-Withdrawals_Data!D626</f>
        <v>-11619</v>
      </c>
    </row>
    <row r="1833" spans="3:9">
      <c r="C1833" s="23">
        <v>626</v>
      </c>
      <c r="D1833" s="23" t="s">
        <v>134</v>
      </c>
      <c r="E1833" s="23" t="str">
        <f>Withdrawals_Data!A627</f>
        <v>DA-001</v>
      </c>
      <c r="F1833" s="23" t="str">
        <f>Withdrawals_Data!B627</f>
        <v>DA-001-M0035</v>
      </c>
      <c r="G1833" s="24">
        <f>Withdrawals_Data!C627</f>
        <v>45499</v>
      </c>
      <c r="H1833" s="27">
        <v>0</v>
      </c>
      <c r="I1833" s="27">
        <f>-Withdrawals_Data!D627</f>
        <v>-12370</v>
      </c>
    </row>
    <row r="1834" spans="3:9">
      <c r="C1834" s="23">
        <v>627</v>
      </c>
      <c r="D1834" s="23" t="s">
        <v>134</v>
      </c>
      <c r="E1834" s="23" t="str">
        <f>Withdrawals_Data!A628</f>
        <v>DA-001</v>
      </c>
      <c r="F1834" s="23" t="str">
        <f>Withdrawals_Data!B628</f>
        <v>DA-001-M0035</v>
      </c>
      <c r="G1834" s="24">
        <f>Withdrawals_Data!C628</f>
        <v>45382</v>
      </c>
      <c r="H1834" s="27">
        <v>0</v>
      </c>
      <c r="I1834" s="27">
        <f>-Withdrawals_Data!D628</f>
        <v>-6434</v>
      </c>
    </row>
    <row r="1835" spans="3:9">
      <c r="C1835" s="23">
        <v>628</v>
      </c>
      <c r="D1835" s="23" t="s">
        <v>134</v>
      </c>
      <c r="E1835" s="23" t="str">
        <f>Withdrawals_Data!A629</f>
        <v>DA-001</v>
      </c>
      <c r="F1835" s="23" t="str">
        <f>Withdrawals_Data!B629</f>
        <v>DA-001-M0035</v>
      </c>
      <c r="G1835" s="24">
        <f>Withdrawals_Data!C629</f>
        <v>45498</v>
      </c>
      <c r="H1835" s="27">
        <v>0</v>
      </c>
      <c r="I1835" s="27">
        <f>-Withdrawals_Data!D629</f>
        <v>-19021</v>
      </c>
    </row>
    <row r="1836" spans="3:9">
      <c r="C1836" s="23">
        <v>629</v>
      </c>
      <c r="D1836" s="23" t="s">
        <v>134</v>
      </c>
      <c r="E1836" s="23" t="str">
        <f>Withdrawals_Data!A630</f>
        <v>DA-001</v>
      </c>
      <c r="F1836" s="23" t="str">
        <f>Withdrawals_Data!B630</f>
        <v>DA-001-M0035</v>
      </c>
      <c r="G1836" s="24">
        <f>Withdrawals_Data!C630</f>
        <v>45642</v>
      </c>
      <c r="H1836" s="27">
        <v>0</v>
      </c>
      <c r="I1836" s="27">
        <f>-Withdrawals_Data!D630</f>
        <v>-2130</v>
      </c>
    </row>
    <row r="1837" spans="3:9">
      <c r="C1837" s="23">
        <v>630</v>
      </c>
      <c r="D1837" s="23" t="s">
        <v>134</v>
      </c>
      <c r="E1837" s="23" t="str">
        <f>Withdrawals_Data!A631</f>
        <v>DA-001</v>
      </c>
      <c r="F1837" s="23" t="str">
        <f>Withdrawals_Data!B631</f>
        <v>DA-001-M0035</v>
      </c>
      <c r="G1837" s="24">
        <f>Withdrawals_Data!C631</f>
        <v>45491</v>
      </c>
      <c r="H1837" s="27">
        <v>0</v>
      </c>
      <c r="I1837" s="27">
        <f>-Withdrawals_Data!D631</f>
        <v>-12128</v>
      </c>
    </row>
    <row r="1838" spans="3:9">
      <c r="C1838" s="23">
        <v>631</v>
      </c>
      <c r="D1838" s="23" t="s">
        <v>134</v>
      </c>
      <c r="E1838" s="23" t="str">
        <f>Withdrawals_Data!A632</f>
        <v>DA-003</v>
      </c>
      <c r="F1838" s="23" t="str">
        <f>Withdrawals_Data!B632</f>
        <v>DA-003-M0036</v>
      </c>
      <c r="G1838" s="24">
        <f>Withdrawals_Data!C632</f>
        <v>45525</v>
      </c>
      <c r="H1838" s="27">
        <v>0</v>
      </c>
      <c r="I1838" s="27">
        <f>-Withdrawals_Data!D632</f>
        <v>-7261</v>
      </c>
    </row>
    <row r="1839" spans="3:9">
      <c r="C1839" s="23">
        <v>632</v>
      </c>
      <c r="D1839" s="23" t="s">
        <v>134</v>
      </c>
      <c r="E1839" s="23" t="str">
        <f>Withdrawals_Data!A633</f>
        <v>DA-003</v>
      </c>
      <c r="F1839" s="23" t="str">
        <f>Withdrawals_Data!B633</f>
        <v>DA-003-M0036</v>
      </c>
      <c r="G1839" s="24">
        <f>Withdrawals_Data!C633</f>
        <v>45441</v>
      </c>
      <c r="H1839" s="27">
        <v>0</v>
      </c>
      <c r="I1839" s="27">
        <f>-Withdrawals_Data!D633</f>
        <v>-3432</v>
      </c>
    </row>
    <row r="1840" spans="3:9">
      <c r="C1840" s="23">
        <v>633</v>
      </c>
      <c r="D1840" s="23" t="s">
        <v>134</v>
      </c>
      <c r="E1840" s="23" t="str">
        <f>Withdrawals_Data!A634</f>
        <v>DA-003</v>
      </c>
      <c r="F1840" s="23" t="str">
        <f>Withdrawals_Data!B634</f>
        <v>DA-003-M0036</v>
      </c>
      <c r="G1840" s="24">
        <f>Withdrawals_Data!C634</f>
        <v>45527</v>
      </c>
      <c r="H1840" s="27">
        <v>0</v>
      </c>
      <c r="I1840" s="27">
        <f>-Withdrawals_Data!D634</f>
        <v>-8173</v>
      </c>
    </row>
    <row r="1841" spans="3:9">
      <c r="C1841" s="23">
        <v>634</v>
      </c>
      <c r="D1841" s="23" t="s">
        <v>134</v>
      </c>
      <c r="E1841" s="23" t="str">
        <f>Withdrawals_Data!A635</f>
        <v>DA-003</v>
      </c>
      <c r="F1841" s="23" t="str">
        <f>Withdrawals_Data!B635</f>
        <v>DA-003-M0036</v>
      </c>
      <c r="G1841" s="24">
        <f>Withdrawals_Data!C635</f>
        <v>45503</v>
      </c>
      <c r="H1841" s="27">
        <v>0</v>
      </c>
      <c r="I1841" s="27">
        <f>-Withdrawals_Data!D635</f>
        <v>-2411</v>
      </c>
    </row>
    <row r="1842" spans="3:9">
      <c r="C1842" s="23">
        <v>635</v>
      </c>
      <c r="D1842" s="23" t="s">
        <v>134</v>
      </c>
      <c r="E1842" s="23" t="str">
        <f>Withdrawals_Data!A636</f>
        <v>DA-003</v>
      </c>
      <c r="F1842" s="23" t="str">
        <f>Withdrawals_Data!B636</f>
        <v>DA-003-M0036</v>
      </c>
      <c r="G1842" s="24">
        <f>Withdrawals_Data!C636</f>
        <v>45411</v>
      </c>
      <c r="H1842" s="27">
        <v>0</v>
      </c>
      <c r="I1842" s="27">
        <f>-Withdrawals_Data!D636</f>
        <v>-16009</v>
      </c>
    </row>
    <row r="1843" spans="3:9">
      <c r="C1843" s="23">
        <v>636</v>
      </c>
      <c r="D1843" s="23" t="s">
        <v>134</v>
      </c>
      <c r="E1843" s="23" t="str">
        <f>Withdrawals_Data!A637</f>
        <v>DA-003</v>
      </c>
      <c r="F1843" s="23" t="str">
        <f>Withdrawals_Data!B637</f>
        <v>DA-003-M0036</v>
      </c>
      <c r="G1843" s="24">
        <f>Withdrawals_Data!C637</f>
        <v>45599</v>
      </c>
      <c r="H1843" s="27">
        <v>0</v>
      </c>
      <c r="I1843" s="27">
        <f>-Withdrawals_Data!D637</f>
        <v>-13085</v>
      </c>
    </row>
    <row r="1844" spans="3:9">
      <c r="C1844" s="23">
        <v>637</v>
      </c>
      <c r="D1844" s="23" t="s">
        <v>134</v>
      </c>
      <c r="E1844" s="23" t="str">
        <f>Withdrawals_Data!A638</f>
        <v>DA-003</v>
      </c>
      <c r="F1844" s="23" t="str">
        <f>Withdrawals_Data!B638</f>
        <v>DA-003-M0036</v>
      </c>
      <c r="G1844" s="24">
        <f>Withdrawals_Data!C638</f>
        <v>45502</v>
      </c>
      <c r="H1844" s="27">
        <v>0</v>
      </c>
      <c r="I1844" s="27">
        <f>-Withdrawals_Data!D638</f>
        <v>-3694</v>
      </c>
    </row>
    <row r="1845" spans="3:9">
      <c r="C1845" s="23">
        <v>638</v>
      </c>
      <c r="D1845" s="23" t="s">
        <v>134</v>
      </c>
      <c r="E1845" s="23" t="str">
        <f>Withdrawals_Data!A639</f>
        <v>DA-003</v>
      </c>
      <c r="F1845" s="23" t="str">
        <f>Withdrawals_Data!B639</f>
        <v>DA-003-M0036</v>
      </c>
      <c r="G1845" s="24">
        <f>Withdrawals_Data!C639</f>
        <v>45585</v>
      </c>
      <c r="H1845" s="27">
        <v>0</v>
      </c>
      <c r="I1845" s="27">
        <f>-Withdrawals_Data!D639</f>
        <v>-3615</v>
      </c>
    </row>
    <row r="1846" spans="3:9">
      <c r="C1846" s="23">
        <v>639</v>
      </c>
      <c r="D1846" s="23" t="s">
        <v>134</v>
      </c>
      <c r="E1846" s="23" t="str">
        <f>Withdrawals_Data!A640</f>
        <v>DA-002</v>
      </c>
      <c r="F1846" s="23" t="str">
        <f>Withdrawals_Data!B640</f>
        <v>DA-002-M0037</v>
      </c>
      <c r="G1846" s="24">
        <f>Withdrawals_Data!C640</f>
        <v>45611</v>
      </c>
      <c r="H1846" s="27">
        <v>0</v>
      </c>
      <c r="I1846" s="27">
        <f>-Withdrawals_Data!D640</f>
        <v>-20127</v>
      </c>
    </row>
    <row r="1847" spans="3:9">
      <c r="C1847" s="23">
        <v>640</v>
      </c>
      <c r="D1847" s="23" t="s">
        <v>134</v>
      </c>
      <c r="E1847" s="23" t="str">
        <f>Withdrawals_Data!A641</f>
        <v>DA-002</v>
      </c>
      <c r="F1847" s="23" t="str">
        <f>Withdrawals_Data!B641</f>
        <v>DA-002-M0037</v>
      </c>
      <c r="G1847" s="24">
        <f>Withdrawals_Data!C641</f>
        <v>45452</v>
      </c>
      <c r="H1847" s="27">
        <v>0</v>
      </c>
      <c r="I1847" s="27">
        <f>-Withdrawals_Data!D641</f>
        <v>-13379</v>
      </c>
    </row>
    <row r="1848" spans="3:9">
      <c r="C1848" s="23">
        <v>641</v>
      </c>
      <c r="D1848" s="23" t="s">
        <v>134</v>
      </c>
      <c r="E1848" s="23" t="str">
        <f>Withdrawals_Data!A642</f>
        <v>DA-002</v>
      </c>
      <c r="F1848" s="23" t="str">
        <f>Withdrawals_Data!B642</f>
        <v>DA-002-M0037</v>
      </c>
      <c r="G1848" s="24">
        <f>Withdrawals_Data!C642</f>
        <v>45370</v>
      </c>
      <c r="H1848" s="27">
        <v>0</v>
      </c>
      <c r="I1848" s="27">
        <f>-Withdrawals_Data!D642</f>
        <v>-19793</v>
      </c>
    </row>
    <row r="1849" spans="3:9">
      <c r="C1849" s="23">
        <v>642</v>
      </c>
      <c r="D1849" s="23" t="s">
        <v>134</v>
      </c>
      <c r="E1849" s="23" t="str">
        <f>Withdrawals_Data!A643</f>
        <v>DA-002</v>
      </c>
      <c r="F1849" s="23" t="str">
        <f>Withdrawals_Data!B643</f>
        <v>DA-002-M0037</v>
      </c>
      <c r="G1849" s="24">
        <f>Withdrawals_Data!C643</f>
        <v>45489</v>
      </c>
      <c r="H1849" s="27">
        <v>0</v>
      </c>
      <c r="I1849" s="27">
        <f>-Withdrawals_Data!D643</f>
        <v>-11481</v>
      </c>
    </row>
    <row r="1850" spans="3:9">
      <c r="C1850" s="23">
        <v>643</v>
      </c>
      <c r="D1850" s="23" t="s">
        <v>134</v>
      </c>
      <c r="E1850" s="23" t="str">
        <f>Withdrawals_Data!A644</f>
        <v>DA-002</v>
      </c>
      <c r="F1850" s="23" t="str">
        <f>Withdrawals_Data!B644</f>
        <v>DA-002-M0037</v>
      </c>
      <c r="G1850" s="24">
        <f>Withdrawals_Data!C644</f>
        <v>45466</v>
      </c>
      <c r="H1850" s="27">
        <v>0</v>
      </c>
      <c r="I1850" s="27">
        <f>-Withdrawals_Data!D644</f>
        <v>-5511</v>
      </c>
    </row>
    <row r="1851" spans="3:9">
      <c r="C1851" s="23">
        <v>644</v>
      </c>
      <c r="D1851" s="23" t="s">
        <v>134</v>
      </c>
      <c r="E1851" s="23" t="str">
        <f>Withdrawals_Data!A645</f>
        <v>DA-002</v>
      </c>
      <c r="F1851" s="23" t="str">
        <f>Withdrawals_Data!B645</f>
        <v>DA-002-M0037</v>
      </c>
      <c r="G1851" s="24">
        <f>Withdrawals_Data!C645</f>
        <v>45352</v>
      </c>
      <c r="H1851" s="27">
        <v>0</v>
      </c>
      <c r="I1851" s="27">
        <f>-Withdrawals_Data!D645</f>
        <v>-6747</v>
      </c>
    </row>
    <row r="1852" spans="3:9">
      <c r="C1852" s="23">
        <v>645</v>
      </c>
      <c r="D1852" s="23" t="s">
        <v>134</v>
      </c>
      <c r="E1852" s="23" t="str">
        <f>Withdrawals_Data!A646</f>
        <v>DA-002</v>
      </c>
      <c r="F1852" s="23" t="str">
        <f>Withdrawals_Data!B646</f>
        <v>DA-002-M0037</v>
      </c>
      <c r="G1852" s="24">
        <f>Withdrawals_Data!C646</f>
        <v>45461</v>
      </c>
      <c r="H1852" s="27">
        <v>0</v>
      </c>
      <c r="I1852" s="27">
        <f>-Withdrawals_Data!D646</f>
        <v>-16835</v>
      </c>
    </row>
    <row r="1853" spans="3:9">
      <c r="C1853" s="23">
        <v>646</v>
      </c>
      <c r="D1853" s="23" t="s">
        <v>134</v>
      </c>
      <c r="E1853" s="23" t="str">
        <f>Withdrawals_Data!A647</f>
        <v>DA-001</v>
      </c>
      <c r="F1853" s="23" t="str">
        <f>Withdrawals_Data!B647</f>
        <v>DA-001-M0038</v>
      </c>
      <c r="G1853" s="24">
        <f>Withdrawals_Data!C647</f>
        <v>45382</v>
      </c>
      <c r="H1853" s="27">
        <v>0</v>
      </c>
      <c r="I1853" s="27">
        <f>-Withdrawals_Data!D647</f>
        <v>-13323</v>
      </c>
    </row>
    <row r="1854" spans="3:9">
      <c r="C1854" s="23">
        <v>647</v>
      </c>
      <c r="D1854" s="23" t="s">
        <v>134</v>
      </c>
      <c r="E1854" s="23" t="str">
        <f>Withdrawals_Data!A648</f>
        <v>DA-001</v>
      </c>
      <c r="F1854" s="23" t="str">
        <f>Withdrawals_Data!B648</f>
        <v>DA-001-M0038</v>
      </c>
      <c r="G1854" s="24">
        <f>Withdrawals_Data!C648</f>
        <v>45295</v>
      </c>
      <c r="H1854" s="27">
        <v>0</v>
      </c>
      <c r="I1854" s="27">
        <f>-Withdrawals_Data!D648</f>
        <v>-7390</v>
      </c>
    </row>
    <row r="1855" spans="3:9">
      <c r="C1855" s="23">
        <v>648</v>
      </c>
      <c r="D1855" s="23" t="s">
        <v>134</v>
      </c>
      <c r="E1855" s="23" t="str">
        <f>Withdrawals_Data!A649</f>
        <v>DA-001</v>
      </c>
      <c r="F1855" s="23" t="str">
        <f>Withdrawals_Data!B649</f>
        <v>DA-001-M0038</v>
      </c>
      <c r="G1855" s="24">
        <f>Withdrawals_Data!C649</f>
        <v>45595</v>
      </c>
      <c r="H1855" s="27">
        <v>0</v>
      </c>
      <c r="I1855" s="27">
        <f>-Withdrawals_Data!D649</f>
        <v>-20254</v>
      </c>
    </row>
    <row r="1856" spans="3:9">
      <c r="C1856" s="23">
        <v>649</v>
      </c>
      <c r="D1856" s="23" t="s">
        <v>134</v>
      </c>
      <c r="E1856" s="23" t="str">
        <f>Withdrawals_Data!A650</f>
        <v>DA-001</v>
      </c>
      <c r="F1856" s="23" t="str">
        <f>Withdrawals_Data!B650</f>
        <v>DA-001-M0038</v>
      </c>
      <c r="G1856" s="24">
        <f>Withdrawals_Data!C650</f>
        <v>45596</v>
      </c>
      <c r="H1856" s="27">
        <v>0</v>
      </c>
      <c r="I1856" s="27">
        <f>-Withdrawals_Data!D650</f>
        <v>-17909</v>
      </c>
    </row>
    <row r="1857" spans="3:9">
      <c r="C1857" s="23">
        <v>650</v>
      </c>
      <c r="D1857" s="23" t="s">
        <v>134</v>
      </c>
      <c r="E1857" s="23" t="str">
        <f>Withdrawals_Data!A651</f>
        <v>DA-001</v>
      </c>
      <c r="F1857" s="23" t="str">
        <f>Withdrawals_Data!B651</f>
        <v>DA-001-M0038</v>
      </c>
      <c r="G1857" s="24">
        <f>Withdrawals_Data!C651</f>
        <v>45515</v>
      </c>
      <c r="H1857" s="27">
        <v>0</v>
      </c>
      <c r="I1857" s="27">
        <f>-Withdrawals_Data!D651</f>
        <v>-13738</v>
      </c>
    </row>
    <row r="1858" spans="3:9">
      <c r="C1858" s="23">
        <v>651</v>
      </c>
      <c r="D1858" s="23" t="s">
        <v>134</v>
      </c>
      <c r="E1858" s="23" t="str">
        <f>Withdrawals_Data!A652</f>
        <v>DA-001</v>
      </c>
      <c r="F1858" s="23" t="str">
        <f>Withdrawals_Data!B652</f>
        <v>DA-001-M0038</v>
      </c>
      <c r="G1858" s="24">
        <f>Withdrawals_Data!C652</f>
        <v>45424</v>
      </c>
      <c r="H1858" s="27">
        <v>0</v>
      </c>
      <c r="I1858" s="27">
        <f>-Withdrawals_Data!D652</f>
        <v>-18948</v>
      </c>
    </row>
    <row r="1859" spans="3:9">
      <c r="C1859" s="23">
        <v>652</v>
      </c>
      <c r="D1859" s="23" t="s">
        <v>134</v>
      </c>
      <c r="E1859" s="23" t="str">
        <f>Withdrawals_Data!A653</f>
        <v>DA-001</v>
      </c>
      <c r="F1859" s="23" t="str">
        <f>Withdrawals_Data!B653</f>
        <v>DA-001-M0038</v>
      </c>
      <c r="G1859" s="24">
        <f>Withdrawals_Data!C653</f>
        <v>45370</v>
      </c>
      <c r="H1859" s="27">
        <v>0</v>
      </c>
      <c r="I1859" s="27">
        <f>-Withdrawals_Data!D653</f>
        <v>-12692</v>
      </c>
    </row>
    <row r="1860" spans="3:9">
      <c r="C1860" s="23">
        <v>653</v>
      </c>
      <c r="D1860" s="23" t="s">
        <v>134</v>
      </c>
      <c r="E1860" s="23" t="str">
        <f>Withdrawals_Data!A654</f>
        <v>DA-001</v>
      </c>
      <c r="F1860" s="23" t="str">
        <f>Withdrawals_Data!B654</f>
        <v>DA-001-M0038</v>
      </c>
      <c r="G1860" s="24">
        <f>Withdrawals_Data!C654</f>
        <v>45534</v>
      </c>
      <c r="H1860" s="27">
        <v>0</v>
      </c>
      <c r="I1860" s="27">
        <f>-Withdrawals_Data!D654</f>
        <v>-14530</v>
      </c>
    </row>
    <row r="1861" spans="3:9">
      <c r="C1861" s="23">
        <v>654</v>
      </c>
      <c r="D1861" s="23" t="s">
        <v>134</v>
      </c>
      <c r="E1861" s="23" t="str">
        <f>Withdrawals_Data!A655</f>
        <v>DA-001</v>
      </c>
      <c r="F1861" s="23" t="str">
        <f>Withdrawals_Data!B655</f>
        <v>DA-001-M0038</v>
      </c>
      <c r="G1861" s="24">
        <f>Withdrawals_Data!C655</f>
        <v>45656</v>
      </c>
      <c r="H1861" s="27">
        <v>0</v>
      </c>
      <c r="I1861" s="27">
        <f>-Withdrawals_Data!D655</f>
        <v>-11387</v>
      </c>
    </row>
    <row r="1862" spans="3:9">
      <c r="C1862" s="23">
        <v>655</v>
      </c>
      <c r="D1862" s="23" t="s">
        <v>134</v>
      </c>
      <c r="E1862" s="23" t="str">
        <f>Withdrawals_Data!A656</f>
        <v>DA-002</v>
      </c>
      <c r="F1862" s="23" t="str">
        <f>Withdrawals_Data!B656</f>
        <v>DA-002-M0039</v>
      </c>
      <c r="G1862" s="24">
        <f>Withdrawals_Data!C656</f>
        <v>45473</v>
      </c>
      <c r="H1862" s="27">
        <v>0</v>
      </c>
      <c r="I1862" s="27">
        <f>-Withdrawals_Data!D656</f>
        <v>-19108</v>
      </c>
    </row>
    <row r="1863" spans="3:9">
      <c r="C1863" s="23">
        <v>656</v>
      </c>
      <c r="D1863" s="23" t="s">
        <v>134</v>
      </c>
      <c r="E1863" s="23" t="str">
        <f>Withdrawals_Data!A657</f>
        <v>DA-002</v>
      </c>
      <c r="F1863" s="23" t="str">
        <f>Withdrawals_Data!B657</f>
        <v>DA-002-M0039</v>
      </c>
      <c r="G1863" s="24">
        <f>Withdrawals_Data!C657</f>
        <v>45484</v>
      </c>
      <c r="H1863" s="27">
        <v>0</v>
      </c>
      <c r="I1863" s="27">
        <f>-Withdrawals_Data!D657</f>
        <v>-16771</v>
      </c>
    </row>
    <row r="1864" spans="3:9">
      <c r="C1864" s="23">
        <v>657</v>
      </c>
      <c r="D1864" s="23" t="s">
        <v>134</v>
      </c>
      <c r="E1864" s="23" t="str">
        <f>Withdrawals_Data!A658</f>
        <v>DA-002</v>
      </c>
      <c r="F1864" s="23" t="str">
        <f>Withdrawals_Data!B658</f>
        <v>DA-002-M0039</v>
      </c>
      <c r="G1864" s="24">
        <f>Withdrawals_Data!C658</f>
        <v>45371</v>
      </c>
      <c r="H1864" s="27">
        <v>0</v>
      </c>
      <c r="I1864" s="27">
        <f>-Withdrawals_Data!D658</f>
        <v>-7223</v>
      </c>
    </row>
    <row r="1865" spans="3:9">
      <c r="C1865" s="23">
        <v>658</v>
      </c>
      <c r="D1865" s="23" t="s">
        <v>134</v>
      </c>
      <c r="E1865" s="23" t="str">
        <f>Withdrawals_Data!A659</f>
        <v>DA-002</v>
      </c>
      <c r="F1865" s="23" t="str">
        <f>Withdrawals_Data!B659</f>
        <v>DA-002-M0039</v>
      </c>
      <c r="G1865" s="24">
        <f>Withdrawals_Data!C659</f>
        <v>45448</v>
      </c>
      <c r="H1865" s="27">
        <v>0</v>
      </c>
      <c r="I1865" s="27">
        <f>-Withdrawals_Data!D659</f>
        <v>-14351</v>
      </c>
    </row>
    <row r="1866" spans="3:9">
      <c r="C1866" s="23">
        <v>659</v>
      </c>
      <c r="D1866" s="23" t="s">
        <v>134</v>
      </c>
      <c r="E1866" s="23" t="str">
        <f>Withdrawals_Data!A660</f>
        <v>DA-002</v>
      </c>
      <c r="F1866" s="23" t="str">
        <f>Withdrawals_Data!B660</f>
        <v>DA-002-M0039</v>
      </c>
      <c r="G1866" s="24">
        <f>Withdrawals_Data!C660</f>
        <v>45379</v>
      </c>
      <c r="H1866" s="27">
        <v>0</v>
      </c>
      <c r="I1866" s="27">
        <f>-Withdrawals_Data!D660</f>
        <v>-18398</v>
      </c>
    </row>
    <row r="1867" spans="3:9">
      <c r="C1867" s="23">
        <v>660</v>
      </c>
      <c r="D1867" s="23" t="s">
        <v>134</v>
      </c>
      <c r="E1867" s="23" t="str">
        <f>Withdrawals_Data!A661</f>
        <v>DA-002</v>
      </c>
      <c r="F1867" s="23" t="str">
        <f>Withdrawals_Data!B661</f>
        <v>DA-002-M0039</v>
      </c>
      <c r="G1867" s="24">
        <f>Withdrawals_Data!C661</f>
        <v>45324</v>
      </c>
      <c r="H1867" s="27">
        <v>0</v>
      </c>
      <c r="I1867" s="27">
        <f>-Withdrawals_Data!D661</f>
        <v>-7209</v>
      </c>
    </row>
    <row r="1868" spans="3:9">
      <c r="C1868" s="23">
        <v>661</v>
      </c>
      <c r="D1868" s="23" t="s">
        <v>134</v>
      </c>
      <c r="E1868" s="23" t="str">
        <f>Withdrawals_Data!A662</f>
        <v>DA-002</v>
      </c>
      <c r="F1868" s="23" t="str">
        <f>Withdrawals_Data!B662</f>
        <v>DA-002-M0039</v>
      </c>
      <c r="G1868" s="24">
        <f>Withdrawals_Data!C662</f>
        <v>45412</v>
      </c>
      <c r="H1868" s="27">
        <v>0</v>
      </c>
      <c r="I1868" s="27">
        <f>-Withdrawals_Data!D662</f>
        <v>-5359</v>
      </c>
    </row>
    <row r="1869" spans="3:9">
      <c r="C1869" s="23">
        <v>662</v>
      </c>
      <c r="D1869" s="23" t="s">
        <v>134</v>
      </c>
      <c r="E1869" s="23" t="str">
        <f>Withdrawals_Data!A663</f>
        <v>DA-002</v>
      </c>
      <c r="F1869" s="23" t="str">
        <f>Withdrawals_Data!B663</f>
        <v>DA-002-M0039</v>
      </c>
      <c r="G1869" s="24">
        <f>Withdrawals_Data!C663</f>
        <v>45581</v>
      </c>
      <c r="H1869" s="27">
        <v>0</v>
      </c>
      <c r="I1869" s="27">
        <f>-Withdrawals_Data!D663</f>
        <v>-13110</v>
      </c>
    </row>
    <row r="1870" spans="3:9">
      <c r="C1870" s="23">
        <v>663</v>
      </c>
      <c r="D1870" s="23" t="s">
        <v>134</v>
      </c>
      <c r="E1870" s="23" t="str">
        <f>Withdrawals_Data!A664</f>
        <v>DA-002</v>
      </c>
      <c r="F1870" s="23" t="str">
        <f>Withdrawals_Data!B664</f>
        <v>DA-002-M0039</v>
      </c>
      <c r="G1870" s="24">
        <f>Withdrawals_Data!C664</f>
        <v>45406</v>
      </c>
      <c r="H1870" s="27">
        <v>0</v>
      </c>
      <c r="I1870" s="27">
        <f>-Withdrawals_Data!D664</f>
        <v>-18025</v>
      </c>
    </row>
    <row r="1871" spans="3:9">
      <c r="C1871" s="23">
        <v>664</v>
      </c>
      <c r="D1871" s="23" t="s">
        <v>134</v>
      </c>
      <c r="E1871" s="23" t="str">
        <f>Withdrawals_Data!A665</f>
        <v>DA-002</v>
      </c>
      <c r="F1871" s="23" t="str">
        <f>Withdrawals_Data!B665</f>
        <v>DA-002-M0039</v>
      </c>
      <c r="G1871" s="24">
        <f>Withdrawals_Data!C665</f>
        <v>45422</v>
      </c>
      <c r="H1871" s="27">
        <v>0</v>
      </c>
      <c r="I1871" s="27">
        <f>-Withdrawals_Data!D665</f>
        <v>-14848</v>
      </c>
    </row>
    <row r="1872" spans="3:9">
      <c r="C1872" s="23">
        <v>665</v>
      </c>
      <c r="D1872" s="23" t="s">
        <v>134</v>
      </c>
      <c r="E1872" s="23" t="str">
        <f>Withdrawals_Data!A666</f>
        <v>DA-002</v>
      </c>
      <c r="F1872" s="23" t="str">
        <f>Withdrawals_Data!B666</f>
        <v>DA-002-M0040</v>
      </c>
      <c r="G1872" s="24">
        <f>Withdrawals_Data!C666</f>
        <v>45375</v>
      </c>
      <c r="H1872" s="27">
        <v>0</v>
      </c>
      <c r="I1872" s="27">
        <f>-Withdrawals_Data!D666</f>
        <v>-2904</v>
      </c>
    </row>
    <row r="1873" spans="3:9">
      <c r="C1873" s="23">
        <v>666</v>
      </c>
      <c r="D1873" s="23" t="s">
        <v>134</v>
      </c>
      <c r="E1873" s="23" t="str">
        <f>Withdrawals_Data!A667</f>
        <v>DA-002</v>
      </c>
      <c r="F1873" s="23" t="str">
        <f>Withdrawals_Data!B667</f>
        <v>DA-002-M0040</v>
      </c>
      <c r="G1873" s="24">
        <f>Withdrawals_Data!C667</f>
        <v>45321</v>
      </c>
      <c r="H1873" s="27">
        <v>0</v>
      </c>
      <c r="I1873" s="27">
        <f>-Withdrawals_Data!D667</f>
        <v>-13107</v>
      </c>
    </row>
    <row r="1874" spans="3:9">
      <c r="C1874" s="23">
        <v>667</v>
      </c>
      <c r="D1874" s="23" t="s">
        <v>134</v>
      </c>
      <c r="E1874" s="23" t="str">
        <f>Withdrawals_Data!A668</f>
        <v>DA-002</v>
      </c>
      <c r="F1874" s="23" t="str">
        <f>Withdrawals_Data!B668</f>
        <v>DA-002-M0040</v>
      </c>
      <c r="G1874" s="24">
        <f>Withdrawals_Data!C668</f>
        <v>45423</v>
      </c>
      <c r="H1874" s="27">
        <v>0</v>
      </c>
      <c r="I1874" s="27">
        <f>-Withdrawals_Data!D668</f>
        <v>-2796</v>
      </c>
    </row>
    <row r="1875" spans="3:9">
      <c r="C1875" s="23">
        <v>668</v>
      </c>
      <c r="D1875" s="23" t="s">
        <v>134</v>
      </c>
      <c r="E1875" s="23" t="str">
        <f>Withdrawals_Data!A669</f>
        <v>DA-002</v>
      </c>
      <c r="F1875" s="23" t="str">
        <f>Withdrawals_Data!B669</f>
        <v>DA-002-M0040</v>
      </c>
      <c r="G1875" s="24">
        <f>Withdrawals_Data!C669</f>
        <v>45359</v>
      </c>
      <c r="H1875" s="27">
        <v>0</v>
      </c>
      <c r="I1875" s="27">
        <f>-Withdrawals_Data!D669</f>
        <v>-17139</v>
      </c>
    </row>
    <row r="1876" spans="3:9">
      <c r="C1876" s="23">
        <v>669</v>
      </c>
      <c r="D1876" s="23" t="s">
        <v>134</v>
      </c>
      <c r="E1876" s="23" t="str">
        <f>Withdrawals_Data!A670</f>
        <v>DA-002</v>
      </c>
      <c r="F1876" s="23" t="str">
        <f>Withdrawals_Data!B670</f>
        <v>DA-002-M0040</v>
      </c>
      <c r="G1876" s="24">
        <f>Withdrawals_Data!C670</f>
        <v>45537</v>
      </c>
      <c r="H1876" s="27">
        <v>0</v>
      </c>
      <c r="I1876" s="27">
        <f>-Withdrawals_Data!D670</f>
        <v>-4665</v>
      </c>
    </row>
    <row r="1877" spans="3:9">
      <c r="C1877" s="23">
        <v>670</v>
      </c>
      <c r="D1877" s="23" t="s">
        <v>134</v>
      </c>
      <c r="E1877" s="23" t="str">
        <f>Withdrawals_Data!A671</f>
        <v>DA-002</v>
      </c>
      <c r="F1877" s="23" t="str">
        <f>Withdrawals_Data!B671</f>
        <v>DA-002-M0040</v>
      </c>
      <c r="G1877" s="24">
        <f>Withdrawals_Data!C671</f>
        <v>45421</v>
      </c>
      <c r="H1877" s="27">
        <v>0</v>
      </c>
      <c r="I1877" s="27">
        <f>-Withdrawals_Data!D671</f>
        <v>-6395</v>
      </c>
    </row>
    <row r="1878" spans="3:9">
      <c r="C1878" s="23">
        <v>671</v>
      </c>
      <c r="D1878" s="23" t="s">
        <v>134</v>
      </c>
      <c r="E1878" s="23" t="str">
        <f>Withdrawals_Data!A672</f>
        <v>DA-002</v>
      </c>
      <c r="F1878" s="23" t="str">
        <f>Withdrawals_Data!B672</f>
        <v>DA-002-M0040</v>
      </c>
      <c r="G1878" s="24">
        <f>Withdrawals_Data!C672</f>
        <v>45403</v>
      </c>
      <c r="H1878" s="27">
        <v>0</v>
      </c>
      <c r="I1878" s="27">
        <f>-Withdrawals_Data!D672</f>
        <v>-5358</v>
      </c>
    </row>
    <row r="1879" spans="3:9">
      <c r="C1879" s="23">
        <v>672</v>
      </c>
      <c r="D1879" s="23" t="s">
        <v>134</v>
      </c>
      <c r="E1879" s="23" t="str">
        <f>Withdrawals_Data!A673</f>
        <v>DA-002</v>
      </c>
      <c r="F1879" s="23" t="str">
        <f>Withdrawals_Data!B673</f>
        <v>DA-002-M0040</v>
      </c>
      <c r="G1879" s="24">
        <f>Withdrawals_Data!C673</f>
        <v>45474</v>
      </c>
      <c r="H1879" s="27">
        <v>0</v>
      </c>
      <c r="I1879" s="27">
        <f>-Withdrawals_Data!D673</f>
        <v>-21258</v>
      </c>
    </row>
    <row r="1880" spans="3:9">
      <c r="C1880" s="23">
        <v>673</v>
      </c>
      <c r="D1880" s="23" t="s">
        <v>134</v>
      </c>
      <c r="E1880" s="23" t="str">
        <f>Withdrawals_Data!A674</f>
        <v>DA-002</v>
      </c>
      <c r="F1880" s="23" t="str">
        <f>Withdrawals_Data!B674</f>
        <v>DA-002-M0041</v>
      </c>
      <c r="G1880" s="24">
        <f>Withdrawals_Data!C674</f>
        <v>45477</v>
      </c>
      <c r="H1880" s="27">
        <v>0</v>
      </c>
      <c r="I1880" s="27">
        <f>-Withdrawals_Data!D674</f>
        <v>-9290</v>
      </c>
    </row>
    <row r="1881" spans="3:9">
      <c r="C1881" s="23">
        <v>674</v>
      </c>
      <c r="D1881" s="23" t="s">
        <v>134</v>
      </c>
      <c r="E1881" s="23" t="str">
        <f>Withdrawals_Data!A675</f>
        <v>DA-002</v>
      </c>
      <c r="F1881" s="23" t="str">
        <f>Withdrawals_Data!B675</f>
        <v>DA-002-M0041</v>
      </c>
      <c r="G1881" s="24">
        <f>Withdrawals_Data!C675</f>
        <v>45348</v>
      </c>
      <c r="H1881" s="27">
        <v>0</v>
      </c>
      <c r="I1881" s="27">
        <f>-Withdrawals_Data!D675</f>
        <v>-16061</v>
      </c>
    </row>
    <row r="1882" spans="3:9">
      <c r="C1882" s="23">
        <v>675</v>
      </c>
      <c r="D1882" s="23" t="s">
        <v>134</v>
      </c>
      <c r="E1882" s="23" t="str">
        <f>Withdrawals_Data!A676</f>
        <v>DA-002</v>
      </c>
      <c r="F1882" s="23" t="str">
        <f>Withdrawals_Data!B676</f>
        <v>DA-002-M0041</v>
      </c>
      <c r="G1882" s="24">
        <f>Withdrawals_Data!C676</f>
        <v>45432</v>
      </c>
      <c r="H1882" s="27">
        <v>0</v>
      </c>
      <c r="I1882" s="27">
        <f>-Withdrawals_Data!D676</f>
        <v>-16997</v>
      </c>
    </row>
    <row r="1883" spans="3:9">
      <c r="C1883" s="23">
        <v>676</v>
      </c>
      <c r="D1883" s="23" t="s">
        <v>134</v>
      </c>
      <c r="E1883" s="23" t="str">
        <f>Withdrawals_Data!A677</f>
        <v>DA-002</v>
      </c>
      <c r="F1883" s="23" t="str">
        <f>Withdrawals_Data!B677</f>
        <v>DA-002-M0041</v>
      </c>
      <c r="G1883" s="24">
        <f>Withdrawals_Data!C677</f>
        <v>45495</v>
      </c>
      <c r="H1883" s="27">
        <v>0</v>
      </c>
      <c r="I1883" s="27">
        <f>-Withdrawals_Data!D677</f>
        <v>-21270</v>
      </c>
    </row>
    <row r="1884" spans="3:9">
      <c r="C1884" s="23">
        <v>677</v>
      </c>
      <c r="D1884" s="23" t="s">
        <v>134</v>
      </c>
      <c r="E1884" s="23" t="str">
        <f>Withdrawals_Data!A678</f>
        <v>DA-002</v>
      </c>
      <c r="F1884" s="23" t="str">
        <f>Withdrawals_Data!B678</f>
        <v>DA-002-M0041</v>
      </c>
      <c r="G1884" s="24">
        <f>Withdrawals_Data!C678</f>
        <v>45407</v>
      </c>
      <c r="H1884" s="27">
        <v>0</v>
      </c>
      <c r="I1884" s="27">
        <f>-Withdrawals_Data!D678</f>
        <v>-15327</v>
      </c>
    </row>
    <row r="1885" spans="3:9">
      <c r="C1885" s="23">
        <v>678</v>
      </c>
      <c r="D1885" s="23" t="s">
        <v>134</v>
      </c>
      <c r="E1885" s="23" t="str">
        <f>Withdrawals_Data!A679</f>
        <v>DA-002</v>
      </c>
      <c r="F1885" s="23" t="str">
        <f>Withdrawals_Data!B679</f>
        <v>DA-002-M0041</v>
      </c>
      <c r="G1885" s="24">
        <f>Withdrawals_Data!C679</f>
        <v>45400</v>
      </c>
      <c r="H1885" s="27">
        <v>0</v>
      </c>
      <c r="I1885" s="27">
        <f>-Withdrawals_Data!D679</f>
        <v>-17796</v>
      </c>
    </row>
    <row r="1886" spans="3:9">
      <c r="C1886" s="23">
        <v>679</v>
      </c>
      <c r="D1886" s="23" t="s">
        <v>134</v>
      </c>
      <c r="E1886" s="23" t="str">
        <f>Withdrawals_Data!A680</f>
        <v>DA-002</v>
      </c>
      <c r="F1886" s="23" t="str">
        <f>Withdrawals_Data!B680</f>
        <v>DA-002-M0041</v>
      </c>
      <c r="G1886" s="24">
        <f>Withdrawals_Data!C680</f>
        <v>45506</v>
      </c>
      <c r="H1886" s="27">
        <v>0</v>
      </c>
      <c r="I1886" s="27">
        <f>-Withdrawals_Data!D680</f>
        <v>-8199</v>
      </c>
    </row>
    <row r="1887" spans="3:9">
      <c r="C1887" s="23">
        <v>680</v>
      </c>
      <c r="D1887" s="23" t="s">
        <v>134</v>
      </c>
      <c r="E1887" s="23" t="str">
        <f>Withdrawals_Data!A681</f>
        <v>DA-002</v>
      </c>
      <c r="F1887" s="23" t="str">
        <f>Withdrawals_Data!B681</f>
        <v>DA-002-M0041</v>
      </c>
      <c r="G1887" s="24">
        <f>Withdrawals_Data!C681</f>
        <v>45413</v>
      </c>
      <c r="H1887" s="27">
        <v>0</v>
      </c>
      <c r="I1887" s="27">
        <f>-Withdrawals_Data!D681</f>
        <v>-16636</v>
      </c>
    </row>
    <row r="1888" spans="3:9">
      <c r="C1888" s="23">
        <v>681</v>
      </c>
      <c r="D1888" s="23" t="s">
        <v>134</v>
      </c>
      <c r="E1888" s="23" t="str">
        <f>Withdrawals_Data!A682</f>
        <v>DA-002</v>
      </c>
      <c r="F1888" s="23" t="str">
        <f>Withdrawals_Data!B682</f>
        <v>DA-002-M0041</v>
      </c>
      <c r="G1888" s="24">
        <f>Withdrawals_Data!C682</f>
        <v>45535</v>
      </c>
      <c r="H1888" s="27">
        <v>0</v>
      </c>
      <c r="I1888" s="27">
        <f>-Withdrawals_Data!D682</f>
        <v>-7868</v>
      </c>
    </row>
    <row r="1889" spans="3:9">
      <c r="C1889" s="23">
        <v>682</v>
      </c>
      <c r="D1889" s="23" t="s">
        <v>134</v>
      </c>
      <c r="E1889" s="23" t="str">
        <f>Withdrawals_Data!A683</f>
        <v>DA-002</v>
      </c>
      <c r="F1889" s="23" t="str">
        <f>Withdrawals_Data!B683</f>
        <v>DA-002-M0041</v>
      </c>
      <c r="G1889" s="24">
        <f>Withdrawals_Data!C683</f>
        <v>45612</v>
      </c>
      <c r="H1889" s="27">
        <v>0</v>
      </c>
      <c r="I1889" s="27">
        <f>-Withdrawals_Data!D683</f>
        <v>-19243</v>
      </c>
    </row>
    <row r="1890" spans="3:9">
      <c r="C1890" s="23">
        <v>683</v>
      </c>
      <c r="D1890" s="23" t="s">
        <v>134</v>
      </c>
      <c r="E1890" s="23" t="str">
        <f>Withdrawals_Data!A684</f>
        <v>DA-002</v>
      </c>
      <c r="F1890" s="23" t="str">
        <f>Withdrawals_Data!B684</f>
        <v>DA-002-M0042</v>
      </c>
      <c r="G1890" s="24">
        <f>Withdrawals_Data!C684</f>
        <v>45515</v>
      </c>
      <c r="H1890" s="27">
        <v>0</v>
      </c>
      <c r="I1890" s="27">
        <f>-Withdrawals_Data!D684</f>
        <v>-11019</v>
      </c>
    </row>
    <row r="1891" spans="3:9">
      <c r="C1891" s="23">
        <v>684</v>
      </c>
      <c r="D1891" s="23" t="s">
        <v>134</v>
      </c>
      <c r="E1891" s="23" t="str">
        <f>Withdrawals_Data!A685</f>
        <v>DA-002</v>
      </c>
      <c r="F1891" s="23" t="str">
        <f>Withdrawals_Data!B685</f>
        <v>DA-002-M0042</v>
      </c>
      <c r="G1891" s="24">
        <f>Withdrawals_Data!C685</f>
        <v>45373</v>
      </c>
      <c r="H1891" s="27">
        <v>0</v>
      </c>
      <c r="I1891" s="27">
        <f>-Withdrawals_Data!D685</f>
        <v>-14589</v>
      </c>
    </row>
    <row r="1892" spans="3:9">
      <c r="C1892" s="23">
        <v>685</v>
      </c>
      <c r="D1892" s="23" t="s">
        <v>134</v>
      </c>
      <c r="E1892" s="23" t="str">
        <f>Withdrawals_Data!A686</f>
        <v>DA-002</v>
      </c>
      <c r="F1892" s="23" t="str">
        <f>Withdrawals_Data!B686</f>
        <v>DA-002-M0042</v>
      </c>
      <c r="G1892" s="24">
        <f>Withdrawals_Data!C686</f>
        <v>45382</v>
      </c>
      <c r="H1892" s="27">
        <v>0</v>
      </c>
      <c r="I1892" s="27">
        <f>-Withdrawals_Data!D686</f>
        <v>-11137</v>
      </c>
    </row>
    <row r="1893" spans="3:9">
      <c r="C1893" s="23">
        <v>686</v>
      </c>
      <c r="D1893" s="23" t="s">
        <v>134</v>
      </c>
      <c r="E1893" s="23" t="str">
        <f>Withdrawals_Data!A687</f>
        <v>DA-002</v>
      </c>
      <c r="F1893" s="23" t="str">
        <f>Withdrawals_Data!B687</f>
        <v>DA-002-M0042</v>
      </c>
      <c r="G1893" s="24">
        <f>Withdrawals_Data!C687</f>
        <v>45474</v>
      </c>
      <c r="H1893" s="27">
        <v>0</v>
      </c>
      <c r="I1893" s="27">
        <f>-Withdrawals_Data!D687</f>
        <v>-5730</v>
      </c>
    </row>
    <row r="1894" spans="3:9">
      <c r="C1894" s="23">
        <v>687</v>
      </c>
      <c r="D1894" s="23" t="s">
        <v>134</v>
      </c>
      <c r="E1894" s="23" t="str">
        <f>Withdrawals_Data!A688</f>
        <v>DA-002</v>
      </c>
      <c r="F1894" s="23" t="str">
        <f>Withdrawals_Data!B688</f>
        <v>DA-002-M0042</v>
      </c>
      <c r="G1894" s="24">
        <f>Withdrawals_Data!C688</f>
        <v>45430</v>
      </c>
      <c r="H1894" s="27">
        <v>0</v>
      </c>
      <c r="I1894" s="27">
        <f>-Withdrawals_Data!D688</f>
        <v>-2654</v>
      </c>
    </row>
    <row r="1895" spans="3:9">
      <c r="C1895" s="23">
        <v>688</v>
      </c>
      <c r="D1895" s="23" t="s">
        <v>134</v>
      </c>
      <c r="E1895" s="23" t="str">
        <f>Withdrawals_Data!A689</f>
        <v>DA-002</v>
      </c>
      <c r="F1895" s="23" t="str">
        <f>Withdrawals_Data!B689</f>
        <v>DA-002-M0042</v>
      </c>
      <c r="G1895" s="24">
        <f>Withdrawals_Data!C689</f>
        <v>45328</v>
      </c>
      <c r="H1895" s="27">
        <v>0</v>
      </c>
      <c r="I1895" s="27">
        <f>-Withdrawals_Data!D689</f>
        <v>-2544</v>
      </c>
    </row>
    <row r="1896" spans="3:9">
      <c r="C1896" s="23">
        <v>689</v>
      </c>
      <c r="D1896" s="23" t="s">
        <v>134</v>
      </c>
      <c r="E1896" s="23" t="str">
        <f>Withdrawals_Data!A690</f>
        <v>DA-002</v>
      </c>
      <c r="F1896" s="23" t="str">
        <f>Withdrawals_Data!B690</f>
        <v>DA-002-M0042</v>
      </c>
      <c r="G1896" s="24">
        <f>Withdrawals_Data!C690</f>
        <v>45546</v>
      </c>
      <c r="H1896" s="27">
        <v>0</v>
      </c>
      <c r="I1896" s="27">
        <f>-Withdrawals_Data!D690</f>
        <v>-17624</v>
      </c>
    </row>
    <row r="1897" spans="3:9">
      <c r="C1897" s="23">
        <v>690</v>
      </c>
      <c r="D1897" s="23" t="s">
        <v>134</v>
      </c>
      <c r="E1897" s="23" t="str">
        <f>Withdrawals_Data!A691</f>
        <v>DA-002</v>
      </c>
      <c r="F1897" s="23" t="str">
        <f>Withdrawals_Data!B691</f>
        <v>DA-002-M0042</v>
      </c>
      <c r="G1897" s="24">
        <f>Withdrawals_Data!C691</f>
        <v>45650</v>
      </c>
      <c r="H1897" s="27">
        <v>0</v>
      </c>
      <c r="I1897" s="27">
        <f>-Withdrawals_Data!D691</f>
        <v>-6749</v>
      </c>
    </row>
    <row r="1898" spans="3:9">
      <c r="C1898" s="23">
        <v>691</v>
      </c>
      <c r="D1898" s="23" t="s">
        <v>134</v>
      </c>
      <c r="E1898" s="23" t="str">
        <f>Withdrawals_Data!A692</f>
        <v>DA-002</v>
      </c>
      <c r="F1898" s="23" t="str">
        <f>Withdrawals_Data!B692</f>
        <v>DA-002-M0042</v>
      </c>
      <c r="G1898" s="24">
        <f>Withdrawals_Data!C692</f>
        <v>45560</v>
      </c>
      <c r="H1898" s="27">
        <v>0</v>
      </c>
      <c r="I1898" s="27">
        <f>-Withdrawals_Data!D692</f>
        <v>-21470</v>
      </c>
    </row>
    <row r="1899" spans="3:9">
      <c r="C1899" s="23">
        <v>692</v>
      </c>
      <c r="D1899" s="23" t="s">
        <v>134</v>
      </c>
      <c r="E1899" s="23" t="str">
        <f>Withdrawals_Data!A693</f>
        <v>DA-002</v>
      </c>
      <c r="F1899" s="23" t="str">
        <f>Withdrawals_Data!B693</f>
        <v>DA-002-M0042</v>
      </c>
      <c r="G1899" s="24">
        <f>Withdrawals_Data!C693</f>
        <v>45436</v>
      </c>
      <c r="H1899" s="27">
        <v>0</v>
      </c>
      <c r="I1899" s="27">
        <f>-Withdrawals_Data!D693</f>
        <v>-9377</v>
      </c>
    </row>
    <row r="1900" spans="3:9">
      <c r="C1900" s="23">
        <v>693</v>
      </c>
      <c r="D1900" s="23" t="s">
        <v>134</v>
      </c>
      <c r="E1900" s="23" t="str">
        <f>Withdrawals_Data!A694</f>
        <v>DA-002</v>
      </c>
      <c r="F1900" s="23" t="str">
        <f>Withdrawals_Data!B694</f>
        <v>DA-002-M0042</v>
      </c>
      <c r="G1900" s="24">
        <f>Withdrawals_Data!C694</f>
        <v>45542</v>
      </c>
      <c r="H1900" s="27">
        <v>0</v>
      </c>
      <c r="I1900" s="27">
        <f>-Withdrawals_Data!D694</f>
        <v>-17363</v>
      </c>
    </row>
    <row r="1901" spans="3:9">
      <c r="C1901" s="23">
        <v>694</v>
      </c>
      <c r="D1901" s="23" t="s">
        <v>134</v>
      </c>
      <c r="E1901" s="23" t="str">
        <f>Withdrawals_Data!A695</f>
        <v>DA-001</v>
      </c>
      <c r="F1901" s="23" t="str">
        <f>Withdrawals_Data!B695</f>
        <v>DA-001-M0043</v>
      </c>
      <c r="G1901" s="24">
        <f>Withdrawals_Data!C695</f>
        <v>45543</v>
      </c>
      <c r="H1901" s="27">
        <v>0</v>
      </c>
      <c r="I1901" s="27">
        <f>-Withdrawals_Data!D695</f>
        <v>-5515</v>
      </c>
    </row>
    <row r="1902" spans="3:9">
      <c r="C1902" s="23">
        <v>695</v>
      </c>
      <c r="D1902" s="23" t="s">
        <v>134</v>
      </c>
      <c r="E1902" s="23" t="str">
        <f>Withdrawals_Data!A696</f>
        <v>DA-001</v>
      </c>
      <c r="F1902" s="23" t="str">
        <f>Withdrawals_Data!B696</f>
        <v>DA-001-M0043</v>
      </c>
      <c r="G1902" s="24">
        <f>Withdrawals_Data!C696</f>
        <v>45422</v>
      </c>
      <c r="H1902" s="27">
        <v>0</v>
      </c>
      <c r="I1902" s="27">
        <f>-Withdrawals_Data!D696</f>
        <v>-10000</v>
      </c>
    </row>
    <row r="1903" spans="3:9">
      <c r="C1903" s="23">
        <v>696</v>
      </c>
      <c r="D1903" s="23" t="s">
        <v>134</v>
      </c>
      <c r="E1903" s="23" t="str">
        <f>Withdrawals_Data!A697</f>
        <v>DA-001</v>
      </c>
      <c r="F1903" s="23" t="str">
        <f>Withdrawals_Data!B697</f>
        <v>DA-001-M0043</v>
      </c>
      <c r="G1903" s="24">
        <f>Withdrawals_Data!C697</f>
        <v>45542</v>
      </c>
      <c r="H1903" s="27">
        <v>0</v>
      </c>
      <c r="I1903" s="27">
        <f>-Withdrawals_Data!D697</f>
        <v>-19765</v>
      </c>
    </row>
    <row r="1904" spans="3:9">
      <c r="C1904" s="23">
        <v>697</v>
      </c>
      <c r="D1904" s="23" t="s">
        <v>134</v>
      </c>
      <c r="E1904" s="23" t="str">
        <f>Withdrawals_Data!A698</f>
        <v>DA-001</v>
      </c>
      <c r="F1904" s="23" t="str">
        <f>Withdrawals_Data!B698</f>
        <v>DA-001-M0043</v>
      </c>
      <c r="G1904" s="24">
        <f>Withdrawals_Data!C698</f>
        <v>45514</v>
      </c>
      <c r="H1904" s="27">
        <v>0</v>
      </c>
      <c r="I1904" s="27">
        <f>-Withdrawals_Data!D698</f>
        <v>-20683</v>
      </c>
    </row>
    <row r="1905" spans="3:9">
      <c r="C1905" s="23">
        <v>698</v>
      </c>
      <c r="D1905" s="23" t="s">
        <v>134</v>
      </c>
      <c r="E1905" s="23" t="str">
        <f>Withdrawals_Data!A699</f>
        <v>DA-001</v>
      </c>
      <c r="F1905" s="23" t="str">
        <f>Withdrawals_Data!B699</f>
        <v>DA-001-M0043</v>
      </c>
      <c r="G1905" s="24">
        <f>Withdrawals_Data!C699</f>
        <v>45466</v>
      </c>
      <c r="H1905" s="27">
        <v>0</v>
      </c>
      <c r="I1905" s="27">
        <f>-Withdrawals_Data!D699</f>
        <v>-6231</v>
      </c>
    </row>
    <row r="1906" spans="3:9">
      <c r="C1906" s="23">
        <v>699</v>
      </c>
      <c r="D1906" s="23" t="s">
        <v>134</v>
      </c>
      <c r="E1906" s="23" t="str">
        <f>Withdrawals_Data!A700</f>
        <v>DA-001</v>
      </c>
      <c r="F1906" s="23" t="str">
        <f>Withdrawals_Data!B700</f>
        <v>DA-001-M0043</v>
      </c>
      <c r="G1906" s="24">
        <f>Withdrawals_Data!C700</f>
        <v>45445</v>
      </c>
      <c r="H1906" s="27">
        <v>0</v>
      </c>
      <c r="I1906" s="27">
        <f>-Withdrawals_Data!D700</f>
        <v>-15410</v>
      </c>
    </row>
    <row r="1907" spans="3:9">
      <c r="C1907" s="23">
        <v>700</v>
      </c>
      <c r="D1907" s="23" t="s">
        <v>134</v>
      </c>
      <c r="E1907" s="23" t="str">
        <f>Withdrawals_Data!A701</f>
        <v>DA-001</v>
      </c>
      <c r="F1907" s="23" t="str">
        <f>Withdrawals_Data!B701</f>
        <v>DA-001-M0043</v>
      </c>
      <c r="G1907" s="24">
        <f>Withdrawals_Data!C701</f>
        <v>45631</v>
      </c>
      <c r="H1907" s="27">
        <v>0</v>
      </c>
      <c r="I1907" s="27">
        <f>-Withdrawals_Data!D701</f>
        <v>-2223</v>
      </c>
    </row>
    <row r="1908" spans="3:9">
      <c r="C1908" s="23">
        <v>701</v>
      </c>
      <c r="D1908" s="23" t="s">
        <v>134</v>
      </c>
      <c r="E1908" s="23" t="str">
        <f>Withdrawals_Data!A702</f>
        <v>DA-001</v>
      </c>
      <c r="F1908" s="23" t="str">
        <f>Withdrawals_Data!B702</f>
        <v>DA-001-M0043</v>
      </c>
      <c r="G1908" s="24">
        <f>Withdrawals_Data!C702</f>
        <v>45479</v>
      </c>
      <c r="H1908" s="27">
        <v>0</v>
      </c>
      <c r="I1908" s="27">
        <f>-Withdrawals_Data!D702</f>
        <v>-10219</v>
      </c>
    </row>
    <row r="1909" spans="3:9">
      <c r="C1909" s="23">
        <v>702</v>
      </c>
      <c r="D1909" s="23" t="s">
        <v>134</v>
      </c>
      <c r="E1909" s="23" t="str">
        <f>Withdrawals_Data!A703</f>
        <v>DA-001</v>
      </c>
      <c r="F1909" s="23" t="str">
        <f>Withdrawals_Data!B703</f>
        <v>DA-001-M0043</v>
      </c>
      <c r="G1909" s="24">
        <f>Withdrawals_Data!C703</f>
        <v>45618</v>
      </c>
      <c r="H1909" s="27">
        <v>0</v>
      </c>
      <c r="I1909" s="27">
        <f>-Withdrawals_Data!D703</f>
        <v>-20672</v>
      </c>
    </row>
    <row r="1910" spans="3:9">
      <c r="C1910" s="23">
        <v>703</v>
      </c>
      <c r="D1910" s="23" t="s">
        <v>134</v>
      </c>
      <c r="E1910" s="23" t="str">
        <f>Withdrawals_Data!A704</f>
        <v>DA-002</v>
      </c>
      <c r="F1910" s="23" t="str">
        <f>Withdrawals_Data!B704</f>
        <v>DA-002-M0044</v>
      </c>
      <c r="G1910" s="24">
        <f>Withdrawals_Data!C704</f>
        <v>45416</v>
      </c>
      <c r="H1910" s="27">
        <v>0</v>
      </c>
      <c r="I1910" s="27">
        <f>-Withdrawals_Data!D704</f>
        <v>-1816</v>
      </c>
    </row>
    <row r="1911" spans="3:9">
      <c r="C1911" s="23">
        <v>704</v>
      </c>
      <c r="D1911" s="23" t="s">
        <v>134</v>
      </c>
      <c r="E1911" s="23" t="str">
        <f>Withdrawals_Data!A705</f>
        <v>DA-002</v>
      </c>
      <c r="F1911" s="23" t="str">
        <f>Withdrawals_Data!B705</f>
        <v>DA-002-M0044</v>
      </c>
      <c r="G1911" s="24">
        <f>Withdrawals_Data!C705</f>
        <v>45534</v>
      </c>
      <c r="H1911" s="27">
        <v>0</v>
      </c>
      <c r="I1911" s="27">
        <f>-Withdrawals_Data!D705</f>
        <v>-8348</v>
      </c>
    </row>
    <row r="1912" spans="3:9">
      <c r="C1912" s="23">
        <v>705</v>
      </c>
      <c r="D1912" s="23" t="s">
        <v>134</v>
      </c>
      <c r="E1912" s="23" t="str">
        <f>Withdrawals_Data!A706</f>
        <v>DA-002</v>
      </c>
      <c r="F1912" s="23" t="str">
        <f>Withdrawals_Data!B706</f>
        <v>DA-002-M0044</v>
      </c>
      <c r="G1912" s="24">
        <f>Withdrawals_Data!C706</f>
        <v>45336</v>
      </c>
      <c r="H1912" s="27">
        <v>0</v>
      </c>
      <c r="I1912" s="27">
        <f>-Withdrawals_Data!D706</f>
        <v>-19521</v>
      </c>
    </row>
    <row r="1913" spans="3:9">
      <c r="C1913" s="23">
        <v>706</v>
      </c>
      <c r="D1913" s="23" t="s">
        <v>134</v>
      </c>
      <c r="E1913" s="23" t="str">
        <f>Withdrawals_Data!A707</f>
        <v>DA-002</v>
      </c>
      <c r="F1913" s="23" t="str">
        <f>Withdrawals_Data!B707</f>
        <v>DA-002-M0044</v>
      </c>
      <c r="G1913" s="24">
        <f>Withdrawals_Data!C707</f>
        <v>45533</v>
      </c>
      <c r="H1913" s="27">
        <v>0</v>
      </c>
      <c r="I1913" s="27">
        <f>-Withdrawals_Data!D707</f>
        <v>-18011</v>
      </c>
    </row>
    <row r="1914" spans="3:9">
      <c r="C1914" s="23">
        <v>707</v>
      </c>
      <c r="D1914" s="23" t="s">
        <v>134</v>
      </c>
      <c r="E1914" s="23" t="str">
        <f>Withdrawals_Data!A708</f>
        <v>DA-002</v>
      </c>
      <c r="F1914" s="23" t="str">
        <f>Withdrawals_Data!B708</f>
        <v>DA-002-M0044</v>
      </c>
      <c r="G1914" s="24">
        <f>Withdrawals_Data!C708</f>
        <v>45485</v>
      </c>
      <c r="H1914" s="27">
        <v>0</v>
      </c>
      <c r="I1914" s="27">
        <f>-Withdrawals_Data!D708</f>
        <v>-11253</v>
      </c>
    </row>
    <row r="1915" spans="3:9">
      <c r="C1915" s="23">
        <v>708</v>
      </c>
      <c r="D1915" s="23" t="s">
        <v>134</v>
      </c>
      <c r="E1915" s="23" t="str">
        <f>Withdrawals_Data!A709</f>
        <v>DA-002</v>
      </c>
      <c r="F1915" s="23" t="str">
        <f>Withdrawals_Data!B709</f>
        <v>DA-002-M0044</v>
      </c>
      <c r="G1915" s="24">
        <f>Withdrawals_Data!C709</f>
        <v>45299</v>
      </c>
      <c r="H1915" s="27">
        <v>0</v>
      </c>
      <c r="I1915" s="27">
        <f>-Withdrawals_Data!D709</f>
        <v>-15333</v>
      </c>
    </row>
    <row r="1916" spans="3:9">
      <c r="C1916" s="23">
        <v>709</v>
      </c>
      <c r="D1916" s="23" t="s">
        <v>134</v>
      </c>
      <c r="E1916" s="23" t="str">
        <f>Withdrawals_Data!A710</f>
        <v>DA-002</v>
      </c>
      <c r="F1916" s="23" t="str">
        <f>Withdrawals_Data!B710</f>
        <v>DA-002-M0044</v>
      </c>
      <c r="G1916" s="24">
        <f>Withdrawals_Data!C710</f>
        <v>45295</v>
      </c>
      <c r="H1916" s="27">
        <v>0</v>
      </c>
      <c r="I1916" s="27">
        <f>-Withdrawals_Data!D710</f>
        <v>-11376</v>
      </c>
    </row>
    <row r="1917" spans="3:9">
      <c r="C1917" s="23">
        <v>710</v>
      </c>
      <c r="D1917" s="23" t="s">
        <v>134</v>
      </c>
      <c r="E1917" s="23" t="str">
        <f>Withdrawals_Data!A711</f>
        <v>DA-002</v>
      </c>
      <c r="F1917" s="23" t="str">
        <f>Withdrawals_Data!B711</f>
        <v>DA-002-M0044</v>
      </c>
      <c r="G1917" s="24">
        <f>Withdrawals_Data!C711</f>
        <v>45363</v>
      </c>
      <c r="H1917" s="27">
        <v>0</v>
      </c>
      <c r="I1917" s="27">
        <f>-Withdrawals_Data!D711</f>
        <v>-3686</v>
      </c>
    </row>
    <row r="1918" spans="3:9">
      <c r="C1918" s="23">
        <v>711</v>
      </c>
      <c r="D1918" s="23" t="s">
        <v>134</v>
      </c>
      <c r="E1918" s="23" t="str">
        <f>Withdrawals_Data!A712</f>
        <v>DA-002</v>
      </c>
      <c r="F1918" s="23" t="str">
        <f>Withdrawals_Data!B712</f>
        <v>DA-002-M0044</v>
      </c>
      <c r="G1918" s="24">
        <f>Withdrawals_Data!C712</f>
        <v>45552</v>
      </c>
      <c r="H1918" s="27">
        <v>0</v>
      </c>
      <c r="I1918" s="27">
        <f>-Withdrawals_Data!D712</f>
        <v>-21384</v>
      </c>
    </row>
    <row r="1919" spans="3:9">
      <c r="C1919" s="23">
        <v>712</v>
      </c>
      <c r="D1919" s="23" t="s">
        <v>134</v>
      </c>
      <c r="E1919" s="23" t="str">
        <f>Withdrawals_Data!A713</f>
        <v>DA-003</v>
      </c>
      <c r="F1919" s="23" t="str">
        <f>Withdrawals_Data!B713</f>
        <v>DA-003-M0045</v>
      </c>
      <c r="G1919" s="24">
        <f>Withdrawals_Data!C713</f>
        <v>45307</v>
      </c>
      <c r="H1919" s="27">
        <v>0</v>
      </c>
      <c r="I1919" s="27">
        <f>-Withdrawals_Data!D713</f>
        <v>-12046</v>
      </c>
    </row>
    <row r="1920" spans="3:9">
      <c r="C1920" s="23">
        <v>713</v>
      </c>
      <c r="D1920" s="23" t="s">
        <v>134</v>
      </c>
      <c r="E1920" s="23" t="str">
        <f>Withdrawals_Data!A714</f>
        <v>DA-003</v>
      </c>
      <c r="F1920" s="23" t="str">
        <f>Withdrawals_Data!B714</f>
        <v>DA-003-M0045</v>
      </c>
      <c r="G1920" s="24">
        <f>Withdrawals_Data!C714</f>
        <v>45381</v>
      </c>
      <c r="H1920" s="27">
        <v>0</v>
      </c>
      <c r="I1920" s="27">
        <f>-Withdrawals_Data!D714</f>
        <v>-8057</v>
      </c>
    </row>
    <row r="1921" spans="3:9">
      <c r="C1921" s="23">
        <v>714</v>
      </c>
      <c r="D1921" s="23" t="s">
        <v>134</v>
      </c>
      <c r="E1921" s="23" t="str">
        <f>Withdrawals_Data!A715</f>
        <v>DA-003</v>
      </c>
      <c r="F1921" s="23" t="str">
        <f>Withdrawals_Data!B715</f>
        <v>DA-003-M0045</v>
      </c>
      <c r="G1921" s="24">
        <f>Withdrawals_Data!C715</f>
        <v>45390</v>
      </c>
      <c r="H1921" s="27">
        <v>0</v>
      </c>
      <c r="I1921" s="27">
        <f>-Withdrawals_Data!D715</f>
        <v>-12477</v>
      </c>
    </row>
    <row r="1922" spans="3:9">
      <c r="C1922" s="23">
        <v>715</v>
      </c>
      <c r="D1922" s="23" t="s">
        <v>134</v>
      </c>
      <c r="E1922" s="23" t="str">
        <f>Withdrawals_Data!A716</f>
        <v>DA-003</v>
      </c>
      <c r="F1922" s="23" t="str">
        <f>Withdrawals_Data!B716</f>
        <v>DA-003-M0045</v>
      </c>
      <c r="G1922" s="24">
        <f>Withdrawals_Data!C716</f>
        <v>45496</v>
      </c>
      <c r="H1922" s="27">
        <v>0</v>
      </c>
      <c r="I1922" s="27">
        <f>-Withdrawals_Data!D716</f>
        <v>-20690</v>
      </c>
    </row>
    <row r="1923" spans="3:9">
      <c r="C1923" s="23">
        <v>716</v>
      </c>
      <c r="D1923" s="23" t="s">
        <v>134</v>
      </c>
      <c r="E1923" s="23" t="str">
        <f>Withdrawals_Data!A717</f>
        <v>DA-003</v>
      </c>
      <c r="F1923" s="23" t="str">
        <f>Withdrawals_Data!B717</f>
        <v>DA-003-M0045</v>
      </c>
      <c r="G1923" s="24">
        <f>Withdrawals_Data!C717</f>
        <v>45463</v>
      </c>
      <c r="H1923" s="27">
        <v>0</v>
      </c>
      <c r="I1923" s="27">
        <f>-Withdrawals_Data!D717</f>
        <v>-12105</v>
      </c>
    </row>
    <row r="1924" spans="3:9">
      <c r="C1924" s="23">
        <v>717</v>
      </c>
      <c r="D1924" s="23" t="s">
        <v>134</v>
      </c>
      <c r="E1924" s="23" t="str">
        <f>Withdrawals_Data!A718</f>
        <v>DA-003</v>
      </c>
      <c r="F1924" s="23" t="str">
        <f>Withdrawals_Data!B718</f>
        <v>DA-003-M0045</v>
      </c>
      <c r="G1924" s="24">
        <f>Withdrawals_Data!C718</f>
        <v>45409</v>
      </c>
      <c r="H1924" s="27">
        <v>0</v>
      </c>
      <c r="I1924" s="27">
        <f>-Withdrawals_Data!D718</f>
        <v>-11097</v>
      </c>
    </row>
    <row r="1925" spans="3:9">
      <c r="C1925" s="23">
        <v>718</v>
      </c>
      <c r="D1925" s="23" t="s">
        <v>134</v>
      </c>
      <c r="E1925" s="23" t="str">
        <f>Withdrawals_Data!A719</f>
        <v>DA-003</v>
      </c>
      <c r="F1925" s="23" t="str">
        <f>Withdrawals_Data!B719</f>
        <v>DA-003-M0045</v>
      </c>
      <c r="G1925" s="24">
        <f>Withdrawals_Data!C719</f>
        <v>45596</v>
      </c>
      <c r="H1925" s="27">
        <v>0</v>
      </c>
      <c r="I1925" s="27">
        <f>-Withdrawals_Data!D719</f>
        <v>-8370</v>
      </c>
    </row>
    <row r="1926" spans="3:9">
      <c r="C1926" s="23">
        <v>719</v>
      </c>
      <c r="D1926" s="23" t="s">
        <v>134</v>
      </c>
      <c r="E1926" s="23" t="str">
        <f>Withdrawals_Data!A720</f>
        <v>DA-003</v>
      </c>
      <c r="F1926" s="23" t="str">
        <f>Withdrawals_Data!B720</f>
        <v>DA-003-M0045</v>
      </c>
      <c r="G1926" s="24">
        <f>Withdrawals_Data!C720</f>
        <v>45434</v>
      </c>
      <c r="H1926" s="27">
        <v>0</v>
      </c>
      <c r="I1926" s="27">
        <f>-Withdrawals_Data!D720</f>
        <v>-3494</v>
      </c>
    </row>
    <row r="1927" spans="3:9">
      <c r="C1927" s="23">
        <v>720</v>
      </c>
      <c r="D1927" s="23" t="s">
        <v>134</v>
      </c>
      <c r="E1927" s="23" t="str">
        <f>Withdrawals_Data!A721</f>
        <v>DA-003</v>
      </c>
      <c r="F1927" s="23" t="str">
        <f>Withdrawals_Data!B721</f>
        <v>DA-003-M0045</v>
      </c>
      <c r="G1927" s="24">
        <f>Withdrawals_Data!C721</f>
        <v>45502</v>
      </c>
      <c r="H1927" s="27">
        <v>0</v>
      </c>
      <c r="I1927" s="27">
        <f>-Withdrawals_Data!D721</f>
        <v>-6554</v>
      </c>
    </row>
    <row r="1928" spans="3:9">
      <c r="C1928" s="23">
        <v>721</v>
      </c>
      <c r="D1928" s="23" t="s">
        <v>134</v>
      </c>
      <c r="E1928" s="23" t="str">
        <f>Withdrawals_Data!A722</f>
        <v>DA-003</v>
      </c>
      <c r="F1928" s="23" t="str">
        <f>Withdrawals_Data!B722</f>
        <v>DA-003-M0045</v>
      </c>
      <c r="G1928" s="24">
        <f>Withdrawals_Data!C722</f>
        <v>45567</v>
      </c>
      <c r="H1928" s="27">
        <v>0</v>
      </c>
      <c r="I1928" s="27">
        <f>-Withdrawals_Data!D722</f>
        <v>-1903</v>
      </c>
    </row>
    <row r="1929" spans="3:9">
      <c r="C1929" s="23">
        <v>722</v>
      </c>
      <c r="D1929" s="23" t="s">
        <v>134</v>
      </c>
      <c r="E1929" s="23" t="str">
        <f>Withdrawals_Data!A723</f>
        <v>DA-001</v>
      </c>
      <c r="F1929" s="23" t="str">
        <f>Withdrawals_Data!B723</f>
        <v>DA-001-M0046</v>
      </c>
      <c r="G1929" s="24">
        <f>Withdrawals_Data!C723</f>
        <v>45499</v>
      </c>
      <c r="H1929" s="27">
        <v>0</v>
      </c>
      <c r="I1929" s="27">
        <f>-Withdrawals_Data!D723</f>
        <v>-19650</v>
      </c>
    </row>
    <row r="1930" spans="3:9">
      <c r="C1930" s="23">
        <v>723</v>
      </c>
      <c r="D1930" s="23" t="s">
        <v>134</v>
      </c>
      <c r="E1930" s="23" t="str">
        <f>Withdrawals_Data!A724</f>
        <v>DA-001</v>
      </c>
      <c r="F1930" s="23" t="str">
        <f>Withdrawals_Data!B724</f>
        <v>DA-001-M0046</v>
      </c>
      <c r="G1930" s="24">
        <f>Withdrawals_Data!C724</f>
        <v>45472</v>
      </c>
      <c r="H1930" s="27">
        <v>0</v>
      </c>
      <c r="I1930" s="27">
        <f>-Withdrawals_Data!D724</f>
        <v>-3320</v>
      </c>
    </row>
    <row r="1931" spans="3:9">
      <c r="C1931" s="23">
        <v>724</v>
      </c>
      <c r="D1931" s="23" t="s">
        <v>134</v>
      </c>
      <c r="E1931" s="23" t="str">
        <f>Withdrawals_Data!A725</f>
        <v>DA-001</v>
      </c>
      <c r="F1931" s="23" t="str">
        <f>Withdrawals_Data!B725</f>
        <v>DA-001-M0046</v>
      </c>
      <c r="G1931" s="24">
        <f>Withdrawals_Data!C725</f>
        <v>45313</v>
      </c>
      <c r="H1931" s="27">
        <v>0</v>
      </c>
      <c r="I1931" s="27">
        <f>-Withdrawals_Data!D725</f>
        <v>-12770</v>
      </c>
    </row>
    <row r="1932" spans="3:9">
      <c r="C1932" s="23">
        <v>725</v>
      </c>
      <c r="D1932" s="23" t="s">
        <v>134</v>
      </c>
      <c r="E1932" s="23" t="str">
        <f>Withdrawals_Data!A726</f>
        <v>DA-001</v>
      </c>
      <c r="F1932" s="23" t="str">
        <f>Withdrawals_Data!B726</f>
        <v>DA-001-M0046</v>
      </c>
      <c r="G1932" s="24">
        <f>Withdrawals_Data!C726</f>
        <v>45471</v>
      </c>
      <c r="H1932" s="27">
        <v>0</v>
      </c>
      <c r="I1932" s="27">
        <f>-Withdrawals_Data!D726</f>
        <v>-16277</v>
      </c>
    </row>
    <row r="1933" spans="3:9">
      <c r="C1933" s="23">
        <v>726</v>
      </c>
      <c r="D1933" s="23" t="s">
        <v>134</v>
      </c>
      <c r="E1933" s="23" t="str">
        <f>Withdrawals_Data!A727</f>
        <v>DA-001</v>
      </c>
      <c r="F1933" s="23" t="str">
        <f>Withdrawals_Data!B727</f>
        <v>DA-001-M0046</v>
      </c>
      <c r="G1933" s="24">
        <f>Withdrawals_Data!C727</f>
        <v>45504</v>
      </c>
      <c r="H1933" s="27">
        <v>0</v>
      </c>
      <c r="I1933" s="27">
        <f>-Withdrawals_Data!D727</f>
        <v>-9741</v>
      </c>
    </row>
    <row r="1934" spans="3:9">
      <c r="C1934" s="23">
        <v>727</v>
      </c>
      <c r="D1934" s="23" t="s">
        <v>134</v>
      </c>
      <c r="E1934" s="23" t="str">
        <f>Withdrawals_Data!A728</f>
        <v>DA-001</v>
      </c>
      <c r="F1934" s="23" t="str">
        <f>Withdrawals_Data!B728</f>
        <v>DA-001-M0046</v>
      </c>
      <c r="G1934" s="24">
        <f>Withdrawals_Data!C728</f>
        <v>45463</v>
      </c>
      <c r="H1934" s="27">
        <v>0</v>
      </c>
      <c r="I1934" s="27">
        <f>-Withdrawals_Data!D728</f>
        <v>-9516</v>
      </c>
    </row>
    <row r="1935" spans="3:9">
      <c r="C1935" s="23">
        <v>728</v>
      </c>
      <c r="D1935" s="23" t="s">
        <v>134</v>
      </c>
      <c r="E1935" s="23" t="str">
        <f>Withdrawals_Data!A729</f>
        <v>DA-001</v>
      </c>
      <c r="F1935" s="23" t="str">
        <f>Withdrawals_Data!B729</f>
        <v>DA-001-M0046</v>
      </c>
      <c r="G1935" s="24">
        <f>Withdrawals_Data!C729</f>
        <v>45364</v>
      </c>
      <c r="H1935" s="27">
        <v>0</v>
      </c>
      <c r="I1935" s="27">
        <f>-Withdrawals_Data!D729</f>
        <v>-20563</v>
      </c>
    </row>
    <row r="1936" spans="3:9">
      <c r="C1936" s="23">
        <v>729</v>
      </c>
      <c r="D1936" s="23" t="s">
        <v>134</v>
      </c>
      <c r="E1936" s="23" t="str">
        <f>Withdrawals_Data!A730</f>
        <v>DA-001</v>
      </c>
      <c r="F1936" s="23" t="str">
        <f>Withdrawals_Data!B730</f>
        <v>DA-001-M0046</v>
      </c>
      <c r="G1936" s="24">
        <f>Withdrawals_Data!C730</f>
        <v>45331</v>
      </c>
      <c r="H1936" s="27">
        <v>0</v>
      </c>
      <c r="I1936" s="27">
        <f>-Withdrawals_Data!D730</f>
        <v>-11475</v>
      </c>
    </row>
    <row r="1937" spans="3:9">
      <c r="C1937" s="23">
        <v>730</v>
      </c>
      <c r="D1937" s="23" t="s">
        <v>134</v>
      </c>
      <c r="E1937" s="23" t="str">
        <f>Withdrawals_Data!A731</f>
        <v>DA-001</v>
      </c>
      <c r="F1937" s="23" t="str">
        <f>Withdrawals_Data!B731</f>
        <v>DA-001-M0046</v>
      </c>
      <c r="G1937" s="24">
        <f>Withdrawals_Data!C731</f>
        <v>45636</v>
      </c>
      <c r="H1937" s="27">
        <v>0</v>
      </c>
      <c r="I1937" s="27">
        <f>-Withdrawals_Data!D731</f>
        <v>-13132</v>
      </c>
    </row>
    <row r="1938" spans="3:9">
      <c r="C1938" s="23">
        <v>731</v>
      </c>
      <c r="D1938" s="23" t="s">
        <v>134</v>
      </c>
      <c r="E1938" s="23" t="str">
        <f>Withdrawals_Data!A732</f>
        <v>DA-001</v>
      </c>
      <c r="F1938" s="23" t="str">
        <f>Withdrawals_Data!B732</f>
        <v>DA-001-M0046</v>
      </c>
      <c r="G1938" s="24">
        <f>Withdrawals_Data!C732</f>
        <v>45495</v>
      </c>
      <c r="H1938" s="27">
        <v>0</v>
      </c>
      <c r="I1938" s="27">
        <f>-Withdrawals_Data!D732</f>
        <v>-15013</v>
      </c>
    </row>
    <row r="1939" spans="3:9">
      <c r="C1939" s="23">
        <v>732</v>
      </c>
      <c r="D1939" s="23" t="s">
        <v>134</v>
      </c>
      <c r="E1939" s="23" t="str">
        <f>Withdrawals_Data!A733</f>
        <v>DA-003</v>
      </c>
      <c r="F1939" s="23" t="str">
        <f>Withdrawals_Data!B733</f>
        <v>DA-003-M0047</v>
      </c>
      <c r="G1939" s="24">
        <f>Withdrawals_Data!C733</f>
        <v>45447</v>
      </c>
      <c r="H1939" s="27">
        <v>0</v>
      </c>
      <c r="I1939" s="27">
        <f>-Withdrawals_Data!D733</f>
        <v>-16053</v>
      </c>
    </row>
    <row r="1940" spans="3:9">
      <c r="C1940" s="23">
        <v>733</v>
      </c>
      <c r="D1940" s="23" t="s">
        <v>134</v>
      </c>
      <c r="E1940" s="23" t="str">
        <f>Withdrawals_Data!A734</f>
        <v>DA-003</v>
      </c>
      <c r="F1940" s="23" t="str">
        <f>Withdrawals_Data!B734</f>
        <v>DA-003-M0047</v>
      </c>
      <c r="G1940" s="24">
        <f>Withdrawals_Data!C734</f>
        <v>45599</v>
      </c>
      <c r="H1940" s="27">
        <v>0</v>
      </c>
      <c r="I1940" s="27">
        <f>-Withdrawals_Data!D734</f>
        <v>-12904</v>
      </c>
    </row>
    <row r="1941" spans="3:9">
      <c r="C1941" s="23">
        <v>734</v>
      </c>
      <c r="D1941" s="23" t="s">
        <v>134</v>
      </c>
      <c r="E1941" s="23" t="str">
        <f>Withdrawals_Data!A735</f>
        <v>DA-003</v>
      </c>
      <c r="F1941" s="23" t="str">
        <f>Withdrawals_Data!B735</f>
        <v>DA-003-M0047</v>
      </c>
      <c r="G1941" s="24">
        <f>Withdrawals_Data!C735</f>
        <v>45382</v>
      </c>
      <c r="H1941" s="27">
        <v>0</v>
      </c>
      <c r="I1941" s="27">
        <f>-Withdrawals_Data!D735</f>
        <v>-12746</v>
      </c>
    </row>
    <row r="1942" spans="3:9">
      <c r="C1942" s="23">
        <v>735</v>
      </c>
      <c r="D1942" s="23" t="s">
        <v>134</v>
      </c>
      <c r="E1942" s="23" t="str">
        <f>Withdrawals_Data!A736</f>
        <v>DA-003</v>
      </c>
      <c r="F1942" s="23" t="str">
        <f>Withdrawals_Data!B736</f>
        <v>DA-003-M0047</v>
      </c>
      <c r="G1942" s="24">
        <f>Withdrawals_Data!C736</f>
        <v>45350</v>
      </c>
      <c r="H1942" s="27">
        <v>0</v>
      </c>
      <c r="I1942" s="27">
        <f>-Withdrawals_Data!D736</f>
        <v>-16061</v>
      </c>
    </row>
    <row r="1943" spans="3:9">
      <c r="C1943" s="23">
        <v>736</v>
      </c>
      <c r="D1943" s="23" t="s">
        <v>134</v>
      </c>
      <c r="E1943" s="23" t="str">
        <f>Withdrawals_Data!A737</f>
        <v>DA-003</v>
      </c>
      <c r="F1943" s="23" t="str">
        <f>Withdrawals_Data!B737</f>
        <v>DA-003-M0047</v>
      </c>
      <c r="G1943" s="24">
        <f>Withdrawals_Data!C737</f>
        <v>45530</v>
      </c>
      <c r="H1943" s="27">
        <v>0</v>
      </c>
      <c r="I1943" s="27">
        <f>-Withdrawals_Data!D737</f>
        <v>-14314</v>
      </c>
    </row>
    <row r="1944" spans="3:9">
      <c r="C1944" s="23">
        <v>737</v>
      </c>
      <c r="D1944" s="23" t="s">
        <v>134</v>
      </c>
      <c r="E1944" s="23" t="str">
        <f>Withdrawals_Data!A738</f>
        <v>DA-003</v>
      </c>
      <c r="F1944" s="23" t="str">
        <f>Withdrawals_Data!B738</f>
        <v>DA-003-M0047</v>
      </c>
      <c r="G1944" s="24">
        <f>Withdrawals_Data!C738</f>
        <v>45522</v>
      </c>
      <c r="H1944" s="27">
        <v>0</v>
      </c>
      <c r="I1944" s="27">
        <f>-Withdrawals_Data!D738</f>
        <v>-8924</v>
      </c>
    </row>
    <row r="1945" spans="3:9">
      <c r="C1945" s="23">
        <v>738</v>
      </c>
      <c r="D1945" s="23" t="s">
        <v>134</v>
      </c>
      <c r="E1945" s="23" t="str">
        <f>Withdrawals_Data!A739</f>
        <v>DA-003</v>
      </c>
      <c r="F1945" s="23" t="str">
        <f>Withdrawals_Data!B739</f>
        <v>DA-003-M0047</v>
      </c>
      <c r="G1945" s="24">
        <f>Withdrawals_Data!C739</f>
        <v>45294</v>
      </c>
      <c r="H1945" s="27">
        <v>0</v>
      </c>
      <c r="I1945" s="27">
        <f>-Withdrawals_Data!D739</f>
        <v>-15527</v>
      </c>
    </row>
    <row r="1946" spans="3:9">
      <c r="C1946" s="23">
        <v>739</v>
      </c>
      <c r="D1946" s="23" t="s">
        <v>134</v>
      </c>
      <c r="E1946" s="23" t="str">
        <f>Withdrawals_Data!A740</f>
        <v>DA-003</v>
      </c>
      <c r="F1946" s="23" t="str">
        <f>Withdrawals_Data!B740</f>
        <v>DA-003-M0048</v>
      </c>
      <c r="G1946" s="24">
        <f>Withdrawals_Data!C740</f>
        <v>45476</v>
      </c>
      <c r="H1946" s="27">
        <v>0</v>
      </c>
      <c r="I1946" s="27">
        <f>-Withdrawals_Data!D740</f>
        <v>-17954</v>
      </c>
    </row>
    <row r="1947" spans="3:9">
      <c r="C1947" s="23">
        <v>740</v>
      </c>
      <c r="D1947" s="23" t="s">
        <v>134</v>
      </c>
      <c r="E1947" s="23" t="str">
        <f>Withdrawals_Data!A741</f>
        <v>DA-003</v>
      </c>
      <c r="F1947" s="23" t="str">
        <f>Withdrawals_Data!B741</f>
        <v>DA-003-M0048</v>
      </c>
      <c r="G1947" s="24">
        <f>Withdrawals_Data!C741</f>
        <v>45491</v>
      </c>
      <c r="H1947" s="27">
        <v>0</v>
      </c>
      <c r="I1947" s="27">
        <f>-Withdrawals_Data!D741</f>
        <v>-2322</v>
      </c>
    </row>
    <row r="1948" spans="3:9">
      <c r="C1948" s="23">
        <v>741</v>
      </c>
      <c r="D1948" s="23" t="s">
        <v>134</v>
      </c>
      <c r="E1948" s="23" t="str">
        <f>Withdrawals_Data!A742</f>
        <v>DA-003</v>
      </c>
      <c r="F1948" s="23" t="str">
        <f>Withdrawals_Data!B742</f>
        <v>DA-003-M0048</v>
      </c>
      <c r="G1948" s="24">
        <f>Withdrawals_Data!C742</f>
        <v>45541</v>
      </c>
      <c r="H1948" s="27">
        <v>0</v>
      </c>
      <c r="I1948" s="27">
        <f>-Withdrawals_Data!D742</f>
        <v>-3283</v>
      </c>
    </row>
    <row r="1949" spans="3:9">
      <c r="C1949" s="23">
        <v>742</v>
      </c>
      <c r="D1949" s="23" t="s">
        <v>134</v>
      </c>
      <c r="E1949" s="23" t="str">
        <f>Withdrawals_Data!A743</f>
        <v>DA-003</v>
      </c>
      <c r="F1949" s="23" t="str">
        <f>Withdrawals_Data!B743</f>
        <v>DA-003-M0048</v>
      </c>
      <c r="G1949" s="24">
        <f>Withdrawals_Data!C743</f>
        <v>45332</v>
      </c>
      <c r="H1949" s="27">
        <v>0</v>
      </c>
      <c r="I1949" s="27">
        <f>-Withdrawals_Data!D743</f>
        <v>-19921</v>
      </c>
    </row>
    <row r="1950" spans="3:9">
      <c r="C1950" s="23">
        <v>743</v>
      </c>
      <c r="D1950" s="23" t="s">
        <v>134</v>
      </c>
      <c r="E1950" s="23" t="str">
        <f>Withdrawals_Data!A744</f>
        <v>DA-003</v>
      </c>
      <c r="F1950" s="23" t="str">
        <f>Withdrawals_Data!B744</f>
        <v>DA-003-M0048</v>
      </c>
      <c r="G1950" s="24">
        <f>Withdrawals_Data!C744</f>
        <v>45488</v>
      </c>
      <c r="H1950" s="27">
        <v>0</v>
      </c>
      <c r="I1950" s="27">
        <f>-Withdrawals_Data!D744</f>
        <v>-2881</v>
      </c>
    </row>
    <row r="1951" spans="3:9">
      <c r="C1951" s="23">
        <v>744</v>
      </c>
      <c r="D1951" s="23" t="s">
        <v>134</v>
      </c>
      <c r="E1951" s="23" t="str">
        <f>Withdrawals_Data!A745</f>
        <v>DA-003</v>
      </c>
      <c r="F1951" s="23" t="str">
        <f>Withdrawals_Data!B745</f>
        <v>DA-003-M0048</v>
      </c>
      <c r="G1951" s="24">
        <f>Withdrawals_Data!C745</f>
        <v>45454</v>
      </c>
      <c r="H1951" s="27">
        <v>0</v>
      </c>
      <c r="I1951" s="27">
        <f>-Withdrawals_Data!D745</f>
        <v>-4021</v>
      </c>
    </row>
    <row r="1952" spans="3:9">
      <c r="C1952" s="23">
        <v>745</v>
      </c>
      <c r="D1952" s="23" t="s">
        <v>134</v>
      </c>
      <c r="E1952" s="23" t="str">
        <f>Withdrawals_Data!A746</f>
        <v>DA-003</v>
      </c>
      <c r="F1952" s="23" t="str">
        <f>Withdrawals_Data!B746</f>
        <v>DA-003-M0048</v>
      </c>
      <c r="G1952" s="24">
        <f>Withdrawals_Data!C746</f>
        <v>45618</v>
      </c>
      <c r="H1952" s="27">
        <v>0</v>
      </c>
      <c r="I1952" s="27">
        <f>-Withdrawals_Data!D746</f>
        <v>-12188</v>
      </c>
    </row>
    <row r="1953" spans="3:9">
      <c r="C1953" s="23">
        <v>746</v>
      </c>
      <c r="D1953" s="23" t="s">
        <v>134</v>
      </c>
      <c r="E1953" s="23" t="str">
        <f>Withdrawals_Data!A747</f>
        <v>DA-001</v>
      </c>
      <c r="F1953" s="23" t="str">
        <f>Withdrawals_Data!B747</f>
        <v>DA-001-M0049</v>
      </c>
      <c r="G1953" s="24">
        <f>Withdrawals_Data!C747</f>
        <v>45364</v>
      </c>
      <c r="H1953" s="27">
        <v>0</v>
      </c>
      <c r="I1953" s="27">
        <f>-Withdrawals_Data!D747</f>
        <v>-20543</v>
      </c>
    </row>
    <row r="1954" spans="3:9">
      <c r="C1954" s="23">
        <v>747</v>
      </c>
      <c r="D1954" s="23" t="s">
        <v>134</v>
      </c>
      <c r="E1954" s="23" t="str">
        <f>Withdrawals_Data!A748</f>
        <v>DA-001</v>
      </c>
      <c r="F1954" s="23" t="str">
        <f>Withdrawals_Data!B748</f>
        <v>DA-001-M0049</v>
      </c>
      <c r="G1954" s="24">
        <f>Withdrawals_Data!C748</f>
        <v>45635</v>
      </c>
      <c r="H1954" s="27">
        <v>0</v>
      </c>
      <c r="I1954" s="27">
        <f>-Withdrawals_Data!D748</f>
        <v>-15871</v>
      </c>
    </row>
    <row r="1955" spans="3:9">
      <c r="C1955" s="23">
        <v>748</v>
      </c>
      <c r="D1955" s="23" t="s">
        <v>134</v>
      </c>
      <c r="E1955" s="23" t="str">
        <f>Withdrawals_Data!A749</f>
        <v>DA-001</v>
      </c>
      <c r="F1955" s="23" t="str">
        <f>Withdrawals_Data!B749</f>
        <v>DA-001-M0049</v>
      </c>
      <c r="G1955" s="24">
        <f>Withdrawals_Data!C749</f>
        <v>45611</v>
      </c>
      <c r="H1955" s="27">
        <v>0</v>
      </c>
      <c r="I1955" s="27">
        <f>-Withdrawals_Data!D749</f>
        <v>-13359</v>
      </c>
    </row>
    <row r="1956" spans="3:9">
      <c r="C1956" s="23">
        <v>749</v>
      </c>
      <c r="D1956" s="23" t="s">
        <v>134</v>
      </c>
      <c r="E1956" s="23" t="str">
        <f>Withdrawals_Data!A750</f>
        <v>DA-001</v>
      </c>
      <c r="F1956" s="23" t="str">
        <f>Withdrawals_Data!B750</f>
        <v>DA-001-M0049</v>
      </c>
      <c r="G1956" s="24">
        <f>Withdrawals_Data!C750</f>
        <v>45538</v>
      </c>
      <c r="H1956" s="27">
        <v>0</v>
      </c>
      <c r="I1956" s="27">
        <f>-Withdrawals_Data!D750</f>
        <v>-20214</v>
      </c>
    </row>
    <row r="1957" spans="3:9">
      <c r="C1957" s="23">
        <v>750</v>
      </c>
      <c r="D1957" s="23" t="s">
        <v>134</v>
      </c>
      <c r="E1957" s="23" t="str">
        <f>Withdrawals_Data!A751</f>
        <v>DA-001</v>
      </c>
      <c r="F1957" s="23" t="str">
        <f>Withdrawals_Data!B751</f>
        <v>DA-001-M0049</v>
      </c>
      <c r="G1957" s="24">
        <f>Withdrawals_Data!C751</f>
        <v>45451</v>
      </c>
      <c r="H1957" s="27">
        <v>0</v>
      </c>
      <c r="I1957" s="27">
        <f>-Withdrawals_Data!D751</f>
        <v>-11971</v>
      </c>
    </row>
    <row r="1958" spans="3:9">
      <c r="C1958" s="23">
        <v>751</v>
      </c>
      <c r="D1958" s="23" t="s">
        <v>134</v>
      </c>
      <c r="E1958" s="23" t="str">
        <f>Withdrawals_Data!A752</f>
        <v>DA-001</v>
      </c>
      <c r="F1958" s="23" t="str">
        <f>Withdrawals_Data!B752</f>
        <v>DA-001-M0049</v>
      </c>
      <c r="G1958" s="24">
        <f>Withdrawals_Data!C752</f>
        <v>45605</v>
      </c>
      <c r="H1958" s="27">
        <v>0</v>
      </c>
      <c r="I1958" s="27">
        <f>-Withdrawals_Data!D752</f>
        <v>-3246</v>
      </c>
    </row>
    <row r="1959" spans="3:9">
      <c r="C1959" s="23">
        <v>752</v>
      </c>
      <c r="D1959" s="23" t="s">
        <v>134</v>
      </c>
      <c r="E1959" s="23" t="str">
        <f>Withdrawals_Data!A753</f>
        <v>DA-001</v>
      </c>
      <c r="F1959" s="23" t="str">
        <f>Withdrawals_Data!B753</f>
        <v>DA-001-M0049</v>
      </c>
      <c r="G1959" s="24">
        <f>Withdrawals_Data!C753</f>
        <v>45397</v>
      </c>
      <c r="H1959" s="27">
        <v>0</v>
      </c>
      <c r="I1959" s="27">
        <f>-Withdrawals_Data!D753</f>
        <v>-2736</v>
      </c>
    </row>
    <row r="1960" spans="3:9">
      <c r="C1960" s="23">
        <v>753</v>
      </c>
      <c r="D1960" s="23" t="s">
        <v>134</v>
      </c>
      <c r="E1960" s="23" t="str">
        <f>Withdrawals_Data!A754</f>
        <v>DA-001</v>
      </c>
      <c r="F1960" s="23" t="str">
        <f>Withdrawals_Data!B754</f>
        <v>DA-001-M0049</v>
      </c>
      <c r="G1960" s="24">
        <f>Withdrawals_Data!C754</f>
        <v>45638</v>
      </c>
      <c r="H1960" s="27">
        <v>0</v>
      </c>
      <c r="I1960" s="27">
        <f>-Withdrawals_Data!D754</f>
        <v>-16997</v>
      </c>
    </row>
    <row r="1961" spans="3:9">
      <c r="C1961" s="23">
        <v>754</v>
      </c>
      <c r="D1961" s="23" t="s">
        <v>134</v>
      </c>
      <c r="E1961" s="23" t="str">
        <f>Withdrawals_Data!A755</f>
        <v>DA-001</v>
      </c>
      <c r="F1961" s="23" t="str">
        <f>Withdrawals_Data!B755</f>
        <v>DA-001-M0049</v>
      </c>
      <c r="G1961" s="24">
        <f>Withdrawals_Data!C755</f>
        <v>45497</v>
      </c>
      <c r="H1961" s="27">
        <v>0</v>
      </c>
      <c r="I1961" s="27">
        <f>-Withdrawals_Data!D755</f>
        <v>-5650</v>
      </c>
    </row>
    <row r="1962" spans="3:9">
      <c r="C1962" s="23">
        <v>755</v>
      </c>
      <c r="D1962" s="23" t="s">
        <v>134</v>
      </c>
      <c r="E1962" s="23" t="str">
        <f>Withdrawals_Data!A756</f>
        <v>DA-001</v>
      </c>
      <c r="F1962" s="23" t="str">
        <f>Withdrawals_Data!B756</f>
        <v>DA-001-M0049</v>
      </c>
      <c r="G1962" s="24">
        <f>Withdrawals_Data!C756</f>
        <v>45385</v>
      </c>
      <c r="H1962" s="27">
        <v>0</v>
      </c>
      <c r="I1962" s="27">
        <f>-Withdrawals_Data!D756</f>
        <v>-2927</v>
      </c>
    </row>
    <row r="1963" spans="3:9">
      <c r="C1963" s="23">
        <v>756</v>
      </c>
      <c r="D1963" s="23" t="s">
        <v>134</v>
      </c>
      <c r="E1963" s="23" t="str">
        <f>Withdrawals_Data!A757</f>
        <v>DA-002</v>
      </c>
      <c r="F1963" s="23" t="str">
        <f>Withdrawals_Data!B757</f>
        <v>DA-002-M0050</v>
      </c>
      <c r="G1963" s="24">
        <f>Withdrawals_Data!C757</f>
        <v>45303</v>
      </c>
      <c r="H1963" s="27">
        <v>0</v>
      </c>
      <c r="I1963" s="27">
        <f>-Withdrawals_Data!D757</f>
        <v>-9881</v>
      </c>
    </row>
    <row r="1964" spans="3:9">
      <c r="C1964" s="23">
        <v>757</v>
      </c>
      <c r="D1964" s="23" t="s">
        <v>134</v>
      </c>
      <c r="E1964" s="23" t="str">
        <f>Withdrawals_Data!A758</f>
        <v>DA-002</v>
      </c>
      <c r="F1964" s="23" t="str">
        <f>Withdrawals_Data!B758</f>
        <v>DA-002-M0050</v>
      </c>
      <c r="G1964" s="24">
        <f>Withdrawals_Data!C758</f>
        <v>45651</v>
      </c>
      <c r="H1964" s="27">
        <v>0</v>
      </c>
      <c r="I1964" s="27">
        <f>-Withdrawals_Data!D758</f>
        <v>-19643</v>
      </c>
    </row>
    <row r="1965" spans="3:9">
      <c r="C1965" s="23">
        <v>758</v>
      </c>
      <c r="D1965" s="23" t="s">
        <v>134</v>
      </c>
      <c r="E1965" s="23" t="str">
        <f>Withdrawals_Data!A759</f>
        <v>DA-002</v>
      </c>
      <c r="F1965" s="23" t="str">
        <f>Withdrawals_Data!B759</f>
        <v>DA-002-M0050</v>
      </c>
      <c r="G1965" s="24">
        <f>Withdrawals_Data!C759</f>
        <v>45499</v>
      </c>
      <c r="H1965" s="27">
        <v>0</v>
      </c>
      <c r="I1965" s="27">
        <f>-Withdrawals_Data!D759</f>
        <v>-17856</v>
      </c>
    </row>
    <row r="1966" spans="3:9">
      <c r="C1966" s="23">
        <v>759</v>
      </c>
      <c r="D1966" s="23" t="s">
        <v>134</v>
      </c>
      <c r="E1966" s="23" t="str">
        <f>Withdrawals_Data!A760</f>
        <v>DA-002</v>
      </c>
      <c r="F1966" s="23" t="str">
        <f>Withdrawals_Data!B760</f>
        <v>DA-002-M0050</v>
      </c>
      <c r="G1966" s="24">
        <f>Withdrawals_Data!C760</f>
        <v>45424</v>
      </c>
      <c r="H1966" s="27">
        <v>0</v>
      </c>
      <c r="I1966" s="27">
        <f>-Withdrawals_Data!D760</f>
        <v>-12293</v>
      </c>
    </row>
    <row r="1967" spans="3:9">
      <c r="C1967" s="23">
        <v>760</v>
      </c>
      <c r="D1967" s="23" t="s">
        <v>134</v>
      </c>
      <c r="E1967" s="23" t="str">
        <f>Withdrawals_Data!A761</f>
        <v>DA-002</v>
      </c>
      <c r="F1967" s="23" t="str">
        <f>Withdrawals_Data!B761</f>
        <v>DA-002-M0050</v>
      </c>
      <c r="G1967" s="24">
        <f>Withdrawals_Data!C761</f>
        <v>45413</v>
      </c>
      <c r="H1967" s="27">
        <v>0</v>
      </c>
      <c r="I1967" s="27">
        <f>-Withdrawals_Data!D761</f>
        <v>-17413</v>
      </c>
    </row>
    <row r="1968" spans="3:9">
      <c r="C1968" s="23">
        <v>761</v>
      </c>
      <c r="D1968" s="23" t="s">
        <v>134</v>
      </c>
      <c r="E1968" s="23" t="str">
        <f>Withdrawals_Data!A762</f>
        <v>DA-002</v>
      </c>
      <c r="F1968" s="23" t="str">
        <f>Withdrawals_Data!B762</f>
        <v>DA-002-M0050</v>
      </c>
      <c r="G1968" s="24">
        <f>Withdrawals_Data!C762</f>
        <v>45433</v>
      </c>
      <c r="H1968" s="27">
        <v>0</v>
      </c>
      <c r="I1968" s="27">
        <f>-Withdrawals_Data!D762</f>
        <v>-19795</v>
      </c>
    </row>
    <row r="1969" spans="3:9">
      <c r="C1969" s="23">
        <v>762</v>
      </c>
      <c r="D1969" s="23" t="s">
        <v>134</v>
      </c>
      <c r="E1969" s="23" t="str">
        <f>Withdrawals_Data!A763</f>
        <v>DA-002</v>
      </c>
      <c r="F1969" s="23" t="str">
        <f>Withdrawals_Data!B763</f>
        <v>DA-002-M0050</v>
      </c>
      <c r="G1969" s="24">
        <f>Withdrawals_Data!C763</f>
        <v>45347</v>
      </c>
      <c r="H1969" s="27">
        <v>0</v>
      </c>
      <c r="I1969" s="27">
        <f>-Withdrawals_Data!D763</f>
        <v>-13434</v>
      </c>
    </row>
    <row r="1970" spans="3:9">
      <c r="C1970" s="23">
        <v>763</v>
      </c>
      <c r="D1970" s="23" t="s">
        <v>134</v>
      </c>
      <c r="E1970" s="23" t="str">
        <f>Withdrawals_Data!A764</f>
        <v>DA-002</v>
      </c>
      <c r="F1970" s="23" t="str">
        <f>Withdrawals_Data!B764</f>
        <v>DA-002-M0050</v>
      </c>
      <c r="G1970" s="24">
        <f>Withdrawals_Data!C764</f>
        <v>45338</v>
      </c>
      <c r="H1970" s="27">
        <v>0</v>
      </c>
      <c r="I1970" s="27">
        <f>-Withdrawals_Data!D764</f>
        <v>-6494</v>
      </c>
    </row>
    <row r="1971" spans="3:9">
      <c r="C1971" s="23">
        <v>764</v>
      </c>
      <c r="D1971" s="23" t="s">
        <v>134</v>
      </c>
      <c r="E1971" s="23" t="str">
        <f>Withdrawals_Data!A765</f>
        <v>DA-002</v>
      </c>
      <c r="F1971" s="23" t="str">
        <f>Withdrawals_Data!B765</f>
        <v>DA-002-M0050</v>
      </c>
      <c r="G1971" s="24">
        <f>Withdrawals_Data!C765</f>
        <v>45647</v>
      </c>
      <c r="H1971" s="27">
        <v>0</v>
      </c>
      <c r="I1971" s="27">
        <f>-Withdrawals_Data!D765</f>
        <v>-3464</v>
      </c>
    </row>
    <row r="1972" spans="3:9">
      <c r="C1972" s="23">
        <v>765</v>
      </c>
      <c r="D1972" s="23" t="s">
        <v>134</v>
      </c>
      <c r="E1972" s="23" t="str">
        <f>Withdrawals_Data!A766</f>
        <v>DA-002</v>
      </c>
      <c r="F1972" s="23" t="str">
        <f>Withdrawals_Data!B766</f>
        <v>DA-002-M0050</v>
      </c>
      <c r="G1972" s="24">
        <f>Withdrawals_Data!C766</f>
        <v>45536</v>
      </c>
      <c r="H1972" s="27">
        <v>0</v>
      </c>
      <c r="I1972" s="27">
        <f>-Withdrawals_Data!D766</f>
        <v>-19777</v>
      </c>
    </row>
    <row r="1973" spans="3:9">
      <c r="C1973" s="23">
        <v>766</v>
      </c>
      <c r="D1973" s="23" t="s">
        <v>134</v>
      </c>
      <c r="E1973" s="23" t="str">
        <f>Withdrawals_Data!A767</f>
        <v>DA-002</v>
      </c>
      <c r="F1973" s="23" t="str">
        <f>Withdrawals_Data!B767</f>
        <v>DA-002-M0051</v>
      </c>
      <c r="G1973" s="24">
        <f>Withdrawals_Data!C767</f>
        <v>45449</v>
      </c>
      <c r="H1973" s="27">
        <v>0</v>
      </c>
      <c r="I1973" s="27">
        <f>-Withdrawals_Data!D767</f>
        <v>-16323</v>
      </c>
    </row>
    <row r="1974" spans="3:9">
      <c r="C1974" s="23">
        <v>767</v>
      </c>
      <c r="D1974" s="23" t="s">
        <v>134</v>
      </c>
      <c r="E1974" s="23" t="str">
        <f>Withdrawals_Data!A768</f>
        <v>DA-002</v>
      </c>
      <c r="F1974" s="23" t="str">
        <f>Withdrawals_Data!B768</f>
        <v>DA-002-M0051</v>
      </c>
      <c r="G1974" s="24">
        <f>Withdrawals_Data!C768</f>
        <v>45397</v>
      </c>
      <c r="H1974" s="27">
        <v>0</v>
      </c>
      <c r="I1974" s="27">
        <f>-Withdrawals_Data!D768</f>
        <v>-6145</v>
      </c>
    </row>
    <row r="1975" spans="3:9">
      <c r="C1975" s="23">
        <v>768</v>
      </c>
      <c r="D1975" s="23" t="s">
        <v>134</v>
      </c>
      <c r="E1975" s="23" t="str">
        <f>Withdrawals_Data!A769</f>
        <v>DA-002</v>
      </c>
      <c r="F1975" s="23" t="str">
        <f>Withdrawals_Data!B769</f>
        <v>DA-002-M0051</v>
      </c>
      <c r="G1975" s="24">
        <f>Withdrawals_Data!C769</f>
        <v>45526</v>
      </c>
      <c r="H1975" s="27">
        <v>0</v>
      </c>
      <c r="I1975" s="27">
        <f>-Withdrawals_Data!D769</f>
        <v>-1804</v>
      </c>
    </row>
    <row r="1976" spans="3:9">
      <c r="C1976" s="23">
        <v>769</v>
      </c>
      <c r="D1976" s="23" t="s">
        <v>134</v>
      </c>
      <c r="E1976" s="23" t="str">
        <f>Withdrawals_Data!A770</f>
        <v>DA-002</v>
      </c>
      <c r="F1976" s="23" t="str">
        <f>Withdrawals_Data!B770</f>
        <v>DA-002-M0051</v>
      </c>
      <c r="G1976" s="24">
        <f>Withdrawals_Data!C770</f>
        <v>45623</v>
      </c>
      <c r="H1976" s="27">
        <v>0</v>
      </c>
      <c r="I1976" s="27">
        <f>-Withdrawals_Data!D770</f>
        <v>-3567</v>
      </c>
    </row>
    <row r="1977" spans="3:9">
      <c r="C1977" s="23">
        <v>770</v>
      </c>
      <c r="D1977" s="23" t="s">
        <v>134</v>
      </c>
      <c r="E1977" s="23" t="str">
        <f>Withdrawals_Data!A771</f>
        <v>DA-002</v>
      </c>
      <c r="F1977" s="23" t="str">
        <f>Withdrawals_Data!B771</f>
        <v>DA-002-M0051</v>
      </c>
      <c r="G1977" s="24">
        <f>Withdrawals_Data!C771</f>
        <v>45499</v>
      </c>
      <c r="H1977" s="27">
        <v>0</v>
      </c>
      <c r="I1977" s="27">
        <f>-Withdrawals_Data!D771</f>
        <v>-3046</v>
      </c>
    </row>
    <row r="1978" spans="3:9">
      <c r="C1978" s="23">
        <v>771</v>
      </c>
      <c r="D1978" s="23" t="s">
        <v>134</v>
      </c>
      <c r="E1978" s="23" t="str">
        <f>Withdrawals_Data!A772</f>
        <v>DA-002</v>
      </c>
      <c r="F1978" s="23" t="str">
        <f>Withdrawals_Data!B772</f>
        <v>DA-002-M0051</v>
      </c>
      <c r="G1978" s="24">
        <f>Withdrawals_Data!C772</f>
        <v>45353</v>
      </c>
      <c r="H1978" s="27">
        <v>0</v>
      </c>
      <c r="I1978" s="27">
        <f>-Withdrawals_Data!D772</f>
        <v>-3423</v>
      </c>
    </row>
    <row r="1979" spans="3:9">
      <c r="C1979" s="23">
        <v>772</v>
      </c>
      <c r="D1979" s="23" t="s">
        <v>134</v>
      </c>
      <c r="E1979" s="23" t="str">
        <f>Withdrawals_Data!A773</f>
        <v>DA-002</v>
      </c>
      <c r="F1979" s="23" t="str">
        <f>Withdrawals_Data!B773</f>
        <v>DA-002-M0051</v>
      </c>
      <c r="G1979" s="24">
        <f>Withdrawals_Data!C773</f>
        <v>45545</v>
      </c>
      <c r="H1979" s="27">
        <v>0</v>
      </c>
      <c r="I1979" s="27">
        <f>-Withdrawals_Data!D773</f>
        <v>-18163</v>
      </c>
    </row>
    <row r="1980" spans="3:9">
      <c r="C1980" s="23">
        <v>773</v>
      </c>
      <c r="D1980" s="23" t="s">
        <v>134</v>
      </c>
      <c r="E1980" s="23" t="str">
        <f>Withdrawals_Data!A774</f>
        <v>DA-002</v>
      </c>
      <c r="F1980" s="23" t="str">
        <f>Withdrawals_Data!B774</f>
        <v>DA-002-M0051</v>
      </c>
      <c r="G1980" s="24">
        <f>Withdrawals_Data!C774</f>
        <v>45518</v>
      </c>
      <c r="H1980" s="27">
        <v>0</v>
      </c>
      <c r="I1980" s="27">
        <f>-Withdrawals_Data!D774</f>
        <v>-13297</v>
      </c>
    </row>
    <row r="1981" spans="3:9">
      <c r="C1981" s="23">
        <v>774</v>
      </c>
      <c r="D1981" s="23" t="s">
        <v>134</v>
      </c>
      <c r="E1981" s="23" t="str">
        <f>Withdrawals_Data!A775</f>
        <v>DA-002</v>
      </c>
      <c r="F1981" s="23" t="str">
        <f>Withdrawals_Data!B775</f>
        <v>DA-002-M0051</v>
      </c>
      <c r="G1981" s="24">
        <f>Withdrawals_Data!C775</f>
        <v>45297</v>
      </c>
      <c r="H1981" s="27">
        <v>0</v>
      </c>
      <c r="I1981" s="27">
        <f>-Withdrawals_Data!D775</f>
        <v>-21312</v>
      </c>
    </row>
    <row r="1982" spans="3:9">
      <c r="C1982" s="23">
        <v>775</v>
      </c>
      <c r="D1982" s="23" t="s">
        <v>134</v>
      </c>
      <c r="E1982" s="23" t="str">
        <f>Withdrawals_Data!A776</f>
        <v>DA-003</v>
      </c>
      <c r="F1982" s="23" t="str">
        <f>Withdrawals_Data!B776</f>
        <v>DA-003-M0052</v>
      </c>
      <c r="G1982" s="24">
        <f>Withdrawals_Data!C776</f>
        <v>45490</v>
      </c>
      <c r="H1982" s="27">
        <v>0</v>
      </c>
      <c r="I1982" s="27">
        <f>-Withdrawals_Data!D776</f>
        <v>-21233</v>
      </c>
    </row>
    <row r="1983" spans="3:9">
      <c r="C1983" s="23">
        <v>776</v>
      </c>
      <c r="D1983" s="23" t="s">
        <v>134</v>
      </c>
      <c r="E1983" s="23" t="str">
        <f>Withdrawals_Data!A777</f>
        <v>DA-003</v>
      </c>
      <c r="F1983" s="23" t="str">
        <f>Withdrawals_Data!B777</f>
        <v>DA-003-M0052</v>
      </c>
      <c r="G1983" s="24">
        <f>Withdrawals_Data!C777</f>
        <v>45486</v>
      </c>
      <c r="H1983" s="27">
        <v>0</v>
      </c>
      <c r="I1983" s="27">
        <f>-Withdrawals_Data!D777</f>
        <v>-9276</v>
      </c>
    </row>
    <row r="1984" spans="3:9">
      <c r="C1984" s="23">
        <v>777</v>
      </c>
      <c r="D1984" s="23" t="s">
        <v>134</v>
      </c>
      <c r="E1984" s="23" t="str">
        <f>Withdrawals_Data!A778</f>
        <v>DA-003</v>
      </c>
      <c r="F1984" s="23" t="str">
        <f>Withdrawals_Data!B778</f>
        <v>DA-003-M0052</v>
      </c>
      <c r="G1984" s="24">
        <f>Withdrawals_Data!C778</f>
        <v>45656</v>
      </c>
      <c r="H1984" s="27">
        <v>0</v>
      </c>
      <c r="I1984" s="27">
        <f>-Withdrawals_Data!D778</f>
        <v>-17231</v>
      </c>
    </row>
    <row r="1985" spans="3:9">
      <c r="C1985" s="23">
        <v>778</v>
      </c>
      <c r="D1985" s="23" t="s">
        <v>134</v>
      </c>
      <c r="E1985" s="23" t="str">
        <f>Withdrawals_Data!A779</f>
        <v>DA-003</v>
      </c>
      <c r="F1985" s="23" t="str">
        <f>Withdrawals_Data!B779</f>
        <v>DA-003-M0052</v>
      </c>
      <c r="G1985" s="24">
        <f>Withdrawals_Data!C779</f>
        <v>45337</v>
      </c>
      <c r="H1985" s="27">
        <v>0</v>
      </c>
      <c r="I1985" s="27">
        <f>-Withdrawals_Data!D779</f>
        <v>-5559</v>
      </c>
    </row>
    <row r="1986" spans="3:9">
      <c r="C1986" s="23">
        <v>779</v>
      </c>
      <c r="D1986" s="23" t="s">
        <v>134</v>
      </c>
      <c r="E1986" s="23" t="str">
        <f>Withdrawals_Data!A780</f>
        <v>DA-003</v>
      </c>
      <c r="F1986" s="23" t="str">
        <f>Withdrawals_Data!B780</f>
        <v>DA-003-M0052</v>
      </c>
      <c r="G1986" s="24">
        <f>Withdrawals_Data!C780</f>
        <v>45655</v>
      </c>
      <c r="H1986" s="27">
        <v>0</v>
      </c>
      <c r="I1986" s="27">
        <f>-Withdrawals_Data!D780</f>
        <v>-9822</v>
      </c>
    </row>
    <row r="1987" spans="3:9">
      <c r="C1987" s="23">
        <v>780</v>
      </c>
      <c r="D1987" s="23" t="s">
        <v>134</v>
      </c>
      <c r="E1987" s="23" t="str">
        <f>Withdrawals_Data!A781</f>
        <v>DA-003</v>
      </c>
      <c r="F1987" s="23" t="str">
        <f>Withdrawals_Data!B781</f>
        <v>DA-003-M0052</v>
      </c>
      <c r="G1987" s="24">
        <f>Withdrawals_Data!C781</f>
        <v>45382</v>
      </c>
      <c r="H1987" s="27">
        <v>0</v>
      </c>
      <c r="I1987" s="27">
        <f>-Withdrawals_Data!D781</f>
        <v>-13675</v>
      </c>
    </row>
    <row r="1988" spans="3:9">
      <c r="C1988" s="23">
        <v>781</v>
      </c>
      <c r="D1988" s="23" t="s">
        <v>134</v>
      </c>
      <c r="E1988" s="23" t="str">
        <f>Withdrawals_Data!A782</f>
        <v>DA-003</v>
      </c>
      <c r="F1988" s="23" t="str">
        <f>Withdrawals_Data!B782</f>
        <v>DA-003-M0052</v>
      </c>
      <c r="G1988" s="24">
        <f>Withdrawals_Data!C782</f>
        <v>45627</v>
      </c>
      <c r="H1988" s="27">
        <v>0</v>
      </c>
      <c r="I1988" s="27">
        <f>-Withdrawals_Data!D782</f>
        <v>-8316</v>
      </c>
    </row>
    <row r="1989" spans="3:9">
      <c r="C1989" s="23">
        <v>782</v>
      </c>
      <c r="D1989" s="23" t="s">
        <v>134</v>
      </c>
      <c r="E1989" s="23" t="str">
        <f>Withdrawals_Data!A783</f>
        <v>DA-003</v>
      </c>
      <c r="F1989" s="23" t="str">
        <f>Withdrawals_Data!B783</f>
        <v>DA-003-M0052</v>
      </c>
      <c r="G1989" s="24">
        <f>Withdrawals_Data!C783</f>
        <v>45308</v>
      </c>
      <c r="H1989" s="27">
        <v>0</v>
      </c>
      <c r="I1989" s="27">
        <f>-Withdrawals_Data!D783</f>
        <v>-12591</v>
      </c>
    </row>
    <row r="1990" spans="3:9">
      <c r="C1990" s="23">
        <v>783</v>
      </c>
      <c r="D1990" s="23" t="s">
        <v>134</v>
      </c>
      <c r="E1990" s="23" t="str">
        <f>Withdrawals_Data!A784</f>
        <v>DA-003</v>
      </c>
      <c r="F1990" s="23" t="str">
        <f>Withdrawals_Data!B784</f>
        <v>DA-003-M0052</v>
      </c>
      <c r="G1990" s="24">
        <f>Withdrawals_Data!C784</f>
        <v>45391</v>
      </c>
      <c r="H1990" s="27">
        <v>0</v>
      </c>
      <c r="I1990" s="27">
        <f>-Withdrawals_Data!D784</f>
        <v>-3950</v>
      </c>
    </row>
    <row r="1991" spans="3:9">
      <c r="C1991" s="23">
        <v>784</v>
      </c>
      <c r="D1991" s="23" t="s">
        <v>134</v>
      </c>
      <c r="E1991" s="23" t="str">
        <f>Withdrawals_Data!A785</f>
        <v>DA-003</v>
      </c>
      <c r="F1991" s="23" t="str">
        <f>Withdrawals_Data!B785</f>
        <v>DA-003-M0052</v>
      </c>
      <c r="G1991" s="24">
        <f>Withdrawals_Data!C785</f>
        <v>45509</v>
      </c>
      <c r="H1991" s="27">
        <v>0</v>
      </c>
      <c r="I1991" s="27">
        <f>-Withdrawals_Data!D785</f>
        <v>-6670</v>
      </c>
    </row>
    <row r="1992" spans="3:9">
      <c r="C1992" s="23">
        <v>785</v>
      </c>
      <c r="D1992" s="23" t="s">
        <v>134</v>
      </c>
      <c r="E1992" s="23" t="str">
        <f>Withdrawals_Data!A786</f>
        <v>DA-001</v>
      </c>
      <c r="F1992" s="23" t="str">
        <f>Withdrawals_Data!B786</f>
        <v>DA-001-M0053</v>
      </c>
      <c r="G1992" s="24">
        <f>Withdrawals_Data!C786</f>
        <v>45616</v>
      </c>
      <c r="H1992" s="27">
        <v>0</v>
      </c>
      <c r="I1992" s="27">
        <f>-Withdrawals_Data!D786</f>
        <v>-21049</v>
      </c>
    </row>
    <row r="1993" spans="3:9">
      <c r="C1993" s="23">
        <v>786</v>
      </c>
      <c r="D1993" s="23" t="s">
        <v>134</v>
      </c>
      <c r="E1993" s="23" t="str">
        <f>Withdrawals_Data!A787</f>
        <v>DA-001</v>
      </c>
      <c r="F1993" s="23" t="str">
        <f>Withdrawals_Data!B787</f>
        <v>DA-001-M0053</v>
      </c>
      <c r="G1993" s="24">
        <f>Withdrawals_Data!C787</f>
        <v>45381</v>
      </c>
      <c r="H1993" s="27">
        <v>0</v>
      </c>
      <c r="I1993" s="27">
        <f>-Withdrawals_Data!D787</f>
        <v>-17247</v>
      </c>
    </row>
    <row r="1994" spans="3:9">
      <c r="C1994" s="23">
        <v>787</v>
      </c>
      <c r="D1994" s="23" t="s">
        <v>134</v>
      </c>
      <c r="E1994" s="23" t="str">
        <f>Withdrawals_Data!A788</f>
        <v>DA-001</v>
      </c>
      <c r="F1994" s="23" t="str">
        <f>Withdrawals_Data!B788</f>
        <v>DA-001-M0053</v>
      </c>
      <c r="G1994" s="24">
        <f>Withdrawals_Data!C788</f>
        <v>45299</v>
      </c>
      <c r="H1994" s="27">
        <v>0</v>
      </c>
      <c r="I1994" s="27">
        <f>-Withdrawals_Data!D788</f>
        <v>-2518</v>
      </c>
    </row>
    <row r="1995" spans="3:9">
      <c r="C1995" s="23">
        <v>788</v>
      </c>
      <c r="D1995" s="23" t="s">
        <v>134</v>
      </c>
      <c r="E1995" s="23" t="str">
        <f>Withdrawals_Data!A789</f>
        <v>DA-001</v>
      </c>
      <c r="F1995" s="23" t="str">
        <f>Withdrawals_Data!B789</f>
        <v>DA-001-M0053</v>
      </c>
      <c r="G1995" s="24">
        <f>Withdrawals_Data!C789</f>
        <v>45387</v>
      </c>
      <c r="H1995" s="27">
        <v>0</v>
      </c>
      <c r="I1995" s="27">
        <f>-Withdrawals_Data!D789</f>
        <v>-11662</v>
      </c>
    </row>
    <row r="1996" spans="3:9">
      <c r="C1996" s="23">
        <v>789</v>
      </c>
      <c r="D1996" s="23" t="s">
        <v>134</v>
      </c>
      <c r="E1996" s="23" t="str">
        <f>Withdrawals_Data!A790</f>
        <v>DA-001</v>
      </c>
      <c r="F1996" s="23" t="str">
        <f>Withdrawals_Data!B790</f>
        <v>DA-001-M0053</v>
      </c>
      <c r="G1996" s="24">
        <f>Withdrawals_Data!C790</f>
        <v>45381</v>
      </c>
      <c r="H1996" s="27">
        <v>0</v>
      </c>
      <c r="I1996" s="27">
        <f>-Withdrawals_Data!D790</f>
        <v>-18088</v>
      </c>
    </row>
    <row r="1997" spans="3:9">
      <c r="C1997" s="23">
        <v>790</v>
      </c>
      <c r="D1997" s="23" t="s">
        <v>134</v>
      </c>
      <c r="E1997" s="23" t="str">
        <f>Withdrawals_Data!A791</f>
        <v>DA-001</v>
      </c>
      <c r="F1997" s="23" t="str">
        <f>Withdrawals_Data!B791</f>
        <v>DA-001-M0053</v>
      </c>
      <c r="G1997" s="24">
        <f>Withdrawals_Data!C791</f>
        <v>45575</v>
      </c>
      <c r="H1997" s="27">
        <v>0</v>
      </c>
      <c r="I1997" s="27">
        <f>-Withdrawals_Data!D791</f>
        <v>-3158</v>
      </c>
    </row>
    <row r="1998" spans="3:9">
      <c r="C1998" s="23">
        <v>791</v>
      </c>
      <c r="D1998" s="23" t="s">
        <v>134</v>
      </c>
      <c r="E1998" s="23" t="str">
        <f>Withdrawals_Data!A792</f>
        <v>DA-001</v>
      </c>
      <c r="F1998" s="23" t="str">
        <f>Withdrawals_Data!B792</f>
        <v>DA-001-M0053</v>
      </c>
      <c r="G1998" s="24">
        <f>Withdrawals_Data!C792</f>
        <v>45475</v>
      </c>
      <c r="H1998" s="27">
        <v>0</v>
      </c>
      <c r="I1998" s="27">
        <f>-Withdrawals_Data!D792</f>
        <v>-9375</v>
      </c>
    </row>
    <row r="1999" spans="3:9">
      <c r="C1999" s="23">
        <v>792</v>
      </c>
      <c r="D1999" s="23" t="s">
        <v>134</v>
      </c>
      <c r="E1999" s="23" t="str">
        <f>Withdrawals_Data!A793</f>
        <v>DA-001</v>
      </c>
      <c r="F1999" s="23" t="str">
        <f>Withdrawals_Data!B793</f>
        <v>DA-001-M0053</v>
      </c>
      <c r="G1999" s="24">
        <f>Withdrawals_Data!C793</f>
        <v>45511</v>
      </c>
      <c r="H1999" s="27">
        <v>0</v>
      </c>
      <c r="I1999" s="27">
        <f>-Withdrawals_Data!D793</f>
        <v>-20497</v>
      </c>
    </row>
    <row r="2000" spans="3:9">
      <c r="C2000" s="23">
        <v>793</v>
      </c>
      <c r="D2000" s="23" t="s">
        <v>134</v>
      </c>
      <c r="E2000" s="23" t="str">
        <f>Withdrawals_Data!A794</f>
        <v>DA-002</v>
      </c>
      <c r="F2000" s="23" t="str">
        <f>Withdrawals_Data!B794</f>
        <v>DA-002-M0054</v>
      </c>
      <c r="G2000" s="24">
        <f>Withdrawals_Data!C794</f>
        <v>45564</v>
      </c>
      <c r="H2000" s="27">
        <v>0</v>
      </c>
      <c r="I2000" s="27">
        <f>-Withdrawals_Data!D794</f>
        <v>-2677</v>
      </c>
    </row>
    <row r="2001" spans="3:9">
      <c r="C2001" s="23">
        <v>794</v>
      </c>
      <c r="D2001" s="23" t="s">
        <v>134</v>
      </c>
      <c r="E2001" s="23" t="str">
        <f>Withdrawals_Data!A795</f>
        <v>DA-002</v>
      </c>
      <c r="F2001" s="23" t="str">
        <f>Withdrawals_Data!B795</f>
        <v>DA-002-M0054</v>
      </c>
      <c r="G2001" s="24">
        <f>Withdrawals_Data!C795</f>
        <v>45409</v>
      </c>
      <c r="H2001" s="27">
        <v>0</v>
      </c>
      <c r="I2001" s="27">
        <f>-Withdrawals_Data!D795</f>
        <v>-8865</v>
      </c>
    </row>
    <row r="2002" spans="3:9">
      <c r="C2002" s="23">
        <v>795</v>
      </c>
      <c r="D2002" s="23" t="s">
        <v>134</v>
      </c>
      <c r="E2002" s="23" t="str">
        <f>Withdrawals_Data!A796</f>
        <v>DA-002</v>
      </c>
      <c r="F2002" s="23" t="str">
        <f>Withdrawals_Data!B796</f>
        <v>DA-002-M0054</v>
      </c>
      <c r="G2002" s="24">
        <f>Withdrawals_Data!C796</f>
        <v>45322</v>
      </c>
      <c r="H2002" s="27">
        <v>0</v>
      </c>
      <c r="I2002" s="27">
        <f>-Withdrawals_Data!D796</f>
        <v>-4932</v>
      </c>
    </row>
    <row r="2003" spans="3:9">
      <c r="C2003" s="23">
        <v>796</v>
      </c>
      <c r="D2003" s="23" t="s">
        <v>134</v>
      </c>
      <c r="E2003" s="23" t="str">
        <f>Withdrawals_Data!A797</f>
        <v>DA-002</v>
      </c>
      <c r="F2003" s="23" t="str">
        <f>Withdrawals_Data!B797</f>
        <v>DA-002-M0054</v>
      </c>
      <c r="G2003" s="24">
        <f>Withdrawals_Data!C797</f>
        <v>45469</v>
      </c>
      <c r="H2003" s="27">
        <v>0</v>
      </c>
      <c r="I2003" s="27">
        <f>-Withdrawals_Data!D797</f>
        <v>-7142</v>
      </c>
    </row>
    <row r="2004" spans="3:9">
      <c r="C2004" s="23">
        <v>797</v>
      </c>
      <c r="D2004" s="23" t="s">
        <v>134</v>
      </c>
      <c r="E2004" s="23" t="str">
        <f>Withdrawals_Data!A798</f>
        <v>DA-002</v>
      </c>
      <c r="F2004" s="23" t="str">
        <f>Withdrawals_Data!B798</f>
        <v>DA-002-M0054</v>
      </c>
      <c r="G2004" s="24">
        <f>Withdrawals_Data!C798</f>
        <v>45404</v>
      </c>
      <c r="H2004" s="27">
        <v>0</v>
      </c>
      <c r="I2004" s="27">
        <f>-Withdrawals_Data!D798</f>
        <v>-15350</v>
      </c>
    </row>
    <row r="2005" spans="3:9">
      <c r="C2005" s="23">
        <v>798</v>
      </c>
      <c r="D2005" s="23" t="s">
        <v>134</v>
      </c>
      <c r="E2005" s="23" t="str">
        <f>Withdrawals_Data!A799</f>
        <v>DA-002</v>
      </c>
      <c r="F2005" s="23" t="str">
        <f>Withdrawals_Data!B799</f>
        <v>DA-002-M0054</v>
      </c>
      <c r="G2005" s="24">
        <f>Withdrawals_Data!C799</f>
        <v>45502</v>
      </c>
      <c r="H2005" s="27">
        <v>0</v>
      </c>
      <c r="I2005" s="27">
        <f>-Withdrawals_Data!D799</f>
        <v>-6266</v>
      </c>
    </row>
    <row r="2006" spans="3:9">
      <c r="C2006" s="23">
        <v>799</v>
      </c>
      <c r="D2006" s="23" t="s">
        <v>134</v>
      </c>
      <c r="E2006" s="23" t="str">
        <f>Withdrawals_Data!A800</f>
        <v>DA-002</v>
      </c>
      <c r="F2006" s="23" t="str">
        <f>Withdrawals_Data!B800</f>
        <v>DA-002-M0054</v>
      </c>
      <c r="G2006" s="24">
        <f>Withdrawals_Data!C800</f>
        <v>45413</v>
      </c>
      <c r="H2006" s="27">
        <v>0</v>
      </c>
      <c r="I2006" s="27">
        <f>-Withdrawals_Data!D800</f>
        <v>-7499</v>
      </c>
    </row>
    <row r="2007" spans="3:9">
      <c r="C2007" s="23">
        <v>800</v>
      </c>
      <c r="D2007" s="23" t="s">
        <v>134</v>
      </c>
      <c r="E2007" s="23" t="str">
        <f>Withdrawals_Data!A801</f>
        <v>DA-001</v>
      </c>
      <c r="F2007" s="23" t="str">
        <f>Withdrawals_Data!B801</f>
        <v>DA-001-M0055</v>
      </c>
      <c r="G2007" s="24">
        <f>Withdrawals_Data!C801</f>
        <v>45634</v>
      </c>
      <c r="H2007" s="27">
        <v>0</v>
      </c>
      <c r="I2007" s="27">
        <f>-Withdrawals_Data!D801</f>
        <v>-4433</v>
      </c>
    </row>
    <row r="2008" spans="3:9">
      <c r="C2008" s="23">
        <v>801</v>
      </c>
      <c r="D2008" s="23" t="s">
        <v>134</v>
      </c>
      <c r="E2008" s="23" t="str">
        <f>Withdrawals_Data!A802</f>
        <v>DA-001</v>
      </c>
      <c r="F2008" s="23" t="str">
        <f>Withdrawals_Data!B802</f>
        <v>DA-001-M0055</v>
      </c>
      <c r="G2008" s="24">
        <f>Withdrawals_Data!C802</f>
        <v>45625</v>
      </c>
      <c r="H2008" s="27">
        <v>0</v>
      </c>
      <c r="I2008" s="27">
        <f>-Withdrawals_Data!D802</f>
        <v>-6601</v>
      </c>
    </row>
    <row r="2009" spans="3:9">
      <c r="C2009" s="23">
        <v>802</v>
      </c>
      <c r="D2009" s="23" t="s">
        <v>134</v>
      </c>
      <c r="E2009" s="23" t="str">
        <f>Withdrawals_Data!A803</f>
        <v>DA-001</v>
      </c>
      <c r="F2009" s="23" t="str">
        <f>Withdrawals_Data!B803</f>
        <v>DA-001-M0055</v>
      </c>
      <c r="G2009" s="24">
        <f>Withdrawals_Data!C803</f>
        <v>45490</v>
      </c>
      <c r="H2009" s="27">
        <v>0</v>
      </c>
      <c r="I2009" s="27">
        <f>-Withdrawals_Data!D803</f>
        <v>-13332</v>
      </c>
    </row>
    <row r="2010" spans="3:9">
      <c r="C2010" s="23">
        <v>803</v>
      </c>
      <c r="D2010" s="23" t="s">
        <v>134</v>
      </c>
      <c r="E2010" s="23" t="str">
        <f>Withdrawals_Data!A804</f>
        <v>DA-001</v>
      </c>
      <c r="F2010" s="23" t="str">
        <f>Withdrawals_Data!B804</f>
        <v>DA-001-M0055</v>
      </c>
      <c r="G2010" s="24">
        <f>Withdrawals_Data!C804</f>
        <v>45450</v>
      </c>
      <c r="H2010" s="27">
        <v>0</v>
      </c>
      <c r="I2010" s="27">
        <f>-Withdrawals_Data!D804</f>
        <v>-4150</v>
      </c>
    </row>
    <row r="2011" spans="3:9">
      <c r="C2011" s="23">
        <v>804</v>
      </c>
      <c r="D2011" s="23" t="s">
        <v>134</v>
      </c>
      <c r="E2011" s="23" t="str">
        <f>Withdrawals_Data!A805</f>
        <v>DA-001</v>
      </c>
      <c r="F2011" s="23" t="str">
        <f>Withdrawals_Data!B805</f>
        <v>DA-001-M0055</v>
      </c>
      <c r="G2011" s="24">
        <f>Withdrawals_Data!C805</f>
        <v>45581</v>
      </c>
      <c r="H2011" s="27">
        <v>0</v>
      </c>
      <c r="I2011" s="27">
        <f>-Withdrawals_Data!D805</f>
        <v>-10096</v>
      </c>
    </row>
    <row r="2012" spans="3:9">
      <c r="C2012" s="23">
        <v>805</v>
      </c>
      <c r="D2012" s="23" t="s">
        <v>134</v>
      </c>
      <c r="E2012" s="23" t="str">
        <f>Withdrawals_Data!A806</f>
        <v>DA-001</v>
      </c>
      <c r="F2012" s="23" t="str">
        <f>Withdrawals_Data!B806</f>
        <v>DA-001-M0055</v>
      </c>
      <c r="G2012" s="24">
        <f>Withdrawals_Data!C806</f>
        <v>45472</v>
      </c>
      <c r="H2012" s="27">
        <v>0</v>
      </c>
      <c r="I2012" s="27">
        <f>-Withdrawals_Data!D806</f>
        <v>-11898</v>
      </c>
    </row>
    <row r="2013" spans="3:9">
      <c r="C2013" s="23">
        <v>806</v>
      </c>
      <c r="D2013" s="23" t="s">
        <v>134</v>
      </c>
      <c r="E2013" s="23" t="str">
        <f>Withdrawals_Data!A807</f>
        <v>DA-001</v>
      </c>
      <c r="F2013" s="23" t="str">
        <f>Withdrawals_Data!B807</f>
        <v>DA-001-M0055</v>
      </c>
      <c r="G2013" s="24">
        <f>Withdrawals_Data!C807</f>
        <v>45504</v>
      </c>
      <c r="H2013" s="27">
        <v>0</v>
      </c>
      <c r="I2013" s="27">
        <f>-Withdrawals_Data!D807</f>
        <v>-12732</v>
      </c>
    </row>
    <row r="2014" spans="3:9">
      <c r="C2014" s="23">
        <v>807</v>
      </c>
      <c r="D2014" s="23" t="s">
        <v>134</v>
      </c>
      <c r="E2014" s="23" t="str">
        <f>Withdrawals_Data!A808</f>
        <v>DA-001</v>
      </c>
      <c r="F2014" s="23" t="str">
        <f>Withdrawals_Data!B808</f>
        <v>DA-001-M0056</v>
      </c>
      <c r="G2014" s="24">
        <f>Withdrawals_Data!C808</f>
        <v>45528</v>
      </c>
      <c r="H2014" s="27">
        <v>0</v>
      </c>
      <c r="I2014" s="27">
        <f>-Withdrawals_Data!D808</f>
        <v>-17653</v>
      </c>
    </row>
    <row r="2015" spans="3:9">
      <c r="C2015" s="23">
        <v>808</v>
      </c>
      <c r="D2015" s="23" t="s">
        <v>134</v>
      </c>
      <c r="E2015" s="23" t="str">
        <f>Withdrawals_Data!A809</f>
        <v>DA-001</v>
      </c>
      <c r="F2015" s="23" t="str">
        <f>Withdrawals_Data!B809</f>
        <v>DA-001-M0056</v>
      </c>
      <c r="G2015" s="24">
        <f>Withdrawals_Data!C809</f>
        <v>45300</v>
      </c>
      <c r="H2015" s="27">
        <v>0</v>
      </c>
      <c r="I2015" s="27">
        <f>-Withdrawals_Data!D809</f>
        <v>-17352</v>
      </c>
    </row>
    <row r="2016" spans="3:9">
      <c r="C2016" s="23">
        <v>809</v>
      </c>
      <c r="D2016" s="23" t="s">
        <v>134</v>
      </c>
      <c r="E2016" s="23" t="str">
        <f>Withdrawals_Data!A810</f>
        <v>DA-001</v>
      </c>
      <c r="F2016" s="23" t="str">
        <f>Withdrawals_Data!B810</f>
        <v>DA-001-M0056</v>
      </c>
      <c r="G2016" s="24">
        <f>Withdrawals_Data!C810</f>
        <v>45321</v>
      </c>
      <c r="H2016" s="27">
        <v>0</v>
      </c>
      <c r="I2016" s="27">
        <f>-Withdrawals_Data!D810</f>
        <v>-11986</v>
      </c>
    </row>
    <row r="2017" spans="3:9">
      <c r="C2017" s="23">
        <v>810</v>
      </c>
      <c r="D2017" s="23" t="s">
        <v>134</v>
      </c>
      <c r="E2017" s="23" t="str">
        <f>Withdrawals_Data!A811</f>
        <v>DA-001</v>
      </c>
      <c r="F2017" s="23" t="str">
        <f>Withdrawals_Data!B811</f>
        <v>DA-001-M0056</v>
      </c>
      <c r="G2017" s="24">
        <f>Withdrawals_Data!C811</f>
        <v>45317</v>
      </c>
      <c r="H2017" s="27">
        <v>0</v>
      </c>
      <c r="I2017" s="27">
        <f>-Withdrawals_Data!D811</f>
        <v>-2319</v>
      </c>
    </row>
    <row r="2018" spans="3:9">
      <c r="C2018" s="23">
        <v>811</v>
      </c>
      <c r="D2018" s="23" t="s">
        <v>134</v>
      </c>
      <c r="E2018" s="23" t="str">
        <f>Withdrawals_Data!A812</f>
        <v>DA-001</v>
      </c>
      <c r="F2018" s="23" t="str">
        <f>Withdrawals_Data!B812</f>
        <v>DA-001-M0056</v>
      </c>
      <c r="G2018" s="24">
        <f>Withdrawals_Data!C812</f>
        <v>45429</v>
      </c>
      <c r="H2018" s="27">
        <v>0</v>
      </c>
      <c r="I2018" s="27">
        <f>-Withdrawals_Data!D812</f>
        <v>-6496</v>
      </c>
    </row>
    <row r="2019" spans="3:9">
      <c r="C2019" s="23">
        <v>812</v>
      </c>
      <c r="D2019" s="23" t="s">
        <v>134</v>
      </c>
      <c r="E2019" s="23" t="str">
        <f>Withdrawals_Data!A813</f>
        <v>DA-001</v>
      </c>
      <c r="F2019" s="23" t="str">
        <f>Withdrawals_Data!B813</f>
        <v>DA-001-M0056</v>
      </c>
      <c r="G2019" s="24">
        <f>Withdrawals_Data!C813</f>
        <v>45490</v>
      </c>
      <c r="H2019" s="27">
        <v>0</v>
      </c>
      <c r="I2019" s="27">
        <f>-Withdrawals_Data!D813</f>
        <v>-20789</v>
      </c>
    </row>
    <row r="2020" spans="3:9">
      <c r="C2020" s="23">
        <v>813</v>
      </c>
      <c r="D2020" s="23" t="s">
        <v>134</v>
      </c>
      <c r="E2020" s="23" t="str">
        <f>Withdrawals_Data!A814</f>
        <v>DA-001</v>
      </c>
      <c r="F2020" s="23" t="str">
        <f>Withdrawals_Data!B814</f>
        <v>DA-001-M0056</v>
      </c>
      <c r="G2020" s="24">
        <f>Withdrawals_Data!C814</f>
        <v>45508</v>
      </c>
      <c r="H2020" s="27">
        <v>0</v>
      </c>
      <c r="I2020" s="27">
        <f>-Withdrawals_Data!D814</f>
        <v>-3012</v>
      </c>
    </row>
    <row r="2021" spans="3:9">
      <c r="C2021" s="23">
        <v>814</v>
      </c>
      <c r="D2021" s="23" t="s">
        <v>134</v>
      </c>
      <c r="E2021" s="23" t="str">
        <f>Withdrawals_Data!A815</f>
        <v>DA-001</v>
      </c>
      <c r="F2021" s="23" t="str">
        <f>Withdrawals_Data!B815</f>
        <v>DA-001-M0056</v>
      </c>
      <c r="G2021" s="24">
        <f>Withdrawals_Data!C815</f>
        <v>45317</v>
      </c>
      <c r="H2021" s="27">
        <v>0</v>
      </c>
      <c r="I2021" s="27">
        <f>-Withdrawals_Data!D815</f>
        <v>-12383</v>
      </c>
    </row>
    <row r="2022" spans="3:9">
      <c r="C2022" s="23">
        <v>815</v>
      </c>
      <c r="D2022" s="23" t="s">
        <v>134</v>
      </c>
      <c r="E2022" s="23" t="str">
        <f>Withdrawals_Data!A816</f>
        <v>DA-001</v>
      </c>
      <c r="F2022" s="23" t="str">
        <f>Withdrawals_Data!B816</f>
        <v>DA-001-M0056</v>
      </c>
      <c r="G2022" s="24">
        <f>Withdrawals_Data!C816</f>
        <v>45627</v>
      </c>
      <c r="H2022" s="27">
        <v>0</v>
      </c>
      <c r="I2022" s="27">
        <f>-Withdrawals_Data!D816</f>
        <v>-1501</v>
      </c>
    </row>
    <row r="2023" spans="3:9">
      <c r="C2023" s="23">
        <v>816</v>
      </c>
      <c r="D2023" s="23" t="s">
        <v>134</v>
      </c>
      <c r="E2023" s="23" t="str">
        <f>Withdrawals_Data!A817</f>
        <v>DA-002</v>
      </c>
      <c r="F2023" s="23" t="str">
        <f>Withdrawals_Data!B817</f>
        <v>DA-002-M0057</v>
      </c>
      <c r="G2023" s="24">
        <f>Withdrawals_Data!C817</f>
        <v>45455</v>
      </c>
      <c r="H2023" s="27">
        <v>0</v>
      </c>
      <c r="I2023" s="27">
        <f>-Withdrawals_Data!D817</f>
        <v>-7455</v>
      </c>
    </row>
    <row r="2024" spans="3:9">
      <c r="C2024" s="23">
        <v>817</v>
      </c>
      <c r="D2024" s="23" t="s">
        <v>134</v>
      </c>
      <c r="E2024" s="23" t="str">
        <f>Withdrawals_Data!A818</f>
        <v>DA-002</v>
      </c>
      <c r="F2024" s="23" t="str">
        <f>Withdrawals_Data!B818</f>
        <v>DA-002-M0057</v>
      </c>
      <c r="G2024" s="24">
        <f>Withdrawals_Data!C818</f>
        <v>45601</v>
      </c>
      <c r="H2024" s="27">
        <v>0</v>
      </c>
      <c r="I2024" s="27">
        <f>-Withdrawals_Data!D818</f>
        <v>-3635</v>
      </c>
    </row>
    <row r="2025" spans="3:9">
      <c r="C2025" s="23">
        <v>818</v>
      </c>
      <c r="D2025" s="23" t="s">
        <v>134</v>
      </c>
      <c r="E2025" s="23" t="str">
        <f>Withdrawals_Data!A819</f>
        <v>DA-002</v>
      </c>
      <c r="F2025" s="23" t="str">
        <f>Withdrawals_Data!B819</f>
        <v>DA-002-M0057</v>
      </c>
      <c r="G2025" s="24">
        <f>Withdrawals_Data!C819</f>
        <v>45323</v>
      </c>
      <c r="H2025" s="27">
        <v>0</v>
      </c>
      <c r="I2025" s="27">
        <f>-Withdrawals_Data!D819</f>
        <v>-6383</v>
      </c>
    </row>
    <row r="2026" spans="3:9">
      <c r="C2026" s="23">
        <v>819</v>
      </c>
      <c r="D2026" s="23" t="s">
        <v>134</v>
      </c>
      <c r="E2026" s="23" t="str">
        <f>Withdrawals_Data!A820</f>
        <v>DA-002</v>
      </c>
      <c r="F2026" s="23" t="str">
        <f>Withdrawals_Data!B820</f>
        <v>DA-002-M0057</v>
      </c>
      <c r="G2026" s="24">
        <f>Withdrawals_Data!C820</f>
        <v>45435</v>
      </c>
      <c r="H2026" s="27">
        <v>0</v>
      </c>
      <c r="I2026" s="27">
        <f>-Withdrawals_Data!D820</f>
        <v>-15026</v>
      </c>
    </row>
    <row r="2027" spans="3:9">
      <c r="C2027" s="23">
        <v>820</v>
      </c>
      <c r="D2027" s="23" t="s">
        <v>134</v>
      </c>
      <c r="E2027" s="23" t="str">
        <f>Withdrawals_Data!A821</f>
        <v>DA-002</v>
      </c>
      <c r="F2027" s="23" t="str">
        <f>Withdrawals_Data!B821</f>
        <v>DA-002-M0057</v>
      </c>
      <c r="G2027" s="24">
        <f>Withdrawals_Data!C821</f>
        <v>45419</v>
      </c>
      <c r="H2027" s="27">
        <v>0</v>
      </c>
      <c r="I2027" s="27">
        <f>-Withdrawals_Data!D821</f>
        <v>-11276</v>
      </c>
    </row>
    <row r="2028" spans="3:9">
      <c r="C2028" s="23">
        <v>821</v>
      </c>
      <c r="D2028" s="23" t="s">
        <v>134</v>
      </c>
      <c r="E2028" s="23" t="str">
        <f>Withdrawals_Data!A822</f>
        <v>DA-002</v>
      </c>
      <c r="F2028" s="23" t="str">
        <f>Withdrawals_Data!B822</f>
        <v>DA-002-M0057</v>
      </c>
      <c r="G2028" s="24">
        <f>Withdrawals_Data!C822</f>
        <v>45520</v>
      </c>
      <c r="H2028" s="27">
        <v>0</v>
      </c>
      <c r="I2028" s="27">
        <f>-Withdrawals_Data!D822</f>
        <v>-20075</v>
      </c>
    </row>
    <row r="2029" spans="3:9">
      <c r="C2029" s="23">
        <v>822</v>
      </c>
      <c r="D2029" s="23" t="s">
        <v>134</v>
      </c>
      <c r="E2029" s="23" t="str">
        <f>Withdrawals_Data!A823</f>
        <v>DA-002</v>
      </c>
      <c r="F2029" s="23" t="str">
        <f>Withdrawals_Data!B823</f>
        <v>DA-002-M0057</v>
      </c>
      <c r="G2029" s="24">
        <f>Withdrawals_Data!C823</f>
        <v>45540</v>
      </c>
      <c r="H2029" s="27">
        <v>0</v>
      </c>
      <c r="I2029" s="27">
        <f>-Withdrawals_Data!D823</f>
        <v>-19597</v>
      </c>
    </row>
    <row r="2030" spans="3:9">
      <c r="C2030" s="23">
        <v>823</v>
      </c>
      <c r="D2030" s="23" t="s">
        <v>134</v>
      </c>
      <c r="E2030" s="23" t="str">
        <f>Withdrawals_Data!A824</f>
        <v>DA-002</v>
      </c>
      <c r="F2030" s="23" t="str">
        <f>Withdrawals_Data!B824</f>
        <v>DA-002-M0057</v>
      </c>
      <c r="G2030" s="24">
        <f>Withdrawals_Data!C824</f>
        <v>45485</v>
      </c>
      <c r="H2030" s="27">
        <v>0</v>
      </c>
      <c r="I2030" s="27">
        <f>-Withdrawals_Data!D824</f>
        <v>-12481</v>
      </c>
    </row>
    <row r="2031" spans="3:9">
      <c r="C2031" s="23">
        <v>824</v>
      </c>
      <c r="D2031" s="23" t="s">
        <v>134</v>
      </c>
      <c r="E2031" s="23" t="str">
        <f>Withdrawals_Data!A825</f>
        <v>DA-002</v>
      </c>
      <c r="F2031" s="23" t="str">
        <f>Withdrawals_Data!B825</f>
        <v>DA-002-M0057</v>
      </c>
      <c r="G2031" s="24">
        <f>Withdrawals_Data!C825</f>
        <v>45476</v>
      </c>
      <c r="H2031" s="27">
        <v>0</v>
      </c>
      <c r="I2031" s="27">
        <f>-Withdrawals_Data!D825</f>
        <v>-12784</v>
      </c>
    </row>
    <row r="2032" spans="3:9">
      <c r="C2032" s="23">
        <v>825</v>
      </c>
      <c r="D2032" s="23" t="s">
        <v>134</v>
      </c>
      <c r="E2032" s="23" t="str">
        <f>Withdrawals_Data!A826</f>
        <v>DA-002</v>
      </c>
      <c r="F2032" s="23" t="str">
        <f>Withdrawals_Data!B826</f>
        <v>DA-002-M0057</v>
      </c>
      <c r="G2032" s="24">
        <f>Withdrawals_Data!C826</f>
        <v>45449</v>
      </c>
      <c r="H2032" s="27">
        <v>0</v>
      </c>
      <c r="I2032" s="27">
        <f>-Withdrawals_Data!D826</f>
        <v>-14722</v>
      </c>
    </row>
    <row r="2033" spans="3:9">
      <c r="C2033" s="23">
        <v>826</v>
      </c>
      <c r="D2033" s="23" t="s">
        <v>134</v>
      </c>
      <c r="E2033" s="23" t="str">
        <f>Withdrawals_Data!A827</f>
        <v>DA-002</v>
      </c>
      <c r="F2033" s="23" t="str">
        <f>Withdrawals_Data!B827</f>
        <v>DA-002-M0057</v>
      </c>
      <c r="G2033" s="24">
        <f>Withdrawals_Data!C827</f>
        <v>45554</v>
      </c>
      <c r="H2033" s="27">
        <v>0</v>
      </c>
      <c r="I2033" s="27">
        <f>-Withdrawals_Data!D827</f>
        <v>-14582</v>
      </c>
    </row>
    <row r="2034" spans="3:9">
      <c r="C2034" s="23">
        <v>827</v>
      </c>
      <c r="D2034" s="23" t="s">
        <v>134</v>
      </c>
      <c r="E2034" s="23" t="str">
        <f>Withdrawals_Data!A828</f>
        <v>DA-001</v>
      </c>
      <c r="F2034" s="23" t="str">
        <f>Withdrawals_Data!B828</f>
        <v>DA-001-M0058</v>
      </c>
      <c r="G2034" s="24">
        <f>Withdrawals_Data!C828</f>
        <v>45464</v>
      </c>
      <c r="H2034" s="27">
        <v>0</v>
      </c>
      <c r="I2034" s="27">
        <f>-Withdrawals_Data!D828</f>
        <v>-21489</v>
      </c>
    </row>
    <row r="2035" spans="3:9">
      <c r="C2035" s="23">
        <v>828</v>
      </c>
      <c r="D2035" s="23" t="s">
        <v>134</v>
      </c>
      <c r="E2035" s="23" t="str">
        <f>Withdrawals_Data!A829</f>
        <v>DA-001</v>
      </c>
      <c r="F2035" s="23" t="str">
        <f>Withdrawals_Data!B829</f>
        <v>DA-001-M0058</v>
      </c>
      <c r="G2035" s="24">
        <f>Withdrawals_Data!C829</f>
        <v>45525</v>
      </c>
      <c r="H2035" s="27">
        <v>0</v>
      </c>
      <c r="I2035" s="27">
        <f>-Withdrawals_Data!D829</f>
        <v>-9430</v>
      </c>
    </row>
    <row r="2036" spans="3:9">
      <c r="C2036" s="23">
        <v>829</v>
      </c>
      <c r="D2036" s="23" t="s">
        <v>134</v>
      </c>
      <c r="E2036" s="23" t="str">
        <f>Withdrawals_Data!A830</f>
        <v>DA-001</v>
      </c>
      <c r="F2036" s="23" t="str">
        <f>Withdrawals_Data!B830</f>
        <v>DA-001-M0058</v>
      </c>
      <c r="G2036" s="24">
        <f>Withdrawals_Data!C830</f>
        <v>45558</v>
      </c>
      <c r="H2036" s="27">
        <v>0</v>
      </c>
      <c r="I2036" s="27">
        <f>-Withdrawals_Data!D830</f>
        <v>-10543</v>
      </c>
    </row>
    <row r="2037" spans="3:9">
      <c r="C2037" s="23">
        <v>830</v>
      </c>
      <c r="D2037" s="23" t="s">
        <v>134</v>
      </c>
      <c r="E2037" s="23" t="str">
        <f>Withdrawals_Data!A831</f>
        <v>DA-001</v>
      </c>
      <c r="F2037" s="23" t="str">
        <f>Withdrawals_Data!B831</f>
        <v>DA-001-M0058</v>
      </c>
      <c r="G2037" s="24">
        <f>Withdrawals_Data!C831</f>
        <v>45339</v>
      </c>
      <c r="H2037" s="27">
        <v>0</v>
      </c>
      <c r="I2037" s="27">
        <f>-Withdrawals_Data!D831</f>
        <v>-6692</v>
      </c>
    </row>
    <row r="2038" spans="3:9">
      <c r="C2038" s="23">
        <v>831</v>
      </c>
      <c r="D2038" s="23" t="s">
        <v>134</v>
      </c>
      <c r="E2038" s="23" t="str">
        <f>Withdrawals_Data!A832</f>
        <v>DA-001</v>
      </c>
      <c r="F2038" s="23" t="str">
        <f>Withdrawals_Data!B832</f>
        <v>DA-001-M0058</v>
      </c>
      <c r="G2038" s="24">
        <f>Withdrawals_Data!C832</f>
        <v>45638</v>
      </c>
      <c r="H2038" s="27">
        <v>0</v>
      </c>
      <c r="I2038" s="27">
        <f>-Withdrawals_Data!D832</f>
        <v>-13426</v>
      </c>
    </row>
    <row r="2039" spans="3:9">
      <c r="C2039" s="23">
        <v>832</v>
      </c>
      <c r="D2039" s="23" t="s">
        <v>134</v>
      </c>
      <c r="E2039" s="23" t="str">
        <f>Withdrawals_Data!A833</f>
        <v>DA-001</v>
      </c>
      <c r="F2039" s="23" t="str">
        <f>Withdrawals_Data!B833</f>
        <v>DA-001-M0058</v>
      </c>
      <c r="G2039" s="24">
        <f>Withdrawals_Data!C833</f>
        <v>45634</v>
      </c>
      <c r="H2039" s="27">
        <v>0</v>
      </c>
      <c r="I2039" s="27">
        <f>-Withdrawals_Data!D833</f>
        <v>-8387</v>
      </c>
    </row>
    <row r="2040" spans="3:9">
      <c r="C2040" s="23">
        <v>833</v>
      </c>
      <c r="D2040" s="23" t="s">
        <v>134</v>
      </c>
      <c r="E2040" s="23" t="str">
        <f>Withdrawals_Data!A834</f>
        <v>DA-001</v>
      </c>
      <c r="F2040" s="23" t="str">
        <f>Withdrawals_Data!B834</f>
        <v>DA-001-M0058</v>
      </c>
      <c r="G2040" s="24">
        <f>Withdrawals_Data!C834</f>
        <v>45424</v>
      </c>
      <c r="H2040" s="27">
        <v>0</v>
      </c>
      <c r="I2040" s="27">
        <f>-Withdrawals_Data!D834</f>
        <v>-17527</v>
      </c>
    </row>
    <row r="2041" spans="3:9">
      <c r="C2041" s="23">
        <v>834</v>
      </c>
      <c r="D2041" s="23" t="s">
        <v>134</v>
      </c>
      <c r="E2041" s="23" t="str">
        <f>Withdrawals_Data!A835</f>
        <v>DA-001</v>
      </c>
      <c r="F2041" s="23" t="str">
        <f>Withdrawals_Data!B835</f>
        <v>DA-001-M0058</v>
      </c>
      <c r="G2041" s="24">
        <f>Withdrawals_Data!C835</f>
        <v>45627</v>
      </c>
      <c r="H2041" s="27">
        <v>0</v>
      </c>
      <c r="I2041" s="27">
        <f>-Withdrawals_Data!D835</f>
        <v>-14743</v>
      </c>
    </row>
    <row r="2042" spans="3:9">
      <c r="C2042" s="23">
        <v>835</v>
      </c>
      <c r="D2042" s="23" t="s">
        <v>134</v>
      </c>
      <c r="E2042" s="23" t="str">
        <f>Withdrawals_Data!A836</f>
        <v>DA-001</v>
      </c>
      <c r="F2042" s="23" t="str">
        <f>Withdrawals_Data!B836</f>
        <v>DA-001-M0058</v>
      </c>
      <c r="G2042" s="24">
        <f>Withdrawals_Data!C836</f>
        <v>45633</v>
      </c>
      <c r="H2042" s="27">
        <v>0</v>
      </c>
      <c r="I2042" s="27">
        <f>-Withdrawals_Data!D836</f>
        <v>-16046</v>
      </c>
    </row>
    <row r="2043" spans="3:9">
      <c r="C2043" s="23">
        <v>836</v>
      </c>
      <c r="D2043" s="23" t="s">
        <v>134</v>
      </c>
      <c r="E2043" s="23" t="str">
        <f>Withdrawals_Data!A837</f>
        <v>DA-001</v>
      </c>
      <c r="F2043" s="23" t="str">
        <f>Withdrawals_Data!B837</f>
        <v>DA-001-M0058</v>
      </c>
      <c r="G2043" s="24">
        <f>Withdrawals_Data!C837</f>
        <v>45319</v>
      </c>
      <c r="H2043" s="27">
        <v>0</v>
      </c>
      <c r="I2043" s="27">
        <f>-Withdrawals_Data!D837</f>
        <v>-16027</v>
      </c>
    </row>
    <row r="2044" spans="3:9">
      <c r="C2044" s="23">
        <v>837</v>
      </c>
      <c r="D2044" s="23" t="s">
        <v>134</v>
      </c>
      <c r="E2044" s="23" t="str">
        <f>Withdrawals_Data!A838</f>
        <v>DA-001</v>
      </c>
      <c r="F2044" s="23" t="str">
        <f>Withdrawals_Data!B838</f>
        <v>DA-001-M0058</v>
      </c>
      <c r="G2044" s="24">
        <f>Withdrawals_Data!C838</f>
        <v>45468</v>
      </c>
      <c r="H2044" s="27">
        <v>0</v>
      </c>
      <c r="I2044" s="27">
        <f>-Withdrawals_Data!D838</f>
        <v>-6998</v>
      </c>
    </row>
    <row r="2045" spans="3:9">
      <c r="C2045" s="23">
        <v>838</v>
      </c>
      <c r="D2045" s="23" t="s">
        <v>134</v>
      </c>
      <c r="E2045" s="23" t="str">
        <f>Withdrawals_Data!A839</f>
        <v>DA-003</v>
      </c>
      <c r="F2045" s="23" t="str">
        <f>Withdrawals_Data!B839</f>
        <v>DA-003-M0059</v>
      </c>
      <c r="G2045" s="24">
        <f>Withdrawals_Data!C839</f>
        <v>45467</v>
      </c>
      <c r="H2045" s="27">
        <v>0</v>
      </c>
      <c r="I2045" s="27">
        <f>-Withdrawals_Data!D839</f>
        <v>-7900</v>
      </c>
    </row>
    <row r="2046" spans="3:9">
      <c r="C2046" s="23">
        <v>839</v>
      </c>
      <c r="D2046" s="23" t="s">
        <v>134</v>
      </c>
      <c r="E2046" s="23" t="str">
        <f>Withdrawals_Data!A840</f>
        <v>DA-003</v>
      </c>
      <c r="F2046" s="23" t="str">
        <f>Withdrawals_Data!B840</f>
        <v>DA-003-M0059</v>
      </c>
      <c r="G2046" s="24">
        <f>Withdrawals_Data!C840</f>
        <v>45576</v>
      </c>
      <c r="H2046" s="27">
        <v>0</v>
      </c>
      <c r="I2046" s="27">
        <f>-Withdrawals_Data!D840</f>
        <v>-1412</v>
      </c>
    </row>
    <row r="2047" spans="3:9">
      <c r="C2047" s="23">
        <v>840</v>
      </c>
      <c r="D2047" s="23" t="s">
        <v>134</v>
      </c>
      <c r="E2047" s="23" t="str">
        <f>Withdrawals_Data!A841</f>
        <v>DA-003</v>
      </c>
      <c r="F2047" s="23" t="str">
        <f>Withdrawals_Data!B841</f>
        <v>DA-003-M0059</v>
      </c>
      <c r="G2047" s="24">
        <f>Withdrawals_Data!C841</f>
        <v>45446</v>
      </c>
      <c r="H2047" s="27">
        <v>0</v>
      </c>
      <c r="I2047" s="27">
        <f>-Withdrawals_Data!D841</f>
        <v>-4076</v>
      </c>
    </row>
    <row r="2048" spans="3:9">
      <c r="C2048" s="23">
        <v>841</v>
      </c>
      <c r="D2048" s="23" t="s">
        <v>134</v>
      </c>
      <c r="E2048" s="23" t="str">
        <f>Withdrawals_Data!A842</f>
        <v>DA-003</v>
      </c>
      <c r="F2048" s="23" t="str">
        <f>Withdrawals_Data!B842</f>
        <v>DA-003-M0059</v>
      </c>
      <c r="G2048" s="24">
        <f>Withdrawals_Data!C842</f>
        <v>45604</v>
      </c>
      <c r="H2048" s="27">
        <v>0</v>
      </c>
      <c r="I2048" s="27">
        <f>-Withdrawals_Data!D842</f>
        <v>-14917</v>
      </c>
    </row>
    <row r="2049" spans="3:9">
      <c r="C2049" s="23">
        <v>842</v>
      </c>
      <c r="D2049" s="23" t="s">
        <v>134</v>
      </c>
      <c r="E2049" s="23" t="str">
        <f>Withdrawals_Data!A843</f>
        <v>DA-003</v>
      </c>
      <c r="F2049" s="23" t="str">
        <f>Withdrawals_Data!B843</f>
        <v>DA-003-M0059</v>
      </c>
      <c r="G2049" s="24">
        <f>Withdrawals_Data!C843</f>
        <v>45350</v>
      </c>
      <c r="H2049" s="27">
        <v>0</v>
      </c>
      <c r="I2049" s="27">
        <f>-Withdrawals_Data!D843</f>
        <v>-21234</v>
      </c>
    </row>
    <row r="2050" spans="3:9">
      <c r="C2050" s="23">
        <v>843</v>
      </c>
      <c r="D2050" s="23" t="s">
        <v>134</v>
      </c>
      <c r="E2050" s="23" t="str">
        <f>Withdrawals_Data!A844</f>
        <v>DA-003</v>
      </c>
      <c r="F2050" s="23" t="str">
        <f>Withdrawals_Data!B844</f>
        <v>DA-003-M0059</v>
      </c>
      <c r="G2050" s="24">
        <f>Withdrawals_Data!C844</f>
        <v>45453</v>
      </c>
      <c r="H2050" s="27">
        <v>0</v>
      </c>
      <c r="I2050" s="27">
        <f>-Withdrawals_Data!D844</f>
        <v>-9732</v>
      </c>
    </row>
    <row r="2051" spans="3:9">
      <c r="C2051" s="23">
        <v>844</v>
      </c>
      <c r="D2051" s="23" t="s">
        <v>134</v>
      </c>
      <c r="E2051" s="23" t="str">
        <f>Withdrawals_Data!A845</f>
        <v>DA-003</v>
      </c>
      <c r="F2051" s="23" t="str">
        <f>Withdrawals_Data!B845</f>
        <v>DA-003-M0059</v>
      </c>
      <c r="G2051" s="24">
        <f>Withdrawals_Data!C845</f>
        <v>45464</v>
      </c>
      <c r="H2051" s="27">
        <v>0</v>
      </c>
      <c r="I2051" s="27">
        <f>-Withdrawals_Data!D845</f>
        <v>-21036</v>
      </c>
    </row>
    <row r="2052" spans="3:9">
      <c r="C2052" s="23">
        <v>845</v>
      </c>
      <c r="D2052" s="23" t="s">
        <v>134</v>
      </c>
      <c r="E2052" s="23" t="str">
        <f>Withdrawals_Data!A846</f>
        <v>DA-003</v>
      </c>
      <c r="F2052" s="23" t="str">
        <f>Withdrawals_Data!B846</f>
        <v>DA-003-M0059</v>
      </c>
      <c r="G2052" s="24">
        <f>Withdrawals_Data!C846</f>
        <v>45348</v>
      </c>
      <c r="H2052" s="27">
        <v>0</v>
      </c>
      <c r="I2052" s="27">
        <f>-Withdrawals_Data!D846</f>
        <v>-6090</v>
      </c>
    </row>
    <row r="2053" spans="3:9">
      <c r="C2053" s="23">
        <v>846</v>
      </c>
      <c r="D2053" s="23" t="s">
        <v>134</v>
      </c>
      <c r="E2053" s="23" t="str">
        <f>Withdrawals_Data!A847</f>
        <v>DA-003</v>
      </c>
      <c r="F2053" s="23" t="str">
        <f>Withdrawals_Data!B847</f>
        <v>DA-003-M0059</v>
      </c>
      <c r="G2053" s="24">
        <f>Withdrawals_Data!C847</f>
        <v>45442</v>
      </c>
      <c r="H2053" s="27">
        <v>0</v>
      </c>
      <c r="I2053" s="27">
        <f>-Withdrawals_Data!D847</f>
        <v>-7533</v>
      </c>
    </row>
    <row r="2054" spans="3:9">
      <c r="C2054" s="23">
        <v>847</v>
      </c>
      <c r="D2054" s="23" t="s">
        <v>134</v>
      </c>
      <c r="E2054" s="23" t="str">
        <f>Withdrawals_Data!A848</f>
        <v>DA-003</v>
      </c>
      <c r="F2054" s="23" t="str">
        <f>Withdrawals_Data!B848</f>
        <v>DA-003-M0059</v>
      </c>
      <c r="G2054" s="24">
        <f>Withdrawals_Data!C848</f>
        <v>45357</v>
      </c>
      <c r="H2054" s="27">
        <v>0</v>
      </c>
      <c r="I2054" s="27">
        <f>-Withdrawals_Data!D848</f>
        <v>-17625</v>
      </c>
    </row>
    <row r="2055" spans="3:9">
      <c r="C2055" s="23">
        <v>848</v>
      </c>
      <c r="D2055" s="23" t="s">
        <v>134</v>
      </c>
      <c r="E2055" s="23" t="str">
        <f>Withdrawals_Data!A849</f>
        <v>DA-002</v>
      </c>
      <c r="F2055" s="23" t="str">
        <f>Withdrawals_Data!B849</f>
        <v>DA-002-M0060</v>
      </c>
      <c r="G2055" s="24">
        <f>Withdrawals_Data!C849</f>
        <v>45366</v>
      </c>
      <c r="H2055" s="27">
        <v>0</v>
      </c>
      <c r="I2055" s="27">
        <f>-Withdrawals_Data!D849</f>
        <v>-1654</v>
      </c>
    </row>
    <row r="2056" spans="3:9">
      <c r="C2056" s="23">
        <v>849</v>
      </c>
      <c r="D2056" s="23" t="s">
        <v>134</v>
      </c>
      <c r="E2056" s="23" t="str">
        <f>Withdrawals_Data!A850</f>
        <v>DA-002</v>
      </c>
      <c r="F2056" s="23" t="str">
        <f>Withdrawals_Data!B850</f>
        <v>DA-002-M0060</v>
      </c>
      <c r="G2056" s="24">
        <f>Withdrawals_Data!C850</f>
        <v>45369</v>
      </c>
      <c r="H2056" s="27">
        <v>0</v>
      </c>
      <c r="I2056" s="27">
        <f>-Withdrawals_Data!D850</f>
        <v>-14986</v>
      </c>
    </row>
    <row r="2057" spans="3:9">
      <c r="C2057" s="23">
        <v>850</v>
      </c>
      <c r="D2057" s="23" t="s">
        <v>134</v>
      </c>
      <c r="E2057" s="23" t="str">
        <f>Withdrawals_Data!A851</f>
        <v>DA-002</v>
      </c>
      <c r="F2057" s="23" t="str">
        <f>Withdrawals_Data!B851</f>
        <v>DA-002-M0060</v>
      </c>
      <c r="G2057" s="24">
        <f>Withdrawals_Data!C851</f>
        <v>45547</v>
      </c>
      <c r="H2057" s="27">
        <v>0</v>
      </c>
      <c r="I2057" s="27">
        <f>-Withdrawals_Data!D851</f>
        <v>-2793</v>
      </c>
    </row>
    <row r="2058" spans="3:9">
      <c r="C2058" s="23">
        <v>851</v>
      </c>
      <c r="D2058" s="23" t="s">
        <v>134</v>
      </c>
      <c r="E2058" s="23" t="str">
        <f>Withdrawals_Data!A852</f>
        <v>DA-002</v>
      </c>
      <c r="F2058" s="23" t="str">
        <f>Withdrawals_Data!B852</f>
        <v>DA-002-M0060</v>
      </c>
      <c r="G2058" s="24">
        <f>Withdrawals_Data!C852</f>
        <v>45442</v>
      </c>
      <c r="H2058" s="27">
        <v>0</v>
      </c>
      <c r="I2058" s="27">
        <f>-Withdrawals_Data!D852</f>
        <v>-20980</v>
      </c>
    </row>
    <row r="2059" spans="3:9">
      <c r="C2059" s="23">
        <v>852</v>
      </c>
      <c r="D2059" s="23" t="s">
        <v>134</v>
      </c>
      <c r="E2059" s="23" t="str">
        <f>Withdrawals_Data!A853</f>
        <v>DA-002</v>
      </c>
      <c r="F2059" s="23" t="str">
        <f>Withdrawals_Data!B853</f>
        <v>DA-002-M0060</v>
      </c>
      <c r="G2059" s="24">
        <f>Withdrawals_Data!C853</f>
        <v>45483</v>
      </c>
      <c r="H2059" s="27">
        <v>0</v>
      </c>
      <c r="I2059" s="27">
        <f>-Withdrawals_Data!D853</f>
        <v>-15252</v>
      </c>
    </row>
    <row r="2060" spans="3:9">
      <c r="C2060" s="23">
        <v>853</v>
      </c>
      <c r="D2060" s="23" t="s">
        <v>134</v>
      </c>
      <c r="E2060" s="23" t="str">
        <f>Withdrawals_Data!A854</f>
        <v>DA-002</v>
      </c>
      <c r="F2060" s="23" t="str">
        <f>Withdrawals_Data!B854</f>
        <v>DA-002-M0060</v>
      </c>
      <c r="G2060" s="24">
        <f>Withdrawals_Data!C854</f>
        <v>45293</v>
      </c>
      <c r="H2060" s="27">
        <v>0</v>
      </c>
      <c r="I2060" s="27">
        <f>-Withdrawals_Data!D854</f>
        <v>-6605</v>
      </c>
    </row>
    <row r="2061" spans="3:9">
      <c r="C2061" s="23">
        <v>854</v>
      </c>
      <c r="D2061" s="23" t="s">
        <v>134</v>
      </c>
      <c r="E2061" s="23" t="str">
        <f>Withdrawals_Data!A855</f>
        <v>DA-002</v>
      </c>
      <c r="F2061" s="23" t="str">
        <f>Withdrawals_Data!B855</f>
        <v>DA-002-M0060</v>
      </c>
      <c r="G2061" s="24">
        <f>Withdrawals_Data!C855</f>
        <v>45623</v>
      </c>
      <c r="H2061" s="27">
        <v>0</v>
      </c>
      <c r="I2061" s="27">
        <f>-Withdrawals_Data!D855</f>
        <v>-15015</v>
      </c>
    </row>
    <row r="2062" spans="3:9">
      <c r="C2062" s="23">
        <v>855</v>
      </c>
      <c r="D2062" s="23" t="s">
        <v>134</v>
      </c>
      <c r="E2062" s="23" t="str">
        <f>Withdrawals_Data!A856</f>
        <v>DA-002</v>
      </c>
      <c r="F2062" s="23" t="str">
        <f>Withdrawals_Data!B856</f>
        <v>DA-002-M0060</v>
      </c>
      <c r="G2062" s="24">
        <f>Withdrawals_Data!C856</f>
        <v>45367</v>
      </c>
      <c r="H2062" s="27">
        <v>0</v>
      </c>
      <c r="I2062" s="27">
        <f>-Withdrawals_Data!D856</f>
        <v>-1661</v>
      </c>
    </row>
    <row r="2063" spans="3:9">
      <c r="C2063" s="23">
        <v>856</v>
      </c>
      <c r="D2063" s="23" t="s">
        <v>134</v>
      </c>
      <c r="E2063" s="23" t="str">
        <f>Withdrawals_Data!A857</f>
        <v>DA-003</v>
      </c>
      <c r="F2063" s="23" t="str">
        <f>Withdrawals_Data!B857</f>
        <v>DA-003-M0061</v>
      </c>
      <c r="G2063" s="24">
        <f>Withdrawals_Data!C857</f>
        <v>45485</v>
      </c>
      <c r="H2063" s="27">
        <v>0</v>
      </c>
      <c r="I2063" s="27">
        <f>-Withdrawals_Data!D857</f>
        <v>-20126</v>
      </c>
    </row>
    <row r="2064" spans="3:9">
      <c r="C2064" s="23">
        <v>857</v>
      </c>
      <c r="D2064" s="23" t="s">
        <v>134</v>
      </c>
      <c r="E2064" s="23" t="str">
        <f>Withdrawals_Data!A858</f>
        <v>DA-003</v>
      </c>
      <c r="F2064" s="23" t="str">
        <f>Withdrawals_Data!B858</f>
        <v>DA-003-M0061</v>
      </c>
      <c r="G2064" s="24">
        <f>Withdrawals_Data!C858</f>
        <v>45493</v>
      </c>
      <c r="H2064" s="27">
        <v>0</v>
      </c>
      <c r="I2064" s="27">
        <f>-Withdrawals_Data!D858</f>
        <v>-3081</v>
      </c>
    </row>
    <row r="2065" spans="3:9">
      <c r="C2065" s="23">
        <v>858</v>
      </c>
      <c r="D2065" s="23" t="s">
        <v>134</v>
      </c>
      <c r="E2065" s="23" t="str">
        <f>Withdrawals_Data!A859</f>
        <v>DA-003</v>
      </c>
      <c r="F2065" s="23" t="str">
        <f>Withdrawals_Data!B859</f>
        <v>DA-003-M0061</v>
      </c>
      <c r="G2065" s="24">
        <f>Withdrawals_Data!C859</f>
        <v>45613</v>
      </c>
      <c r="H2065" s="27">
        <v>0</v>
      </c>
      <c r="I2065" s="27">
        <f>-Withdrawals_Data!D859</f>
        <v>-19393</v>
      </c>
    </row>
    <row r="2066" spans="3:9">
      <c r="C2066" s="23">
        <v>859</v>
      </c>
      <c r="D2066" s="23" t="s">
        <v>134</v>
      </c>
      <c r="E2066" s="23" t="str">
        <f>Withdrawals_Data!A860</f>
        <v>DA-003</v>
      </c>
      <c r="F2066" s="23" t="str">
        <f>Withdrawals_Data!B860</f>
        <v>DA-003-M0061</v>
      </c>
      <c r="G2066" s="24">
        <f>Withdrawals_Data!C860</f>
        <v>45517</v>
      </c>
      <c r="H2066" s="27">
        <v>0</v>
      </c>
      <c r="I2066" s="27">
        <f>-Withdrawals_Data!D860</f>
        <v>-4578</v>
      </c>
    </row>
    <row r="2067" spans="3:9">
      <c r="C2067" s="23">
        <v>860</v>
      </c>
      <c r="D2067" s="23" t="s">
        <v>134</v>
      </c>
      <c r="E2067" s="23" t="str">
        <f>Withdrawals_Data!A861</f>
        <v>DA-003</v>
      </c>
      <c r="F2067" s="23" t="str">
        <f>Withdrawals_Data!B861</f>
        <v>DA-003-M0061</v>
      </c>
      <c r="G2067" s="24">
        <f>Withdrawals_Data!C861</f>
        <v>45351</v>
      </c>
      <c r="H2067" s="27">
        <v>0</v>
      </c>
      <c r="I2067" s="27">
        <f>-Withdrawals_Data!D861</f>
        <v>-9951</v>
      </c>
    </row>
    <row r="2068" spans="3:9">
      <c r="C2068" s="23">
        <v>861</v>
      </c>
      <c r="D2068" s="23" t="s">
        <v>134</v>
      </c>
      <c r="E2068" s="23" t="str">
        <f>Withdrawals_Data!A862</f>
        <v>DA-003</v>
      </c>
      <c r="F2068" s="23" t="str">
        <f>Withdrawals_Data!B862</f>
        <v>DA-003-M0061</v>
      </c>
      <c r="G2068" s="24">
        <f>Withdrawals_Data!C862</f>
        <v>45614</v>
      </c>
      <c r="H2068" s="27">
        <v>0</v>
      </c>
      <c r="I2068" s="27">
        <f>-Withdrawals_Data!D862</f>
        <v>-18178</v>
      </c>
    </row>
    <row r="2069" spans="3:9">
      <c r="C2069" s="23">
        <v>862</v>
      </c>
      <c r="D2069" s="23" t="s">
        <v>134</v>
      </c>
      <c r="E2069" s="23" t="str">
        <f>Withdrawals_Data!A863</f>
        <v>DA-003</v>
      </c>
      <c r="F2069" s="23" t="str">
        <f>Withdrawals_Data!B863</f>
        <v>DA-003-M0061</v>
      </c>
      <c r="G2069" s="24">
        <f>Withdrawals_Data!C863</f>
        <v>45468</v>
      </c>
      <c r="H2069" s="27">
        <v>0</v>
      </c>
      <c r="I2069" s="27">
        <f>-Withdrawals_Data!D863</f>
        <v>-17217</v>
      </c>
    </row>
    <row r="2070" spans="3:9">
      <c r="C2070" s="23">
        <v>863</v>
      </c>
      <c r="D2070" s="23" t="s">
        <v>134</v>
      </c>
      <c r="E2070" s="23" t="str">
        <f>Withdrawals_Data!A864</f>
        <v>DA-003</v>
      </c>
      <c r="F2070" s="23" t="str">
        <f>Withdrawals_Data!B864</f>
        <v>DA-003-M0061</v>
      </c>
      <c r="G2070" s="24">
        <f>Withdrawals_Data!C864</f>
        <v>45406</v>
      </c>
      <c r="H2070" s="27">
        <v>0</v>
      </c>
      <c r="I2070" s="27">
        <f>-Withdrawals_Data!D864</f>
        <v>-11540</v>
      </c>
    </row>
    <row r="2071" spans="3:9">
      <c r="C2071" s="23">
        <v>864</v>
      </c>
      <c r="D2071" s="23" t="s">
        <v>134</v>
      </c>
      <c r="E2071" s="23" t="str">
        <f>Withdrawals_Data!A865</f>
        <v>DA-003</v>
      </c>
      <c r="F2071" s="23" t="str">
        <f>Withdrawals_Data!B865</f>
        <v>DA-003-M0061</v>
      </c>
      <c r="G2071" s="24">
        <f>Withdrawals_Data!C865</f>
        <v>45344</v>
      </c>
      <c r="H2071" s="27">
        <v>0</v>
      </c>
      <c r="I2071" s="27">
        <f>-Withdrawals_Data!D865</f>
        <v>-14610</v>
      </c>
    </row>
    <row r="2072" spans="3:9">
      <c r="C2072" s="23">
        <v>865</v>
      </c>
      <c r="D2072" s="23" t="s">
        <v>134</v>
      </c>
      <c r="E2072" s="23" t="str">
        <f>Withdrawals_Data!A866</f>
        <v>DA-003</v>
      </c>
      <c r="F2072" s="23" t="str">
        <f>Withdrawals_Data!B866</f>
        <v>DA-003-M0061</v>
      </c>
      <c r="G2072" s="24">
        <f>Withdrawals_Data!C866</f>
        <v>45383</v>
      </c>
      <c r="H2072" s="27">
        <v>0</v>
      </c>
      <c r="I2072" s="27">
        <f>-Withdrawals_Data!D866</f>
        <v>-6404</v>
      </c>
    </row>
    <row r="2073" spans="3:9">
      <c r="C2073" s="23">
        <v>866</v>
      </c>
      <c r="D2073" s="23" t="s">
        <v>134</v>
      </c>
      <c r="E2073" s="23" t="str">
        <f>Withdrawals_Data!A867</f>
        <v>DA-003</v>
      </c>
      <c r="F2073" s="23" t="str">
        <f>Withdrawals_Data!B867</f>
        <v>DA-003-M0061</v>
      </c>
      <c r="G2073" s="24">
        <f>Withdrawals_Data!C867</f>
        <v>45486</v>
      </c>
      <c r="H2073" s="27">
        <v>0</v>
      </c>
      <c r="I2073" s="27">
        <f>-Withdrawals_Data!D867</f>
        <v>-20120</v>
      </c>
    </row>
    <row r="2074" spans="3:9">
      <c r="C2074" s="23">
        <v>867</v>
      </c>
      <c r="D2074" s="23" t="s">
        <v>134</v>
      </c>
      <c r="E2074" s="23" t="str">
        <f>Withdrawals_Data!A868</f>
        <v>DA-002</v>
      </c>
      <c r="F2074" s="23" t="str">
        <f>Withdrawals_Data!B868</f>
        <v>DA-002-M0062</v>
      </c>
      <c r="G2074" s="24">
        <f>Withdrawals_Data!C868</f>
        <v>45316</v>
      </c>
      <c r="H2074" s="27">
        <v>0</v>
      </c>
      <c r="I2074" s="27">
        <f>-Withdrawals_Data!D868</f>
        <v>-12862</v>
      </c>
    </row>
    <row r="2075" spans="3:9">
      <c r="C2075" s="23">
        <v>868</v>
      </c>
      <c r="D2075" s="23" t="s">
        <v>134</v>
      </c>
      <c r="E2075" s="23" t="str">
        <f>Withdrawals_Data!A869</f>
        <v>DA-002</v>
      </c>
      <c r="F2075" s="23" t="str">
        <f>Withdrawals_Data!B869</f>
        <v>DA-002-M0062</v>
      </c>
      <c r="G2075" s="24">
        <f>Withdrawals_Data!C869</f>
        <v>45417</v>
      </c>
      <c r="H2075" s="27">
        <v>0</v>
      </c>
      <c r="I2075" s="27">
        <f>-Withdrawals_Data!D869</f>
        <v>-16757</v>
      </c>
    </row>
    <row r="2076" spans="3:9">
      <c r="C2076" s="23">
        <v>869</v>
      </c>
      <c r="D2076" s="23" t="s">
        <v>134</v>
      </c>
      <c r="E2076" s="23" t="str">
        <f>Withdrawals_Data!A870</f>
        <v>DA-002</v>
      </c>
      <c r="F2076" s="23" t="str">
        <f>Withdrawals_Data!B870</f>
        <v>DA-002-M0062</v>
      </c>
      <c r="G2076" s="24">
        <f>Withdrawals_Data!C870</f>
        <v>45328</v>
      </c>
      <c r="H2076" s="27">
        <v>0</v>
      </c>
      <c r="I2076" s="27">
        <f>-Withdrawals_Data!D870</f>
        <v>-18154</v>
      </c>
    </row>
    <row r="2077" spans="3:9">
      <c r="C2077" s="23">
        <v>870</v>
      </c>
      <c r="D2077" s="23" t="s">
        <v>134</v>
      </c>
      <c r="E2077" s="23" t="str">
        <f>Withdrawals_Data!A871</f>
        <v>DA-002</v>
      </c>
      <c r="F2077" s="23" t="str">
        <f>Withdrawals_Data!B871</f>
        <v>DA-002-M0062</v>
      </c>
      <c r="G2077" s="24">
        <f>Withdrawals_Data!C871</f>
        <v>45534</v>
      </c>
      <c r="H2077" s="27">
        <v>0</v>
      </c>
      <c r="I2077" s="27">
        <f>-Withdrawals_Data!D871</f>
        <v>-12690</v>
      </c>
    </row>
    <row r="2078" spans="3:9">
      <c r="C2078" s="23">
        <v>871</v>
      </c>
      <c r="D2078" s="23" t="s">
        <v>134</v>
      </c>
      <c r="E2078" s="23" t="str">
        <f>Withdrawals_Data!A872</f>
        <v>DA-002</v>
      </c>
      <c r="F2078" s="23" t="str">
        <f>Withdrawals_Data!B872</f>
        <v>DA-002-M0062</v>
      </c>
      <c r="G2078" s="24">
        <f>Withdrawals_Data!C872</f>
        <v>45380</v>
      </c>
      <c r="H2078" s="27">
        <v>0</v>
      </c>
      <c r="I2078" s="27">
        <f>-Withdrawals_Data!D872</f>
        <v>-2569</v>
      </c>
    </row>
    <row r="2079" spans="3:9">
      <c r="C2079" s="23">
        <v>872</v>
      </c>
      <c r="D2079" s="23" t="s">
        <v>134</v>
      </c>
      <c r="E2079" s="23" t="str">
        <f>Withdrawals_Data!A873</f>
        <v>DA-002</v>
      </c>
      <c r="F2079" s="23" t="str">
        <f>Withdrawals_Data!B873</f>
        <v>DA-002-M0062</v>
      </c>
      <c r="G2079" s="24">
        <f>Withdrawals_Data!C873</f>
        <v>45493</v>
      </c>
      <c r="H2079" s="27">
        <v>0</v>
      </c>
      <c r="I2079" s="27">
        <f>-Withdrawals_Data!D873</f>
        <v>-2147</v>
      </c>
    </row>
    <row r="2080" spans="3:9">
      <c r="C2080" s="23">
        <v>873</v>
      </c>
      <c r="D2080" s="23" t="s">
        <v>134</v>
      </c>
      <c r="E2080" s="23" t="str">
        <f>Withdrawals_Data!A874</f>
        <v>DA-002</v>
      </c>
      <c r="F2080" s="23" t="str">
        <f>Withdrawals_Data!B874</f>
        <v>DA-002-M0062</v>
      </c>
      <c r="G2080" s="24">
        <f>Withdrawals_Data!C874</f>
        <v>45306</v>
      </c>
      <c r="H2080" s="27">
        <v>0</v>
      </c>
      <c r="I2080" s="27">
        <f>-Withdrawals_Data!D874</f>
        <v>-10357</v>
      </c>
    </row>
    <row r="2081" spans="3:9">
      <c r="C2081" s="23">
        <v>874</v>
      </c>
      <c r="D2081" s="23" t="s">
        <v>134</v>
      </c>
      <c r="E2081" s="23" t="str">
        <f>Withdrawals_Data!A875</f>
        <v>DA-002</v>
      </c>
      <c r="F2081" s="23" t="str">
        <f>Withdrawals_Data!B875</f>
        <v>DA-002-M0062</v>
      </c>
      <c r="G2081" s="24">
        <f>Withdrawals_Data!C875</f>
        <v>45406</v>
      </c>
      <c r="H2081" s="27">
        <v>0</v>
      </c>
      <c r="I2081" s="27">
        <f>-Withdrawals_Data!D875</f>
        <v>-3291</v>
      </c>
    </row>
    <row r="2082" spans="3:9">
      <c r="C2082" s="23">
        <v>875</v>
      </c>
      <c r="D2082" s="23" t="s">
        <v>134</v>
      </c>
      <c r="E2082" s="23" t="str">
        <f>Withdrawals_Data!A876</f>
        <v>DA-002</v>
      </c>
      <c r="F2082" s="23" t="str">
        <f>Withdrawals_Data!B876</f>
        <v>DA-002-M0062</v>
      </c>
      <c r="G2082" s="24">
        <f>Withdrawals_Data!C876</f>
        <v>45374</v>
      </c>
      <c r="H2082" s="27">
        <v>0</v>
      </c>
      <c r="I2082" s="27">
        <f>-Withdrawals_Data!D876</f>
        <v>-8989</v>
      </c>
    </row>
    <row r="2083" spans="3:9">
      <c r="C2083" s="23">
        <v>876</v>
      </c>
      <c r="D2083" s="23" t="s">
        <v>134</v>
      </c>
      <c r="E2083" s="23" t="str">
        <f>Withdrawals_Data!A877</f>
        <v>DA-002</v>
      </c>
      <c r="F2083" s="23" t="str">
        <f>Withdrawals_Data!B877</f>
        <v>DA-002-M0063</v>
      </c>
      <c r="G2083" s="24">
        <f>Withdrawals_Data!C877</f>
        <v>45568</v>
      </c>
      <c r="H2083" s="27">
        <v>0</v>
      </c>
      <c r="I2083" s="27">
        <f>-Withdrawals_Data!D877</f>
        <v>-11544</v>
      </c>
    </row>
    <row r="2084" spans="3:9">
      <c r="C2084" s="23">
        <v>877</v>
      </c>
      <c r="D2084" s="23" t="s">
        <v>134</v>
      </c>
      <c r="E2084" s="23" t="str">
        <f>Withdrawals_Data!A878</f>
        <v>DA-002</v>
      </c>
      <c r="F2084" s="23" t="str">
        <f>Withdrawals_Data!B878</f>
        <v>DA-002-M0063</v>
      </c>
      <c r="G2084" s="24">
        <f>Withdrawals_Data!C878</f>
        <v>45403</v>
      </c>
      <c r="H2084" s="27">
        <v>0</v>
      </c>
      <c r="I2084" s="27">
        <f>-Withdrawals_Data!D878</f>
        <v>-10045</v>
      </c>
    </row>
    <row r="2085" spans="3:9">
      <c r="C2085" s="23">
        <v>878</v>
      </c>
      <c r="D2085" s="23" t="s">
        <v>134</v>
      </c>
      <c r="E2085" s="23" t="str">
        <f>Withdrawals_Data!A879</f>
        <v>DA-002</v>
      </c>
      <c r="F2085" s="23" t="str">
        <f>Withdrawals_Data!B879</f>
        <v>DA-002-M0063</v>
      </c>
      <c r="G2085" s="24">
        <f>Withdrawals_Data!C879</f>
        <v>45380</v>
      </c>
      <c r="H2085" s="27">
        <v>0</v>
      </c>
      <c r="I2085" s="27">
        <f>-Withdrawals_Data!D879</f>
        <v>-5406</v>
      </c>
    </row>
    <row r="2086" spans="3:9">
      <c r="C2086" s="23">
        <v>879</v>
      </c>
      <c r="D2086" s="23" t="s">
        <v>134</v>
      </c>
      <c r="E2086" s="23" t="str">
        <f>Withdrawals_Data!A880</f>
        <v>DA-002</v>
      </c>
      <c r="F2086" s="23" t="str">
        <f>Withdrawals_Data!B880</f>
        <v>DA-002-M0063</v>
      </c>
      <c r="G2086" s="24">
        <f>Withdrawals_Data!C880</f>
        <v>45494</v>
      </c>
      <c r="H2086" s="27">
        <v>0</v>
      </c>
      <c r="I2086" s="27">
        <f>-Withdrawals_Data!D880</f>
        <v>-15278</v>
      </c>
    </row>
    <row r="2087" spans="3:9">
      <c r="C2087" s="23">
        <v>880</v>
      </c>
      <c r="D2087" s="23" t="s">
        <v>134</v>
      </c>
      <c r="E2087" s="23" t="str">
        <f>Withdrawals_Data!A881</f>
        <v>DA-002</v>
      </c>
      <c r="F2087" s="23" t="str">
        <f>Withdrawals_Data!B881</f>
        <v>DA-002-M0063</v>
      </c>
      <c r="G2087" s="24">
        <f>Withdrawals_Data!C881</f>
        <v>45340</v>
      </c>
      <c r="H2087" s="27">
        <v>0</v>
      </c>
      <c r="I2087" s="27">
        <f>-Withdrawals_Data!D881</f>
        <v>-19393</v>
      </c>
    </row>
    <row r="2088" spans="3:9">
      <c r="C2088" s="23">
        <v>881</v>
      </c>
      <c r="D2088" s="23" t="s">
        <v>134</v>
      </c>
      <c r="E2088" s="23" t="str">
        <f>Withdrawals_Data!A882</f>
        <v>DA-002</v>
      </c>
      <c r="F2088" s="23" t="str">
        <f>Withdrawals_Data!B882</f>
        <v>DA-002-M0063</v>
      </c>
      <c r="G2088" s="24">
        <f>Withdrawals_Data!C882</f>
        <v>45351</v>
      </c>
      <c r="H2088" s="27">
        <v>0</v>
      </c>
      <c r="I2088" s="27">
        <f>-Withdrawals_Data!D882</f>
        <v>-14663</v>
      </c>
    </row>
    <row r="2089" spans="3:9">
      <c r="C2089" s="23">
        <v>882</v>
      </c>
      <c r="D2089" s="23" t="s">
        <v>134</v>
      </c>
      <c r="E2089" s="23" t="str">
        <f>Withdrawals_Data!A883</f>
        <v>DA-002</v>
      </c>
      <c r="F2089" s="23" t="str">
        <f>Withdrawals_Data!B883</f>
        <v>DA-002-M0063</v>
      </c>
      <c r="G2089" s="24">
        <f>Withdrawals_Data!C883</f>
        <v>45644</v>
      </c>
      <c r="H2089" s="27">
        <v>0</v>
      </c>
      <c r="I2089" s="27">
        <f>-Withdrawals_Data!D883</f>
        <v>-16226</v>
      </c>
    </row>
    <row r="2090" spans="3:9">
      <c r="C2090" s="23">
        <v>883</v>
      </c>
      <c r="D2090" s="23" t="s">
        <v>134</v>
      </c>
      <c r="E2090" s="23" t="str">
        <f>Withdrawals_Data!A884</f>
        <v>DA-002</v>
      </c>
      <c r="F2090" s="23" t="str">
        <f>Withdrawals_Data!B884</f>
        <v>DA-002-M0063</v>
      </c>
      <c r="G2090" s="24">
        <f>Withdrawals_Data!C884</f>
        <v>45613</v>
      </c>
      <c r="H2090" s="27">
        <v>0</v>
      </c>
      <c r="I2090" s="27">
        <f>-Withdrawals_Data!D884</f>
        <v>-8269</v>
      </c>
    </row>
    <row r="2091" spans="3:9">
      <c r="C2091" s="23">
        <v>884</v>
      </c>
      <c r="D2091" s="23" t="s">
        <v>134</v>
      </c>
      <c r="E2091" s="23" t="str">
        <f>Withdrawals_Data!A885</f>
        <v>DA-002</v>
      </c>
      <c r="F2091" s="23" t="str">
        <f>Withdrawals_Data!B885</f>
        <v>DA-002-M0063</v>
      </c>
      <c r="G2091" s="24">
        <f>Withdrawals_Data!C885</f>
        <v>45320</v>
      </c>
      <c r="H2091" s="27">
        <v>0</v>
      </c>
      <c r="I2091" s="27">
        <f>-Withdrawals_Data!D885</f>
        <v>-14859</v>
      </c>
    </row>
    <row r="2092" spans="3:9">
      <c r="C2092" s="23">
        <v>885</v>
      </c>
      <c r="D2092" s="23" t="s">
        <v>134</v>
      </c>
      <c r="E2092" s="23" t="str">
        <f>Withdrawals_Data!A886</f>
        <v>DA-002</v>
      </c>
      <c r="F2092" s="23" t="str">
        <f>Withdrawals_Data!B886</f>
        <v>DA-002-M0063</v>
      </c>
      <c r="G2092" s="24">
        <f>Withdrawals_Data!C886</f>
        <v>45430</v>
      </c>
      <c r="H2092" s="27">
        <v>0</v>
      </c>
      <c r="I2092" s="27">
        <f>-Withdrawals_Data!D886</f>
        <v>-3992</v>
      </c>
    </row>
    <row r="2093" spans="3:9">
      <c r="C2093" s="23">
        <v>886</v>
      </c>
      <c r="D2093" s="23" t="s">
        <v>134</v>
      </c>
      <c r="E2093" s="23" t="str">
        <f>Withdrawals_Data!A887</f>
        <v>DA-002</v>
      </c>
      <c r="F2093" s="23" t="str">
        <f>Withdrawals_Data!B887</f>
        <v>DA-002-M0063</v>
      </c>
      <c r="G2093" s="24">
        <f>Withdrawals_Data!C887</f>
        <v>45509</v>
      </c>
      <c r="H2093" s="27">
        <v>0</v>
      </c>
      <c r="I2093" s="27">
        <f>-Withdrawals_Data!D887</f>
        <v>-19851</v>
      </c>
    </row>
    <row r="2094" spans="3:9">
      <c r="C2094" s="23">
        <v>887</v>
      </c>
      <c r="D2094" s="23" t="s">
        <v>134</v>
      </c>
      <c r="E2094" s="23" t="str">
        <f>Withdrawals_Data!A888</f>
        <v>DA-002</v>
      </c>
      <c r="F2094" s="23" t="str">
        <f>Withdrawals_Data!B888</f>
        <v>DA-002-M0064</v>
      </c>
      <c r="G2094" s="24">
        <f>Withdrawals_Data!C888</f>
        <v>45572</v>
      </c>
      <c r="H2094" s="27">
        <v>0</v>
      </c>
      <c r="I2094" s="27">
        <f>-Withdrawals_Data!D888</f>
        <v>-19505</v>
      </c>
    </row>
    <row r="2095" spans="3:9">
      <c r="C2095" s="23">
        <v>888</v>
      </c>
      <c r="D2095" s="23" t="s">
        <v>134</v>
      </c>
      <c r="E2095" s="23" t="str">
        <f>Withdrawals_Data!A889</f>
        <v>DA-002</v>
      </c>
      <c r="F2095" s="23" t="str">
        <f>Withdrawals_Data!B889</f>
        <v>DA-002-M0064</v>
      </c>
      <c r="G2095" s="24">
        <f>Withdrawals_Data!C889</f>
        <v>45392</v>
      </c>
      <c r="H2095" s="27">
        <v>0</v>
      </c>
      <c r="I2095" s="27">
        <f>-Withdrawals_Data!D889</f>
        <v>-7082</v>
      </c>
    </row>
    <row r="2096" spans="3:9">
      <c r="C2096" s="23">
        <v>889</v>
      </c>
      <c r="D2096" s="23" t="s">
        <v>134</v>
      </c>
      <c r="E2096" s="23" t="str">
        <f>Withdrawals_Data!A890</f>
        <v>DA-002</v>
      </c>
      <c r="F2096" s="23" t="str">
        <f>Withdrawals_Data!B890</f>
        <v>DA-002-M0064</v>
      </c>
      <c r="G2096" s="24">
        <f>Withdrawals_Data!C890</f>
        <v>45590</v>
      </c>
      <c r="H2096" s="27">
        <v>0</v>
      </c>
      <c r="I2096" s="27">
        <f>-Withdrawals_Data!D890</f>
        <v>-3561</v>
      </c>
    </row>
    <row r="2097" spans="3:9">
      <c r="C2097" s="23">
        <v>890</v>
      </c>
      <c r="D2097" s="23" t="s">
        <v>134</v>
      </c>
      <c r="E2097" s="23" t="str">
        <f>Withdrawals_Data!A891</f>
        <v>DA-002</v>
      </c>
      <c r="F2097" s="23" t="str">
        <f>Withdrawals_Data!B891</f>
        <v>DA-002-M0064</v>
      </c>
      <c r="G2097" s="24">
        <f>Withdrawals_Data!C891</f>
        <v>45502</v>
      </c>
      <c r="H2097" s="27">
        <v>0</v>
      </c>
      <c r="I2097" s="27">
        <f>-Withdrawals_Data!D891</f>
        <v>-3088</v>
      </c>
    </row>
    <row r="2098" spans="3:9">
      <c r="C2098" s="23">
        <v>891</v>
      </c>
      <c r="D2098" s="23" t="s">
        <v>134</v>
      </c>
      <c r="E2098" s="23" t="str">
        <f>Withdrawals_Data!A892</f>
        <v>DA-002</v>
      </c>
      <c r="F2098" s="23" t="str">
        <f>Withdrawals_Data!B892</f>
        <v>DA-002-M0064</v>
      </c>
      <c r="G2098" s="24">
        <f>Withdrawals_Data!C892</f>
        <v>45337</v>
      </c>
      <c r="H2098" s="27">
        <v>0</v>
      </c>
      <c r="I2098" s="27">
        <f>-Withdrawals_Data!D892</f>
        <v>-5548</v>
      </c>
    </row>
    <row r="2099" spans="3:9">
      <c r="C2099" s="23">
        <v>892</v>
      </c>
      <c r="D2099" s="23" t="s">
        <v>134</v>
      </c>
      <c r="E2099" s="23" t="str">
        <f>Withdrawals_Data!A893</f>
        <v>DA-002</v>
      </c>
      <c r="F2099" s="23" t="str">
        <f>Withdrawals_Data!B893</f>
        <v>DA-002-M0064</v>
      </c>
      <c r="G2099" s="24">
        <f>Withdrawals_Data!C893</f>
        <v>45406</v>
      </c>
      <c r="H2099" s="27">
        <v>0</v>
      </c>
      <c r="I2099" s="27">
        <f>-Withdrawals_Data!D893</f>
        <v>-6657</v>
      </c>
    </row>
    <row r="2100" spans="3:9">
      <c r="C2100" s="23">
        <v>893</v>
      </c>
      <c r="D2100" s="23" t="s">
        <v>134</v>
      </c>
      <c r="E2100" s="23" t="str">
        <f>Withdrawals_Data!A894</f>
        <v>DA-002</v>
      </c>
      <c r="F2100" s="23" t="str">
        <f>Withdrawals_Data!B894</f>
        <v>DA-002-M0064</v>
      </c>
      <c r="G2100" s="24">
        <f>Withdrawals_Data!C894</f>
        <v>45324</v>
      </c>
      <c r="H2100" s="27">
        <v>0</v>
      </c>
      <c r="I2100" s="27">
        <f>-Withdrawals_Data!D894</f>
        <v>-9595</v>
      </c>
    </row>
    <row r="2101" spans="3:9">
      <c r="C2101" s="23">
        <v>894</v>
      </c>
      <c r="D2101" s="23" t="s">
        <v>134</v>
      </c>
      <c r="E2101" s="23" t="str">
        <f>Withdrawals_Data!A895</f>
        <v>DA-002</v>
      </c>
      <c r="F2101" s="23" t="str">
        <f>Withdrawals_Data!B895</f>
        <v>DA-002-M0064</v>
      </c>
      <c r="G2101" s="24">
        <f>Withdrawals_Data!C895</f>
        <v>45429</v>
      </c>
      <c r="H2101" s="27">
        <v>0</v>
      </c>
      <c r="I2101" s="27">
        <f>-Withdrawals_Data!D895</f>
        <v>-15089</v>
      </c>
    </row>
    <row r="2102" spans="3:9">
      <c r="C2102" s="23">
        <v>895</v>
      </c>
      <c r="D2102" s="23" t="s">
        <v>134</v>
      </c>
      <c r="E2102" s="23" t="str">
        <f>Withdrawals_Data!A896</f>
        <v>DA-001</v>
      </c>
      <c r="F2102" s="23" t="str">
        <f>Withdrawals_Data!B896</f>
        <v>DA-001-M0065</v>
      </c>
      <c r="G2102" s="24">
        <f>Withdrawals_Data!C896</f>
        <v>45441</v>
      </c>
      <c r="H2102" s="27">
        <v>0</v>
      </c>
      <c r="I2102" s="27">
        <f>-Withdrawals_Data!D896</f>
        <v>-14252</v>
      </c>
    </row>
    <row r="2103" spans="3:9">
      <c r="C2103" s="23">
        <v>896</v>
      </c>
      <c r="D2103" s="23" t="s">
        <v>134</v>
      </c>
      <c r="E2103" s="23" t="str">
        <f>Withdrawals_Data!A897</f>
        <v>DA-001</v>
      </c>
      <c r="F2103" s="23" t="str">
        <f>Withdrawals_Data!B897</f>
        <v>DA-001-M0065</v>
      </c>
      <c r="G2103" s="24">
        <f>Withdrawals_Data!C897</f>
        <v>45591</v>
      </c>
      <c r="H2103" s="27">
        <v>0</v>
      </c>
      <c r="I2103" s="27">
        <f>-Withdrawals_Data!D897</f>
        <v>-10240</v>
      </c>
    </row>
    <row r="2104" spans="3:9">
      <c r="C2104" s="23">
        <v>897</v>
      </c>
      <c r="D2104" s="23" t="s">
        <v>134</v>
      </c>
      <c r="E2104" s="23" t="str">
        <f>Withdrawals_Data!A898</f>
        <v>DA-001</v>
      </c>
      <c r="F2104" s="23" t="str">
        <f>Withdrawals_Data!B898</f>
        <v>DA-001-M0065</v>
      </c>
      <c r="G2104" s="24">
        <f>Withdrawals_Data!C898</f>
        <v>45514</v>
      </c>
      <c r="H2104" s="27">
        <v>0</v>
      </c>
      <c r="I2104" s="27">
        <f>-Withdrawals_Data!D898</f>
        <v>-18730</v>
      </c>
    </row>
    <row r="2105" spans="3:9">
      <c r="C2105" s="23">
        <v>898</v>
      </c>
      <c r="D2105" s="23" t="s">
        <v>134</v>
      </c>
      <c r="E2105" s="23" t="str">
        <f>Withdrawals_Data!A899</f>
        <v>DA-001</v>
      </c>
      <c r="F2105" s="23" t="str">
        <f>Withdrawals_Data!B899</f>
        <v>DA-001-M0065</v>
      </c>
      <c r="G2105" s="24">
        <f>Withdrawals_Data!C899</f>
        <v>45463</v>
      </c>
      <c r="H2105" s="27">
        <v>0</v>
      </c>
      <c r="I2105" s="27">
        <f>-Withdrawals_Data!D899</f>
        <v>-11080</v>
      </c>
    </row>
    <row r="2106" spans="3:9">
      <c r="C2106" s="23">
        <v>899</v>
      </c>
      <c r="D2106" s="23" t="s">
        <v>134</v>
      </c>
      <c r="E2106" s="23" t="str">
        <f>Withdrawals_Data!A900</f>
        <v>DA-001</v>
      </c>
      <c r="F2106" s="23" t="str">
        <f>Withdrawals_Data!B900</f>
        <v>DA-001-M0065</v>
      </c>
      <c r="G2106" s="24">
        <f>Withdrawals_Data!C900</f>
        <v>45542</v>
      </c>
      <c r="H2106" s="27">
        <v>0</v>
      </c>
      <c r="I2106" s="27">
        <f>-Withdrawals_Data!D900</f>
        <v>-8481</v>
      </c>
    </row>
    <row r="2107" spans="3:9">
      <c r="C2107" s="23">
        <v>900</v>
      </c>
      <c r="D2107" s="23" t="s">
        <v>134</v>
      </c>
      <c r="E2107" s="23" t="str">
        <f>Withdrawals_Data!A901</f>
        <v>DA-001</v>
      </c>
      <c r="F2107" s="23" t="str">
        <f>Withdrawals_Data!B901</f>
        <v>DA-001-M0065</v>
      </c>
      <c r="G2107" s="24">
        <f>Withdrawals_Data!C901</f>
        <v>45384</v>
      </c>
      <c r="H2107" s="27">
        <v>0</v>
      </c>
      <c r="I2107" s="27">
        <f>-Withdrawals_Data!D901</f>
        <v>-13468</v>
      </c>
    </row>
    <row r="2108" spans="3:9">
      <c r="C2108" s="23">
        <v>901</v>
      </c>
      <c r="D2108" s="23" t="s">
        <v>134</v>
      </c>
      <c r="E2108" s="23" t="str">
        <f>Withdrawals_Data!A902</f>
        <v>DA-003</v>
      </c>
      <c r="F2108" s="23" t="str">
        <f>Withdrawals_Data!B902</f>
        <v>DA-003-M0066</v>
      </c>
      <c r="G2108" s="24">
        <f>Withdrawals_Data!C902</f>
        <v>45298</v>
      </c>
      <c r="H2108" s="27">
        <v>0</v>
      </c>
      <c r="I2108" s="27">
        <f>-Withdrawals_Data!D902</f>
        <v>-14833</v>
      </c>
    </row>
    <row r="2109" spans="3:9">
      <c r="C2109" s="23">
        <v>902</v>
      </c>
      <c r="D2109" s="23" t="s">
        <v>134</v>
      </c>
      <c r="E2109" s="23" t="str">
        <f>Withdrawals_Data!A903</f>
        <v>DA-003</v>
      </c>
      <c r="F2109" s="23" t="str">
        <f>Withdrawals_Data!B903</f>
        <v>DA-003-M0066</v>
      </c>
      <c r="G2109" s="24">
        <f>Withdrawals_Data!C903</f>
        <v>45584</v>
      </c>
      <c r="H2109" s="27">
        <v>0</v>
      </c>
      <c r="I2109" s="27">
        <f>-Withdrawals_Data!D903</f>
        <v>-11175</v>
      </c>
    </row>
    <row r="2110" spans="3:9">
      <c r="C2110" s="23">
        <v>903</v>
      </c>
      <c r="D2110" s="23" t="s">
        <v>134</v>
      </c>
      <c r="E2110" s="23" t="str">
        <f>Withdrawals_Data!A904</f>
        <v>DA-003</v>
      </c>
      <c r="F2110" s="23" t="str">
        <f>Withdrawals_Data!B904</f>
        <v>DA-003-M0066</v>
      </c>
      <c r="G2110" s="24">
        <f>Withdrawals_Data!C904</f>
        <v>45626</v>
      </c>
      <c r="H2110" s="27">
        <v>0</v>
      </c>
      <c r="I2110" s="27">
        <f>-Withdrawals_Data!D904</f>
        <v>-20167</v>
      </c>
    </row>
    <row r="2111" spans="3:9">
      <c r="C2111" s="23">
        <v>904</v>
      </c>
      <c r="D2111" s="23" t="s">
        <v>134</v>
      </c>
      <c r="E2111" s="23" t="str">
        <f>Withdrawals_Data!A905</f>
        <v>DA-003</v>
      </c>
      <c r="F2111" s="23" t="str">
        <f>Withdrawals_Data!B905</f>
        <v>DA-003-M0066</v>
      </c>
      <c r="G2111" s="24">
        <f>Withdrawals_Data!C905</f>
        <v>45408</v>
      </c>
      <c r="H2111" s="27">
        <v>0</v>
      </c>
      <c r="I2111" s="27">
        <f>-Withdrawals_Data!D905</f>
        <v>-12580</v>
      </c>
    </row>
    <row r="2112" spans="3:9">
      <c r="C2112" s="23">
        <v>905</v>
      </c>
      <c r="D2112" s="23" t="s">
        <v>134</v>
      </c>
      <c r="E2112" s="23" t="str">
        <f>Withdrawals_Data!A906</f>
        <v>DA-003</v>
      </c>
      <c r="F2112" s="23" t="str">
        <f>Withdrawals_Data!B906</f>
        <v>DA-003-M0066</v>
      </c>
      <c r="G2112" s="24">
        <f>Withdrawals_Data!C906</f>
        <v>45650</v>
      </c>
      <c r="H2112" s="27">
        <v>0</v>
      </c>
      <c r="I2112" s="27">
        <f>-Withdrawals_Data!D906</f>
        <v>-13062</v>
      </c>
    </row>
    <row r="2113" spans="3:9">
      <c r="C2113" s="23">
        <v>906</v>
      </c>
      <c r="D2113" s="23" t="s">
        <v>134</v>
      </c>
      <c r="E2113" s="23" t="str">
        <f>Withdrawals_Data!A907</f>
        <v>DA-003</v>
      </c>
      <c r="F2113" s="23" t="str">
        <f>Withdrawals_Data!B907</f>
        <v>DA-003-M0066</v>
      </c>
      <c r="G2113" s="24">
        <f>Withdrawals_Data!C907</f>
        <v>45534</v>
      </c>
      <c r="H2113" s="27">
        <v>0</v>
      </c>
      <c r="I2113" s="27">
        <f>-Withdrawals_Data!D907</f>
        <v>-18236</v>
      </c>
    </row>
    <row r="2114" spans="3:9">
      <c r="C2114" s="23">
        <v>907</v>
      </c>
      <c r="D2114" s="23" t="s">
        <v>134</v>
      </c>
      <c r="E2114" s="23" t="str">
        <f>Withdrawals_Data!A908</f>
        <v>DA-003</v>
      </c>
      <c r="F2114" s="23" t="str">
        <f>Withdrawals_Data!B908</f>
        <v>DA-003-M0066</v>
      </c>
      <c r="G2114" s="24">
        <f>Withdrawals_Data!C908</f>
        <v>45382</v>
      </c>
      <c r="H2114" s="27">
        <v>0</v>
      </c>
      <c r="I2114" s="27">
        <f>-Withdrawals_Data!D908</f>
        <v>-18314</v>
      </c>
    </row>
    <row r="2115" spans="3:9">
      <c r="C2115" s="23">
        <v>908</v>
      </c>
      <c r="D2115" s="23" t="s">
        <v>134</v>
      </c>
      <c r="E2115" s="23" t="str">
        <f>Withdrawals_Data!A909</f>
        <v>DA-002</v>
      </c>
      <c r="F2115" s="23" t="str">
        <f>Withdrawals_Data!B909</f>
        <v>DA-002-M0067</v>
      </c>
      <c r="G2115" s="24">
        <f>Withdrawals_Data!C909</f>
        <v>45464</v>
      </c>
      <c r="H2115" s="27">
        <v>0</v>
      </c>
      <c r="I2115" s="27">
        <f>-Withdrawals_Data!D909</f>
        <v>-15554</v>
      </c>
    </row>
    <row r="2116" spans="3:9">
      <c r="C2116" s="23">
        <v>909</v>
      </c>
      <c r="D2116" s="23" t="s">
        <v>134</v>
      </c>
      <c r="E2116" s="23" t="str">
        <f>Withdrawals_Data!A910</f>
        <v>DA-002</v>
      </c>
      <c r="F2116" s="23" t="str">
        <f>Withdrawals_Data!B910</f>
        <v>DA-002-M0067</v>
      </c>
      <c r="G2116" s="24">
        <f>Withdrawals_Data!C910</f>
        <v>45306</v>
      </c>
      <c r="H2116" s="27">
        <v>0</v>
      </c>
      <c r="I2116" s="27">
        <f>-Withdrawals_Data!D910</f>
        <v>-2877</v>
      </c>
    </row>
    <row r="2117" spans="3:9">
      <c r="C2117" s="23">
        <v>910</v>
      </c>
      <c r="D2117" s="23" t="s">
        <v>134</v>
      </c>
      <c r="E2117" s="23" t="str">
        <f>Withdrawals_Data!A911</f>
        <v>DA-002</v>
      </c>
      <c r="F2117" s="23" t="str">
        <f>Withdrawals_Data!B911</f>
        <v>DA-002-M0067</v>
      </c>
      <c r="G2117" s="24">
        <f>Withdrawals_Data!C911</f>
        <v>45359</v>
      </c>
      <c r="H2117" s="27">
        <v>0</v>
      </c>
      <c r="I2117" s="27">
        <f>-Withdrawals_Data!D911</f>
        <v>-17158</v>
      </c>
    </row>
    <row r="2118" spans="3:9">
      <c r="C2118" s="23">
        <v>911</v>
      </c>
      <c r="D2118" s="23" t="s">
        <v>134</v>
      </c>
      <c r="E2118" s="23" t="str">
        <f>Withdrawals_Data!A912</f>
        <v>DA-002</v>
      </c>
      <c r="F2118" s="23" t="str">
        <f>Withdrawals_Data!B912</f>
        <v>DA-002-M0067</v>
      </c>
      <c r="G2118" s="24">
        <f>Withdrawals_Data!C912</f>
        <v>45325</v>
      </c>
      <c r="H2118" s="27">
        <v>0</v>
      </c>
      <c r="I2118" s="27">
        <f>-Withdrawals_Data!D912</f>
        <v>-1897</v>
      </c>
    </row>
    <row r="2119" spans="3:9">
      <c r="C2119" s="23">
        <v>912</v>
      </c>
      <c r="D2119" s="23" t="s">
        <v>134</v>
      </c>
      <c r="E2119" s="23" t="str">
        <f>Withdrawals_Data!A913</f>
        <v>DA-002</v>
      </c>
      <c r="F2119" s="23" t="str">
        <f>Withdrawals_Data!B913</f>
        <v>DA-002-M0067</v>
      </c>
      <c r="G2119" s="24">
        <f>Withdrawals_Data!C913</f>
        <v>45434</v>
      </c>
      <c r="H2119" s="27">
        <v>0</v>
      </c>
      <c r="I2119" s="27">
        <f>-Withdrawals_Data!D913</f>
        <v>-19268</v>
      </c>
    </row>
    <row r="2120" spans="3:9">
      <c r="C2120" s="23">
        <v>913</v>
      </c>
      <c r="D2120" s="23" t="s">
        <v>134</v>
      </c>
      <c r="E2120" s="23" t="str">
        <f>Withdrawals_Data!A914</f>
        <v>DA-002</v>
      </c>
      <c r="F2120" s="23" t="str">
        <f>Withdrawals_Data!B914</f>
        <v>DA-002-M0067</v>
      </c>
      <c r="G2120" s="24">
        <f>Withdrawals_Data!C914</f>
        <v>45430</v>
      </c>
      <c r="H2120" s="27">
        <v>0</v>
      </c>
      <c r="I2120" s="27">
        <f>-Withdrawals_Data!D914</f>
        <v>-20543</v>
      </c>
    </row>
    <row r="2121" spans="3:9">
      <c r="C2121" s="23">
        <v>914</v>
      </c>
      <c r="D2121" s="23" t="s">
        <v>134</v>
      </c>
      <c r="E2121" s="23" t="str">
        <f>Withdrawals_Data!A915</f>
        <v>DA-002</v>
      </c>
      <c r="F2121" s="23" t="str">
        <f>Withdrawals_Data!B915</f>
        <v>DA-002-M0067</v>
      </c>
      <c r="G2121" s="24">
        <f>Withdrawals_Data!C915</f>
        <v>45624</v>
      </c>
      <c r="H2121" s="27">
        <v>0</v>
      </c>
      <c r="I2121" s="27">
        <f>-Withdrawals_Data!D915</f>
        <v>-21125</v>
      </c>
    </row>
    <row r="2122" spans="3:9">
      <c r="C2122" s="23">
        <v>915</v>
      </c>
      <c r="D2122" s="23" t="s">
        <v>134</v>
      </c>
      <c r="E2122" s="23" t="str">
        <f>Withdrawals_Data!A916</f>
        <v>DA-002</v>
      </c>
      <c r="F2122" s="23" t="str">
        <f>Withdrawals_Data!B916</f>
        <v>DA-002-M0067</v>
      </c>
      <c r="G2122" s="24">
        <f>Withdrawals_Data!C916</f>
        <v>45313</v>
      </c>
      <c r="H2122" s="27">
        <v>0</v>
      </c>
      <c r="I2122" s="27">
        <f>-Withdrawals_Data!D916</f>
        <v>-5587</v>
      </c>
    </row>
    <row r="2123" spans="3:9">
      <c r="C2123" s="23">
        <v>916</v>
      </c>
      <c r="D2123" s="23" t="s">
        <v>134</v>
      </c>
      <c r="E2123" s="23" t="str">
        <f>Withdrawals_Data!A917</f>
        <v>DA-003</v>
      </c>
      <c r="F2123" s="23" t="str">
        <f>Withdrawals_Data!B917</f>
        <v>DA-003-M0068</v>
      </c>
      <c r="G2123" s="24">
        <f>Withdrawals_Data!C917</f>
        <v>45593</v>
      </c>
      <c r="H2123" s="27">
        <v>0</v>
      </c>
      <c r="I2123" s="27">
        <f>-Withdrawals_Data!D917</f>
        <v>-14378</v>
      </c>
    </row>
    <row r="2124" spans="3:9">
      <c r="C2124" s="23">
        <v>917</v>
      </c>
      <c r="D2124" s="23" t="s">
        <v>134</v>
      </c>
      <c r="E2124" s="23" t="str">
        <f>Withdrawals_Data!A918</f>
        <v>DA-003</v>
      </c>
      <c r="F2124" s="23" t="str">
        <f>Withdrawals_Data!B918</f>
        <v>DA-003-M0068</v>
      </c>
      <c r="G2124" s="24">
        <f>Withdrawals_Data!C918</f>
        <v>45615</v>
      </c>
      <c r="H2124" s="27">
        <v>0</v>
      </c>
      <c r="I2124" s="27">
        <f>-Withdrawals_Data!D918</f>
        <v>-18291</v>
      </c>
    </row>
    <row r="2125" spans="3:9">
      <c r="C2125" s="23">
        <v>918</v>
      </c>
      <c r="D2125" s="23" t="s">
        <v>134</v>
      </c>
      <c r="E2125" s="23" t="str">
        <f>Withdrawals_Data!A919</f>
        <v>DA-003</v>
      </c>
      <c r="F2125" s="23" t="str">
        <f>Withdrawals_Data!B919</f>
        <v>DA-003-M0068</v>
      </c>
      <c r="G2125" s="24">
        <f>Withdrawals_Data!C919</f>
        <v>45423</v>
      </c>
      <c r="H2125" s="27">
        <v>0</v>
      </c>
      <c r="I2125" s="27">
        <f>-Withdrawals_Data!D919</f>
        <v>-7552</v>
      </c>
    </row>
    <row r="2126" spans="3:9">
      <c r="C2126" s="23">
        <v>919</v>
      </c>
      <c r="D2126" s="23" t="s">
        <v>134</v>
      </c>
      <c r="E2126" s="23" t="str">
        <f>Withdrawals_Data!A920</f>
        <v>DA-003</v>
      </c>
      <c r="F2126" s="23" t="str">
        <f>Withdrawals_Data!B920</f>
        <v>DA-003-M0068</v>
      </c>
      <c r="G2126" s="24">
        <f>Withdrawals_Data!C920</f>
        <v>45302</v>
      </c>
      <c r="H2126" s="27">
        <v>0</v>
      </c>
      <c r="I2126" s="27">
        <f>-Withdrawals_Data!D920</f>
        <v>-8631</v>
      </c>
    </row>
    <row r="2127" spans="3:9">
      <c r="C2127" s="23">
        <v>920</v>
      </c>
      <c r="D2127" s="23" t="s">
        <v>134</v>
      </c>
      <c r="E2127" s="23" t="str">
        <f>Withdrawals_Data!A921</f>
        <v>DA-003</v>
      </c>
      <c r="F2127" s="23" t="str">
        <f>Withdrawals_Data!B921</f>
        <v>DA-003-M0068</v>
      </c>
      <c r="G2127" s="24">
        <f>Withdrawals_Data!C921</f>
        <v>45500</v>
      </c>
      <c r="H2127" s="27">
        <v>0</v>
      </c>
      <c r="I2127" s="27">
        <f>-Withdrawals_Data!D921</f>
        <v>-11542</v>
      </c>
    </row>
    <row r="2128" spans="3:9">
      <c r="C2128" s="23">
        <v>921</v>
      </c>
      <c r="D2128" s="23" t="s">
        <v>134</v>
      </c>
      <c r="E2128" s="23" t="str">
        <f>Withdrawals_Data!A922</f>
        <v>DA-003</v>
      </c>
      <c r="F2128" s="23" t="str">
        <f>Withdrawals_Data!B922</f>
        <v>DA-003-M0068</v>
      </c>
      <c r="G2128" s="24">
        <f>Withdrawals_Data!C922</f>
        <v>45560</v>
      </c>
      <c r="H2128" s="27">
        <v>0</v>
      </c>
      <c r="I2128" s="27">
        <f>-Withdrawals_Data!D922</f>
        <v>-7654</v>
      </c>
    </row>
    <row r="2129" spans="3:9">
      <c r="C2129" s="23">
        <v>922</v>
      </c>
      <c r="D2129" s="23" t="s">
        <v>134</v>
      </c>
      <c r="E2129" s="23" t="str">
        <f>Withdrawals_Data!A923</f>
        <v>DA-003</v>
      </c>
      <c r="F2129" s="23" t="str">
        <f>Withdrawals_Data!B923</f>
        <v>DA-003-M0068</v>
      </c>
      <c r="G2129" s="24">
        <f>Withdrawals_Data!C923</f>
        <v>45335</v>
      </c>
      <c r="H2129" s="27">
        <v>0</v>
      </c>
      <c r="I2129" s="27">
        <f>-Withdrawals_Data!D923</f>
        <v>-8755</v>
      </c>
    </row>
    <row r="2130" spans="3:9">
      <c r="C2130" s="23">
        <v>923</v>
      </c>
      <c r="D2130" s="23" t="s">
        <v>134</v>
      </c>
      <c r="E2130" s="23" t="str">
        <f>Withdrawals_Data!A924</f>
        <v>DA-003</v>
      </c>
      <c r="F2130" s="23" t="str">
        <f>Withdrawals_Data!B924</f>
        <v>DA-003-M0069</v>
      </c>
      <c r="G2130" s="24">
        <f>Withdrawals_Data!C924</f>
        <v>45639</v>
      </c>
      <c r="H2130" s="27">
        <v>0</v>
      </c>
      <c r="I2130" s="27">
        <f>-Withdrawals_Data!D924</f>
        <v>-4746</v>
      </c>
    </row>
    <row r="2131" spans="3:9">
      <c r="C2131" s="23">
        <v>924</v>
      </c>
      <c r="D2131" s="23" t="s">
        <v>134</v>
      </c>
      <c r="E2131" s="23" t="str">
        <f>Withdrawals_Data!A925</f>
        <v>DA-003</v>
      </c>
      <c r="F2131" s="23" t="str">
        <f>Withdrawals_Data!B925</f>
        <v>DA-003-M0069</v>
      </c>
      <c r="G2131" s="24">
        <f>Withdrawals_Data!C925</f>
        <v>45391</v>
      </c>
      <c r="H2131" s="27">
        <v>0</v>
      </c>
      <c r="I2131" s="27">
        <f>-Withdrawals_Data!D925</f>
        <v>-14007</v>
      </c>
    </row>
    <row r="2132" spans="3:9">
      <c r="C2132" s="23">
        <v>925</v>
      </c>
      <c r="D2132" s="23" t="s">
        <v>134</v>
      </c>
      <c r="E2132" s="23" t="str">
        <f>Withdrawals_Data!A926</f>
        <v>DA-003</v>
      </c>
      <c r="F2132" s="23" t="str">
        <f>Withdrawals_Data!B926</f>
        <v>DA-003-M0069</v>
      </c>
      <c r="G2132" s="24">
        <f>Withdrawals_Data!C926</f>
        <v>45445</v>
      </c>
      <c r="H2132" s="27">
        <v>0</v>
      </c>
      <c r="I2132" s="27">
        <f>-Withdrawals_Data!D926</f>
        <v>-3642</v>
      </c>
    </row>
    <row r="2133" spans="3:9">
      <c r="C2133" s="23">
        <v>926</v>
      </c>
      <c r="D2133" s="23" t="s">
        <v>134</v>
      </c>
      <c r="E2133" s="23" t="str">
        <f>Withdrawals_Data!A927</f>
        <v>DA-003</v>
      </c>
      <c r="F2133" s="23" t="str">
        <f>Withdrawals_Data!B927</f>
        <v>DA-003-M0069</v>
      </c>
      <c r="G2133" s="24">
        <f>Withdrawals_Data!C927</f>
        <v>45596</v>
      </c>
      <c r="H2133" s="27">
        <v>0</v>
      </c>
      <c r="I2133" s="27">
        <f>-Withdrawals_Data!D927</f>
        <v>-11993</v>
      </c>
    </row>
    <row r="2134" spans="3:9">
      <c r="C2134" s="23">
        <v>927</v>
      </c>
      <c r="D2134" s="23" t="s">
        <v>134</v>
      </c>
      <c r="E2134" s="23" t="str">
        <f>Withdrawals_Data!A928</f>
        <v>DA-003</v>
      </c>
      <c r="F2134" s="23" t="str">
        <f>Withdrawals_Data!B928</f>
        <v>DA-003-M0069</v>
      </c>
      <c r="G2134" s="24">
        <f>Withdrawals_Data!C928</f>
        <v>45330</v>
      </c>
      <c r="H2134" s="27">
        <v>0</v>
      </c>
      <c r="I2134" s="27">
        <f>-Withdrawals_Data!D928</f>
        <v>-16535</v>
      </c>
    </row>
    <row r="2135" spans="3:9">
      <c r="C2135" s="23">
        <v>928</v>
      </c>
      <c r="D2135" s="23" t="s">
        <v>134</v>
      </c>
      <c r="E2135" s="23" t="str">
        <f>Withdrawals_Data!A929</f>
        <v>DA-003</v>
      </c>
      <c r="F2135" s="23" t="str">
        <f>Withdrawals_Data!B929</f>
        <v>DA-003-M0069</v>
      </c>
      <c r="G2135" s="24">
        <f>Withdrawals_Data!C929</f>
        <v>45627</v>
      </c>
      <c r="H2135" s="27">
        <v>0</v>
      </c>
      <c r="I2135" s="27">
        <f>-Withdrawals_Data!D929</f>
        <v>-15346</v>
      </c>
    </row>
    <row r="2136" spans="3:9">
      <c r="C2136" s="23">
        <v>929</v>
      </c>
      <c r="D2136" s="23" t="s">
        <v>134</v>
      </c>
      <c r="E2136" s="23" t="str">
        <f>Withdrawals_Data!A930</f>
        <v>DA-003</v>
      </c>
      <c r="F2136" s="23" t="str">
        <f>Withdrawals_Data!B930</f>
        <v>DA-003-M0069</v>
      </c>
      <c r="G2136" s="24">
        <f>Withdrawals_Data!C930</f>
        <v>45351</v>
      </c>
      <c r="H2136" s="27">
        <v>0</v>
      </c>
      <c r="I2136" s="27">
        <f>-Withdrawals_Data!D930</f>
        <v>-4159</v>
      </c>
    </row>
    <row r="2137" spans="3:9">
      <c r="C2137" s="23">
        <v>930</v>
      </c>
      <c r="D2137" s="23" t="s">
        <v>134</v>
      </c>
      <c r="E2137" s="23" t="str">
        <f>Withdrawals_Data!A931</f>
        <v>DA-003</v>
      </c>
      <c r="F2137" s="23" t="str">
        <f>Withdrawals_Data!B931</f>
        <v>DA-003-M0069</v>
      </c>
      <c r="G2137" s="24">
        <f>Withdrawals_Data!C931</f>
        <v>45529</v>
      </c>
      <c r="H2137" s="27">
        <v>0</v>
      </c>
      <c r="I2137" s="27">
        <f>-Withdrawals_Data!D931</f>
        <v>-11556</v>
      </c>
    </row>
    <row r="2138" spans="3:9">
      <c r="C2138" s="23">
        <v>931</v>
      </c>
      <c r="D2138" s="23" t="s">
        <v>134</v>
      </c>
      <c r="E2138" s="23" t="str">
        <f>Withdrawals_Data!A932</f>
        <v>DA-003</v>
      </c>
      <c r="F2138" s="23" t="str">
        <f>Withdrawals_Data!B932</f>
        <v>DA-003-M0069</v>
      </c>
      <c r="G2138" s="24">
        <f>Withdrawals_Data!C932</f>
        <v>45389</v>
      </c>
      <c r="H2138" s="27">
        <v>0</v>
      </c>
      <c r="I2138" s="27">
        <f>-Withdrawals_Data!D932</f>
        <v>-12104</v>
      </c>
    </row>
    <row r="2139" spans="3:9">
      <c r="C2139" s="23">
        <v>932</v>
      </c>
      <c r="D2139" s="23" t="s">
        <v>134</v>
      </c>
      <c r="E2139" s="23" t="str">
        <f>Withdrawals_Data!A933</f>
        <v>DA-002</v>
      </c>
      <c r="F2139" s="23" t="str">
        <f>Withdrawals_Data!B933</f>
        <v>DA-002-M0070</v>
      </c>
      <c r="G2139" s="24">
        <f>Withdrawals_Data!C933</f>
        <v>45508</v>
      </c>
      <c r="H2139" s="27">
        <v>0</v>
      </c>
      <c r="I2139" s="27">
        <f>-Withdrawals_Data!D933</f>
        <v>-4196</v>
      </c>
    </row>
    <row r="2140" spans="3:9">
      <c r="C2140" s="23">
        <v>933</v>
      </c>
      <c r="D2140" s="23" t="s">
        <v>134</v>
      </c>
      <c r="E2140" s="23" t="str">
        <f>Withdrawals_Data!A934</f>
        <v>DA-002</v>
      </c>
      <c r="F2140" s="23" t="str">
        <f>Withdrawals_Data!B934</f>
        <v>DA-002-M0070</v>
      </c>
      <c r="G2140" s="24">
        <f>Withdrawals_Data!C934</f>
        <v>45562</v>
      </c>
      <c r="H2140" s="27">
        <v>0</v>
      </c>
      <c r="I2140" s="27">
        <f>-Withdrawals_Data!D934</f>
        <v>-14323</v>
      </c>
    </row>
    <row r="2141" spans="3:9">
      <c r="C2141" s="23">
        <v>934</v>
      </c>
      <c r="D2141" s="23" t="s">
        <v>134</v>
      </c>
      <c r="E2141" s="23" t="str">
        <f>Withdrawals_Data!A935</f>
        <v>DA-002</v>
      </c>
      <c r="F2141" s="23" t="str">
        <f>Withdrawals_Data!B935</f>
        <v>DA-002-M0070</v>
      </c>
      <c r="G2141" s="24">
        <f>Withdrawals_Data!C935</f>
        <v>45565</v>
      </c>
      <c r="H2141" s="27">
        <v>0</v>
      </c>
      <c r="I2141" s="27">
        <f>-Withdrawals_Data!D935</f>
        <v>-1713</v>
      </c>
    </row>
    <row r="2142" spans="3:9">
      <c r="C2142" s="23">
        <v>935</v>
      </c>
      <c r="D2142" s="23" t="s">
        <v>134</v>
      </c>
      <c r="E2142" s="23" t="str">
        <f>Withdrawals_Data!A936</f>
        <v>DA-002</v>
      </c>
      <c r="F2142" s="23" t="str">
        <f>Withdrawals_Data!B936</f>
        <v>DA-002-M0070</v>
      </c>
      <c r="G2142" s="24">
        <f>Withdrawals_Data!C936</f>
        <v>45384</v>
      </c>
      <c r="H2142" s="27">
        <v>0</v>
      </c>
      <c r="I2142" s="27">
        <f>-Withdrawals_Data!D936</f>
        <v>-14345</v>
      </c>
    </row>
    <row r="2143" spans="3:9">
      <c r="C2143" s="23">
        <v>936</v>
      </c>
      <c r="D2143" s="23" t="s">
        <v>134</v>
      </c>
      <c r="E2143" s="23" t="str">
        <f>Withdrawals_Data!A937</f>
        <v>DA-002</v>
      </c>
      <c r="F2143" s="23" t="str">
        <f>Withdrawals_Data!B937</f>
        <v>DA-002-M0070</v>
      </c>
      <c r="G2143" s="24">
        <f>Withdrawals_Data!C937</f>
        <v>45328</v>
      </c>
      <c r="H2143" s="27">
        <v>0</v>
      </c>
      <c r="I2143" s="27">
        <f>-Withdrawals_Data!D937</f>
        <v>-4056</v>
      </c>
    </row>
    <row r="2144" spans="3:9">
      <c r="C2144" s="23">
        <v>937</v>
      </c>
      <c r="D2144" s="23" t="s">
        <v>134</v>
      </c>
      <c r="E2144" s="23" t="str">
        <f>Withdrawals_Data!A938</f>
        <v>DA-002</v>
      </c>
      <c r="F2144" s="23" t="str">
        <f>Withdrawals_Data!B938</f>
        <v>DA-002-M0070</v>
      </c>
      <c r="G2144" s="24">
        <f>Withdrawals_Data!C938</f>
        <v>45298</v>
      </c>
      <c r="H2144" s="27">
        <v>0</v>
      </c>
      <c r="I2144" s="27">
        <f>-Withdrawals_Data!D938</f>
        <v>-15018</v>
      </c>
    </row>
    <row r="2145" spans="3:9">
      <c r="C2145" s="23">
        <v>938</v>
      </c>
      <c r="D2145" s="23" t="s">
        <v>134</v>
      </c>
      <c r="E2145" s="23" t="str">
        <f>Withdrawals_Data!A939</f>
        <v>DA-002</v>
      </c>
      <c r="F2145" s="23" t="str">
        <f>Withdrawals_Data!B939</f>
        <v>DA-002-M0070</v>
      </c>
      <c r="G2145" s="24">
        <f>Withdrawals_Data!C939</f>
        <v>45635</v>
      </c>
      <c r="H2145" s="27">
        <v>0</v>
      </c>
      <c r="I2145" s="27">
        <f>-Withdrawals_Data!D939</f>
        <v>-14509</v>
      </c>
    </row>
    <row r="2146" spans="3:9">
      <c r="C2146" s="23">
        <v>939</v>
      </c>
      <c r="D2146" s="23" t="s">
        <v>134</v>
      </c>
      <c r="E2146" s="23" t="str">
        <f>Withdrawals_Data!A940</f>
        <v>DA-002</v>
      </c>
      <c r="F2146" s="23" t="str">
        <f>Withdrawals_Data!B940</f>
        <v>DA-002-M0070</v>
      </c>
      <c r="G2146" s="24">
        <f>Withdrawals_Data!C940</f>
        <v>45360</v>
      </c>
      <c r="H2146" s="27">
        <v>0</v>
      </c>
      <c r="I2146" s="27">
        <f>-Withdrawals_Data!D940</f>
        <v>-19537</v>
      </c>
    </row>
    <row r="2147" spans="3:9">
      <c r="C2147" s="23">
        <v>940</v>
      </c>
      <c r="D2147" s="23" t="s">
        <v>134</v>
      </c>
      <c r="E2147" s="23" t="str">
        <f>Withdrawals_Data!A941</f>
        <v>DA-001</v>
      </c>
      <c r="F2147" s="23" t="str">
        <f>Withdrawals_Data!B941</f>
        <v>DA-001-M0071</v>
      </c>
      <c r="G2147" s="24">
        <f>Withdrawals_Data!C941</f>
        <v>45601</v>
      </c>
      <c r="H2147" s="27">
        <v>0</v>
      </c>
      <c r="I2147" s="27">
        <f>-Withdrawals_Data!D941</f>
        <v>-17102</v>
      </c>
    </row>
    <row r="2148" spans="3:9">
      <c r="C2148" s="23">
        <v>941</v>
      </c>
      <c r="D2148" s="23" t="s">
        <v>134</v>
      </c>
      <c r="E2148" s="23" t="str">
        <f>Withdrawals_Data!A942</f>
        <v>DA-001</v>
      </c>
      <c r="F2148" s="23" t="str">
        <f>Withdrawals_Data!B942</f>
        <v>DA-001-M0071</v>
      </c>
      <c r="G2148" s="24">
        <f>Withdrawals_Data!C942</f>
        <v>45403</v>
      </c>
      <c r="H2148" s="27">
        <v>0</v>
      </c>
      <c r="I2148" s="27">
        <f>-Withdrawals_Data!D942</f>
        <v>-19656</v>
      </c>
    </row>
    <row r="2149" spans="3:9">
      <c r="C2149" s="23">
        <v>942</v>
      </c>
      <c r="D2149" s="23" t="s">
        <v>134</v>
      </c>
      <c r="E2149" s="23" t="str">
        <f>Withdrawals_Data!A943</f>
        <v>DA-001</v>
      </c>
      <c r="F2149" s="23" t="str">
        <f>Withdrawals_Data!B943</f>
        <v>DA-001-M0071</v>
      </c>
      <c r="G2149" s="24">
        <f>Withdrawals_Data!C943</f>
        <v>45365</v>
      </c>
      <c r="H2149" s="27">
        <v>0</v>
      </c>
      <c r="I2149" s="27">
        <f>-Withdrawals_Data!D943</f>
        <v>-13687</v>
      </c>
    </row>
    <row r="2150" spans="3:9">
      <c r="C2150" s="23">
        <v>943</v>
      </c>
      <c r="D2150" s="23" t="s">
        <v>134</v>
      </c>
      <c r="E2150" s="23" t="str">
        <f>Withdrawals_Data!A944</f>
        <v>DA-001</v>
      </c>
      <c r="F2150" s="23" t="str">
        <f>Withdrawals_Data!B944</f>
        <v>DA-001-M0071</v>
      </c>
      <c r="G2150" s="24">
        <f>Withdrawals_Data!C944</f>
        <v>45407</v>
      </c>
      <c r="H2150" s="27">
        <v>0</v>
      </c>
      <c r="I2150" s="27">
        <f>-Withdrawals_Data!D944</f>
        <v>-10622</v>
      </c>
    </row>
    <row r="2151" spans="3:9">
      <c r="C2151" s="23">
        <v>944</v>
      </c>
      <c r="D2151" s="23" t="s">
        <v>134</v>
      </c>
      <c r="E2151" s="23" t="str">
        <f>Withdrawals_Data!A945</f>
        <v>DA-001</v>
      </c>
      <c r="F2151" s="23" t="str">
        <f>Withdrawals_Data!B945</f>
        <v>DA-001-M0071</v>
      </c>
      <c r="G2151" s="24">
        <f>Withdrawals_Data!C945</f>
        <v>45523</v>
      </c>
      <c r="H2151" s="27">
        <v>0</v>
      </c>
      <c r="I2151" s="27">
        <f>-Withdrawals_Data!D945</f>
        <v>-8992</v>
      </c>
    </row>
    <row r="2152" spans="3:9">
      <c r="C2152" s="23">
        <v>945</v>
      </c>
      <c r="D2152" s="23" t="s">
        <v>134</v>
      </c>
      <c r="E2152" s="23" t="str">
        <f>Withdrawals_Data!A946</f>
        <v>DA-001</v>
      </c>
      <c r="F2152" s="23" t="str">
        <f>Withdrawals_Data!B946</f>
        <v>DA-001-M0071</v>
      </c>
      <c r="G2152" s="24">
        <f>Withdrawals_Data!C946</f>
        <v>45342</v>
      </c>
      <c r="H2152" s="27">
        <v>0</v>
      </c>
      <c r="I2152" s="27">
        <f>-Withdrawals_Data!D946</f>
        <v>-4023</v>
      </c>
    </row>
    <row r="2153" spans="3:9">
      <c r="C2153" s="23">
        <v>946</v>
      </c>
      <c r="D2153" s="23" t="s">
        <v>134</v>
      </c>
      <c r="E2153" s="23" t="str">
        <f>Withdrawals_Data!A947</f>
        <v>DA-001</v>
      </c>
      <c r="F2153" s="23" t="str">
        <f>Withdrawals_Data!B947</f>
        <v>DA-001-M0071</v>
      </c>
      <c r="G2153" s="24">
        <f>Withdrawals_Data!C947</f>
        <v>45391</v>
      </c>
      <c r="H2153" s="27">
        <v>0</v>
      </c>
      <c r="I2153" s="27">
        <f>-Withdrawals_Data!D947</f>
        <v>-9976</v>
      </c>
    </row>
    <row r="2154" spans="3:9">
      <c r="C2154" s="23">
        <v>947</v>
      </c>
      <c r="D2154" s="23" t="s">
        <v>134</v>
      </c>
      <c r="E2154" s="23" t="str">
        <f>Withdrawals_Data!A948</f>
        <v>DA-001</v>
      </c>
      <c r="F2154" s="23" t="str">
        <f>Withdrawals_Data!B948</f>
        <v>DA-001-M0071</v>
      </c>
      <c r="G2154" s="24">
        <f>Withdrawals_Data!C948</f>
        <v>45405</v>
      </c>
      <c r="H2154" s="27">
        <v>0</v>
      </c>
      <c r="I2154" s="27">
        <f>-Withdrawals_Data!D948</f>
        <v>-15745</v>
      </c>
    </row>
    <row r="2155" spans="3:9">
      <c r="C2155" s="23">
        <v>948</v>
      </c>
      <c r="D2155" s="23" t="s">
        <v>134</v>
      </c>
      <c r="E2155" s="23" t="str">
        <f>Withdrawals_Data!A949</f>
        <v>DA-001</v>
      </c>
      <c r="F2155" s="23" t="str">
        <f>Withdrawals_Data!B949</f>
        <v>DA-001-M0071</v>
      </c>
      <c r="G2155" s="24">
        <f>Withdrawals_Data!C949</f>
        <v>45406</v>
      </c>
      <c r="H2155" s="27">
        <v>0</v>
      </c>
      <c r="I2155" s="27">
        <f>-Withdrawals_Data!D949</f>
        <v>-2790</v>
      </c>
    </row>
    <row r="2156" spans="3:9">
      <c r="C2156" s="23">
        <v>949</v>
      </c>
      <c r="D2156" s="23" t="s">
        <v>134</v>
      </c>
      <c r="E2156" s="23" t="str">
        <f>Withdrawals_Data!A950</f>
        <v>DA-002</v>
      </c>
      <c r="F2156" s="23" t="str">
        <f>Withdrawals_Data!B950</f>
        <v>DA-002-M0072</v>
      </c>
      <c r="G2156" s="24">
        <f>Withdrawals_Data!C950</f>
        <v>45437</v>
      </c>
      <c r="H2156" s="27">
        <v>0</v>
      </c>
      <c r="I2156" s="27">
        <f>-Withdrawals_Data!D950</f>
        <v>-7639</v>
      </c>
    </row>
    <row r="2157" spans="3:9">
      <c r="C2157" s="23">
        <v>950</v>
      </c>
      <c r="D2157" s="23" t="s">
        <v>134</v>
      </c>
      <c r="E2157" s="23" t="str">
        <f>Withdrawals_Data!A951</f>
        <v>DA-002</v>
      </c>
      <c r="F2157" s="23" t="str">
        <f>Withdrawals_Data!B951</f>
        <v>DA-002-M0072</v>
      </c>
      <c r="G2157" s="24">
        <f>Withdrawals_Data!C951</f>
        <v>45579</v>
      </c>
      <c r="H2157" s="27">
        <v>0</v>
      </c>
      <c r="I2157" s="27">
        <f>-Withdrawals_Data!D951</f>
        <v>-17345</v>
      </c>
    </row>
    <row r="2158" spans="3:9">
      <c r="C2158" s="23">
        <v>951</v>
      </c>
      <c r="D2158" s="23" t="s">
        <v>134</v>
      </c>
      <c r="E2158" s="23" t="str">
        <f>Withdrawals_Data!A952</f>
        <v>DA-002</v>
      </c>
      <c r="F2158" s="23" t="str">
        <f>Withdrawals_Data!B952</f>
        <v>DA-002-M0072</v>
      </c>
      <c r="G2158" s="24">
        <f>Withdrawals_Data!C952</f>
        <v>45406</v>
      </c>
      <c r="H2158" s="27">
        <v>0</v>
      </c>
      <c r="I2158" s="27">
        <f>-Withdrawals_Data!D952</f>
        <v>-2835</v>
      </c>
    </row>
    <row r="2159" spans="3:9">
      <c r="C2159" s="23">
        <v>952</v>
      </c>
      <c r="D2159" s="23" t="s">
        <v>134</v>
      </c>
      <c r="E2159" s="23" t="str">
        <f>Withdrawals_Data!A953</f>
        <v>DA-002</v>
      </c>
      <c r="F2159" s="23" t="str">
        <f>Withdrawals_Data!B953</f>
        <v>DA-002-M0072</v>
      </c>
      <c r="G2159" s="24">
        <f>Withdrawals_Data!C953</f>
        <v>45568</v>
      </c>
      <c r="H2159" s="27">
        <v>0</v>
      </c>
      <c r="I2159" s="27">
        <f>-Withdrawals_Data!D953</f>
        <v>-8230</v>
      </c>
    </row>
    <row r="2160" spans="3:9">
      <c r="C2160" s="23">
        <v>953</v>
      </c>
      <c r="D2160" s="23" t="s">
        <v>134</v>
      </c>
      <c r="E2160" s="23" t="str">
        <f>Withdrawals_Data!A954</f>
        <v>DA-002</v>
      </c>
      <c r="F2160" s="23" t="str">
        <f>Withdrawals_Data!B954</f>
        <v>DA-002-M0072</v>
      </c>
      <c r="G2160" s="24">
        <f>Withdrawals_Data!C954</f>
        <v>45350</v>
      </c>
      <c r="H2160" s="27">
        <v>0</v>
      </c>
      <c r="I2160" s="27">
        <f>-Withdrawals_Data!D954</f>
        <v>-16446</v>
      </c>
    </row>
    <row r="2161" spans="3:9">
      <c r="C2161" s="23">
        <v>954</v>
      </c>
      <c r="D2161" s="23" t="s">
        <v>134</v>
      </c>
      <c r="E2161" s="23" t="str">
        <f>Withdrawals_Data!A955</f>
        <v>DA-002</v>
      </c>
      <c r="F2161" s="23" t="str">
        <f>Withdrawals_Data!B955</f>
        <v>DA-002-M0072</v>
      </c>
      <c r="G2161" s="24">
        <f>Withdrawals_Data!C955</f>
        <v>45595</v>
      </c>
      <c r="H2161" s="27">
        <v>0</v>
      </c>
      <c r="I2161" s="27">
        <f>-Withdrawals_Data!D955</f>
        <v>-16990</v>
      </c>
    </row>
    <row r="2162" spans="3:9">
      <c r="C2162" s="23">
        <v>955</v>
      </c>
      <c r="D2162" s="23" t="s">
        <v>134</v>
      </c>
      <c r="E2162" s="23" t="str">
        <f>Withdrawals_Data!A956</f>
        <v>DA-002</v>
      </c>
      <c r="F2162" s="23" t="str">
        <f>Withdrawals_Data!B956</f>
        <v>DA-002-M0072</v>
      </c>
      <c r="G2162" s="24">
        <f>Withdrawals_Data!C956</f>
        <v>45381</v>
      </c>
      <c r="H2162" s="27">
        <v>0</v>
      </c>
      <c r="I2162" s="27">
        <f>-Withdrawals_Data!D956</f>
        <v>-20722</v>
      </c>
    </row>
    <row r="2163" spans="3:9">
      <c r="C2163" s="23">
        <v>956</v>
      </c>
      <c r="D2163" s="23" t="s">
        <v>134</v>
      </c>
      <c r="E2163" s="23" t="str">
        <f>Withdrawals_Data!A957</f>
        <v>DA-002</v>
      </c>
      <c r="F2163" s="23" t="str">
        <f>Withdrawals_Data!B957</f>
        <v>DA-002-M0072</v>
      </c>
      <c r="G2163" s="24">
        <f>Withdrawals_Data!C957</f>
        <v>45605</v>
      </c>
      <c r="H2163" s="27">
        <v>0</v>
      </c>
      <c r="I2163" s="27">
        <f>-Withdrawals_Data!D957</f>
        <v>-20383</v>
      </c>
    </row>
    <row r="2164" spans="3:9">
      <c r="C2164" s="23">
        <v>957</v>
      </c>
      <c r="D2164" s="23" t="s">
        <v>134</v>
      </c>
      <c r="E2164" s="23" t="str">
        <f>Withdrawals_Data!A958</f>
        <v>DA-002</v>
      </c>
      <c r="F2164" s="23" t="str">
        <f>Withdrawals_Data!B958</f>
        <v>DA-002-M0072</v>
      </c>
      <c r="G2164" s="24">
        <f>Withdrawals_Data!C958</f>
        <v>45635</v>
      </c>
      <c r="H2164" s="27">
        <v>0</v>
      </c>
      <c r="I2164" s="27">
        <f>-Withdrawals_Data!D958</f>
        <v>-11429</v>
      </c>
    </row>
    <row r="2165" spans="3:9">
      <c r="C2165" s="23">
        <v>958</v>
      </c>
      <c r="D2165" s="23" t="s">
        <v>134</v>
      </c>
      <c r="E2165" s="23" t="str">
        <f>Withdrawals_Data!A959</f>
        <v>DA-002</v>
      </c>
      <c r="F2165" s="23" t="str">
        <f>Withdrawals_Data!B959</f>
        <v>DA-002-M0072</v>
      </c>
      <c r="G2165" s="24">
        <f>Withdrawals_Data!C959</f>
        <v>45422</v>
      </c>
      <c r="H2165" s="27">
        <v>0</v>
      </c>
      <c r="I2165" s="27">
        <f>-Withdrawals_Data!D959</f>
        <v>-16350</v>
      </c>
    </row>
    <row r="2166" spans="3:9">
      <c r="C2166" s="23">
        <v>959</v>
      </c>
      <c r="D2166" s="23" t="s">
        <v>134</v>
      </c>
      <c r="E2166" s="23" t="str">
        <f>Withdrawals_Data!A960</f>
        <v>DA-001</v>
      </c>
      <c r="F2166" s="23" t="str">
        <f>Withdrawals_Data!B960</f>
        <v>DA-001-M0073</v>
      </c>
      <c r="G2166" s="24">
        <f>Withdrawals_Data!C960</f>
        <v>45372</v>
      </c>
      <c r="H2166" s="27">
        <v>0</v>
      </c>
      <c r="I2166" s="27">
        <f>-Withdrawals_Data!D960</f>
        <v>-7385</v>
      </c>
    </row>
    <row r="2167" spans="3:9">
      <c r="C2167" s="23">
        <v>960</v>
      </c>
      <c r="D2167" s="23" t="s">
        <v>134</v>
      </c>
      <c r="E2167" s="23" t="str">
        <f>Withdrawals_Data!A961</f>
        <v>DA-001</v>
      </c>
      <c r="F2167" s="23" t="str">
        <f>Withdrawals_Data!B961</f>
        <v>DA-001-M0073</v>
      </c>
      <c r="G2167" s="24">
        <f>Withdrawals_Data!C961</f>
        <v>45592</v>
      </c>
      <c r="H2167" s="27">
        <v>0</v>
      </c>
      <c r="I2167" s="27">
        <f>-Withdrawals_Data!D961</f>
        <v>-11692</v>
      </c>
    </row>
    <row r="2168" spans="3:9">
      <c r="C2168" s="23">
        <v>961</v>
      </c>
      <c r="D2168" s="23" t="s">
        <v>134</v>
      </c>
      <c r="E2168" s="23" t="str">
        <f>Withdrawals_Data!A962</f>
        <v>DA-001</v>
      </c>
      <c r="F2168" s="23" t="str">
        <f>Withdrawals_Data!B962</f>
        <v>DA-001-M0073</v>
      </c>
      <c r="G2168" s="24">
        <f>Withdrawals_Data!C962</f>
        <v>45486</v>
      </c>
      <c r="H2168" s="27">
        <v>0</v>
      </c>
      <c r="I2168" s="27">
        <f>-Withdrawals_Data!D962</f>
        <v>-4545</v>
      </c>
    </row>
    <row r="2169" spans="3:9">
      <c r="C2169" s="23">
        <v>962</v>
      </c>
      <c r="D2169" s="23" t="s">
        <v>134</v>
      </c>
      <c r="E2169" s="23" t="str">
        <f>Withdrawals_Data!A963</f>
        <v>DA-001</v>
      </c>
      <c r="F2169" s="23" t="str">
        <f>Withdrawals_Data!B963</f>
        <v>DA-001-M0073</v>
      </c>
      <c r="G2169" s="24">
        <f>Withdrawals_Data!C963</f>
        <v>45503</v>
      </c>
      <c r="H2169" s="27">
        <v>0</v>
      </c>
      <c r="I2169" s="27">
        <f>-Withdrawals_Data!D963</f>
        <v>-14074</v>
      </c>
    </row>
    <row r="2170" spans="3:9">
      <c r="C2170" s="23">
        <v>963</v>
      </c>
      <c r="D2170" s="23" t="s">
        <v>134</v>
      </c>
      <c r="E2170" s="23" t="str">
        <f>Withdrawals_Data!A964</f>
        <v>DA-001</v>
      </c>
      <c r="F2170" s="23" t="str">
        <f>Withdrawals_Data!B964</f>
        <v>DA-001-M0073</v>
      </c>
      <c r="G2170" s="24">
        <f>Withdrawals_Data!C964</f>
        <v>45583</v>
      </c>
      <c r="H2170" s="27">
        <v>0</v>
      </c>
      <c r="I2170" s="27">
        <f>-Withdrawals_Data!D964</f>
        <v>-2736</v>
      </c>
    </row>
    <row r="2171" spans="3:9">
      <c r="C2171" s="23">
        <v>964</v>
      </c>
      <c r="D2171" s="23" t="s">
        <v>134</v>
      </c>
      <c r="E2171" s="23" t="str">
        <f>Withdrawals_Data!A965</f>
        <v>DA-001</v>
      </c>
      <c r="F2171" s="23" t="str">
        <f>Withdrawals_Data!B965</f>
        <v>DA-001-M0074</v>
      </c>
      <c r="G2171" s="24">
        <f>Withdrawals_Data!C965</f>
        <v>45636</v>
      </c>
      <c r="H2171" s="27">
        <v>0</v>
      </c>
      <c r="I2171" s="27">
        <f>-Withdrawals_Data!D965</f>
        <v>-20929</v>
      </c>
    </row>
    <row r="2172" spans="3:9">
      <c r="C2172" s="23">
        <v>965</v>
      </c>
      <c r="D2172" s="23" t="s">
        <v>134</v>
      </c>
      <c r="E2172" s="23" t="str">
        <f>Withdrawals_Data!A966</f>
        <v>DA-001</v>
      </c>
      <c r="F2172" s="23" t="str">
        <f>Withdrawals_Data!B966</f>
        <v>DA-001-M0074</v>
      </c>
      <c r="G2172" s="24">
        <f>Withdrawals_Data!C966</f>
        <v>45481</v>
      </c>
      <c r="H2172" s="27">
        <v>0</v>
      </c>
      <c r="I2172" s="27">
        <f>-Withdrawals_Data!D966</f>
        <v>-6616</v>
      </c>
    </row>
    <row r="2173" spans="3:9">
      <c r="C2173" s="23">
        <v>966</v>
      </c>
      <c r="D2173" s="23" t="s">
        <v>134</v>
      </c>
      <c r="E2173" s="23" t="str">
        <f>Withdrawals_Data!A967</f>
        <v>DA-001</v>
      </c>
      <c r="F2173" s="23" t="str">
        <f>Withdrawals_Data!B967</f>
        <v>DA-001-M0074</v>
      </c>
      <c r="G2173" s="24">
        <f>Withdrawals_Data!C967</f>
        <v>45469</v>
      </c>
      <c r="H2173" s="27">
        <v>0</v>
      </c>
      <c r="I2173" s="27">
        <f>-Withdrawals_Data!D967</f>
        <v>-8733</v>
      </c>
    </row>
    <row r="2174" spans="3:9">
      <c r="C2174" s="23">
        <v>967</v>
      </c>
      <c r="D2174" s="23" t="s">
        <v>134</v>
      </c>
      <c r="E2174" s="23" t="str">
        <f>Withdrawals_Data!A968</f>
        <v>DA-001</v>
      </c>
      <c r="F2174" s="23" t="str">
        <f>Withdrawals_Data!B968</f>
        <v>DA-001-M0074</v>
      </c>
      <c r="G2174" s="24">
        <f>Withdrawals_Data!C968</f>
        <v>45357</v>
      </c>
      <c r="H2174" s="27">
        <v>0</v>
      </c>
      <c r="I2174" s="27">
        <f>-Withdrawals_Data!D968</f>
        <v>-5700</v>
      </c>
    </row>
    <row r="2175" spans="3:9">
      <c r="C2175" s="23">
        <v>968</v>
      </c>
      <c r="D2175" s="23" t="s">
        <v>134</v>
      </c>
      <c r="E2175" s="23" t="str">
        <f>Withdrawals_Data!A969</f>
        <v>DA-001</v>
      </c>
      <c r="F2175" s="23" t="str">
        <f>Withdrawals_Data!B969</f>
        <v>DA-001-M0074</v>
      </c>
      <c r="G2175" s="24">
        <f>Withdrawals_Data!C969</f>
        <v>45651</v>
      </c>
      <c r="H2175" s="27">
        <v>0</v>
      </c>
      <c r="I2175" s="27">
        <f>-Withdrawals_Data!D969</f>
        <v>-5720</v>
      </c>
    </row>
    <row r="2176" spans="3:9">
      <c r="C2176" s="23">
        <v>969</v>
      </c>
      <c r="D2176" s="23" t="s">
        <v>134</v>
      </c>
      <c r="E2176" s="23" t="str">
        <f>Withdrawals_Data!A970</f>
        <v>DA-001</v>
      </c>
      <c r="F2176" s="23" t="str">
        <f>Withdrawals_Data!B970</f>
        <v>DA-001-M0074</v>
      </c>
      <c r="G2176" s="24">
        <f>Withdrawals_Data!C970</f>
        <v>45401</v>
      </c>
      <c r="H2176" s="27">
        <v>0</v>
      </c>
      <c r="I2176" s="27">
        <f>-Withdrawals_Data!D970</f>
        <v>-15805</v>
      </c>
    </row>
    <row r="2177" spans="3:9">
      <c r="C2177" s="23">
        <v>970</v>
      </c>
      <c r="D2177" s="23" t="s">
        <v>134</v>
      </c>
      <c r="E2177" s="23" t="str">
        <f>Withdrawals_Data!A971</f>
        <v>DA-001</v>
      </c>
      <c r="F2177" s="23" t="str">
        <f>Withdrawals_Data!B971</f>
        <v>DA-001-M0074</v>
      </c>
      <c r="G2177" s="24">
        <f>Withdrawals_Data!C971</f>
        <v>45296</v>
      </c>
      <c r="H2177" s="27">
        <v>0</v>
      </c>
      <c r="I2177" s="27">
        <f>-Withdrawals_Data!D971</f>
        <v>-16086</v>
      </c>
    </row>
    <row r="2178" spans="3:9">
      <c r="C2178" s="23">
        <v>971</v>
      </c>
      <c r="D2178" s="23" t="s">
        <v>134</v>
      </c>
      <c r="E2178" s="23" t="str">
        <f>Withdrawals_Data!A972</f>
        <v>DA-001</v>
      </c>
      <c r="F2178" s="23" t="str">
        <f>Withdrawals_Data!B972</f>
        <v>DA-001-M0074</v>
      </c>
      <c r="G2178" s="24">
        <f>Withdrawals_Data!C972</f>
        <v>45582</v>
      </c>
      <c r="H2178" s="27">
        <v>0</v>
      </c>
      <c r="I2178" s="27">
        <f>-Withdrawals_Data!D972</f>
        <v>-20313</v>
      </c>
    </row>
    <row r="2179" spans="3:9">
      <c r="C2179" s="23">
        <v>972</v>
      </c>
      <c r="D2179" s="23" t="s">
        <v>134</v>
      </c>
      <c r="E2179" s="23" t="str">
        <f>Withdrawals_Data!A973</f>
        <v>DA-001</v>
      </c>
      <c r="F2179" s="23" t="str">
        <f>Withdrawals_Data!B973</f>
        <v>DA-001-M0075</v>
      </c>
      <c r="G2179" s="24">
        <f>Withdrawals_Data!C973</f>
        <v>45628</v>
      </c>
      <c r="H2179" s="27">
        <v>0</v>
      </c>
      <c r="I2179" s="27">
        <f>-Withdrawals_Data!D973</f>
        <v>-21314</v>
      </c>
    </row>
    <row r="2180" spans="3:9">
      <c r="C2180" s="23">
        <v>973</v>
      </c>
      <c r="D2180" s="23" t="s">
        <v>134</v>
      </c>
      <c r="E2180" s="23" t="str">
        <f>Withdrawals_Data!A974</f>
        <v>DA-001</v>
      </c>
      <c r="F2180" s="23" t="str">
        <f>Withdrawals_Data!B974</f>
        <v>DA-001-M0075</v>
      </c>
      <c r="G2180" s="24">
        <f>Withdrawals_Data!C974</f>
        <v>45518</v>
      </c>
      <c r="H2180" s="27">
        <v>0</v>
      </c>
      <c r="I2180" s="27">
        <f>-Withdrawals_Data!D974</f>
        <v>-11222</v>
      </c>
    </row>
    <row r="2181" spans="3:9">
      <c r="C2181" s="23">
        <v>974</v>
      </c>
      <c r="D2181" s="23" t="s">
        <v>134</v>
      </c>
      <c r="E2181" s="23" t="str">
        <f>Withdrawals_Data!A975</f>
        <v>DA-001</v>
      </c>
      <c r="F2181" s="23" t="str">
        <f>Withdrawals_Data!B975</f>
        <v>DA-001-M0075</v>
      </c>
      <c r="G2181" s="24">
        <f>Withdrawals_Data!C975</f>
        <v>45554</v>
      </c>
      <c r="H2181" s="27">
        <v>0</v>
      </c>
      <c r="I2181" s="27">
        <f>-Withdrawals_Data!D975</f>
        <v>-20078</v>
      </c>
    </row>
    <row r="2182" spans="3:9">
      <c r="C2182" s="23">
        <v>975</v>
      </c>
      <c r="D2182" s="23" t="s">
        <v>134</v>
      </c>
      <c r="E2182" s="23" t="str">
        <f>Withdrawals_Data!A976</f>
        <v>DA-001</v>
      </c>
      <c r="F2182" s="23" t="str">
        <f>Withdrawals_Data!B976</f>
        <v>DA-001-M0075</v>
      </c>
      <c r="G2182" s="24">
        <f>Withdrawals_Data!C976</f>
        <v>45334</v>
      </c>
      <c r="H2182" s="27">
        <v>0</v>
      </c>
      <c r="I2182" s="27">
        <f>-Withdrawals_Data!D976</f>
        <v>-4832</v>
      </c>
    </row>
    <row r="2183" spans="3:9">
      <c r="C2183" s="23">
        <v>976</v>
      </c>
      <c r="D2183" s="23" t="s">
        <v>134</v>
      </c>
      <c r="E2183" s="23" t="str">
        <f>Withdrawals_Data!A977</f>
        <v>DA-001</v>
      </c>
      <c r="F2183" s="23" t="str">
        <f>Withdrawals_Data!B977</f>
        <v>DA-001-M0075</v>
      </c>
      <c r="G2183" s="24">
        <f>Withdrawals_Data!C977</f>
        <v>45318</v>
      </c>
      <c r="H2183" s="27">
        <v>0</v>
      </c>
      <c r="I2183" s="27">
        <f>-Withdrawals_Data!D977</f>
        <v>-12954</v>
      </c>
    </row>
    <row r="2184" spans="3:9">
      <c r="C2184" s="23">
        <v>977</v>
      </c>
      <c r="D2184" s="23" t="s">
        <v>134</v>
      </c>
      <c r="E2184" s="23" t="str">
        <f>Withdrawals_Data!A978</f>
        <v>DA-001</v>
      </c>
      <c r="F2184" s="23" t="str">
        <f>Withdrawals_Data!B978</f>
        <v>DA-001-M0075</v>
      </c>
      <c r="G2184" s="24">
        <f>Withdrawals_Data!C978</f>
        <v>45555</v>
      </c>
      <c r="H2184" s="27">
        <v>0</v>
      </c>
      <c r="I2184" s="27">
        <f>-Withdrawals_Data!D978</f>
        <v>-8618</v>
      </c>
    </row>
    <row r="2185" spans="3:9">
      <c r="C2185" s="23">
        <v>978</v>
      </c>
      <c r="D2185" s="23" t="s">
        <v>134</v>
      </c>
      <c r="E2185" s="23" t="str">
        <f>Withdrawals_Data!A979</f>
        <v>DA-003</v>
      </c>
      <c r="F2185" s="23" t="str">
        <f>Withdrawals_Data!B979</f>
        <v>DA-003-M0076</v>
      </c>
      <c r="G2185" s="24">
        <f>Withdrawals_Data!C979</f>
        <v>45570</v>
      </c>
      <c r="H2185" s="27">
        <v>0</v>
      </c>
      <c r="I2185" s="27">
        <f>-Withdrawals_Data!D979</f>
        <v>-13117</v>
      </c>
    </row>
    <row r="2186" spans="3:9">
      <c r="C2186" s="23">
        <v>979</v>
      </c>
      <c r="D2186" s="23" t="s">
        <v>134</v>
      </c>
      <c r="E2186" s="23" t="str">
        <f>Withdrawals_Data!A980</f>
        <v>DA-003</v>
      </c>
      <c r="F2186" s="23" t="str">
        <f>Withdrawals_Data!B980</f>
        <v>DA-003-M0076</v>
      </c>
      <c r="G2186" s="24">
        <f>Withdrawals_Data!C980</f>
        <v>45375</v>
      </c>
      <c r="H2186" s="27">
        <v>0</v>
      </c>
      <c r="I2186" s="27">
        <f>-Withdrawals_Data!D980</f>
        <v>-14580</v>
      </c>
    </row>
    <row r="2187" spans="3:9">
      <c r="C2187" s="23">
        <v>980</v>
      </c>
      <c r="D2187" s="23" t="s">
        <v>134</v>
      </c>
      <c r="E2187" s="23" t="str">
        <f>Withdrawals_Data!A981</f>
        <v>DA-003</v>
      </c>
      <c r="F2187" s="23" t="str">
        <f>Withdrawals_Data!B981</f>
        <v>DA-003-M0076</v>
      </c>
      <c r="G2187" s="24">
        <f>Withdrawals_Data!C981</f>
        <v>45643</v>
      </c>
      <c r="H2187" s="27">
        <v>0</v>
      </c>
      <c r="I2187" s="27">
        <f>-Withdrawals_Data!D981</f>
        <v>-9801</v>
      </c>
    </row>
    <row r="2188" spans="3:9">
      <c r="C2188" s="23">
        <v>981</v>
      </c>
      <c r="D2188" s="23" t="s">
        <v>134</v>
      </c>
      <c r="E2188" s="23" t="str">
        <f>Withdrawals_Data!A982</f>
        <v>DA-003</v>
      </c>
      <c r="F2188" s="23" t="str">
        <f>Withdrawals_Data!B982</f>
        <v>DA-003-M0076</v>
      </c>
      <c r="G2188" s="24">
        <f>Withdrawals_Data!C982</f>
        <v>45356</v>
      </c>
      <c r="H2188" s="27">
        <v>0</v>
      </c>
      <c r="I2188" s="27">
        <f>-Withdrawals_Data!D982</f>
        <v>-21032</v>
      </c>
    </row>
    <row r="2189" spans="3:9">
      <c r="C2189" s="23">
        <v>982</v>
      </c>
      <c r="D2189" s="23" t="s">
        <v>134</v>
      </c>
      <c r="E2189" s="23" t="str">
        <f>Withdrawals_Data!A983</f>
        <v>DA-003</v>
      </c>
      <c r="F2189" s="23" t="str">
        <f>Withdrawals_Data!B983</f>
        <v>DA-003-M0076</v>
      </c>
      <c r="G2189" s="24">
        <f>Withdrawals_Data!C983</f>
        <v>45484</v>
      </c>
      <c r="H2189" s="27">
        <v>0</v>
      </c>
      <c r="I2189" s="27">
        <f>-Withdrawals_Data!D983</f>
        <v>-12436</v>
      </c>
    </row>
    <row r="2190" spans="3:9">
      <c r="C2190" s="23">
        <v>983</v>
      </c>
      <c r="D2190" s="23" t="s">
        <v>134</v>
      </c>
      <c r="E2190" s="23" t="str">
        <f>Withdrawals_Data!A984</f>
        <v>DA-003</v>
      </c>
      <c r="F2190" s="23" t="str">
        <f>Withdrawals_Data!B984</f>
        <v>DA-003-M0076</v>
      </c>
      <c r="G2190" s="24">
        <f>Withdrawals_Data!C984</f>
        <v>45601</v>
      </c>
      <c r="H2190" s="27">
        <v>0</v>
      </c>
      <c r="I2190" s="27">
        <f>-Withdrawals_Data!D984</f>
        <v>-21427</v>
      </c>
    </row>
    <row r="2191" spans="3:9">
      <c r="C2191" s="23">
        <v>984</v>
      </c>
      <c r="D2191" s="23" t="s">
        <v>134</v>
      </c>
      <c r="E2191" s="23" t="str">
        <f>Withdrawals_Data!A985</f>
        <v>DA-003</v>
      </c>
      <c r="F2191" s="23" t="str">
        <f>Withdrawals_Data!B985</f>
        <v>DA-003-M0076</v>
      </c>
      <c r="G2191" s="24">
        <f>Withdrawals_Data!C985</f>
        <v>45627</v>
      </c>
      <c r="H2191" s="27">
        <v>0</v>
      </c>
      <c r="I2191" s="27">
        <f>-Withdrawals_Data!D985</f>
        <v>-21313</v>
      </c>
    </row>
    <row r="2192" spans="3:9">
      <c r="C2192" s="23">
        <v>985</v>
      </c>
      <c r="D2192" s="23" t="s">
        <v>134</v>
      </c>
      <c r="E2192" s="23" t="str">
        <f>Withdrawals_Data!A986</f>
        <v>DA-003</v>
      </c>
      <c r="F2192" s="23" t="str">
        <f>Withdrawals_Data!B986</f>
        <v>DA-003-M0076</v>
      </c>
      <c r="G2192" s="24">
        <f>Withdrawals_Data!C986</f>
        <v>45392</v>
      </c>
      <c r="H2192" s="27">
        <v>0</v>
      </c>
      <c r="I2192" s="27">
        <f>-Withdrawals_Data!D986</f>
        <v>-18869</v>
      </c>
    </row>
    <row r="2193" spans="3:9">
      <c r="C2193" s="23">
        <v>986</v>
      </c>
      <c r="D2193" s="23" t="s">
        <v>134</v>
      </c>
      <c r="E2193" s="23" t="str">
        <f>Withdrawals_Data!A987</f>
        <v>DA-003</v>
      </c>
      <c r="F2193" s="23" t="str">
        <f>Withdrawals_Data!B987</f>
        <v>DA-003-M0077</v>
      </c>
      <c r="G2193" s="24">
        <f>Withdrawals_Data!C987</f>
        <v>45349</v>
      </c>
      <c r="H2193" s="27">
        <v>0</v>
      </c>
      <c r="I2193" s="27">
        <f>-Withdrawals_Data!D987</f>
        <v>-10829</v>
      </c>
    </row>
    <row r="2194" spans="3:9">
      <c r="C2194" s="23">
        <v>987</v>
      </c>
      <c r="D2194" s="23" t="s">
        <v>134</v>
      </c>
      <c r="E2194" s="23" t="str">
        <f>Withdrawals_Data!A988</f>
        <v>DA-003</v>
      </c>
      <c r="F2194" s="23" t="str">
        <f>Withdrawals_Data!B988</f>
        <v>DA-003-M0077</v>
      </c>
      <c r="G2194" s="24">
        <f>Withdrawals_Data!C988</f>
        <v>45604</v>
      </c>
      <c r="H2194" s="27">
        <v>0</v>
      </c>
      <c r="I2194" s="27">
        <f>-Withdrawals_Data!D988</f>
        <v>-16055</v>
      </c>
    </row>
    <row r="2195" spans="3:9">
      <c r="C2195" s="23">
        <v>988</v>
      </c>
      <c r="D2195" s="23" t="s">
        <v>134</v>
      </c>
      <c r="E2195" s="23" t="str">
        <f>Withdrawals_Data!A989</f>
        <v>DA-003</v>
      </c>
      <c r="F2195" s="23" t="str">
        <f>Withdrawals_Data!B989</f>
        <v>DA-003-M0077</v>
      </c>
      <c r="G2195" s="24">
        <f>Withdrawals_Data!C989</f>
        <v>45534</v>
      </c>
      <c r="H2195" s="27">
        <v>0</v>
      </c>
      <c r="I2195" s="27">
        <f>-Withdrawals_Data!D989</f>
        <v>-4937</v>
      </c>
    </row>
    <row r="2196" spans="3:9">
      <c r="C2196" s="23">
        <v>989</v>
      </c>
      <c r="D2196" s="23" t="s">
        <v>134</v>
      </c>
      <c r="E2196" s="23" t="str">
        <f>Withdrawals_Data!A990</f>
        <v>DA-003</v>
      </c>
      <c r="F2196" s="23" t="str">
        <f>Withdrawals_Data!B990</f>
        <v>DA-003-M0077</v>
      </c>
      <c r="G2196" s="24">
        <f>Withdrawals_Data!C990</f>
        <v>45471</v>
      </c>
      <c r="H2196" s="27">
        <v>0</v>
      </c>
      <c r="I2196" s="27">
        <f>-Withdrawals_Data!D990</f>
        <v>-21351</v>
      </c>
    </row>
    <row r="2197" spans="3:9">
      <c r="C2197" s="23">
        <v>990</v>
      </c>
      <c r="D2197" s="23" t="s">
        <v>134</v>
      </c>
      <c r="E2197" s="23" t="str">
        <f>Withdrawals_Data!A991</f>
        <v>DA-003</v>
      </c>
      <c r="F2197" s="23" t="str">
        <f>Withdrawals_Data!B991</f>
        <v>DA-003-M0077</v>
      </c>
      <c r="G2197" s="24">
        <f>Withdrawals_Data!C991</f>
        <v>45445</v>
      </c>
      <c r="H2197" s="27">
        <v>0</v>
      </c>
      <c r="I2197" s="27">
        <f>-Withdrawals_Data!D991</f>
        <v>-3294</v>
      </c>
    </row>
    <row r="2198" spans="3:9">
      <c r="C2198" s="23">
        <v>991</v>
      </c>
      <c r="D2198" s="23" t="s">
        <v>134</v>
      </c>
      <c r="E2198" s="23" t="str">
        <f>Withdrawals_Data!A992</f>
        <v>DA-003</v>
      </c>
      <c r="F2198" s="23" t="str">
        <f>Withdrawals_Data!B992</f>
        <v>DA-003-M0077</v>
      </c>
      <c r="G2198" s="24">
        <f>Withdrawals_Data!C992</f>
        <v>45572</v>
      </c>
      <c r="H2198" s="27">
        <v>0</v>
      </c>
      <c r="I2198" s="27">
        <f>-Withdrawals_Data!D992</f>
        <v>-9663</v>
      </c>
    </row>
    <row r="2199" spans="3:9">
      <c r="C2199" s="23">
        <v>992</v>
      </c>
      <c r="D2199" s="23" t="s">
        <v>134</v>
      </c>
      <c r="E2199" s="23" t="str">
        <f>Withdrawals_Data!A993</f>
        <v>DA-003</v>
      </c>
      <c r="F2199" s="23" t="str">
        <f>Withdrawals_Data!B993</f>
        <v>DA-003-M0077</v>
      </c>
      <c r="G2199" s="24">
        <f>Withdrawals_Data!C993</f>
        <v>45507</v>
      </c>
      <c r="H2199" s="27">
        <v>0</v>
      </c>
      <c r="I2199" s="27">
        <f>-Withdrawals_Data!D993</f>
        <v>-6412</v>
      </c>
    </row>
    <row r="2200" spans="3:9">
      <c r="C2200" s="23">
        <v>993</v>
      </c>
      <c r="D2200" s="23" t="s">
        <v>134</v>
      </c>
      <c r="E2200" s="23" t="str">
        <f>Withdrawals_Data!A994</f>
        <v>DA-003</v>
      </c>
      <c r="F2200" s="23" t="str">
        <f>Withdrawals_Data!B994</f>
        <v>DA-003-M0077</v>
      </c>
      <c r="G2200" s="24">
        <f>Withdrawals_Data!C994</f>
        <v>45548</v>
      </c>
      <c r="H2200" s="27">
        <v>0</v>
      </c>
      <c r="I2200" s="27">
        <f>-Withdrawals_Data!D994</f>
        <v>-13518</v>
      </c>
    </row>
    <row r="2201" spans="3:9">
      <c r="C2201" s="23">
        <v>994</v>
      </c>
      <c r="D2201" s="23" t="s">
        <v>134</v>
      </c>
      <c r="E2201" s="23" t="str">
        <f>Withdrawals_Data!A995</f>
        <v>DA-003</v>
      </c>
      <c r="F2201" s="23" t="str">
        <f>Withdrawals_Data!B995</f>
        <v>DA-003-M0077</v>
      </c>
      <c r="G2201" s="24">
        <f>Withdrawals_Data!C995</f>
        <v>45595</v>
      </c>
      <c r="H2201" s="27">
        <v>0</v>
      </c>
      <c r="I2201" s="27">
        <f>-Withdrawals_Data!D995</f>
        <v>-15009</v>
      </c>
    </row>
    <row r="2202" spans="3:9">
      <c r="C2202" s="23">
        <v>995</v>
      </c>
      <c r="D2202" s="23" t="s">
        <v>134</v>
      </c>
      <c r="E2202" s="23" t="str">
        <f>Withdrawals_Data!A996</f>
        <v>DA-002</v>
      </c>
      <c r="F2202" s="23" t="str">
        <f>Withdrawals_Data!B996</f>
        <v>DA-002-M0078</v>
      </c>
      <c r="G2202" s="24">
        <f>Withdrawals_Data!C996</f>
        <v>45424</v>
      </c>
      <c r="H2202" s="27">
        <v>0</v>
      </c>
      <c r="I2202" s="27">
        <f>-Withdrawals_Data!D996</f>
        <v>-4237</v>
      </c>
    </row>
    <row r="2203" spans="3:9">
      <c r="C2203" s="23">
        <v>996</v>
      </c>
      <c r="D2203" s="23" t="s">
        <v>134</v>
      </c>
      <c r="E2203" s="23" t="str">
        <f>Withdrawals_Data!A997</f>
        <v>DA-002</v>
      </c>
      <c r="F2203" s="23" t="str">
        <f>Withdrawals_Data!B997</f>
        <v>DA-002-M0078</v>
      </c>
      <c r="G2203" s="24">
        <f>Withdrawals_Data!C997</f>
        <v>45510</v>
      </c>
      <c r="H2203" s="27">
        <v>0</v>
      </c>
      <c r="I2203" s="27">
        <f>-Withdrawals_Data!D997</f>
        <v>-8722</v>
      </c>
    </row>
    <row r="2204" spans="3:9">
      <c r="C2204" s="23">
        <v>997</v>
      </c>
      <c r="D2204" s="23" t="s">
        <v>134</v>
      </c>
      <c r="E2204" s="23" t="str">
        <f>Withdrawals_Data!A998</f>
        <v>DA-002</v>
      </c>
      <c r="F2204" s="23" t="str">
        <f>Withdrawals_Data!B998</f>
        <v>DA-002-M0078</v>
      </c>
      <c r="G2204" s="24">
        <f>Withdrawals_Data!C998</f>
        <v>45619</v>
      </c>
      <c r="H2204" s="27">
        <v>0</v>
      </c>
      <c r="I2204" s="27">
        <f>-Withdrawals_Data!D998</f>
        <v>-19273</v>
      </c>
    </row>
    <row r="2205" spans="3:9">
      <c r="C2205" s="23">
        <v>998</v>
      </c>
      <c r="D2205" s="23" t="s">
        <v>134</v>
      </c>
      <c r="E2205" s="23" t="str">
        <f>Withdrawals_Data!A999</f>
        <v>DA-002</v>
      </c>
      <c r="F2205" s="23" t="str">
        <f>Withdrawals_Data!B999</f>
        <v>DA-002-M0078</v>
      </c>
      <c r="G2205" s="24">
        <f>Withdrawals_Data!C999</f>
        <v>45575</v>
      </c>
      <c r="H2205" s="27">
        <v>0</v>
      </c>
      <c r="I2205" s="27">
        <f>-Withdrawals_Data!D999</f>
        <v>-5023</v>
      </c>
    </row>
    <row r="2206" spans="3:9">
      <c r="C2206" s="23">
        <v>999</v>
      </c>
      <c r="D2206" s="23" t="s">
        <v>134</v>
      </c>
      <c r="E2206" s="23" t="str">
        <f>Withdrawals_Data!A1000</f>
        <v>DA-002</v>
      </c>
      <c r="F2206" s="23" t="str">
        <f>Withdrawals_Data!B1000</f>
        <v>DA-002-M0078</v>
      </c>
      <c r="G2206" s="24">
        <f>Withdrawals_Data!C1000</f>
        <v>45389</v>
      </c>
      <c r="H2206" s="27">
        <v>0</v>
      </c>
      <c r="I2206" s="27">
        <f>-Withdrawals_Data!D1000</f>
        <v>-1524</v>
      </c>
    </row>
    <row r="2207" spans="3:9">
      <c r="C2207" s="23">
        <v>1000</v>
      </c>
      <c r="D2207" s="23" t="s">
        <v>134</v>
      </c>
      <c r="E2207" s="23" t="str">
        <f>Withdrawals_Data!A1001</f>
        <v>DA-002</v>
      </c>
      <c r="F2207" s="23" t="str">
        <f>Withdrawals_Data!B1001</f>
        <v>DA-002-M0078</v>
      </c>
      <c r="G2207" s="24">
        <f>Withdrawals_Data!C1001</f>
        <v>45357</v>
      </c>
      <c r="H2207" s="27">
        <v>0</v>
      </c>
      <c r="I2207" s="27">
        <f>-Withdrawals_Data!D1001</f>
        <v>-9995</v>
      </c>
    </row>
    <row r="2208" spans="3:9">
      <c r="C2208" s="23">
        <v>1001</v>
      </c>
      <c r="D2208" s="23" t="s">
        <v>134</v>
      </c>
      <c r="E2208" s="23" t="str">
        <f>Withdrawals_Data!A1002</f>
        <v>DA-002</v>
      </c>
      <c r="F2208" s="23" t="str">
        <f>Withdrawals_Data!B1002</f>
        <v>DA-002-M0078</v>
      </c>
      <c r="G2208" s="24">
        <f>Withdrawals_Data!C1002</f>
        <v>45391</v>
      </c>
      <c r="H2208" s="27">
        <v>0</v>
      </c>
      <c r="I2208" s="27">
        <f>-Withdrawals_Data!D1002</f>
        <v>-7813</v>
      </c>
    </row>
    <row r="2209" spans="3:9">
      <c r="C2209" s="23">
        <v>1002</v>
      </c>
      <c r="D2209" s="23" t="s">
        <v>134</v>
      </c>
      <c r="E2209" s="23" t="str">
        <f>Withdrawals_Data!A1003</f>
        <v>DA-002</v>
      </c>
      <c r="F2209" s="23" t="str">
        <f>Withdrawals_Data!B1003</f>
        <v>DA-002-M0078</v>
      </c>
      <c r="G2209" s="24">
        <f>Withdrawals_Data!C1003</f>
        <v>45596</v>
      </c>
      <c r="H2209" s="27">
        <v>0</v>
      </c>
      <c r="I2209" s="27">
        <f>-Withdrawals_Data!D1003</f>
        <v>-10425</v>
      </c>
    </row>
    <row r="2210" spans="3:9">
      <c r="C2210" s="23">
        <v>1003</v>
      </c>
      <c r="D2210" s="23" t="s">
        <v>134</v>
      </c>
      <c r="E2210" s="23" t="str">
        <f>Withdrawals_Data!A1004</f>
        <v>DA-002</v>
      </c>
      <c r="F2210" s="23" t="str">
        <f>Withdrawals_Data!B1004</f>
        <v>DA-002-M0078</v>
      </c>
      <c r="G2210" s="24">
        <f>Withdrawals_Data!C1004</f>
        <v>45582</v>
      </c>
      <c r="H2210" s="27">
        <v>0</v>
      </c>
      <c r="I2210" s="27">
        <f>-Withdrawals_Data!D1004</f>
        <v>-20498</v>
      </c>
    </row>
    <row r="2211" spans="3:9">
      <c r="C2211" s="23">
        <v>1004</v>
      </c>
      <c r="D2211" s="23" t="s">
        <v>134</v>
      </c>
      <c r="E2211" s="23" t="str">
        <f>Withdrawals_Data!A1005</f>
        <v>DA-003</v>
      </c>
      <c r="F2211" s="23" t="str">
        <f>Withdrawals_Data!B1005</f>
        <v>DA-003-M0079</v>
      </c>
      <c r="G2211" s="24">
        <f>Withdrawals_Data!C1005</f>
        <v>45461</v>
      </c>
      <c r="H2211" s="27">
        <v>0</v>
      </c>
      <c r="I2211" s="27">
        <f>-Withdrawals_Data!D1005</f>
        <v>-9358</v>
      </c>
    </row>
    <row r="2212" spans="3:9">
      <c r="C2212" s="23">
        <v>1005</v>
      </c>
      <c r="D2212" s="23" t="s">
        <v>134</v>
      </c>
      <c r="E2212" s="23" t="str">
        <f>Withdrawals_Data!A1006</f>
        <v>DA-003</v>
      </c>
      <c r="F2212" s="23" t="str">
        <f>Withdrawals_Data!B1006</f>
        <v>DA-003-M0079</v>
      </c>
      <c r="G2212" s="24">
        <f>Withdrawals_Data!C1006</f>
        <v>45473</v>
      </c>
      <c r="H2212" s="27">
        <v>0</v>
      </c>
      <c r="I2212" s="27">
        <f>-Withdrawals_Data!D1006</f>
        <v>-3827</v>
      </c>
    </row>
    <row r="2213" spans="3:9">
      <c r="C2213" s="23">
        <v>1006</v>
      </c>
      <c r="D2213" s="23" t="s">
        <v>134</v>
      </c>
      <c r="E2213" s="23" t="str">
        <f>Withdrawals_Data!A1007</f>
        <v>DA-003</v>
      </c>
      <c r="F2213" s="23" t="str">
        <f>Withdrawals_Data!B1007</f>
        <v>DA-003-M0079</v>
      </c>
      <c r="G2213" s="24">
        <f>Withdrawals_Data!C1007</f>
        <v>45325</v>
      </c>
      <c r="H2213" s="27">
        <v>0</v>
      </c>
      <c r="I2213" s="27">
        <f>-Withdrawals_Data!D1007</f>
        <v>-6663</v>
      </c>
    </row>
    <row r="2214" spans="3:9">
      <c r="C2214" s="23">
        <v>1007</v>
      </c>
      <c r="D2214" s="23" t="s">
        <v>134</v>
      </c>
      <c r="E2214" s="23" t="str">
        <f>Withdrawals_Data!A1008</f>
        <v>DA-003</v>
      </c>
      <c r="F2214" s="23" t="str">
        <f>Withdrawals_Data!B1008</f>
        <v>DA-003-M0079</v>
      </c>
      <c r="G2214" s="24">
        <f>Withdrawals_Data!C1008</f>
        <v>45423</v>
      </c>
      <c r="H2214" s="27">
        <v>0</v>
      </c>
      <c r="I2214" s="27">
        <f>-Withdrawals_Data!D1008</f>
        <v>-17538</v>
      </c>
    </row>
    <row r="2215" spans="3:9">
      <c r="C2215" s="23">
        <v>1008</v>
      </c>
      <c r="D2215" s="23" t="s">
        <v>134</v>
      </c>
      <c r="E2215" s="23" t="str">
        <f>Withdrawals_Data!A1009</f>
        <v>DA-003</v>
      </c>
      <c r="F2215" s="23" t="str">
        <f>Withdrawals_Data!B1009</f>
        <v>DA-003-M0079</v>
      </c>
      <c r="G2215" s="24">
        <f>Withdrawals_Data!C1009</f>
        <v>45529</v>
      </c>
      <c r="H2215" s="27">
        <v>0</v>
      </c>
      <c r="I2215" s="27">
        <f>-Withdrawals_Data!D1009</f>
        <v>-10257</v>
      </c>
    </row>
    <row r="2216" spans="3:9">
      <c r="C2216" s="23">
        <v>1009</v>
      </c>
      <c r="D2216" s="23" t="s">
        <v>134</v>
      </c>
      <c r="E2216" s="23" t="str">
        <f>Withdrawals_Data!A1010</f>
        <v>DA-003</v>
      </c>
      <c r="F2216" s="23" t="str">
        <f>Withdrawals_Data!B1010</f>
        <v>DA-003-M0079</v>
      </c>
      <c r="G2216" s="24">
        <f>Withdrawals_Data!C1010</f>
        <v>45535</v>
      </c>
      <c r="H2216" s="27">
        <v>0</v>
      </c>
      <c r="I2216" s="27">
        <f>-Withdrawals_Data!D1010</f>
        <v>-11400</v>
      </c>
    </row>
    <row r="2217" spans="3:9">
      <c r="C2217" s="23">
        <v>1010</v>
      </c>
      <c r="D2217" s="23" t="s">
        <v>134</v>
      </c>
      <c r="E2217" s="23" t="str">
        <f>Withdrawals_Data!A1011</f>
        <v>DA-003</v>
      </c>
      <c r="F2217" s="23" t="str">
        <f>Withdrawals_Data!B1011</f>
        <v>DA-003-M0079</v>
      </c>
      <c r="G2217" s="24">
        <f>Withdrawals_Data!C1011</f>
        <v>45390</v>
      </c>
      <c r="H2217" s="27">
        <v>0</v>
      </c>
      <c r="I2217" s="27">
        <f>-Withdrawals_Data!D1011</f>
        <v>-20992</v>
      </c>
    </row>
    <row r="2218" spans="3:9">
      <c r="C2218" s="23">
        <v>1011</v>
      </c>
      <c r="D2218" s="23" t="s">
        <v>134</v>
      </c>
      <c r="E2218" s="23" t="str">
        <f>Withdrawals_Data!A1012</f>
        <v>DA-003</v>
      </c>
      <c r="F2218" s="23" t="str">
        <f>Withdrawals_Data!B1012</f>
        <v>DA-003-M0079</v>
      </c>
      <c r="G2218" s="24">
        <f>Withdrawals_Data!C1012</f>
        <v>45628</v>
      </c>
      <c r="H2218" s="27">
        <v>0</v>
      </c>
      <c r="I2218" s="27">
        <f>-Withdrawals_Data!D1012</f>
        <v>-1447</v>
      </c>
    </row>
    <row r="2219" spans="3:9">
      <c r="C2219" s="23">
        <v>1012</v>
      </c>
      <c r="D2219" s="23" t="s">
        <v>134</v>
      </c>
      <c r="E2219" s="23" t="str">
        <f>Withdrawals_Data!A1013</f>
        <v>DA-003</v>
      </c>
      <c r="F2219" s="23" t="str">
        <f>Withdrawals_Data!B1013</f>
        <v>DA-003-M0079</v>
      </c>
      <c r="G2219" s="24">
        <f>Withdrawals_Data!C1013</f>
        <v>45536</v>
      </c>
      <c r="H2219" s="27">
        <v>0</v>
      </c>
      <c r="I2219" s="27">
        <f>-Withdrawals_Data!D1013</f>
        <v>-19914</v>
      </c>
    </row>
    <row r="2220" spans="3:9">
      <c r="C2220" s="23">
        <v>1013</v>
      </c>
      <c r="D2220" s="23" t="s">
        <v>134</v>
      </c>
      <c r="E2220" s="23" t="str">
        <f>Withdrawals_Data!A1014</f>
        <v>DA-003</v>
      </c>
      <c r="F2220" s="23" t="str">
        <f>Withdrawals_Data!B1014</f>
        <v>DA-003-M0080</v>
      </c>
      <c r="G2220" s="24">
        <f>Withdrawals_Data!C1014</f>
        <v>45597</v>
      </c>
      <c r="H2220" s="27">
        <v>0</v>
      </c>
      <c r="I2220" s="27">
        <f>-Withdrawals_Data!D1014</f>
        <v>-7341</v>
      </c>
    </row>
    <row r="2221" spans="3:9">
      <c r="C2221" s="23">
        <v>1014</v>
      </c>
      <c r="D2221" s="23" t="s">
        <v>134</v>
      </c>
      <c r="E2221" s="23" t="str">
        <f>Withdrawals_Data!A1015</f>
        <v>DA-003</v>
      </c>
      <c r="F2221" s="23" t="str">
        <f>Withdrawals_Data!B1015</f>
        <v>DA-003-M0080</v>
      </c>
      <c r="G2221" s="24">
        <f>Withdrawals_Data!C1015</f>
        <v>45388</v>
      </c>
      <c r="H2221" s="27">
        <v>0</v>
      </c>
      <c r="I2221" s="27">
        <f>-Withdrawals_Data!D1015</f>
        <v>-14382</v>
      </c>
    </row>
    <row r="2222" spans="3:9">
      <c r="C2222" s="23">
        <v>1015</v>
      </c>
      <c r="D2222" s="23" t="s">
        <v>134</v>
      </c>
      <c r="E2222" s="23" t="str">
        <f>Withdrawals_Data!A1016</f>
        <v>DA-003</v>
      </c>
      <c r="F2222" s="23" t="str">
        <f>Withdrawals_Data!B1016</f>
        <v>DA-003-M0080</v>
      </c>
      <c r="G2222" s="24">
        <f>Withdrawals_Data!C1016</f>
        <v>45635</v>
      </c>
      <c r="H2222" s="27">
        <v>0</v>
      </c>
      <c r="I2222" s="27">
        <f>-Withdrawals_Data!D1016</f>
        <v>-9554</v>
      </c>
    </row>
    <row r="2223" spans="3:9">
      <c r="C2223" s="23">
        <v>1016</v>
      </c>
      <c r="D2223" s="23" t="s">
        <v>134</v>
      </c>
      <c r="E2223" s="23" t="str">
        <f>Withdrawals_Data!A1017</f>
        <v>DA-003</v>
      </c>
      <c r="F2223" s="23" t="str">
        <f>Withdrawals_Data!B1017</f>
        <v>DA-003-M0080</v>
      </c>
      <c r="G2223" s="24">
        <f>Withdrawals_Data!C1017</f>
        <v>45627</v>
      </c>
      <c r="H2223" s="27">
        <v>0</v>
      </c>
      <c r="I2223" s="27">
        <f>-Withdrawals_Data!D1017</f>
        <v>-21301</v>
      </c>
    </row>
    <row r="2224" spans="3:9">
      <c r="C2224" s="23">
        <v>1017</v>
      </c>
      <c r="D2224" s="23" t="s">
        <v>134</v>
      </c>
      <c r="E2224" s="23" t="str">
        <f>Withdrawals_Data!A1018</f>
        <v>DA-003</v>
      </c>
      <c r="F2224" s="23" t="str">
        <f>Withdrawals_Data!B1018</f>
        <v>DA-003-M0080</v>
      </c>
      <c r="G2224" s="24">
        <f>Withdrawals_Data!C1018</f>
        <v>45607</v>
      </c>
      <c r="H2224" s="27">
        <v>0</v>
      </c>
      <c r="I2224" s="27">
        <f>-Withdrawals_Data!D1018</f>
        <v>-5909</v>
      </c>
    </row>
    <row r="2225" spans="3:9">
      <c r="C2225" s="23">
        <v>1018</v>
      </c>
      <c r="D2225" s="23" t="s">
        <v>134</v>
      </c>
      <c r="E2225" s="23" t="str">
        <f>Withdrawals_Data!A1019</f>
        <v>DA-003</v>
      </c>
      <c r="F2225" s="23" t="str">
        <f>Withdrawals_Data!B1019</f>
        <v>DA-003-M0080</v>
      </c>
      <c r="G2225" s="24">
        <f>Withdrawals_Data!C1019</f>
        <v>45480</v>
      </c>
      <c r="H2225" s="27">
        <v>0</v>
      </c>
      <c r="I2225" s="27">
        <f>-Withdrawals_Data!D1019</f>
        <v>-2014</v>
      </c>
    </row>
    <row r="2226" spans="3:9">
      <c r="C2226" s="23">
        <v>1019</v>
      </c>
      <c r="D2226" s="23" t="s">
        <v>134</v>
      </c>
      <c r="E2226" s="23" t="str">
        <f>Withdrawals_Data!A1020</f>
        <v>DA-003</v>
      </c>
      <c r="F2226" s="23" t="str">
        <f>Withdrawals_Data!B1020</f>
        <v>DA-003-M0080</v>
      </c>
      <c r="G2226" s="24">
        <f>Withdrawals_Data!C1020</f>
        <v>45585</v>
      </c>
      <c r="H2226" s="27">
        <v>0</v>
      </c>
      <c r="I2226" s="27">
        <f>-Withdrawals_Data!D1020</f>
        <v>-8729</v>
      </c>
    </row>
    <row r="2227" spans="3:9">
      <c r="C2227" s="23">
        <v>1020</v>
      </c>
      <c r="D2227" s="23" t="s">
        <v>134</v>
      </c>
      <c r="E2227" s="23" t="str">
        <f>Withdrawals_Data!A1021</f>
        <v>DA-003</v>
      </c>
      <c r="F2227" s="23" t="str">
        <f>Withdrawals_Data!B1021</f>
        <v>DA-003-M0080</v>
      </c>
      <c r="G2227" s="24">
        <f>Withdrawals_Data!C1021</f>
        <v>45488</v>
      </c>
      <c r="H2227" s="27">
        <v>0</v>
      </c>
      <c r="I2227" s="27">
        <f>-Withdrawals_Data!D1021</f>
        <v>-20904</v>
      </c>
    </row>
    <row r="2228" spans="3:9">
      <c r="C2228" s="23">
        <v>1021</v>
      </c>
      <c r="D2228" s="23" t="s">
        <v>134</v>
      </c>
      <c r="E2228" s="23" t="str">
        <f>Withdrawals_Data!A1022</f>
        <v>DA-003</v>
      </c>
      <c r="F2228" s="23" t="str">
        <f>Withdrawals_Data!B1022</f>
        <v>DA-003-M0080</v>
      </c>
      <c r="G2228" s="24">
        <f>Withdrawals_Data!C1022</f>
        <v>45489</v>
      </c>
      <c r="H2228" s="27">
        <v>0</v>
      </c>
      <c r="I2228" s="27">
        <f>-Withdrawals_Data!D1022</f>
        <v>-5539</v>
      </c>
    </row>
    <row r="2229" spans="3:9">
      <c r="C2229" s="23">
        <v>1022</v>
      </c>
      <c r="D2229" s="23" t="s">
        <v>134</v>
      </c>
      <c r="E2229" s="23" t="str">
        <f>Withdrawals_Data!A1023</f>
        <v>DA-003</v>
      </c>
      <c r="F2229" s="23" t="str">
        <f>Withdrawals_Data!B1023</f>
        <v>DA-003-M0080</v>
      </c>
      <c r="G2229" s="24">
        <f>Withdrawals_Data!C1023</f>
        <v>45419</v>
      </c>
      <c r="H2229" s="27">
        <v>0</v>
      </c>
      <c r="I2229" s="27">
        <f>-Withdrawals_Data!D1023</f>
        <v>-2195</v>
      </c>
    </row>
    <row r="2230" spans="3:9">
      <c r="C2230" s="23">
        <v>1023</v>
      </c>
      <c r="D2230" s="23" t="s">
        <v>134</v>
      </c>
      <c r="E2230" s="23" t="str">
        <f>Withdrawals_Data!A1024</f>
        <v>DA-003</v>
      </c>
      <c r="F2230" s="23" t="str">
        <f>Withdrawals_Data!B1024</f>
        <v>DA-003-M0080</v>
      </c>
      <c r="G2230" s="24">
        <f>Withdrawals_Data!C1024</f>
        <v>45631</v>
      </c>
      <c r="H2230" s="27">
        <v>0</v>
      </c>
      <c r="I2230" s="27">
        <f>-Withdrawals_Data!D1024</f>
        <v>-2953</v>
      </c>
    </row>
    <row r="2231" spans="3:9">
      <c r="C2231" s="23">
        <v>1024</v>
      </c>
      <c r="D2231" s="23" t="s">
        <v>134</v>
      </c>
      <c r="E2231" s="23" t="str">
        <f>Withdrawals_Data!A1025</f>
        <v>DA-003</v>
      </c>
      <c r="F2231" s="23" t="str">
        <f>Withdrawals_Data!B1025</f>
        <v>DA-003-M0080</v>
      </c>
      <c r="G2231" s="24">
        <f>Withdrawals_Data!C1025</f>
        <v>45361</v>
      </c>
      <c r="H2231" s="27">
        <v>0</v>
      </c>
      <c r="I2231" s="27">
        <f>-Withdrawals_Data!D1025</f>
        <v>-1727</v>
      </c>
    </row>
    <row r="2232" spans="3:9">
      <c r="C2232" s="23">
        <v>1025</v>
      </c>
      <c r="D2232" s="23" t="s">
        <v>134</v>
      </c>
      <c r="E2232" s="23" t="str">
        <f>Withdrawals_Data!A1026</f>
        <v>DA-003</v>
      </c>
      <c r="F2232" s="23" t="str">
        <f>Withdrawals_Data!B1026</f>
        <v>DA-003-M0081</v>
      </c>
      <c r="G2232" s="24">
        <f>Withdrawals_Data!C1026</f>
        <v>45447</v>
      </c>
      <c r="H2232" s="27">
        <v>0</v>
      </c>
      <c r="I2232" s="27">
        <f>-Withdrawals_Data!D1026</f>
        <v>-15574</v>
      </c>
    </row>
    <row r="2233" spans="3:9">
      <c r="C2233" s="23">
        <v>1026</v>
      </c>
      <c r="D2233" s="23" t="s">
        <v>134</v>
      </c>
      <c r="E2233" s="23" t="str">
        <f>Withdrawals_Data!A1027</f>
        <v>DA-003</v>
      </c>
      <c r="F2233" s="23" t="str">
        <f>Withdrawals_Data!B1027</f>
        <v>DA-003-M0081</v>
      </c>
      <c r="G2233" s="24">
        <f>Withdrawals_Data!C1027</f>
        <v>45511</v>
      </c>
      <c r="H2233" s="27">
        <v>0</v>
      </c>
      <c r="I2233" s="27">
        <f>-Withdrawals_Data!D1027</f>
        <v>-13974</v>
      </c>
    </row>
    <row r="2234" spans="3:9">
      <c r="C2234" s="23">
        <v>1027</v>
      </c>
      <c r="D2234" s="23" t="s">
        <v>134</v>
      </c>
      <c r="E2234" s="23" t="str">
        <f>Withdrawals_Data!A1028</f>
        <v>DA-003</v>
      </c>
      <c r="F2234" s="23" t="str">
        <f>Withdrawals_Data!B1028</f>
        <v>DA-003-M0081</v>
      </c>
      <c r="G2234" s="24">
        <f>Withdrawals_Data!C1028</f>
        <v>45558</v>
      </c>
      <c r="H2234" s="27">
        <v>0</v>
      </c>
      <c r="I2234" s="27">
        <f>-Withdrawals_Data!D1028</f>
        <v>-4109</v>
      </c>
    </row>
    <row r="2235" spans="3:9">
      <c r="C2235" s="23">
        <v>1028</v>
      </c>
      <c r="D2235" s="23" t="s">
        <v>134</v>
      </c>
      <c r="E2235" s="23" t="str">
        <f>Withdrawals_Data!A1029</f>
        <v>DA-003</v>
      </c>
      <c r="F2235" s="23" t="str">
        <f>Withdrawals_Data!B1029</f>
        <v>DA-003-M0081</v>
      </c>
      <c r="G2235" s="24">
        <f>Withdrawals_Data!C1029</f>
        <v>45620</v>
      </c>
      <c r="H2235" s="27">
        <v>0</v>
      </c>
      <c r="I2235" s="27">
        <f>-Withdrawals_Data!D1029</f>
        <v>-8356</v>
      </c>
    </row>
    <row r="2236" spans="3:9">
      <c r="C2236" s="23">
        <v>1029</v>
      </c>
      <c r="D2236" s="23" t="s">
        <v>134</v>
      </c>
      <c r="E2236" s="23" t="str">
        <f>Withdrawals_Data!A1030</f>
        <v>DA-003</v>
      </c>
      <c r="F2236" s="23" t="str">
        <f>Withdrawals_Data!B1030</f>
        <v>DA-003-M0081</v>
      </c>
      <c r="G2236" s="24">
        <f>Withdrawals_Data!C1030</f>
        <v>45398</v>
      </c>
      <c r="H2236" s="27">
        <v>0</v>
      </c>
      <c r="I2236" s="27">
        <f>-Withdrawals_Data!D1030</f>
        <v>-6816</v>
      </c>
    </row>
    <row r="2237" spans="3:9">
      <c r="C2237" s="23">
        <v>1030</v>
      </c>
      <c r="D2237" s="23" t="s">
        <v>134</v>
      </c>
      <c r="E2237" s="23" t="str">
        <f>Withdrawals_Data!A1031</f>
        <v>DA-003</v>
      </c>
      <c r="F2237" s="23" t="str">
        <f>Withdrawals_Data!B1031</f>
        <v>DA-003-M0081</v>
      </c>
      <c r="G2237" s="24">
        <f>Withdrawals_Data!C1031</f>
        <v>45300</v>
      </c>
      <c r="H2237" s="27">
        <v>0</v>
      </c>
      <c r="I2237" s="27">
        <f>-Withdrawals_Data!D1031</f>
        <v>-7680</v>
      </c>
    </row>
    <row r="2238" spans="3:9">
      <c r="C2238" s="23">
        <v>1031</v>
      </c>
      <c r="D2238" s="23" t="s">
        <v>134</v>
      </c>
      <c r="E2238" s="23" t="str">
        <f>Withdrawals_Data!A1032</f>
        <v>DA-003</v>
      </c>
      <c r="F2238" s="23" t="str">
        <f>Withdrawals_Data!B1032</f>
        <v>DA-003-M0081</v>
      </c>
      <c r="G2238" s="24">
        <f>Withdrawals_Data!C1032</f>
        <v>45404</v>
      </c>
      <c r="H2238" s="27">
        <v>0</v>
      </c>
      <c r="I2238" s="27">
        <f>-Withdrawals_Data!D1032</f>
        <v>-7553</v>
      </c>
    </row>
    <row r="2239" spans="3:9">
      <c r="C2239" s="23">
        <v>1032</v>
      </c>
      <c r="D2239" s="23" t="s">
        <v>134</v>
      </c>
      <c r="E2239" s="23" t="str">
        <f>Withdrawals_Data!A1033</f>
        <v>DA-003</v>
      </c>
      <c r="F2239" s="23" t="str">
        <f>Withdrawals_Data!B1033</f>
        <v>DA-003-M0081</v>
      </c>
      <c r="G2239" s="24">
        <f>Withdrawals_Data!C1033</f>
        <v>45519</v>
      </c>
      <c r="H2239" s="27">
        <v>0</v>
      </c>
      <c r="I2239" s="27">
        <f>-Withdrawals_Data!D1033</f>
        <v>-13091</v>
      </c>
    </row>
    <row r="2240" spans="3:9">
      <c r="C2240" s="23">
        <v>1033</v>
      </c>
      <c r="D2240" s="23" t="s">
        <v>134</v>
      </c>
      <c r="E2240" s="23" t="str">
        <f>Withdrawals_Data!A1034</f>
        <v>DA-003</v>
      </c>
      <c r="F2240" s="23" t="str">
        <f>Withdrawals_Data!B1034</f>
        <v>DA-003-M0081</v>
      </c>
      <c r="G2240" s="24">
        <f>Withdrawals_Data!C1034</f>
        <v>45297</v>
      </c>
      <c r="H2240" s="27">
        <v>0</v>
      </c>
      <c r="I2240" s="27">
        <f>-Withdrawals_Data!D1034</f>
        <v>-20886</v>
      </c>
    </row>
    <row r="2241" spans="3:9">
      <c r="C2241" s="23">
        <v>1034</v>
      </c>
      <c r="D2241" s="23" t="s">
        <v>134</v>
      </c>
      <c r="E2241" s="23" t="str">
        <f>Withdrawals_Data!A1035</f>
        <v>DA-003</v>
      </c>
      <c r="F2241" s="23" t="str">
        <f>Withdrawals_Data!B1035</f>
        <v>DA-003-M0082</v>
      </c>
      <c r="G2241" s="24">
        <f>Withdrawals_Data!C1035</f>
        <v>45620</v>
      </c>
      <c r="H2241" s="27">
        <v>0</v>
      </c>
      <c r="I2241" s="27">
        <f>-Withdrawals_Data!D1035</f>
        <v>-5248</v>
      </c>
    </row>
    <row r="2242" spans="3:9">
      <c r="C2242" s="23">
        <v>1035</v>
      </c>
      <c r="D2242" s="23" t="s">
        <v>134</v>
      </c>
      <c r="E2242" s="23" t="str">
        <f>Withdrawals_Data!A1036</f>
        <v>DA-003</v>
      </c>
      <c r="F2242" s="23" t="str">
        <f>Withdrawals_Data!B1036</f>
        <v>DA-003-M0082</v>
      </c>
      <c r="G2242" s="24">
        <f>Withdrawals_Data!C1036</f>
        <v>45525</v>
      </c>
      <c r="H2242" s="27">
        <v>0</v>
      </c>
      <c r="I2242" s="27">
        <f>-Withdrawals_Data!D1036</f>
        <v>-18550</v>
      </c>
    </row>
    <row r="2243" spans="3:9">
      <c r="C2243" s="23">
        <v>1036</v>
      </c>
      <c r="D2243" s="23" t="s">
        <v>134</v>
      </c>
      <c r="E2243" s="23" t="str">
        <f>Withdrawals_Data!A1037</f>
        <v>DA-003</v>
      </c>
      <c r="F2243" s="23" t="str">
        <f>Withdrawals_Data!B1037</f>
        <v>DA-003-M0082</v>
      </c>
      <c r="G2243" s="24">
        <f>Withdrawals_Data!C1037</f>
        <v>45527</v>
      </c>
      <c r="H2243" s="27">
        <v>0</v>
      </c>
      <c r="I2243" s="27">
        <f>-Withdrawals_Data!D1037</f>
        <v>-16824</v>
      </c>
    </row>
    <row r="2244" spans="3:9">
      <c r="C2244" s="23">
        <v>1037</v>
      </c>
      <c r="D2244" s="23" t="s">
        <v>134</v>
      </c>
      <c r="E2244" s="23" t="str">
        <f>Withdrawals_Data!A1038</f>
        <v>DA-003</v>
      </c>
      <c r="F2244" s="23" t="str">
        <f>Withdrawals_Data!B1038</f>
        <v>DA-003-M0082</v>
      </c>
      <c r="G2244" s="24">
        <f>Withdrawals_Data!C1038</f>
        <v>45340</v>
      </c>
      <c r="H2244" s="27">
        <v>0</v>
      </c>
      <c r="I2244" s="27">
        <f>-Withdrawals_Data!D1038</f>
        <v>-9264</v>
      </c>
    </row>
    <row r="2245" spans="3:9">
      <c r="C2245" s="23">
        <v>1038</v>
      </c>
      <c r="D2245" s="23" t="s">
        <v>134</v>
      </c>
      <c r="E2245" s="23" t="str">
        <f>Withdrawals_Data!A1039</f>
        <v>DA-003</v>
      </c>
      <c r="F2245" s="23" t="str">
        <f>Withdrawals_Data!B1039</f>
        <v>DA-003-M0082</v>
      </c>
      <c r="G2245" s="24">
        <f>Withdrawals_Data!C1039</f>
        <v>45507</v>
      </c>
      <c r="H2245" s="27">
        <v>0</v>
      </c>
      <c r="I2245" s="27">
        <f>-Withdrawals_Data!D1039</f>
        <v>-20324</v>
      </c>
    </row>
    <row r="2246" spans="3:9">
      <c r="C2246" s="23">
        <v>1039</v>
      </c>
      <c r="D2246" s="23" t="s">
        <v>134</v>
      </c>
      <c r="E2246" s="23" t="str">
        <f>Withdrawals_Data!A1040</f>
        <v>DA-003</v>
      </c>
      <c r="F2246" s="23" t="str">
        <f>Withdrawals_Data!B1040</f>
        <v>DA-003-M0082</v>
      </c>
      <c r="G2246" s="24">
        <f>Withdrawals_Data!C1040</f>
        <v>45382</v>
      </c>
      <c r="H2246" s="27">
        <v>0</v>
      </c>
      <c r="I2246" s="27">
        <f>-Withdrawals_Data!D1040</f>
        <v>-6933</v>
      </c>
    </row>
    <row r="2247" spans="3:9">
      <c r="C2247" s="23">
        <v>1040</v>
      </c>
      <c r="D2247" s="23" t="s">
        <v>134</v>
      </c>
      <c r="E2247" s="23" t="str">
        <f>Withdrawals_Data!A1041</f>
        <v>DA-003</v>
      </c>
      <c r="F2247" s="23" t="str">
        <f>Withdrawals_Data!B1041</f>
        <v>DA-003-M0082</v>
      </c>
      <c r="G2247" s="24">
        <f>Withdrawals_Data!C1041</f>
        <v>45651</v>
      </c>
      <c r="H2247" s="27">
        <v>0</v>
      </c>
      <c r="I2247" s="27">
        <f>-Withdrawals_Data!D1041</f>
        <v>-8342</v>
      </c>
    </row>
    <row r="2248" spans="3:9">
      <c r="C2248" s="23">
        <v>1041</v>
      </c>
      <c r="D2248" s="23" t="s">
        <v>134</v>
      </c>
      <c r="E2248" s="23" t="str">
        <f>Withdrawals_Data!A1042</f>
        <v>DA-003</v>
      </c>
      <c r="F2248" s="23" t="str">
        <f>Withdrawals_Data!B1042</f>
        <v>DA-003-M0082</v>
      </c>
      <c r="G2248" s="24">
        <f>Withdrawals_Data!C1042</f>
        <v>45305</v>
      </c>
      <c r="H2248" s="27">
        <v>0</v>
      </c>
      <c r="I2248" s="27">
        <f>-Withdrawals_Data!D1042</f>
        <v>-17872</v>
      </c>
    </row>
    <row r="2249" spans="3:9">
      <c r="C2249" s="23">
        <v>1042</v>
      </c>
      <c r="D2249" s="23" t="s">
        <v>134</v>
      </c>
      <c r="E2249" s="23" t="str">
        <f>Withdrawals_Data!A1043</f>
        <v>DA-003</v>
      </c>
      <c r="F2249" s="23" t="str">
        <f>Withdrawals_Data!B1043</f>
        <v>DA-003-M0082</v>
      </c>
      <c r="G2249" s="24">
        <f>Withdrawals_Data!C1043</f>
        <v>45411</v>
      </c>
      <c r="H2249" s="27">
        <v>0</v>
      </c>
      <c r="I2249" s="27">
        <f>-Withdrawals_Data!D1043</f>
        <v>-21250</v>
      </c>
    </row>
    <row r="2250" spans="3:9">
      <c r="C2250" s="23">
        <v>1043</v>
      </c>
      <c r="D2250" s="23" t="s">
        <v>134</v>
      </c>
      <c r="E2250" s="23" t="str">
        <f>Withdrawals_Data!A1044</f>
        <v>DA-003</v>
      </c>
      <c r="F2250" s="23" t="str">
        <f>Withdrawals_Data!B1044</f>
        <v>DA-003-M0082</v>
      </c>
      <c r="G2250" s="24">
        <f>Withdrawals_Data!C1044</f>
        <v>45337</v>
      </c>
      <c r="H2250" s="27">
        <v>0</v>
      </c>
      <c r="I2250" s="27">
        <f>-Withdrawals_Data!D1044</f>
        <v>-10693</v>
      </c>
    </row>
    <row r="2251" spans="3:9">
      <c r="C2251" s="23">
        <v>1044</v>
      </c>
      <c r="D2251" s="23" t="s">
        <v>134</v>
      </c>
      <c r="E2251" s="23" t="str">
        <f>Withdrawals_Data!A1045</f>
        <v>DA-003</v>
      </c>
      <c r="F2251" s="23" t="str">
        <f>Withdrawals_Data!B1045</f>
        <v>DA-003-M0082</v>
      </c>
      <c r="G2251" s="24">
        <f>Withdrawals_Data!C1045</f>
        <v>45538</v>
      </c>
      <c r="H2251" s="27">
        <v>0</v>
      </c>
      <c r="I2251" s="27">
        <f>-Withdrawals_Data!D1045</f>
        <v>-6777</v>
      </c>
    </row>
    <row r="2252" spans="3:9">
      <c r="C2252" s="23">
        <v>1045</v>
      </c>
      <c r="D2252" s="23" t="s">
        <v>134</v>
      </c>
      <c r="E2252" s="23" t="str">
        <f>Withdrawals_Data!A1046</f>
        <v>DA-001</v>
      </c>
      <c r="F2252" s="23" t="str">
        <f>Withdrawals_Data!B1046</f>
        <v>DA-001-M0083</v>
      </c>
      <c r="G2252" s="24">
        <f>Withdrawals_Data!C1046</f>
        <v>45363</v>
      </c>
      <c r="H2252" s="27">
        <v>0</v>
      </c>
      <c r="I2252" s="27">
        <f>-Withdrawals_Data!D1046</f>
        <v>-20876</v>
      </c>
    </row>
    <row r="2253" spans="3:9">
      <c r="C2253" s="23">
        <v>1046</v>
      </c>
      <c r="D2253" s="23" t="s">
        <v>134</v>
      </c>
      <c r="E2253" s="23" t="str">
        <f>Withdrawals_Data!A1047</f>
        <v>DA-001</v>
      </c>
      <c r="F2253" s="23" t="str">
        <f>Withdrawals_Data!B1047</f>
        <v>DA-001-M0083</v>
      </c>
      <c r="G2253" s="24">
        <f>Withdrawals_Data!C1047</f>
        <v>45399</v>
      </c>
      <c r="H2253" s="27">
        <v>0</v>
      </c>
      <c r="I2253" s="27">
        <f>-Withdrawals_Data!D1047</f>
        <v>-11607</v>
      </c>
    </row>
    <row r="2254" spans="3:9">
      <c r="C2254" s="23">
        <v>1047</v>
      </c>
      <c r="D2254" s="23" t="s">
        <v>134</v>
      </c>
      <c r="E2254" s="23" t="str">
        <f>Withdrawals_Data!A1048</f>
        <v>DA-001</v>
      </c>
      <c r="F2254" s="23" t="str">
        <f>Withdrawals_Data!B1048</f>
        <v>DA-001-M0083</v>
      </c>
      <c r="G2254" s="24">
        <f>Withdrawals_Data!C1048</f>
        <v>45623</v>
      </c>
      <c r="H2254" s="27">
        <v>0</v>
      </c>
      <c r="I2254" s="27">
        <f>-Withdrawals_Data!D1048</f>
        <v>-19934</v>
      </c>
    </row>
    <row r="2255" spans="3:9">
      <c r="C2255" s="23">
        <v>1048</v>
      </c>
      <c r="D2255" s="23" t="s">
        <v>134</v>
      </c>
      <c r="E2255" s="23" t="str">
        <f>Withdrawals_Data!A1049</f>
        <v>DA-001</v>
      </c>
      <c r="F2255" s="23" t="str">
        <f>Withdrawals_Data!B1049</f>
        <v>DA-001-M0083</v>
      </c>
      <c r="G2255" s="24">
        <f>Withdrawals_Data!C1049</f>
        <v>45391</v>
      </c>
      <c r="H2255" s="27">
        <v>0</v>
      </c>
      <c r="I2255" s="27">
        <f>-Withdrawals_Data!D1049</f>
        <v>-17600</v>
      </c>
    </row>
    <row r="2256" spans="3:9">
      <c r="C2256" s="23">
        <v>1049</v>
      </c>
      <c r="D2256" s="23" t="s">
        <v>134</v>
      </c>
      <c r="E2256" s="23" t="str">
        <f>Withdrawals_Data!A1050</f>
        <v>DA-001</v>
      </c>
      <c r="F2256" s="23" t="str">
        <f>Withdrawals_Data!B1050</f>
        <v>DA-001-M0083</v>
      </c>
      <c r="G2256" s="24">
        <f>Withdrawals_Data!C1050</f>
        <v>45373</v>
      </c>
      <c r="H2256" s="27">
        <v>0</v>
      </c>
      <c r="I2256" s="27">
        <f>-Withdrawals_Data!D1050</f>
        <v>-1888</v>
      </c>
    </row>
    <row r="2257" spans="3:9">
      <c r="C2257" s="23">
        <v>1050</v>
      </c>
      <c r="D2257" s="23" t="s">
        <v>134</v>
      </c>
      <c r="E2257" s="23" t="str">
        <f>Withdrawals_Data!A1051</f>
        <v>DA-001</v>
      </c>
      <c r="F2257" s="23" t="str">
        <f>Withdrawals_Data!B1051</f>
        <v>DA-001-M0083</v>
      </c>
      <c r="G2257" s="24">
        <f>Withdrawals_Data!C1051</f>
        <v>45525</v>
      </c>
      <c r="H2257" s="27">
        <v>0</v>
      </c>
      <c r="I2257" s="27">
        <f>-Withdrawals_Data!D1051</f>
        <v>-1422</v>
      </c>
    </row>
    <row r="2258" spans="3:9">
      <c r="C2258" s="23">
        <v>1051</v>
      </c>
      <c r="D2258" s="23" t="s">
        <v>134</v>
      </c>
      <c r="E2258" s="23" t="str">
        <f>Withdrawals_Data!A1052</f>
        <v>DA-001</v>
      </c>
      <c r="F2258" s="23" t="str">
        <f>Withdrawals_Data!B1052</f>
        <v>DA-001-M0083</v>
      </c>
      <c r="G2258" s="24">
        <f>Withdrawals_Data!C1052</f>
        <v>45510</v>
      </c>
      <c r="H2258" s="27">
        <v>0</v>
      </c>
      <c r="I2258" s="27">
        <f>-Withdrawals_Data!D1052</f>
        <v>-11723</v>
      </c>
    </row>
    <row r="2259" spans="3:9">
      <c r="C2259" s="23">
        <v>1052</v>
      </c>
      <c r="D2259" s="23" t="s">
        <v>134</v>
      </c>
      <c r="E2259" s="23" t="str">
        <f>Withdrawals_Data!A1053</f>
        <v>DA-001</v>
      </c>
      <c r="F2259" s="23" t="str">
        <f>Withdrawals_Data!B1053</f>
        <v>DA-001-M0083</v>
      </c>
      <c r="G2259" s="24">
        <f>Withdrawals_Data!C1053</f>
        <v>45522</v>
      </c>
      <c r="H2259" s="27">
        <v>0</v>
      </c>
      <c r="I2259" s="27">
        <f>-Withdrawals_Data!D1053</f>
        <v>-5306</v>
      </c>
    </row>
    <row r="2260" spans="3:9">
      <c r="C2260" s="23">
        <v>1053</v>
      </c>
      <c r="D2260" s="23" t="s">
        <v>134</v>
      </c>
      <c r="E2260" s="23" t="str">
        <f>Withdrawals_Data!A1054</f>
        <v>DA-001</v>
      </c>
      <c r="F2260" s="23" t="str">
        <f>Withdrawals_Data!B1054</f>
        <v>DA-001-M0083</v>
      </c>
      <c r="G2260" s="24">
        <f>Withdrawals_Data!C1054</f>
        <v>45411</v>
      </c>
      <c r="H2260" s="27">
        <v>0</v>
      </c>
      <c r="I2260" s="27">
        <f>-Withdrawals_Data!D1054</f>
        <v>-3305</v>
      </c>
    </row>
    <row r="2261" spans="3:9">
      <c r="C2261" s="23">
        <v>1054</v>
      </c>
      <c r="D2261" s="23" t="s">
        <v>134</v>
      </c>
      <c r="E2261" s="23" t="str">
        <f>Withdrawals_Data!A1055</f>
        <v>DA-001</v>
      </c>
      <c r="F2261" s="23" t="str">
        <f>Withdrawals_Data!B1055</f>
        <v>DA-001-M0083</v>
      </c>
      <c r="G2261" s="24">
        <f>Withdrawals_Data!C1055</f>
        <v>45407</v>
      </c>
      <c r="H2261" s="27">
        <v>0</v>
      </c>
      <c r="I2261" s="27">
        <f>-Withdrawals_Data!D1055</f>
        <v>-16653</v>
      </c>
    </row>
    <row r="2262" spans="3:9">
      <c r="C2262" s="23">
        <v>1055</v>
      </c>
      <c r="D2262" s="23" t="s">
        <v>134</v>
      </c>
      <c r="E2262" s="23" t="str">
        <f>Withdrawals_Data!A1056</f>
        <v>DA-003</v>
      </c>
      <c r="F2262" s="23" t="str">
        <f>Withdrawals_Data!B1056</f>
        <v>DA-003-M0084</v>
      </c>
      <c r="G2262" s="24">
        <f>Withdrawals_Data!C1056</f>
        <v>45323</v>
      </c>
      <c r="H2262" s="27">
        <v>0</v>
      </c>
      <c r="I2262" s="27">
        <f>-Withdrawals_Data!D1056</f>
        <v>-4896</v>
      </c>
    </row>
    <row r="2263" spans="3:9">
      <c r="C2263" s="23">
        <v>1056</v>
      </c>
      <c r="D2263" s="23" t="s">
        <v>134</v>
      </c>
      <c r="E2263" s="23" t="str">
        <f>Withdrawals_Data!A1057</f>
        <v>DA-003</v>
      </c>
      <c r="F2263" s="23" t="str">
        <f>Withdrawals_Data!B1057</f>
        <v>DA-003-M0084</v>
      </c>
      <c r="G2263" s="24">
        <f>Withdrawals_Data!C1057</f>
        <v>45415</v>
      </c>
      <c r="H2263" s="27">
        <v>0</v>
      </c>
      <c r="I2263" s="27">
        <f>-Withdrawals_Data!D1057</f>
        <v>-4771</v>
      </c>
    </row>
    <row r="2264" spans="3:9">
      <c r="C2264" s="23">
        <v>1057</v>
      </c>
      <c r="D2264" s="23" t="s">
        <v>134</v>
      </c>
      <c r="E2264" s="23" t="str">
        <f>Withdrawals_Data!A1058</f>
        <v>DA-003</v>
      </c>
      <c r="F2264" s="23" t="str">
        <f>Withdrawals_Data!B1058</f>
        <v>DA-003-M0084</v>
      </c>
      <c r="G2264" s="24">
        <f>Withdrawals_Data!C1058</f>
        <v>45306</v>
      </c>
      <c r="H2264" s="27">
        <v>0</v>
      </c>
      <c r="I2264" s="27">
        <f>-Withdrawals_Data!D1058</f>
        <v>-3866</v>
      </c>
    </row>
    <row r="2265" spans="3:9">
      <c r="C2265" s="23">
        <v>1058</v>
      </c>
      <c r="D2265" s="23" t="s">
        <v>134</v>
      </c>
      <c r="E2265" s="23" t="str">
        <f>Withdrawals_Data!A1059</f>
        <v>DA-003</v>
      </c>
      <c r="F2265" s="23" t="str">
        <f>Withdrawals_Data!B1059</f>
        <v>DA-003-M0084</v>
      </c>
      <c r="G2265" s="24">
        <f>Withdrawals_Data!C1059</f>
        <v>45480</v>
      </c>
      <c r="H2265" s="27">
        <v>0</v>
      </c>
      <c r="I2265" s="27">
        <f>-Withdrawals_Data!D1059</f>
        <v>-8120</v>
      </c>
    </row>
    <row r="2266" spans="3:9">
      <c r="C2266" s="23">
        <v>1059</v>
      </c>
      <c r="D2266" s="23" t="s">
        <v>134</v>
      </c>
      <c r="E2266" s="23" t="str">
        <f>Withdrawals_Data!A1060</f>
        <v>DA-003</v>
      </c>
      <c r="F2266" s="23" t="str">
        <f>Withdrawals_Data!B1060</f>
        <v>DA-003-M0084</v>
      </c>
      <c r="G2266" s="24">
        <f>Withdrawals_Data!C1060</f>
        <v>45438</v>
      </c>
      <c r="H2266" s="27">
        <v>0</v>
      </c>
      <c r="I2266" s="27">
        <f>-Withdrawals_Data!D1060</f>
        <v>-16290</v>
      </c>
    </row>
    <row r="2267" spans="3:9">
      <c r="C2267" s="23">
        <v>1060</v>
      </c>
      <c r="D2267" s="23" t="s">
        <v>134</v>
      </c>
      <c r="E2267" s="23" t="str">
        <f>Withdrawals_Data!A1061</f>
        <v>DA-003</v>
      </c>
      <c r="F2267" s="23" t="str">
        <f>Withdrawals_Data!B1061</f>
        <v>DA-003-M0084</v>
      </c>
      <c r="G2267" s="24">
        <f>Withdrawals_Data!C1061</f>
        <v>45613</v>
      </c>
      <c r="H2267" s="27">
        <v>0</v>
      </c>
      <c r="I2267" s="27">
        <f>-Withdrawals_Data!D1061</f>
        <v>-10675</v>
      </c>
    </row>
    <row r="2268" spans="3:9">
      <c r="C2268" s="23">
        <v>1061</v>
      </c>
      <c r="D2268" s="23" t="s">
        <v>134</v>
      </c>
      <c r="E2268" s="23" t="str">
        <f>Withdrawals_Data!A1062</f>
        <v>DA-003</v>
      </c>
      <c r="F2268" s="23" t="str">
        <f>Withdrawals_Data!B1062</f>
        <v>DA-003-M0084</v>
      </c>
      <c r="G2268" s="24">
        <f>Withdrawals_Data!C1062</f>
        <v>45374</v>
      </c>
      <c r="H2268" s="27">
        <v>0</v>
      </c>
      <c r="I2268" s="27">
        <f>-Withdrawals_Data!D1062</f>
        <v>-21084</v>
      </c>
    </row>
    <row r="2269" spans="3:9">
      <c r="C2269" s="23">
        <v>1062</v>
      </c>
      <c r="D2269" s="23" t="s">
        <v>134</v>
      </c>
      <c r="E2269" s="23" t="str">
        <f>Withdrawals_Data!A1063</f>
        <v>DA-003</v>
      </c>
      <c r="F2269" s="23" t="str">
        <f>Withdrawals_Data!B1063</f>
        <v>DA-003-M0084</v>
      </c>
      <c r="G2269" s="24">
        <f>Withdrawals_Data!C1063</f>
        <v>45644</v>
      </c>
      <c r="H2269" s="27">
        <v>0</v>
      </c>
      <c r="I2269" s="27">
        <f>-Withdrawals_Data!D1063</f>
        <v>-16724</v>
      </c>
    </row>
    <row r="2270" spans="3:9">
      <c r="C2270" s="23">
        <v>1063</v>
      </c>
      <c r="D2270" s="23" t="s">
        <v>134</v>
      </c>
      <c r="E2270" s="23" t="str">
        <f>Withdrawals_Data!A1064</f>
        <v>DA-002</v>
      </c>
      <c r="F2270" s="23" t="str">
        <f>Withdrawals_Data!B1064</f>
        <v>DA-002-M0085</v>
      </c>
      <c r="G2270" s="24">
        <f>Withdrawals_Data!C1064</f>
        <v>45429</v>
      </c>
      <c r="H2270" s="27">
        <v>0</v>
      </c>
      <c r="I2270" s="27">
        <f>-Withdrawals_Data!D1064</f>
        <v>-5035</v>
      </c>
    </row>
    <row r="2271" spans="3:9">
      <c r="C2271" s="23">
        <v>1064</v>
      </c>
      <c r="D2271" s="23" t="s">
        <v>134</v>
      </c>
      <c r="E2271" s="23" t="str">
        <f>Withdrawals_Data!A1065</f>
        <v>DA-002</v>
      </c>
      <c r="F2271" s="23" t="str">
        <f>Withdrawals_Data!B1065</f>
        <v>DA-002-M0085</v>
      </c>
      <c r="G2271" s="24">
        <f>Withdrawals_Data!C1065</f>
        <v>45384</v>
      </c>
      <c r="H2271" s="27">
        <v>0</v>
      </c>
      <c r="I2271" s="27">
        <f>-Withdrawals_Data!D1065</f>
        <v>-2258</v>
      </c>
    </row>
    <row r="2272" spans="3:9">
      <c r="C2272" s="23">
        <v>1065</v>
      </c>
      <c r="D2272" s="23" t="s">
        <v>134</v>
      </c>
      <c r="E2272" s="23" t="str">
        <f>Withdrawals_Data!A1066</f>
        <v>DA-002</v>
      </c>
      <c r="F2272" s="23" t="str">
        <f>Withdrawals_Data!B1066</f>
        <v>DA-002-M0085</v>
      </c>
      <c r="G2272" s="24">
        <f>Withdrawals_Data!C1066</f>
        <v>45515</v>
      </c>
      <c r="H2272" s="27">
        <v>0</v>
      </c>
      <c r="I2272" s="27">
        <f>-Withdrawals_Data!D1066</f>
        <v>-9387</v>
      </c>
    </row>
    <row r="2273" spans="3:9">
      <c r="C2273" s="23">
        <v>1066</v>
      </c>
      <c r="D2273" s="23" t="s">
        <v>134</v>
      </c>
      <c r="E2273" s="23" t="str">
        <f>Withdrawals_Data!A1067</f>
        <v>DA-002</v>
      </c>
      <c r="F2273" s="23" t="str">
        <f>Withdrawals_Data!B1067</f>
        <v>DA-002-M0085</v>
      </c>
      <c r="G2273" s="24">
        <f>Withdrawals_Data!C1067</f>
        <v>45462</v>
      </c>
      <c r="H2273" s="27">
        <v>0</v>
      </c>
      <c r="I2273" s="27">
        <f>-Withdrawals_Data!D1067</f>
        <v>-2251</v>
      </c>
    </row>
    <row r="2274" spans="3:9">
      <c r="C2274" s="23">
        <v>1067</v>
      </c>
      <c r="D2274" s="23" t="s">
        <v>134</v>
      </c>
      <c r="E2274" s="23" t="str">
        <f>Withdrawals_Data!A1068</f>
        <v>DA-002</v>
      </c>
      <c r="F2274" s="23" t="str">
        <f>Withdrawals_Data!B1068</f>
        <v>DA-002-M0085</v>
      </c>
      <c r="G2274" s="24">
        <f>Withdrawals_Data!C1068</f>
        <v>45376</v>
      </c>
      <c r="H2274" s="27">
        <v>0</v>
      </c>
      <c r="I2274" s="27">
        <f>-Withdrawals_Data!D1068</f>
        <v>-17581</v>
      </c>
    </row>
    <row r="2275" spans="3:9">
      <c r="C2275" s="23">
        <v>1068</v>
      </c>
      <c r="D2275" s="23" t="s">
        <v>134</v>
      </c>
      <c r="E2275" s="23" t="str">
        <f>Withdrawals_Data!A1069</f>
        <v>DA-002</v>
      </c>
      <c r="F2275" s="23" t="str">
        <f>Withdrawals_Data!B1069</f>
        <v>DA-002-M0085</v>
      </c>
      <c r="G2275" s="24">
        <f>Withdrawals_Data!C1069</f>
        <v>45307</v>
      </c>
      <c r="H2275" s="27">
        <v>0</v>
      </c>
      <c r="I2275" s="27">
        <f>-Withdrawals_Data!D1069</f>
        <v>-7640</v>
      </c>
    </row>
    <row r="2276" spans="3:9">
      <c r="C2276" s="23">
        <v>1069</v>
      </c>
      <c r="D2276" s="23" t="s">
        <v>134</v>
      </c>
      <c r="E2276" s="23" t="str">
        <f>Withdrawals_Data!A1070</f>
        <v>DA-002</v>
      </c>
      <c r="F2276" s="23" t="str">
        <f>Withdrawals_Data!B1070</f>
        <v>DA-002-M0085</v>
      </c>
      <c r="G2276" s="24">
        <f>Withdrawals_Data!C1070</f>
        <v>45358</v>
      </c>
      <c r="H2276" s="27">
        <v>0</v>
      </c>
      <c r="I2276" s="27">
        <f>-Withdrawals_Data!D1070</f>
        <v>-9223</v>
      </c>
    </row>
    <row r="2277" spans="3:9">
      <c r="C2277" s="23">
        <v>1070</v>
      </c>
      <c r="D2277" s="23" t="s">
        <v>134</v>
      </c>
      <c r="E2277" s="23" t="str">
        <f>Withdrawals_Data!A1071</f>
        <v>DA-002</v>
      </c>
      <c r="F2277" s="23" t="str">
        <f>Withdrawals_Data!B1071</f>
        <v>DA-002-M0085</v>
      </c>
      <c r="G2277" s="24">
        <f>Withdrawals_Data!C1071</f>
        <v>45313</v>
      </c>
      <c r="H2277" s="27">
        <v>0</v>
      </c>
      <c r="I2277" s="27">
        <f>-Withdrawals_Data!D1071</f>
        <v>-12406</v>
      </c>
    </row>
    <row r="2278" spans="3:9">
      <c r="C2278" s="23">
        <v>1071</v>
      </c>
      <c r="D2278" s="23" t="s">
        <v>134</v>
      </c>
      <c r="E2278" s="23" t="str">
        <f>Withdrawals_Data!A1072</f>
        <v>DA-002</v>
      </c>
      <c r="F2278" s="23" t="str">
        <f>Withdrawals_Data!B1072</f>
        <v>DA-002-M0085</v>
      </c>
      <c r="G2278" s="24">
        <f>Withdrawals_Data!C1072</f>
        <v>45552</v>
      </c>
      <c r="H2278" s="27">
        <v>0</v>
      </c>
      <c r="I2278" s="27">
        <f>-Withdrawals_Data!D1072</f>
        <v>-13839</v>
      </c>
    </row>
    <row r="2279" spans="3:9">
      <c r="C2279" s="23">
        <v>1072</v>
      </c>
      <c r="D2279" s="23" t="s">
        <v>134</v>
      </c>
      <c r="E2279" s="23" t="str">
        <f>Withdrawals_Data!A1073</f>
        <v>DA-002</v>
      </c>
      <c r="F2279" s="23" t="str">
        <f>Withdrawals_Data!B1073</f>
        <v>DA-002-M0085</v>
      </c>
      <c r="G2279" s="24">
        <f>Withdrawals_Data!C1073</f>
        <v>45655</v>
      </c>
      <c r="H2279" s="27">
        <v>0</v>
      </c>
      <c r="I2279" s="27">
        <f>-Withdrawals_Data!D1073</f>
        <v>-20673</v>
      </c>
    </row>
    <row r="2280" spans="3:9">
      <c r="C2280" s="23">
        <v>1073</v>
      </c>
      <c r="D2280" s="23" t="s">
        <v>134</v>
      </c>
      <c r="E2280" s="23" t="str">
        <f>Withdrawals_Data!A1074</f>
        <v>DA-002</v>
      </c>
      <c r="F2280" s="23" t="str">
        <f>Withdrawals_Data!B1074</f>
        <v>DA-002-M0085</v>
      </c>
      <c r="G2280" s="24">
        <f>Withdrawals_Data!C1074</f>
        <v>45477</v>
      </c>
      <c r="H2280" s="27">
        <v>0</v>
      </c>
      <c r="I2280" s="27">
        <f>-Withdrawals_Data!D1074</f>
        <v>-4075</v>
      </c>
    </row>
    <row r="2281" spans="3:9">
      <c r="C2281" s="23">
        <v>1074</v>
      </c>
      <c r="D2281" s="23" t="s">
        <v>134</v>
      </c>
      <c r="E2281" s="23" t="str">
        <f>Withdrawals_Data!A1075</f>
        <v>DA-003</v>
      </c>
      <c r="F2281" s="23" t="str">
        <f>Withdrawals_Data!B1075</f>
        <v>DA-003-M0086</v>
      </c>
      <c r="G2281" s="24">
        <f>Withdrawals_Data!C1075</f>
        <v>45297</v>
      </c>
      <c r="H2281" s="27">
        <v>0</v>
      </c>
      <c r="I2281" s="27">
        <f>-Withdrawals_Data!D1075</f>
        <v>-6612</v>
      </c>
    </row>
    <row r="2282" spans="3:9">
      <c r="C2282" s="23">
        <v>1075</v>
      </c>
      <c r="D2282" s="23" t="s">
        <v>134</v>
      </c>
      <c r="E2282" s="23" t="str">
        <f>Withdrawals_Data!A1076</f>
        <v>DA-003</v>
      </c>
      <c r="F2282" s="23" t="str">
        <f>Withdrawals_Data!B1076</f>
        <v>DA-003-M0086</v>
      </c>
      <c r="G2282" s="24">
        <f>Withdrawals_Data!C1076</f>
        <v>45472</v>
      </c>
      <c r="H2282" s="27">
        <v>0</v>
      </c>
      <c r="I2282" s="27">
        <f>-Withdrawals_Data!D1076</f>
        <v>-10442</v>
      </c>
    </row>
    <row r="2283" spans="3:9">
      <c r="C2283" s="23">
        <v>1076</v>
      </c>
      <c r="D2283" s="23" t="s">
        <v>134</v>
      </c>
      <c r="E2283" s="23" t="str">
        <f>Withdrawals_Data!A1077</f>
        <v>DA-003</v>
      </c>
      <c r="F2283" s="23" t="str">
        <f>Withdrawals_Data!B1077</f>
        <v>DA-003-M0086</v>
      </c>
      <c r="G2283" s="24">
        <f>Withdrawals_Data!C1077</f>
        <v>45294</v>
      </c>
      <c r="H2283" s="27">
        <v>0</v>
      </c>
      <c r="I2283" s="27">
        <f>-Withdrawals_Data!D1077</f>
        <v>-12276</v>
      </c>
    </row>
    <row r="2284" spans="3:9">
      <c r="C2284" s="23">
        <v>1077</v>
      </c>
      <c r="D2284" s="23" t="s">
        <v>134</v>
      </c>
      <c r="E2284" s="23" t="str">
        <f>Withdrawals_Data!A1078</f>
        <v>DA-003</v>
      </c>
      <c r="F2284" s="23" t="str">
        <f>Withdrawals_Data!B1078</f>
        <v>DA-003-M0086</v>
      </c>
      <c r="G2284" s="24">
        <f>Withdrawals_Data!C1078</f>
        <v>45316</v>
      </c>
      <c r="H2284" s="27">
        <v>0</v>
      </c>
      <c r="I2284" s="27">
        <f>-Withdrawals_Data!D1078</f>
        <v>-7893</v>
      </c>
    </row>
    <row r="2285" spans="3:9">
      <c r="C2285" s="23">
        <v>1078</v>
      </c>
      <c r="D2285" s="23" t="s">
        <v>134</v>
      </c>
      <c r="E2285" s="23" t="str">
        <f>Withdrawals_Data!A1079</f>
        <v>DA-003</v>
      </c>
      <c r="F2285" s="23" t="str">
        <f>Withdrawals_Data!B1079</f>
        <v>DA-003-M0086</v>
      </c>
      <c r="G2285" s="24">
        <f>Withdrawals_Data!C1079</f>
        <v>45620</v>
      </c>
      <c r="H2285" s="27">
        <v>0</v>
      </c>
      <c r="I2285" s="27">
        <f>-Withdrawals_Data!D1079</f>
        <v>-14672</v>
      </c>
    </row>
    <row r="2286" spans="3:9">
      <c r="C2286" s="23">
        <v>1079</v>
      </c>
      <c r="D2286" s="23" t="s">
        <v>134</v>
      </c>
      <c r="E2286" s="23" t="str">
        <f>Withdrawals_Data!A1080</f>
        <v>DA-003</v>
      </c>
      <c r="F2286" s="23" t="str">
        <f>Withdrawals_Data!B1080</f>
        <v>DA-003-M0086</v>
      </c>
      <c r="G2286" s="24">
        <f>Withdrawals_Data!C1080</f>
        <v>45504</v>
      </c>
      <c r="H2286" s="27">
        <v>0</v>
      </c>
      <c r="I2286" s="27">
        <f>-Withdrawals_Data!D1080</f>
        <v>-1510</v>
      </c>
    </row>
    <row r="2287" spans="3:9">
      <c r="C2287" s="23">
        <v>1080</v>
      </c>
      <c r="D2287" s="23" t="s">
        <v>134</v>
      </c>
      <c r="E2287" s="23" t="str">
        <f>Withdrawals_Data!A1081</f>
        <v>DA-003</v>
      </c>
      <c r="F2287" s="23" t="str">
        <f>Withdrawals_Data!B1081</f>
        <v>DA-003-M0086</v>
      </c>
      <c r="G2287" s="24">
        <f>Withdrawals_Data!C1081</f>
        <v>45358</v>
      </c>
      <c r="H2287" s="27">
        <v>0</v>
      </c>
      <c r="I2287" s="27">
        <f>-Withdrawals_Data!D1081</f>
        <v>-17725</v>
      </c>
    </row>
    <row r="2288" spans="3:9">
      <c r="C2288" s="23">
        <v>1081</v>
      </c>
      <c r="D2288" s="23" t="s">
        <v>134</v>
      </c>
      <c r="E2288" s="23" t="str">
        <f>Withdrawals_Data!A1082</f>
        <v>DA-003</v>
      </c>
      <c r="F2288" s="23" t="str">
        <f>Withdrawals_Data!B1082</f>
        <v>DA-003-M0086</v>
      </c>
      <c r="G2288" s="24">
        <f>Withdrawals_Data!C1082</f>
        <v>45627</v>
      </c>
      <c r="H2288" s="27">
        <v>0</v>
      </c>
      <c r="I2288" s="27">
        <f>-Withdrawals_Data!D1082</f>
        <v>-4801</v>
      </c>
    </row>
    <row r="2289" spans="3:9">
      <c r="C2289" s="23">
        <v>1082</v>
      </c>
      <c r="D2289" s="23" t="s">
        <v>134</v>
      </c>
      <c r="E2289" s="23" t="str">
        <f>Withdrawals_Data!A1083</f>
        <v>DA-003</v>
      </c>
      <c r="F2289" s="23" t="str">
        <f>Withdrawals_Data!B1083</f>
        <v>DA-003-M0086</v>
      </c>
      <c r="G2289" s="24">
        <f>Withdrawals_Data!C1083</f>
        <v>45537</v>
      </c>
      <c r="H2289" s="27">
        <v>0</v>
      </c>
      <c r="I2289" s="27">
        <f>-Withdrawals_Data!D1083</f>
        <v>-5061</v>
      </c>
    </row>
    <row r="2290" spans="3:9">
      <c r="C2290" s="23">
        <v>1083</v>
      </c>
      <c r="D2290" s="23" t="s">
        <v>134</v>
      </c>
      <c r="E2290" s="23" t="str">
        <f>Withdrawals_Data!A1084</f>
        <v>DA-001</v>
      </c>
      <c r="F2290" s="23" t="str">
        <f>Withdrawals_Data!B1084</f>
        <v>DA-001-M0087</v>
      </c>
      <c r="G2290" s="24">
        <f>Withdrawals_Data!C1084</f>
        <v>45363</v>
      </c>
      <c r="H2290" s="27">
        <v>0</v>
      </c>
      <c r="I2290" s="27">
        <f>-Withdrawals_Data!D1084</f>
        <v>-11192</v>
      </c>
    </row>
    <row r="2291" spans="3:9">
      <c r="C2291" s="23">
        <v>1084</v>
      </c>
      <c r="D2291" s="23" t="s">
        <v>134</v>
      </c>
      <c r="E2291" s="23" t="str">
        <f>Withdrawals_Data!A1085</f>
        <v>DA-001</v>
      </c>
      <c r="F2291" s="23" t="str">
        <f>Withdrawals_Data!B1085</f>
        <v>DA-001-M0087</v>
      </c>
      <c r="G2291" s="24">
        <f>Withdrawals_Data!C1085</f>
        <v>45465</v>
      </c>
      <c r="H2291" s="27">
        <v>0</v>
      </c>
      <c r="I2291" s="27">
        <f>-Withdrawals_Data!D1085</f>
        <v>-19593</v>
      </c>
    </row>
    <row r="2292" spans="3:9">
      <c r="C2292" s="23">
        <v>1085</v>
      </c>
      <c r="D2292" s="23" t="s">
        <v>134</v>
      </c>
      <c r="E2292" s="23" t="str">
        <f>Withdrawals_Data!A1086</f>
        <v>DA-001</v>
      </c>
      <c r="F2292" s="23" t="str">
        <f>Withdrawals_Data!B1086</f>
        <v>DA-001-M0087</v>
      </c>
      <c r="G2292" s="24">
        <f>Withdrawals_Data!C1086</f>
        <v>45488</v>
      </c>
      <c r="H2292" s="27">
        <v>0</v>
      </c>
      <c r="I2292" s="27">
        <f>-Withdrawals_Data!D1086</f>
        <v>-5429</v>
      </c>
    </row>
    <row r="2293" spans="3:9">
      <c r="C2293" s="23">
        <v>1086</v>
      </c>
      <c r="D2293" s="23" t="s">
        <v>134</v>
      </c>
      <c r="E2293" s="23" t="str">
        <f>Withdrawals_Data!A1087</f>
        <v>DA-001</v>
      </c>
      <c r="F2293" s="23" t="str">
        <f>Withdrawals_Data!B1087</f>
        <v>DA-001-M0087</v>
      </c>
      <c r="G2293" s="24">
        <f>Withdrawals_Data!C1087</f>
        <v>45384</v>
      </c>
      <c r="H2293" s="27">
        <v>0</v>
      </c>
      <c r="I2293" s="27">
        <f>-Withdrawals_Data!D1087</f>
        <v>-2341</v>
      </c>
    </row>
    <row r="2294" spans="3:9">
      <c r="C2294" s="23">
        <v>1087</v>
      </c>
      <c r="D2294" s="23" t="s">
        <v>134</v>
      </c>
      <c r="E2294" s="23" t="str">
        <f>Withdrawals_Data!A1088</f>
        <v>DA-001</v>
      </c>
      <c r="F2294" s="23" t="str">
        <f>Withdrawals_Data!B1088</f>
        <v>DA-001-M0087</v>
      </c>
      <c r="G2294" s="24">
        <f>Withdrawals_Data!C1088</f>
        <v>45408</v>
      </c>
      <c r="H2294" s="27">
        <v>0</v>
      </c>
      <c r="I2294" s="27">
        <f>-Withdrawals_Data!D1088</f>
        <v>-18832</v>
      </c>
    </row>
    <row r="2295" spans="3:9">
      <c r="C2295" s="23">
        <v>1088</v>
      </c>
      <c r="D2295" s="23" t="s">
        <v>134</v>
      </c>
      <c r="E2295" s="23" t="str">
        <f>Withdrawals_Data!A1089</f>
        <v>DA-001</v>
      </c>
      <c r="F2295" s="23" t="str">
        <f>Withdrawals_Data!B1089</f>
        <v>DA-001-M0087</v>
      </c>
      <c r="G2295" s="24">
        <f>Withdrawals_Data!C1089</f>
        <v>45510</v>
      </c>
      <c r="H2295" s="27">
        <v>0</v>
      </c>
      <c r="I2295" s="27">
        <f>-Withdrawals_Data!D1089</f>
        <v>-8956</v>
      </c>
    </row>
    <row r="2296" spans="3:9">
      <c r="C2296" s="23">
        <v>1089</v>
      </c>
      <c r="D2296" s="23" t="s">
        <v>134</v>
      </c>
      <c r="E2296" s="23" t="str">
        <f>Withdrawals_Data!A1090</f>
        <v>DA-001</v>
      </c>
      <c r="F2296" s="23" t="str">
        <f>Withdrawals_Data!B1090</f>
        <v>DA-001-M0087</v>
      </c>
      <c r="G2296" s="24">
        <f>Withdrawals_Data!C1090</f>
        <v>45348</v>
      </c>
      <c r="H2296" s="27">
        <v>0</v>
      </c>
      <c r="I2296" s="27">
        <f>-Withdrawals_Data!D1090</f>
        <v>-10456</v>
      </c>
    </row>
    <row r="2297" spans="3:9">
      <c r="C2297" s="23">
        <v>1090</v>
      </c>
      <c r="D2297" s="23" t="s">
        <v>134</v>
      </c>
      <c r="E2297" s="23" t="str">
        <f>Withdrawals_Data!A1091</f>
        <v>DA-001</v>
      </c>
      <c r="F2297" s="23" t="str">
        <f>Withdrawals_Data!B1091</f>
        <v>DA-001-M0087</v>
      </c>
      <c r="G2297" s="24">
        <f>Withdrawals_Data!C1091</f>
        <v>45295</v>
      </c>
      <c r="H2297" s="27">
        <v>0</v>
      </c>
      <c r="I2297" s="27">
        <f>-Withdrawals_Data!D1091</f>
        <v>-9068</v>
      </c>
    </row>
    <row r="2298" spans="3:9">
      <c r="C2298" s="23">
        <v>1091</v>
      </c>
      <c r="D2298" s="23" t="s">
        <v>134</v>
      </c>
      <c r="E2298" s="23" t="str">
        <f>Withdrawals_Data!A1092</f>
        <v>DA-001</v>
      </c>
      <c r="F2298" s="23" t="str">
        <f>Withdrawals_Data!B1092</f>
        <v>DA-001-M0087</v>
      </c>
      <c r="G2298" s="24">
        <f>Withdrawals_Data!C1092</f>
        <v>45330</v>
      </c>
      <c r="H2298" s="27">
        <v>0</v>
      </c>
      <c r="I2298" s="27">
        <f>-Withdrawals_Data!D1092</f>
        <v>-8990</v>
      </c>
    </row>
    <row r="2299" spans="3:9">
      <c r="C2299" s="23">
        <v>1092</v>
      </c>
      <c r="D2299" s="23" t="s">
        <v>134</v>
      </c>
      <c r="E2299" s="23" t="str">
        <f>Withdrawals_Data!A1093</f>
        <v>DA-001</v>
      </c>
      <c r="F2299" s="23" t="str">
        <f>Withdrawals_Data!B1093</f>
        <v>DA-001-M0087</v>
      </c>
      <c r="G2299" s="24">
        <f>Withdrawals_Data!C1093</f>
        <v>45423</v>
      </c>
      <c r="H2299" s="27">
        <v>0</v>
      </c>
      <c r="I2299" s="27">
        <f>-Withdrawals_Data!D1093</f>
        <v>-16541</v>
      </c>
    </row>
    <row r="2300" spans="3:9">
      <c r="C2300" s="23">
        <v>1093</v>
      </c>
      <c r="D2300" s="23" t="s">
        <v>134</v>
      </c>
      <c r="E2300" s="23" t="str">
        <f>Withdrawals_Data!A1094</f>
        <v>DA-002</v>
      </c>
      <c r="F2300" s="23" t="str">
        <f>Withdrawals_Data!B1094</f>
        <v>DA-002-M0088</v>
      </c>
      <c r="G2300" s="24">
        <f>Withdrawals_Data!C1094</f>
        <v>45363</v>
      </c>
      <c r="H2300" s="27">
        <v>0</v>
      </c>
      <c r="I2300" s="27">
        <f>-Withdrawals_Data!D1094</f>
        <v>-11948</v>
      </c>
    </row>
    <row r="2301" spans="3:9">
      <c r="C2301" s="23">
        <v>1094</v>
      </c>
      <c r="D2301" s="23" t="s">
        <v>134</v>
      </c>
      <c r="E2301" s="23" t="str">
        <f>Withdrawals_Data!A1095</f>
        <v>DA-002</v>
      </c>
      <c r="F2301" s="23" t="str">
        <f>Withdrawals_Data!B1095</f>
        <v>DA-002-M0088</v>
      </c>
      <c r="G2301" s="24">
        <f>Withdrawals_Data!C1095</f>
        <v>45371</v>
      </c>
      <c r="H2301" s="27">
        <v>0</v>
      </c>
      <c r="I2301" s="27">
        <f>-Withdrawals_Data!D1095</f>
        <v>-6197</v>
      </c>
    </row>
    <row r="2302" spans="3:9">
      <c r="C2302" s="23">
        <v>1095</v>
      </c>
      <c r="D2302" s="23" t="s">
        <v>134</v>
      </c>
      <c r="E2302" s="23" t="str">
        <f>Withdrawals_Data!A1096</f>
        <v>DA-002</v>
      </c>
      <c r="F2302" s="23" t="str">
        <f>Withdrawals_Data!B1096</f>
        <v>DA-002-M0088</v>
      </c>
      <c r="G2302" s="24">
        <f>Withdrawals_Data!C1096</f>
        <v>45597</v>
      </c>
      <c r="H2302" s="27">
        <v>0</v>
      </c>
      <c r="I2302" s="27">
        <f>-Withdrawals_Data!D1096</f>
        <v>-3630</v>
      </c>
    </row>
    <row r="2303" spans="3:9">
      <c r="C2303" s="23">
        <v>1096</v>
      </c>
      <c r="D2303" s="23" t="s">
        <v>134</v>
      </c>
      <c r="E2303" s="23" t="str">
        <f>Withdrawals_Data!A1097</f>
        <v>DA-002</v>
      </c>
      <c r="F2303" s="23" t="str">
        <f>Withdrawals_Data!B1097</f>
        <v>DA-002-M0088</v>
      </c>
      <c r="G2303" s="24">
        <f>Withdrawals_Data!C1097</f>
        <v>45594</v>
      </c>
      <c r="H2303" s="27">
        <v>0</v>
      </c>
      <c r="I2303" s="27">
        <f>-Withdrawals_Data!D1097</f>
        <v>-7735</v>
      </c>
    </row>
    <row r="2304" spans="3:9">
      <c r="C2304" s="23">
        <v>1097</v>
      </c>
      <c r="D2304" s="23" t="s">
        <v>134</v>
      </c>
      <c r="E2304" s="23" t="str">
        <f>Withdrawals_Data!A1098</f>
        <v>DA-002</v>
      </c>
      <c r="F2304" s="23" t="str">
        <f>Withdrawals_Data!B1098</f>
        <v>DA-002-M0088</v>
      </c>
      <c r="G2304" s="24">
        <f>Withdrawals_Data!C1098</f>
        <v>45377</v>
      </c>
      <c r="H2304" s="27">
        <v>0</v>
      </c>
      <c r="I2304" s="27">
        <f>-Withdrawals_Data!D1098</f>
        <v>-19801</v>
      </c>
    </row>
    <row r="2305" spans="3:9">
      <c r="C2305" s="23">
        <v>1098</v>
      </c>
      <c r="D2305" s="23" t="s">
        <v>134</v>
      </c>
      <c r="E2305" s="23" t="str">
        <f>Withdrawals_Data!A1099</f>
        <v>DA-002</v>
      </c>
      <c r="F2305" s="23" t="str">
        <f>Withdrawals_Data!B1099</f>
        <v>DA-002-M0088</v>
      </c>
      <c r="G2305" s="24">
        <f>Withdrawals_Data!C1099</f>
        <v>45372</v>
      </c>
      <c r="H2305" s="27">
        <v>0</v>
      </c>
      <c r="I2305" s="27">
        <f>-Withdrawals_Data!D1099</f>
        <v>-8317</v>
      </c>
    </row>
    <row r="2306" spans="3:9">
      <c r="C2306" s="23">
        <v>1099</v>
      </c>
      <c r="D2306" s="23" t="s">
        <v>134</v>
      </c>
      <c r="E2306" s="23" t="str">
        <f>Withdrawals_Data!A1100</f>
        <v>DA-002</v>
      </c>
      <c r="F2306" s="23" t="str">
        <f>Withdrawals_Data!B1100</f>
        <v>DA-002-M0088</v>
      </c>
      <c r="G2306" s="24">
        <f>Withdrawals_Data!C1100</f>
        <v>45439</v>
      </c>
      <c r="H2306" s="27">
        <v>0</v>
      </c>
      <c r="I2306" s="27">
        <f>-Withdrawals_Data!D1100</f>
        <v>-20041</v>
      </c>
    </row>
    <row r="2307" spans="3:9">
      <c r="C2307" s="23">
        <v>1100</v>
      </c>
      <c r="D2307" s="23" t="s">
        <v>134</v>
      </c>
      <c r="E2307" s="23" t="str">
        <f>Withdrawals_Data!A1101</f>
        <v>DA-002</v>
      </c>
      <c r="F2307" s="23" t="str">
        <f>Withdrawals_Data!B1101</f>
        <v>DA-002-M0088</v>
      </c>
      <c r="G2307" s="24">
        <f>Withdrawals_Data!C1101</f>
        <v>45443</v>
      </c>
      <c r="H2307" s="27">
        <v>0</v>
      </c>
      <c r="I2307" s="27">
        <f>-Withdrawals_Data!D1101</f>
        <v>-12508</v>
      </c>
    </row>
    <row r="2308" spans="3:9">
      <c r="C2308" s="23">
        <v>1101</v>
      </c>
      <c r="D2308" s="23" t="s">
        <v>134</v>
      </c>
      <c r="E2308" s="23" t="str">
        <f>Withdrawals_Data!A1102</f>
        <v>DA-002</v>
      </c>
      <c r="F2308" s="23" t="str">
        <f>Withdrawals_Data!B1102</f>
        <v>DA-002-M0089</v>
      </c>
      <c r="G2308" s="24">
        <f>Withdrawals_Data!C1102</f>
        <v>45552</v>
      </c>
      <c r="H2308" s="27">
        <v>0</v>
      </c>
      <c r="I2308" s="27">
        <f>-Withdrawals_Data!D1102</f>
        <v>-11315</v>
      </c>
    </row>
    <row r="2309" spans="3:9">
      <c r="C2309" s="23">
        <v>1102</v>
      </c>
      <c r="D2309" s="23" t="s">
        <v>134</v>
      </c>
      <c r="E2309" s="23" t="str">
        <f>Withdrawals_Data!A1103</f>
        <v>DA-002</v>
      </c>
      <c r="F2309" s="23" t="str">
        <f>Withdrawals_Data!B1103</f>
        <v>DA-002-M0089</v>
      </c>
      <c r="G2309" s="24">
        <f>Withdrawals_Data!C1103</f>
        <v>45455</v>
      </c>
      <c r="H2309" s="27">
        <v>0</v>
      </c>
      <c r="I2309" s="27">
        <f>-Withdrawals_Data!D1103</f>
        <v>-5667</v>
      </c>
    </row>
    <row r="2310" spans="3:9">
      <c r="C2310" s="23">
        <v>1103</v>
      </c>
      <c r="D2310" s="23" t="s">
        <v>134</v>
      </c>
      <c r="E2310" s="23" t="str">
        <f>Withdrawals_Data!A1104</f>
        <v>DA-002</v>
      </c>
      <c r="F2310" s="23" t="str">
        <f>Withdrawals_Data!B1104</f>
        <v>DA-002-M0089</v>
      </c>
      <c r="G2310" s="24">
        <f>Withdrawals_Data!C1104</f>
        <v>45384</v>
      </c>
      <c r="H2310" s="27">
        <v>0</v>
      </c>
      <c r="I2310" s="27">
        <f>-Withdrawals_Data!D1104</f>
        <v>-7867</v>
      </c>
    </row>
    <row r="2311" spans="3:9">
      <c r="C2311" s="23">
        <v>1104</v>
      </c>
      <c r="D2311" s="23" t="s">
        <v>134</v>
      </c>
      <c r="E2311" s="23" t="str">
        <f>Withdrawals_Data!A1105</f>
        <v>DA-002</v>
      </c>
      <c r="F2311" s="23" t="str">
        <f>Withdrawals_Data!B1105</f>
        <v>DA-002-M0089</v>
      </c>
      <c r="G2311" s="24">
        <f>Withdrawals_Data!C1105</f>
        <v>45367</v>
      </c>
      <c r="H2311" s="27">
        <v>0</v>
      </c>
      <c r="I2311" s="27">
        <f>-Withdrawals_Data!D1105</f>
        <v>-15275</v>
      </c>
    </row>
    <row r="2312" spans="3:9">
      <c r="C2312" s="23">
        <v>1105</v>
      </c>
      <c r="D2312" s="23" t="s">
        <v>134</v>
      </c>
      <c r="E2312" s="23" t="str">
        <f>Withdrawals_Data!A1106</f>
        <v>DA-002</v>
      </c>
      <c r="F2312" s="23" t="str">
        <f>Withdrawals_Data!B1106</f>
        <v>DA-002-M0089</v>
      </c>
      <c r="G2312" s="24">
        <f>Withdrawals_Data!C1106</f>
        <v>45587</v>
      </c>
      <c r="H2312" s="27">
        <v>0</v>
      </c>
      <c r="I2312" s="27">
        <f>-Withdrawals_Data!D1106</f>
        <v>-16663</v>
      </c>
    </row>
    <row r="2313" spans="3:9">
      <c r="C2313" s="23">
        <v>1106</v>
      </c>
      <c r="D2313" s="23" t="s">
        <v>134</v>
      </c>
      <c r="E2313" s="23" t="str">
        <f>Withdrawals_Data!A1107</f>
        <v>DA-002</v>
      </c>
      <c r="F2313" s="23" t="str">
        <f>Withdrawals_Data!B1107</f>
        <v>DA-002-M0089</v>
      </c>
      <c r="G2313" s="24">
        <f>Withdrawals_Data!C1107</f>
        <v>45516</v>
      </c>
      <c r="H2313" s="27">
        <v>0</v>
      </c>
      <c r="I2313" s="27">
        <f>-Withdrawals_Data!D1107</f>
        <v>-8512</v>
      </c>
    </row>
    <row r="2314" spans="3:9">
      <c r="C2314" s="23">
        <v>1107</v>
      </c>
      <c r="D2314" s="23" t="s">
        <v>134</v>
      </c>
      <c r="E2314" s="23" t="str">
        <f>Withdrawals_Data!A1108</f>
        <v>DA-002</v>
      </c>
      <c r="F2314" s="23" t="str">
        <f>Withdrawals_Data!B1108</f>
        <v>DA-002-M0089</v>
      </c>
      <c r="G2314" s="24">
        <f>Withdrawals_Data!C1108</f>
        <v>45384</v>
      </c>
      <c r="H2314" s="27">
        <v>0</v>
      </c>
      <c r="I2314" s="27">
        <f>-Withdrawals_Data!D1108</f>
        <v>-2297</v>
      </c>
    </row>
    <row r="2315" spans="3:9">
      <c r="C2315" s="23">
        <v>1108</v>
      </c>
      <c r="D2315" s="23" t="s">
        <v>134</v>
      </c>
      <c r="E2315" s="23" t="str">
        <f>Withdrawals_Data!A1109</f>
        <v>DA-002</v>
      </c>
      <c r="F2315" s="23" t="str">
        <f>Withdrawals_Data!B1109</f>
        <v>DA-002-M0089</v>
      </c>
      <c r="G2315" s="24">
        <f>Withdrawals_Data!C1109</f>
        <v>45418</v>
      </c>
      <c r="H2315" s="27">
        <v>0</v>
      </c>
      <c r="I2315" s="27">
        <f>-Withdrawals_Data!D1109</f>
        <v>-8132</v>
      </c>
    </row>
    <row r="2316" spans="3:9">
      <c r="C2316" s="23">
        <v>1109</v>
      </c>
      <c r="D2316" s="23" t="s">
        <v>134</v>
      </c>
      <c r="E2316" s="23" t="str">
        <f>Withdrawals_Data!A1110</f>
        <v>DA-003</v>
      </c>
      <c r="F2316" s="23" t="str">
        <f>Withdrawals_Data!B1110</f>
        <v>DA-003-M0090</v>
      </c>
      <c r="G2316" s="24">
        <f>Withdrawals_Data!C1110</f>
        <v>45438</v>
      </c>
      <c r="H2316" s="27">
        <v>0</v>
      </c>
      <c r="I2316" s="27">
        <f>-Withdrawals_Data!D1110</f>
        <v>-1719</v>
      </c>
    </row>
    <row r="2317" spans="3:9">
      <c r="C2317" s="23">
        <v>1110</v>
      </c>
      <c r="D2317" s="23" t="s">
        <v>134</v>
      </c>
      <c r="E2317" s="23" t="str">
        <f>Withdrawals_Data!A1111</f>
        <v>DA-003</v>
      </c>
      <c r="F2317" s="23" t="str">
        <f>Withdrawals_Data!B1111</f>
        <v>DA-003-M0090</v>
      </c>
      <c r="G2317" s="24">
        <f>Withdrawals_Data!C1111</f>
        <v>45456</v>
      </c>
      <c r="H2317" s="27">
        <v>0</v>
      </c>
      <c r="I2317" s="27">
        <f>-Withdrawals_Data!D1111</f>
        <v>-21079</v>
      </c>
    </row>
    <row r="2318" spans="3:9">
      <c r="C2318" s="23">
        <v>1111</v>
      </c>
      <c r="D2318" s="23" t="s">
        <v>134</v>
      </c>
      <c r="E2318" s="23" t="str">
        <f>Withdrawals_Data!A1112</f>
        <v>DA-003</v>
      </c>
      <c r="F2318" s="23" t="str">
        <f>Withdrawals_Data!B1112</f>
        <v>DA-003-M0090</v>
      </c>
      <c r="G2318" s="24">
        <f>Withdrawals_Data!C1112</f>
        <v>45476</v>
      </c>
      <c r="H2318" s="27">
        <v>0</v>
      </c>
      <c r="I2318" s="27">
        <f>-Withdrawals_Data!D1112</f>
        <v>-2637</v>
      </c>
    </row>
    <row r="2319" spans="3:9">
      <c r="C2319" s="23">
        <v>1112</v>
      </c>
      <c r="D2319" s="23" t="s">
        <v>134</v>
      </c>
      <c r="E2319" s="23" t="str">
        <f>Withdrawals_Data!A1113</f>
        <v>DA-003</v>
      </c>
      <c r="F2319" s="23" t="str">
        <f>Withdrawals_Data!B1113</f>
        <v>DA-003-M0090</v>
      </c>
      <c r="G2319" s="24">
        <f>Withdrawals_Data!C1113</f>
        <v>45603</v>
      </c>
      <c r="H2319" s="27">
        <v>0</v>
      </c>
      <c r="I2319" s="27">
        <f>-Withdrawals_Data!D1113</f>
        <v>-16159</v>
      </c>
    </row>
    <row r="2320" spans="3:9">
      <c r="C2320" s="23">
        <v>1113</v>
      </c>
      <c r="D2320" s="23" t="s">
        <v>134</v>
      </c>
      <c r="E2320" s="23" t="str">
        <f>Withdrawals_Data!A1114</f>
        <v>DA-003</v>
      </c>
      <c r="F2320" s="23" t="str">
        <f>Withdrawals_Data!B1114</f>
        <v>DA-003-M0090</v>
      </c>
      <c r="G2320" s="24">
        <f>Withdrawals_Data!C1114</f>
        <v>45520</v>
      </c>
      <c r="H2320" s="27">
        <v>0</v>
      </c>
      <c r="I2320" s="27">
        <f>-Withdrawals_Data!D1114</f>
        <v>-19982</v>
      </c>
    </row>
    <row r="2321" spans="3:9">
      <c r="C2321" s="23">
        <v>1114</v>
      </c>
      <c r="D2321" s="23" t="s">
        <v>134</v>
      </c>
      <c r="E2321" s="23" t="str">
        <f>Withdrawals_Data!A1115</f>
        <v>DA-003</v>
      </c>
      <c r="F2321" s="23" t="str">
        <f>Withdrawals_Data!B1115</f>
        <v>DA-003-M0090</v>
      </c>
      <c r="G2321" s="24">
        <f>Withdrawals_Data!C1115</f>
        <v>45647</v>
      </c>
      <c r="H2321" s="27">
        <v>0</v>
      </c>
      <c r="I2321" s="27">
        <f>-Withdrawals_Data!D1115</f>
        <v>-2290</v>
      </c>
    </row>
    <row r="2322" spans="3:9">
      <c r="C2322" s="23">
        <v>1115</v>
      </c>
      <c r="D2322" s="23" t="s">
        <v>134</v>
      </c>
      <c r="E2322" s="23" t="str">
        <f>Withdrawals_Data!A1116</f>
        <v>DA-003</v>
      </c>
      <c r="F2322" s="23" t="str">
        <f>Withdrawals_Data!B1116</f>
        <v>DA-003-M0090</v>
      </c>
      <c r="G2322" s="24">
        <f>Withdrawals_Data!C1116</f>
        <v>45579</v>
      </c>
      <c r="H2322" s="27">
        <v>0</v>
      </c>
      <c r="I2322" s="27">
        <f>-Withdrawals_Data!D1116</f>
        <v>-5929</v>
      </c>
    </row>
    <row r="2323" spans="3:9">
      <c r="C2323" s="23">
        <v>1116</v>
      </c>
      <c r="D2323" s="23" t="s">
        <v>134</v>
      </c>
      <c r="E2323" s="23" t="str">
        <f>Withdrawals_Data!A1117</f>
        <v>DA-002</v>
      </c>
      <c r="F2323" s="23" t="str">
        <f>Withdrawals_Data!B1117</f>
        <v>DA-002-M0091</v>
      </c>
      <c r="G2323" s="24">
        <f>Withdrawals_Data!C1117</f>
        <v>45542</v>
      </c>
      <c r="H2323" s="27">
        <v>0</v>
      </c>
      <c r="I2323" s="27">
        <f>-Withdrawals_Data!D1117</f>
        <v>-3801</v>
      </c>
    </row>
    <row r="2324" spans="3:9">
      <c r="C2324" s="23">
        <v>1117</v>
      </c>
      <c r="D2324" s="23" t="s">
        <v>134</v>
      </c>
      <c r="E2324" s="23" t="str">
        <f>Withdrawals_Data!A1118</f>
        <v>DA-002</v>
      </c>
      <c r="F2324" s="23" t="str">
        <f>Withdrawals_Data!B1118</f>
        <v>DA-002-M0091</v>
      </c>
      <c r="G2324" s="24">
        <f>Withdrawals_Data!C1118</f>
        <v>45420</v>
      </c>
      <c r="H2324" s="27">
        <v>0</v>
      </c>
      <c r="I2324" s="27">
        <f>-Withdrawals_Data!D1118</f>
        <v>-17079</v>
      </c>
    </row>
    <row r="2325" spans="3:9">
      <c r="C2325" s="23">
        <v>1118</v>
      </c>
      <c r="D2325" s="23" t="s">
        <v>134</v>
      </c>
      <c r="E2325" s="23" t="str">
        <f>Withdrawals_Data!A1119</f>
        <v>DA-002</v>
      </c>
      <c r="F2325" s="23" t="str">
        <f>Withdrawals_Data!B1119</f>
        <v>DA-002-M0091</v>
      </c>
      <c r="G2325" s="24">
        <f>Withdrawals_Data!C1119</f>
        <v>45440</v>
      </c>
      <c r="H2325" s="27">
        <v>0</v>
      </c>
      <c r="I2325" s="27">
        <f>-Withdrawals_Data!D1119</f>
        <v>-3650</v>
      </c>
    </row>
    <row r="2326" spans="3:9">
      <c r="C2326" s="23">
        <v>1119</v>
      </c>
      <c r="D2326" s="23" t="s">
        <v>134</v>
      </c>
      <c r="E2326" s="23" t="str">
        <f>Withdrawals_Data!A1120</f>
        <v>DA-002</v>
      </c>
      <c r="F2326" s="23" t="str">
        <f>Withdrawals_Data!B1120</f>
        <v>DA-002-M0091</v>
      </c>
      <c r="G2326" s="24">
        <f>Withdrawals_Data!C1120</f>
        <v>45366</v>
      </c>
      <c r="H2326" s="27">
        <v>0</v>
      </c>
      <c r="I2326" s="27">
        <f>-Withdrawals_Data!D1120</f>
        <v>-1848</v>
      </c>
    </row>
    <row r="2327" spans="3:9">
      <c r="C2327" s="23">
        <v>1120</v>
      </c>
      <c r="D2327" s="23" t="s">
        <v>134</v>
      </c>
      <c r="E2327" s="23" t="str">
        <f>Withdrawals_Data!A1121</f>
        <v>DA-002</v>
      </c>
      <c r="F2327" s="23" t="str">
        <f>Withdrawals_Data!B1121</f>
        <v>DA-002-M0091</v>
      </c>
      <c r="G2327" s="24">
        <f>Withdrawals_Data!C1121</f>
        <v>45315</v>
      </c>
      <c r="H2327" s="27">
        <v>0</v>
      </c>
      <c r="I2327" s="27">
        <f>-Withdrawals_Data!D1121</f>
        <v>-9640</v>
      </c>
    </row>
    <row r="2328" spans="3:9">
      <c r="C2328" s="23">
        <v>1121</v>
      </c>
      <c r="D2328" s="23" t="s">
        <v>134</v>
      </c>
      <c r="E2328" s="23" t="str">
        <f>Withdrawals_Data!A1122</f>
        <v>DA-002</v>
      </c>
      <c r="F2328" s="23" t="str">
        <f>Withdrawals_Data!B1122</f>
        <v>DA-002-M0091</v>
      </c>
      <c r="G2328" s="24">
        <f>Withdrawals_Data!C1122</f>
        <v>45480</v>
      </c>
      <c r="H2328" s="27">
        <v>0</v>
      </c>
      <c r="I2328" s="27">
        <f>-Withdrawals_Data!D1122</f>
        <v>-10685</v>
      </c>
    </row>
    <row r="2329" spans="3:9">
      <c r="C2329" s="23">
        <v>1122</v>
      </c>
      <c r="D2329" s="23" t="s">
        <v>134</v>
      </c>
      <c r="E2329" s="23" t="str">
        <f>Withdrawals_Data!A1123</f>
        <v>DA-002</v>
      </c>
      <c r="F2329" s="23" t="str">
        <f>Withdrawals_Data!B1123</f>
        <v>DA-002-M0091</v>
      </c>
      <c r="G2329" s="24">
        <f>Withdrawals_Data!C1123</f>
        <v>45475</v>
      </c>
      <c r="H2329" s="27">
        <v>0</v>
      </c>
      <c r="I2329" s="27">
        <f>-Withdrawals_Data!D1123</f>
        <v>-3292</v>
      </c>
    </row>
    <row r="2330" spans="3:9">
      <c r="C2330" s="23">
        <v>1123</v>
      </c>
      <c r="D2330" s="23" t="s">
        <v>134</v>
      </c>
      <c r="E2330" s="23" t="str">
        <f>Withdrawals_Data!A1124</f>
        <v>DA-002</v>
      </c>
      <c r="F2330" s="23" t="str">
        <f>Withdrawals_Data!B1124</f>
        <v>DA-002-M0091</v>
      </c>
      <c r="G2330" s="24">
        <f>Withdrawals_Data!C1124</f>
        <v>45488</v>
      </c>
      <c r="H2330" s="27">
        <v>0</v>
      </c>
      <c r="I2330" s="27">
        <f>-Withdrawals_Data!D1124</f>
        <v>-13117</v>
      </c>
    </row>
    <row r="2331" spans="3:9">
      <c r="C2331" s="23">
        <v>1124</v>
      </c>
      <c r="D2331" s="23" t="s">
        <v>134</v>
      </c>
      <c r="E2331" s="23" t="str">
        <f>Withdrawals_Data!A1125</f>
        <v>DA-002</v>
      </c>
      <c r="F2331" s="23" t="str">
        <f>Withdrawals_Data!B1125</f>
        <v>DA-002-M0091</v>
      </c>
      <c r="G2331" s="24">
        <f>Withdrawals_Data!C1125</f>
        <v>45535</v>
      </c>
      <c r="H2331" s="27">
        <v>0</v>
      </c>
      <c r="I2331" s="27">
        <f>-Withdrawals_Data!D1125</f>
        <v>-5679</v>
      </c>
    </row>
    <row r="2332" spans="3:9">
      <c r="C2332" s="23">
        <v>1125</v>
      </c>
      <c r="D2332" s="23" t="s">
        <v>134</v>
      </c>
      <c r="E2332" s="23" t="str">
        <f>Withdrawals_Data!A1126</f>
        <v>DA-001</v>
      </c>
      <c r="F2332" s="23" t="str">
        <f>Withdrawals_Data!B1126</f>
        <v>DA-001-M0092</v>
      </c>
      <c r="G2332" s="24">
        <f>Withdrawals_Data!C1126</f>
        <v>45494</v>
      </c>
      <c r="H2332" s="27">
        <v>0</v>
      </c>
      <c r="I2332" s="27">
        <f>-Withdrawals_Data!D1126</f>
        <v>-1373</v>
      </c>
    </row>
    <row r="2333" spans="3:9">
      <c r="C2333" s="23">
        <v>1126</v>
      </c>
      <c r="D2333" s="23" t="s">
        <v>134</v>
      </c>
      <c r="E2333" s="23" t="str">
        <f>Withdrawals_Data!A1127</f>
        <v>DA-001</v>
      </c>
      <c r="F2333" s="23" t="str">
        <f>Withdrawals_Data!B1127</f>
        <v>DA-001-M0092</v>
      </c>
      <c r="G2333" s="24">
        <f>Withdrawals_Data!C1127</f>
        <v>45591</v>
      </c>
      <c r="H2333" s="27">
        <v>0</v>
      </c>
      <c r="I2333" s="27">
        <f>-Withdrawals_Data!D1127</f>
        <v>-10833</v>
      </c>
    </row>
    <row r="2334" spans="3:9">
      <c r="C2334" s="23">
        <v>1127</v>
      </c>
      <c r="D2334" s="23" t="s">
        <v>134</v>
      </c>
      <c r="E2334" s="23" t="str">
        <f>Withdrawals_Data!A1128</f>
        <v>DA-001</v>
      </c>
      <c r="F2334" s="23" t="str">
        <f>Withdrawals_Data!B1128</f>
        <v>DA-001-M0092</v>
      </c>
      <c r="G2334" s="24">
        <f>Withdrawals_Data!C1128</f>
        <v>45497</v>
      </c>
      <c r="H2334" s="27">
        <v>0</v>
      </c>
      <c r="I2334" s="27">
        <f>-Withdrawals_Data!D1128</f>
        <v>-19540</v>
      </c>
    </row>
    <row r="2335" spans="3:9">
      <c r="C2335" s="23">
        <v>1128</v>
      </c>
      <c r="D2335" s="23" t="s">
        <v>134</v>
      </c>
      <c r="E2335" s="23" t="str">
        <f>Withdrawals_Data!A1129</f>
        <v>DA-001</v>
      </c>
      <c r="F2335" s="23" t="str">
        <f>Withdrawals_Data!B1129</f>
        <v>DA-001-M0092</v>
      </c>
      <c r="G2335" s="24">
        <f>Withdrawals_Data!C1129</f>
        <v>45404</v>
      </c>
      <c r="H2335" s="27">
        <v>0</v>
      </c>
      <c r="I2335" s="27">
        <f>-Withdrawals_Data!D1129</f>
        <v>-13127</v>
      </c>
    </row>
    <row r="2336" spans="3:9">
      <c r="C2336" s="23">
        <v>1129</v>
      </c>
      <c r="D2336" s="23" t="s">
        <v>134</v>
      </c>
      <c r="E2336" s="23" t="str">
        <f>Withdrawals_Data!A1130</f>
        <v>DA-001</v>
      </c>
      <c r="F2336" s="23" t="str">
        <f>Withdrawals_Data!B1130</f>
        <v>DA-001-M0092</v>
      </c>
      <c r="G2336" s="24">
        <f>Withdrawals_Data!C1130</f>
        <v>45622</v>
      </c>
      <c r="H2336" s="27">
        <v>0</v>
      </c>
      <c r="I2336" s="27">
        <f>-Withdrawals_Data!D1130</f>
        <v>-19771</v>
      </c>
    </row>
    <row r="2337" spans="3:9">
      <c r="C2337" s="23">
        <v>1130</v>
      </c>
      <c r="D2337" s="23" t="s">
        <v>134</v>
      </c>
      <c r="E2337" s="23" t="str">
        <f>Withdrawals_Data!A1131</f>
        <v>DA-001</v>
      </c>
      <c r="F2337" s="23" t="str">
        <f>Withdrawals_Data!B1131</f>
        <v>DA-001-M0092</v>
      </c>
      <c r="G2337" s="24">
        <f>Withdrawals_Data!C1131</f>
        <v>45615</v>
      </c>
      <c r="H2337" s="27">
        <v>0</v>
      </c>
      <c r="I2337" s="27">
        <f>-Withdrawals_Data!D1131</f>
        <v>-9288</v>
      </c>
    </row>
    <row r="2338" spans="3:9">
      <c r="C2338" s="23">
        <v>1131</v>
      </c>
      <c r="D2338" s="23" t="s">
        <v>134</v>
      </c>
      <c r="E2338" s="23" t="str">
        <f>Withdrawals_Data!A1132</f>
        <v>DA-001</v>
      </c>
      <c r="F2338" s="23" t="str">
        <f>Withdrawals_Data!B1132</f>
        <v>DA-001-M0092</v>
      </c>
      <c r="G2338" s="24">
        <f>Withdrawals_Data!C1132</f>
        <v>45429</v>
      </c>
      <c r="H2338" s="27">
        <v>0</v>
      </c>
      <c r="I2338" s="27">
        <f>-Withdrawals_Data!D1132</f>
        <v>-18787</v>
      </c>
    </row>
    <row r="2339" spans="3:9">
      <c r="C2339" s="23">
        <v>1132</v>
      </c>
      <c r="D2339" s="23" t="s">
        <v>134</v>
      </c>
      <c r="E2339" s="23" t="str">
        <f>Withdrawals_Data!A1133</f>
        <v>DA-001</v>
      </c>
      <c r="F2339" s="23" t="str">
        <f>Withdrawals_Data!B1133</f>
        <v>DA-001-M0092</v>
      </c>
      <c r="G2339" s="24">
        <f>Withdrawals_Data!C1133</f>
        <v>45303</v>
      </c>
      <c r="H2339" s="27">
        <v>0</v>
      </c>
      <c r="I2339" s="27">
        <f>-Withdrawals_Data!D1133</f>
        <v>-2848</v>
      </c>
    </row>
    <row r="2340" spans="3:9">
      <c r="C2340" s="23">
        <v>1133</v>
      </c>
      <c r="D2340" s="23" t="s">
        <v>134</v>
      </c>
      <c r="E2340" s="23" t="str">
        <f>Withdrawals_Data!A1134</f>
        <v>DA-001</v>
      </c>
      <c r="F2340" s="23" t="str">
        <f>Withdrawals_Data!B1134</f>
        <v>DA-001-M0093</v>
      </c>
      <c r="G2340" s="24">
        <f>Withdrawals_Data!C1134</f>
        <v>45531</v>
      </c>
      <c r="H2340" s="27">
        <v>0</v>
      </c>
      <c r="I2340" s="27">
        <f>-Withdrawals_Data!D1134</f>
        <v>-9012</v>
      </c>
    </row>
    <row r="2341" spans="3:9">
      <c r="C2341" s="23">
        <v>1134</v>
      </c>
      <c r="D2341" s="23" t="s">
        <v>134</v>
      </c>
      <c r="E2341" s="23" t="str">
        <f>Withdrawals_Data!A1135</f>
        <v>DA-001</v>
      </c>
      <c r="F2341" s="23" t="str">
        <f>Withdrawals_Data!B1135</f>
        <v>DA-001-M0093</v>
      </c>
      <c r="G2341" s="24">
        <f>Withdrawals_Data!C1135</f>
        <v>45353</v>
      </c>
      <c r="H2341" s="27">
        <v>0</v>
      </c>
      <c r="I2341" s="27">
        <f>-Withdrawals_Data!D1135</f>
        <v>-17992</v>
      </c>
    </row>
    <row r="2342" spans="3:9">
      <c r="C2342" s="23">
        <v>1135</v>
      </c>
      <c r="D2342" s="23" t="s">
        <v>134</v>
      </c>
      <c r="E2342" s="23" t="str">
        <f>Withdrawals_Data!A1136</f>
        <v>DA-001</v>
      </c>
      <c r="F2342" s="23" t="str">
        <f>Withdrawals_Data!B1136</f>
        <v>DA-001-M0093</v>
      </c>
      <c r="G2342" s="24">
        <f>Withdrawals_Data!C1136</f>
        <v>45354</v>
      </c>
      <c r="H2342" s="27">
        <v>0</v>
      </c>
      <c r="I2342" s="27">
        <f>-Withdrawals_Data!D1136</f>
        <v>-11771</v>
      </c>
    </row>
    <row r="2343" spans="3:9">
      <c r="C2343" s="23">
        <v>1136</v>
      </c>
      <c r="D2343" s="23" t="s">
        <v>134</v>
      </c>
      <c r="E2343" s="23" t="str">
        <f>Withdrawals_Data!A1137</f>
        <v>DA-001</v>
      </c>
      <c r="F2343" s="23" t="str">
        <f>Withdrawals_Data!B1137</f>
        <v>DA-001-M0093</v>
      </c>
      <c r="G2343" s="24">
        <f>Withdrawals_Data!C1137</f>
        <v>45601</v>
      </c>
      <c r="H2343" s="27">
        <v>0</v>
      </c>
      <c r="I2343" s="27">
        <f>-Withdrawals_Data!D1137</f>
        <v>-10098</v>
      </c>
    </row>
    <row r="2344" spans="3:9">
      <c r="C2344" s="23">
        <v>1137</v>
      </c>
      <c r="D2344" s="23" t="s">
        <v>134</v>
      </c>
      <c r="E2344" s="23" t="str">
        <f>Withdrawals_Data!A1138</f>
        <v>DA-001</v>
      </c>
      <c r="F2344" s="23" t="str">
        <f>Withdrawals_Data!B1138</f>
        <v>DA-001-M0093</v>
      </c>
      <c r="G2344" s="24">
        <f>Withdrawals_Data!C1138</f>
        <v>45496</v>
      </c>
      <c r="H2344" s="27">
        <v>0</v>
      </c>
      <c r="I2344" s="27">
        <f>-Withdrawals_Data!D1138</f>
        <v>-4493</v>
      </c>
    </row>
    <row r="2345" spans="3:9">
      <c r="C2345" s="23">
        <v>1138</v>
      </c>
      <c r="D2345" s="23" t="s">
        <v>134</v>
      </c>
      <c r="E2345" s="23" t="str">
        <f>Withdrawals_Data!A1139</f>
        <v>DA-001</v>
      </c>
      <c r="F2345" s="23" t="str">
        <f>Withdrawals_Data!B1139</f>
        <v>DA-001-M0093</v>
      </c>
      <c r="G2345" s="24">
        <f>Withdrawals_Data!C1139</f>
        <v>45615</v>
      </c>
      <c r="H2345" s="27">
        <v>0</v>
      </c>
      <c r="I2345" s="27">
        <f>-Withdrawals_Data!D1139</f>
        <v>-10569</v>
      </c>
    </row>
    <row r="2346" spans="3:9">
      <c r="C2346" s="23">
        <v>1139</v>
      </c>
      <c r="D2346" s="23" t="s">
        <v>134</v>
      </c>
      <c r="E2346" s="23" t="str">
        <f>Withdrawals_Data!A1140</f>
        <v>DA-001</v>
      </c>
      <c r="F2346" s="23" t="str">
        <f>Withdrawals_Data!B1140</f>
        <v>DA-001-M0093</v>
      </c>
      <c r="G2346" s="24">
        <f>Withdrawals_Data!C1140</f>
        <v>45498</v>
      </c>
      <c r="H2346" s="27">
        <v>0</v>
      </c>
      <c r="I2346" s="27">
        <f>-Withdrawals_Data!D1140</f>
        <v>-15839</v>
      </c>
    </row>
    <row r="2347" spans="3:9">
      <c r="C2347" s="23">
        <v>1140</v>
      </c>
      <c r="D2347" s="23" t="s">
        <v>134</v>
      </c>
      <c r="E2347" s="23" t="str">
        <f>Withdrawals_Data!A1141</f>
        <v>DA-002</v>
      </c>
      <c r="F2347" s="23" t="str">
        <f>Withdrawals_Data!B1141</f>
        <v>DA-002-M0094</v>
      </c>
      <c r="G2347" s="24">
        <f>Withdrawals_Data!C1141</f>
        <v>45314</v>
      </c>
      <c r="H2347" s="27">
        <v>0</v>
      </c>
      <c r="I2347" s="27">
        <f>-Withdrawals_Data!D1141</f>
        <v>-3849</v>
      </c>
    </row>
    <row r="2348" spans="3:9">
      <c r="C2348" s="23">
        <v>1141</v>
      </c>
      <c r="D2348" s="23" t="s">
        <v>134</v>
      </c>
      <c r="E2348" s="23" t="str">
        <f>Withdrawals_Data!A1142</f>
        <v>DA-002</v>
      </c>
      <c r="F2348" s="23" t="str">
        <f>Withdrawals_Data!B1142</f>
        <v>DA-002-M0094</v>
      </c>
      <c r="G2348" s="24">
        <f>Withdrawals_Data!C1142</f>
        <v>45340</v>
      </c>
      <c r="H2348" s="27">
        <v>0</v>
      </c>
      <c r="I2348" s="27">
        <f>-Withdrawals_Data!D1142</f>
        <v>-7905</v>
      </c>
    </row>
    <row r="2349" spans="3:9">
      <c r="C2349" s="23">
        <v>1142</v>
      </c>
      <c r="D2349" s="23" t="s">
        <v>134</v>
      </c>
      <c r="E2349" s="23" t="str">
        <f>Withdrawals_Data!A1143</f>
        <v>DA-002</v>
      </c>
      <c r="F2349" s="23" t="str">
        <f>Withdrawals_Data!B1143</f>
        <v>DA-002-M0094</v>
      </c>
      <c r="G2349" s="24">
        <f>Withdrawals_Data!C1143</f>
        <v>45338</v>
      </c>
      <c r="H2349" s="27">
        <v>0</v>
      </c>
      <c r="I2349" s="27">
        <f>-Withdrawals_Data!D1143</f>
        <v>-3690</v>
      </c>
    </row>
    <row r="2350" spans="3:9">
      <c r="C2350" s="23">
        <v>1143</v>
      </c>
      <c r="D2350" s="23" t="s">
        <v>134</v>
      </c>
      <c r="E2350" s="23" t="str">
        <f>Withdrawals_Data!A1144</f>
        <v>DA-002</v>
      </c>
      <c r="F2350" s="23" t="str">
        <f>Withdrawals_Data!B1144</f>
        <v>DA-002-M0094</v>
      </c>
      <c r="G2350" s="24">
        <f>Withdrawals_Data!C1144</f>
        <v>45469</v>
      </c>
      <c r="H2350" s="27">
        <v>0</v>
      </c>
      <c r="I2350" s="27">
        <f>-Withdrawals_Data!D1144</f>
        <v>-13178</v>
      </c>
    </row>
    <row r="2351" spans="3:9">
      <c r="C2351" s="23">
        <v>1144</v>
      </c>
      <c r="D2351" s="23" t="s">
        <v>134</v>
      </c>
      <c r="E2351" s="23" t="str">
        <f>Withdrawals_Data!A1145</f>
        <v>DA-002</v>
      </c>
      <c r="F2351" s="23" t="str">
        <f>Withdrawals_Data!B1145</f>
        <v>DA-002-M0094</v>
      </c>
      <c r="G2351" s="24">
        <f>Withdrawals_Data!C1145</f>
        <v>45621</v>
      </c>
      <c r="H2351" s="27">
        <v>0</v>
      </c>
      <c r="I2351" s="27">
        <f>-Withdrawals_Data!D1145</f>
        <v>-6508</v>
      </c>
    </row>
    <row r="2352" spans="3:9">
      <c r="C2352" s="23">
        <v>1145</v>
      </c>
      <c r="D2352" s="23" t="s">
        <v>134</v>
      </c>
      <c r="E2352" s="23" t="str">
        <f>Withdrawals_Data!A1146</f>
        <v>DA-002</v>
      </c>
      <c r="F2352" s="23" t="str">
        <f>Withdrawals_Data!B1146</f>
        <v>DA-002-M0094</v>
      </c>
      <c r="G2352" s="24">
        <f>Withdrawals_Data!C1146</f>
        <v>45319</v>
      </c>
      <c r="H2352" s="27">
        <v>0</v>
      </c>
      <c r="I2352" s="27">
        <f>-Withdrawals_Data!D1146</f>
        <v>-8397</v>
      </c>
    </row>
    <row r="2353" spans="3:9">
      <c r="C2353" s="23">
        <v>1146</v>
      </c>
      <c r="D2353" s="23" t="s">
        <v>134</v>
      </c>
      <c r="E2353" s="23" t="str">
        <f>Withdrawals_Data!A1147</f>
        <v>DA-002</v>
      </c>
      <c r="F2353" s="23" t="str">
        <f>Withdrawals_Data!B1147</f>
        <v>DA-002-M0094</v>
      </c>
      <c r="G2353" s="24">
        <f>Withdrawals_Data!C1147</f>
        <v>45527</v>
      </c>
      <c r="H2353" s="27">
        <v>0</v>
      </c>
      <c r="I2353" s="27">
        <f>-Withdrawals_Data!D1147</f>
        <v>-8061</v>
      </c>
    </row>
    <row r="2354" spans="3:9">
      <c r="C2354" s="23">
        <v>1147</v>
      </c>
      <c r="D2354" s="23" t="s">
        <v>134</v>
      </c>
      <c r="E2354" s="23" t="str">
        <f>Withdrawals_Data!A1148</f>
        <v>DA-003</v>
      </c>
      <c r="F2354" s="23" t="str">
        <f>Withdrawals_Data!B1148</f>
        <v>DA-003-M0095</v>
      </c>
      <c r="G2354" s="24">
        <f>Withdrawals_Data!C1148</f>
        <v>45437</v>
      </c>
      <c r="H2354" s="27">
        <v>0</v>
      </c>
      <c r="I2354" s="27">
        <f>-Withdrawals_Data!D1148</f>
        <v>-7151</v>
      </c>
    </row>
    <row r="2355" spans="3:9">
      <c r="C2355" s="23">
        <v>1148</v>
      </c>
      <c r="D2355" s="23" t="s">
        <v>134</v>
      </c>
      <c r="E2355" s="23" t="str">
        <f>Withdrawals_Data!A1149</f>
        <v>DA-003</v>
      </c>
      <c r="F2355" s="23" t="str">
        <f>Withdrawals_Data!B1149</f>
        <v>DA-003-M0095</v>
      </c>
      <c r="G2355" s="24">
        <f>Withdrawals_Data!C1149</f>
        <v>45352</v>
      </c>
      <c r="H2355" s="27">
        <v>0</v>
      </c>
      <c r="I2355" s="27">
        <f>-Withdrawals_Data!D1149</f>
        <v>-4074</v>
      </c>
    </row>
    <row r="2356" spans="3:9">
      <c r="C2356" s="23">
        <v>1149</v>
      </c>
      <c r="D2356" s="23" t="s">
        <v>134</v>
      </c>
      <c r="E2356" s="23" t="str">
        <f>Withdrawals_Data!A1150</f>
        <v>DA-003</v>
      </c>
      <c r="F2356" s="23" t="str">
        <f>Withdrawals_Data!B1150</f>
        <v>DA-003-M0095</v>
      </c>
      <c r="G2356" s="24">
        <f>Withdrawals_Data!C1150</f>
        <v>45561</v>
      </c>
      <c r="H2356" s="27">
        <v>0</v>
      </c>
      <c r="I2356" s="27">
        <f>-Withdrawals_Data!D1150</f>
        <v>-6369</v>
      </c>
    </row>
    <row r="2357" spans="3:9">
      <c r="C2357" s="23">
        <v>1150</v>
      </c>
      <c r="D2357" s="23" t="s">
        <v>134</v>
      </c>
      <c r="E2357" s="23" t="str">
        <f>Withdrawals_Data!A1151</f>
        <v>DA-003</v>
      </c>
      <c r="F2357" s="23" t="str">
        <f>Withdrawals_Data!B1151</f>
        <v>DA-003-M0095</v>
      </c>
      <c r="G2357" s="24">
        <f>Withdrawals_Data!C1151</f>
        <v>45425</v>
      </c>
      <c r="H2357" s="27">
        <v>0</v>
      </c>
      <c r="I2357" s="27">
        <f>-Withdrawals_Data!D1151</f>
        <v>-10402</v>
      </c>
    </row>
    <row r="2358" spans="3:9">
      <c r="C2358" s="23">
        <v>1151</v>
      </c>
      <c r="D2358" s="23" t="s">
        <v>134</v>
      </c>
      <c r="E2358" s="23" t="str">
        <f>Withdrawals_Data!A1152</f>
        <v>DA-003</v>
      </c>
      <c r="F2358" s="23" t="str">
        <f>Withdrawals_Data!B1152</f>
        <v>DA-003-M0095</v>
      </c>
      <c r="G2358" s="24">
        <f>Withdrawals_Data!C1152</f>
        <v>45302</v>
      </c>
      <c r="H2358" s="27">
        <v>0</v>
      </c>
      <c r="I2358" s="27">
        <f>-Withdrawals_Data!D1152</f>
        <v>-5147</v>
      </c>
    </row>
    <row r="2359" spans="3:9">
      <c r="C2359" s="23">
        <v>1152</v>
      </c>
      <c r="D2359" s="23" t="s">
        <v>134</v>
      </c>
      <c r="E2359" s="23" t="str">
        <f>Withdrawals_Data!A1153</f>
        <v>DA-003</v>
      </c>
      <c r="F2359" s="23" t="str">
        <f>Withdrawals_Data!B1153</f>
        <v>DA-003-M0095</v>
      </c>
      <c r="G2359" s="24">
        <f>Withdrawals_Data!C1153</f>
        <v>45462</v>
      </c>
      <c r="H2359" s="27">
        <v>0</v>
      </c>
      <c r="I2359" s="27">
        <f>-Withdrawals_Data!D1153</f>
        <v>-16055</v>
      </c>
    </row>
    <row r="2360" spans="3:9">
      <c r="C2360" s="23">
        <v>1153</v>
      </c>
      <c r="D2360" s="23" t="s">
        <v>134</v>
      </c>
      <c r="E2360" s="23" t="str">
        <f>Withdrawals_Data!A1154</f>
        <v>DA-003</v>
      </c>
      <c r="F2360" s="23" t="str">
        <f>Withdrawals_Data!B1154</f>
        <v>DA-003-M0095</v>
      </c>
      <c r="G2360" s="24">
        <f>Withdrawals_Data!C1154</f>
        <v>45486</v>
      </c>
      <c r="H2360" s="27">
        <v>0</v>
      </c>
      <c r="I2360" s="27">
        <f>-Withdrawals_Data!D1154</f>
        <v>-6152</v>
      </c>
    </row>
    <row r="2361" spans="3:9">
      <c r="C2361" s="23">
        <v>1154</v>
      </c>
      <c r="D2361" s="23" t="s">
        <v>134</v>
      </c>
      <c r="E2361" s="23" t="str">
        <f>Withdrawals_Data!A1155</f>
        <v>DA-003</v>
      </c>
      <c r="F2361" s="23" t="str">
        <f>Withdrawals_Data!B1155</f>
        <v>DA-003-M0095</v>
      </c>
      <c r="G2361" s="24">
        <f>Withdrawals_Data!C1155</f>
        <v>45635</v>
      </c>
      <c r="H2361" s="27">
        <v>0</v>
      </c>
      <c r="I2361" s="27">
        <f>-Withdrawals_Data!D1155</f>
        <v>-14807</v>
      </c>
    </row>
    <row r="2362" spans="3:9">
      <c r="C2362" s="23">
        <v>1155</v>
      </c>
      <c r="D2362" s="23" t="s">
        <v>134</v>
      </c>
      <c r="E2362" s="23" t="str">
        <f>Withdrawals_Data!A1156</f>
        <v>DA-003</v>
      </c>
      <c r="F2362" s="23" t="str">
        <f>Withdrawals_Data!B1156</f>
        <v>DA-003-M0095</v>
      </c>
      <c r="G2362" s="24">
        <f>Withdrawals_Data!C1156</f>
        <v>45492</v>
      </c>
      <c r="H2362" s="27">
        <v>0</v>
      </c>
      <c r="I2362" s="27">
        <f>-Withdrawals_Data!D1156</f>
        <v>-8735</v>
      </c>
    </row>
    <row r="2363" spans="3:9">
      <c r="C2363" s="23">
        <v>1156</v>
      </c>
      <c r="D2363" s="23" t="s">
        <v>134</v>
      </c>
      <c r="E2363" s="23" t="str">
        <f>Withdrawals_Data!A1157</f>
        <v>DA-003</v>
      </c>
      <c r="F2363" s="23" t="str">
        <f>Withdrawals_Data!B1157</f>
        <v>DA-003-M0095</v>
      </c>
      <c r="G2363" s="24">
        <f>Withdrawals_Data!C1157</f>
        <v>45516</v>
      </c>
      <c r="H2363" s="27">
        <v>0</v>
      </c>
      <c r="I2363" s="27">
        <f>-Withdrawals_Data!D1157</f>
        <v>-4545</v>
      </c>
    </row>
    <row r="2364" spans="3:9">
      <c r="C2364" s="23">
        <v>1157</v>
      </c>
      <c r="D2364" s="23" t="s">
        <v>134</v>
      </c>
      <c r="E2364" s="23" t="str">
        <f>Withdrawals_Data!A1158</f>
        <v>DA-003</v>
      </c>
      <c r="F2364" s="23" t="str">
        <f>Withdrawals_Data!B1158</f>
        <v>DA-003-M0095</v>
      </c>
      <c r="G2364" s="24">
        <f>Withdrawals_Data!C1158</f>
        <v>45391</v>
      </c>
      <c r="H2364" s="27">
        <v>0</v>
      </c>
      <c r="I2364" s="27">
        <f>-Withdrawals_Data!D1158</f>
        <v>-5883</v>
      </c>
    </row>
    <row r="2365" spans="3:9">
      <c r="C2365" s="23">
        <v>1158</v>
      </c>
      <c r="D2365" s="23" t="s">
        <v>134</v>
      </c>
      <c r="E2365" s="23" t="str">
        <f>Withdrawals_Data!A1159</f>
        <v>DA-001</v>
      </c>
      <c r="F2365" s="23" t="str">
        <f>Withdrawals_Data!B1159</f>
        <v>DA-001-M0096</v>
      </c>
      <c r="G2365" s="24">
        <f>Withdrawals_Data!C1159</f>
        <v>45613</v>
      </c>
      <c r="H2365" s="27">
        <v>0</v>
      </c>
      <c r="I2365" s="27">
        <f>-Withdrawals_Data!D1159</f>
        <v>-13183</v>
      </c>
    </row>
    <row r="2366" spans="3:9">
      <c r="C2366" s="23">
        <v>1159</v>
      </c>
      <c r="D2366" s="23" t="s">
        <v>134</v>
      </c>
      <c r="E2366" s="23" t="str">
        <f>Withdrawals_Data!A1160</f>
        <v>DA-001</v>
      </c>
      <c r="F2366" s="23" t="str">
        <f>Withdrawals_Data!B1160</f>
        <v>DA-001-M0096</v>
      </c>
      <c r="G2366" s="24">
        <f>Withdrawals_Data!C1160</f>
        <v>45531</v>
      </c>
      <c r="H2366" s="27">
        <v>0</v>
      </c>
      <c r="I2366" s="27">
        <f>-Withdrawals_Data!D1160</f>
        <v>-1983</v>
      </c>
    </row>
    <row r="2367" spans="3:9">
      <c r="C2367" s="23">
        <v>1160</v>
      </c>
      <c r="D2367" s="23" t="s">
        <v>134</v>
      </c>
      <c r="E2367" s="23" t="str">
        <f>Withdrawals_Data!A1161</f>
        <v>DA-001</v>
      </c>
      <c r="F2367" s="23" t="str">
        <f>Withdrawals_Data!B1161</f>
        <v>DA-001-M0096</v>
      </c>
      <c r="G2367" s="24">
        <f>Withdrawals_Data!C1161</f>
        <v>45453</v>
      </c>
      <c r="H2367" s="27">
        <v>0</v>
      </c>
      <c r="I2367" s="27">
        <f>-Withdrawals_Data!D1161</f>
        <v>-13865</v>
      </c>
    </row>
    <row r="2368" spans="3:9">
      <c r="C2368" s="23">
        <v>1161</v>
      </c>
      <c r="D2368" s="23" t="s">
        <v>134</v>
      </c>
      <c r="E2368" s="23" t="str">
        <f>Withdrawals_Data!A1162</f>
        <v>DA-001</v>
      </c>
      <c r="F2368" s="23" t="str">
        <f>Withdrawals_Data!B1162</f>
        <v>DA-001-M0096</v>
      </c>
      <c r="G2368" s="24">
        <f>Withdrawals_Data!C1162</f>
        <v>45612</v>
      </c>
      <c r="H2368" s="27">
        <v>0</v>
      </c>
      <c r="I2368" s="27">
        <f>-Withdrawals_Data!D1162</f>
        <v>-6198</v>
      </c>
    </row>
    <row r="2369" spans="3:9">
      <c r="C2369" s="23">
        <v>1162</v>
      </c>
      <c r="D2369" s="23" t="s">
        <v>134</v>
      </c>
      <c r="E2369" s="23" t="str">
        <f>Withdrawals_Data!A1163</f>
        <v>DA-001</v>
      </c>
      <c r="F2369" s="23" t="str">
        <f>Withdrawals_Data!B1163</f>
        <v>DA-001-M0096</v>
      </c>
      <c r="G2369" s="24">
        <f>Withdrawals_Data!C1163</f>
        <v>45337</v>
      </c>
      <c r="H2369" s="27">
        <v>0</v>
      </c>
      <c r="I2369" s="27">
        <f>-Withdrawals_Data!D1163</f>
        <v>-5041</v>
      </c>
    </row>
    <row r="2370" spans="3:9">
      <c r="C2370" s="23">
        <v>1163</v>
      </c>
      <c r="D2370" s="23" t="s">
        <v>134</v>
      </c>
      <c r="E2370" s="23" t="str">
        <f>Withdrawals_Data!A1164</f>
        <v>DA-001</v>
      </c>
      <c r="F2370" s="23" t="str">
        <f>Withdrawals_Data!B1164</f>
        <v>DA-001-M0096</v>
      </c>
      <c r="G2370" s="24">
        <f>Withdrawals_Data!C1164</f>
        <v>45390</v>
      </c>
      <c r="H2370" s="27">
        <v>0</v>
      </c>
      <c r="I2370" s="27">
        <f>-Withdrawals_Data!D1164</f>
        <v>-21451</v>
      </c>
    </row>
    <row r="2371" spans="3:9">
      <c r="C2371" s="23">
        <v>1164</v>
      </c>
      <c r="D2371" s="23" t="s">
        <v>134</v>
      </c>
      <c r="E2371" s="23" t="str">
        <f>Withdrawals_Data!A1165</f>
        <v>DA-001</v>
      </c>
      <c r="F2371" s="23" t="str">
        <f>Withdrawals_Data!B1165</f>
        <v>DA-001-M0096</v>
      </c>
      <c r="G2371" s="24">
        <f>Withdrawals_Data!C1165</f>
        <v>45556</v>
      </c>
      <c r="H2371" s="27">
        <v>0</v>
      </c>
      <c r="I2371" s="27">
        <f>-Withdrawals_Data!D1165</f>
        <v>-8990</v>
      </c>
    </row>
    <row r="2372" spans="3:9">
      <c r="C2372" s="23">
        <v>1165</v>
      </c>
      <c r="D2372" s="23" t="s">
        <v>134</v>
      </c>
      <c r="E2372" s="23" t="str">
        <f>Withdrawals_Data!A1166</f>
        <v>DA-002</v>
      </c>
      <c r="F2372" s="23" t="str">
        <f>Withdrawals_Data!B1166</f>
        <v>DA-002-M0097</v>
      </c>
      <c r="G2372" s="24">
        <f>Withdrawals_Data!C1166</f>
        <v>45564</v>
      </c>
      <c r="H2372" s="27">
        <v>0</v>
      </c>
      <c r="I2372" s="27">
        <f>-Withdrawals_Data!D1166</f>
        <v>-17850</v>
      </c>
    </row>
    <row r="2373" spans="3:9">
      <c r="C2373" s="23">
        <v>1166</v>
      </c>
      <c r="D2373" s="23" t="s">
        <v>134</v>
      </c>
      <c r="E2373" s="23" t="str">
        <f>Withdrawals_Data!A1167</f>
        <v>DA-002</v>
      </c>
      <c r="F2373" s="23" t="str">
        <f>Withdrawals_Data!B1167</f>
        <v>DA-002-M0097</v>
      </c>
      <c r="G2373" s="24">
        <f>Withdrawals_Data!C1167</f>
        <v>45627</v>
      </c>
      <c r="H2373" s="27">
        <v>0</v>
      </c>
      <c r="I2373" s="27">
        <f>-Withdrawals_Data!D1167</f>
        <v>-11237</v>
      </c>
    </row>
    <row r="2374" spans="3:9">
      <c r="C2374" s="23">
        <v>1167</v>
      </c>
      <c r="D2374" s="23" t="s">
        <v>134</v>
      </c>
      <c r="E2374" s="23" t="str">
        <f>Withdrawals_Data!A1168</f>
        <v>DA-002</v>
      </c>
      <c r="F2374" s="23" t="str">
        <f>Withdrawals_Data!B1168</f>
        <v>DA-002-M0097</v>
      </c>
      <c r="G2374" s="24">
        <f>Withdrawals_Data!C1168</f>
        <v>45639</v>
      </c>
      <c r="H2374" s="27">
        <v>0</v>
      </c>
      <c r="I2374" s="27">
        <f>-Withdrawals_Data!D1168</f>
        <v>-6641</v>
      </c>
    </row>
    <row r="2375" spans="3:9">
      <c r="C2375" s="23">
        <v>1168</v>
      </c>
      <c r="D2375" s="23" t="s">
        <v>134</v>
      </c>
      <c r="E2375" s="23" t="str">
        <f>Withdrawals_Data!A1169</f>
        <v>DA-002</v>
      </c>
      <c r="F2375" s="23" t="str">
        <f>Withdrawals_Data!B1169</f>
        <v>DA-002-M0097</v>
      </c>
      <c r="G2375" s="24">
        <f>Withdrawals_Data!C1169</f>
        <v>45439</v>
      </c>
      <c r="H2375" s="27">
        <v>0</v>
      </c>
      <c r="I2375" s="27">
        <f>-Withdrawals_Data!D1169</f>
        <v>-14160</v>
      </c>
    </row>
    <row r="2376" spans="3:9">
      <c r="C2376" s="23">
        <v>1169</v>
      </c>
      <c r="D2376" s="23" t="s">
        <v>134</v>
      </c>
      <c r="E2376" s="23" t="str">
        <f>Withdrawals_Data!A1170</f>
        <v>DA-002</v>
      </c>
      <c r="F2376" s="23" t="str">
        <f>Withdrawals_Data!B1170</f>
        <v>DA-002-M0097</v>
      </c>
      <c r="G2376" s="24">
        <f>Withdrawals_Data!C1170</f>
        <v>45530</v>
      </c>
      <c r="H2376" s="27">
        <v>0</v>
      </c>
      <c r="I2376" s="27">
        <f>-Withdrawals_Data!D1170</f>
        <v>-12788</v>
      </c>
    </row>
    <row r="2377" spans="3:9">
      <c r="C2377" s="23">
        <v>1170</v>
      </c>
      <c r="D2377" s="23" t="s">
        <v>134</v>
      </c>
      <c r="E2377" s="23" t="str">
        <f>Withdrawals_Data!A1171</f>
        <v>DA-002</v>
      </c>
      <c r="F2377" s="23" t="str">
        <f>Withdrawals_Data!B1171</f>
        <v>DA-002-M0097</v>
      </c>
      <c r="G2377" s="24">
        <f>Withdrawals_Data!C1171</f>
        <v>45352</v>
      </c>
      <c r="H2377" s="27">
        <v>0</v>
      </c>
      <c r="I2377" s="27">
        <f>-Withdrawals_Data!D1171</f>
        <v>-16075</v>
      </c>
    </row>
    <row r="2378" spans="3:9">
      <c r="C2378" s="23">
        <v>1171</v>
      </c>
      <c r="D2378" s="23" t="s">
        <v>134</v>
      </c>
      <c r="E2378" s="23" t="str">
        <f>Withdrawals_Data!A1172</f>
        <v>DA-002</v>
      </c>
      <c r="F2378" s="23" t="str">
        <f>Withdrawals_Data!B1172</f>
        <v>DA-002-M0097</v>
      </c>
      <c r="G2378" s="24">
        <f>Withdrawals_Data!C1172</f>
        <v>45499</v>
      </c>
      <c r="H2378" s="27">
        <v>0</v>
      </c>
      <c r="I2378" s="27">
        <f>-Withdrawals_Data!D1172</f>
        <v>-13725</v>
      </c>
    </row>
    <row r="2379" spans="3:9">
      <c r="C2379" s="23">
        <v>1172</v>
      </c>
      <c r="D2379" s="23" t="s">
        <v>134</v>
      </c>
      <c r="E2379" s="23" t="str">
        <f>Withdrawals_Data!A1173</f>
        <v>DA-002</v>
      </c>
      <c r="F2379" s="23" t="str">
        <f>Withdrawals_Data!B1173</f>
        <v>DA-002-M0097</v>
      </c>
      <c r="G2379" s="24">
        <f>Withdrawals_Data!C1173</f>
        <v>45582</v>
      </c>
      <c r="H2379" s="27">
        <v>0</v>
      </c>
      <c r="I2379" s="27">
        <f>-Withdrawals_Data!D1173</f>
        <v>-20539</v>
      </c>
    </row>
    <row r="2380" spans="3:9">
      <c r="C2380" s="23">
        <v>1173</v>
      </c>
      <c r="D2380" s="23" t="s">
        <v>134</v>
      </c>
      <c r="E2380" s="23" t="str">
        <f>Withdrawals_Data!A1174</f>
        <v>DA-001</v>
      </c>
      <c r="F2380" s="23" t="str">
        <f>Withdrawals_Data!B1174</f>
        <v>DA-001-M0098</v>
      </c>
      <c r="G2380" s="24">
        <f>Withdrawals_Data!C1174</f>
        <v>45614</v>
      </c>
      <c r="H2380" s="27">
        <v>0</v>
      </c>
      <c r="I2380" s="27">
        <f>-Withdrawals_Data!D1174</f>
        <v>-6821</v>
      </c>
    </row>
    <row r="2381" spans="3:9">
      <c r="C2381" s="23">
        <v>1174</v>
      </c>
      <c r="D2381" s="23" t="s">
        <v>134</v>
      </c>
      <c r="E2381" s="23" t="str">
        <f>Withdrawals_Data!A1175</f>
        <v>DA-001</v>
      </c>
      <c r="F2381" s="23" t="str">
        <f>Withdrawals_Data!B1175</f>
        <v>DA-001-M0098</v>
      </c>
      <c r="G2381" s="24">
        <f>Withdrawals_Data!C1175</f>
        <v>45555</v>
      </c>
      <c r="H2381" s="27">
        <v>0</v>
      </c>
      <c r="I2381" s="27">
        <f>-Withdrawals_Data!D1175</f>
        <v>-3191</v>
      </c>
    </row>
    <row r="2382" spans="3:9">
      <c r="C2382" s="23">
        <v>1175</v>
      </c>
      <c r="D2382" s="23" t="s">
        <v>134</v>
      </c>
      <c r="E2382" s="23" t="str">
        <f>Withdrawals_Data!A1176</f>
        <v>DA-001</v>
      </c>
      <c r="F2382" s="23" t="str">
        <f>Withdrawals_Data!B1176</f>
        <v>DA-001-M0098</v>
      </c>
      <c r="G2382" s="24">
        <f>Withdrawals_Data!C1176</f>
        <v>45373</v>
      </c>
      <c r="H2382" s="27">
        <v>0</v>
      </c>
      <c r="I2382" s="27">
        <f>-Withdrawals_Data!D1176</f>
        <v>-16898</v>
      </c>
    </row>
    <row r="2383" spans="3:9">
      <c r="C2383" s="23">
        <v>1176</v>
      </c>
      <c r="D2383" s="23" t="s">
        <v>134</v>
      </c>
      <c r="E2383" s="23" t="str">
        <f>Withdrawals_Data!A1177</f>
        <v>DA-001</v>
      </c>
      <c r="F2383" s="23" t="str">
        <f>Withdrawals_Data!B1177</f>
        <v>DA-001-M0098</v>
      </c>
      <c r="G2383" s="24">
        <f>Withdrawals_Data!C1177</f>
        <v>45517</v>
      </c>
      <c r="H2383" s="27">
        <v>0</v>
      </c>
      <c r="I2383" s="27">
        <f>-Withdrawals_Data!D1177</f>
        <v>-2047</v>
      </c>
    </row>
    <row r="2384" spans="3:9">
      <c r="C2384" s="23">
        <v>1177</v>
      </c>
      <c r="D2384" s="23" t="s">
        <v>134</v>
      </c>
      <c r="E2384" s="23" t="str">
        <f>Withdrawals_Data!A1178</f>
        <v>DA-001</v>
      </c>
      <c r="F2384" s="23" t="str">
        <f>Withdrawals_Data!B1178</f>
        <v>DA-001-M0098</v>
      </c>
      <c r="G2384" s="24">
        <f>Withdrawals_Data!C1178</f>
        <v>45567</v>
      </c>
      <c r="H2384" s="27">
        <v>0</v>
      </c>
      <c r="I2384" s="27">
        <f>-Withdrawals_Data!D1178</f>
        <v>-15494</v>
      </c>
    </row>
    <row r="2385" spans="3:9">
      <c r="C2385" s="23">
        <v>1178</v>
      </c>
      <c r="D2385" s="23" t="s">
        <v>134</v>
      </c>
      <c r="E2385" s="23" t="str">
        <f>Withdrawals_Data!A1179</f>
        <v>DA-001</v>
      </c>
      <c r="F2385" s="23" t="str">
        <f>Withdrawals_Data!B1179</f>
        <v>DA-001-M0098</v>
      </c>
      <c r="G2385" s="24">
        <f>Withdrawals_Data!C1179</f>
        <v>45625</v>
      </c>
      <c r="H2385" s="27">
        <v>0</v>
      </c>
      <c r="I2385" s="27">
        <f>-Withdrawals_Data!D1179</f>
        <v>-14084</v>
      </c>
    </row>
    <row r="2386" spans="3:9">
      <c r="C2386" s="23">
        <v>1179</v>
      </c>
      <c r="D2386" s="23" t="s">
        <v>134</v>
      </c>
      <c r="E2386" s="23" t="str">
        <f>Withdrawals_Data!A1180</f>
        <v>DA-001</v>
      </c>
      <c r="F2386" s="23" t="str">
        <f>Withdrawals_Data!B1180</f>
        <v>DA-001-M0098</v>
      </c>
      <c r="G2386" s="24">
        <f>Withdrawals_Data!C1180</f>
        <v>45391</v>
      </c>
      <c r="H2386" s="27">
        <v>0</v>
      </c>
      <c r="I2386" s="27">
        <f>-Withdrawals_Data!D1180</f>
        <v>-15335</v>
      </c>
    </row>
    <row r="2387" spans="3:9">
      <c r="C2387" s="23">
        <v>1180</v>
      </c>
      <c r="D2387" s="23" t="s">
        <v>134</v>
      </c>
      <c r="E2387" s="23" t="str">
        <f>Withdrawals_Data!A1181</f>
        <v>DA-001</v>
      </c>
      <c r="F2387" s="23" t="str">
        <f>Withdrawals_Data!B1181</f>
        <v>DA-001-M0098</v>
      </c>
      <c r="G2387" s="24">
        <f>Withdrawals_Data!C1181</f>
        <v>45301</v>
      </c>
      <c r="H2387" s="27">
        <v>0</v>
      </c>
      <c r="I2387" s="27">
        <f>-Withdrawals_Data!D1181</f>
        <v>-9022</v>
      </c>
    </row>
    <row r="2388" spans="3:9">
      <c r="C2388" s="23">
        <v>1181</v>
      </c>
      <c r="D2388" s="23" t="s">
        <v>134</v>
      </c>
      <c r="E2388" s="23" t="str">
        <f>Withdrawals_Data!A1182</f>
        <v>DA-003</v>
      </c>
      <c r="F2388" s="23" t="str">
        <f>Withdrawals_Data!B1182</f>
        <v>DA-003-M0099</v>
      </c>
      <c r="G2388" s="24">
        <f>Withdrawals_Data!C1182</f>
        <v>45421</v>
      </c>
      <c r="H2388" s="27">
        <v>0</v>
      </c>
      <c r="I2388" s="27">
        <f>-Withdrawals_Data!D1182</f>
        <v>-10565</v>
      </c>
    </row>
    <row r="2389" spans="3:9">
      <c r="C2389" s="23">
        <v>1182</v>
      </c>
      <c r="D2389" s="23" t="s">
        <v>134</v>
      </c>
      <c r="E2389" s="23" t="str">
        <f>Withdrawals_Data!A1183</f>
        <v>DA-003</v>
      </c>
      <c r="F2389" s="23" t="str">
        <f>Withdrawals_Data!B1183</f>
        <v>DA-003-M0099</v>
      </c>
      <c r="G2389" s="24">
        <f>Withdrawals_Data!C1183</f>
        <v>45462</v>
      </c>
      <c r="H2389" s="27">
        <v>0</v>
      </c>
      <c r="I2389" s="27">
        <f>-Withdrawals_Data!D1183</f>
        <v>-16849</v>
      </c>
    </row>
    <row r="2390" spans="3:9">
      <c r="C2390" s="23">
        <v>1183</v>
      </c>
      <c r="D2390" s="23" t="s">
        <v>134</v>
      </c>
      <c r="E2390" s="23" t="str">
        <f>Withdrawals_Data!A1184</f>
        <v>DA-003</v>
      </c>
      <c r="F2390" s="23" t="str">
        <f>Withdrawals_Data!B1184</f>
        <v>DA-003-M0099</v>
      </c>
      <c r="G2390" s="24">
        <f>Withdrawals_Data!C1184</f>
        <v>45530</v>
      </c>
      <c r="H2390" s="27">
        <v>0</v>
      </c>
      <c r="I2390" s="27">
        <f>-Withdrawals_Data!D1184</f>
        <v>-10501</v>
      </c>
    </row>
    <row r="2391" spans="3:9">
      <c r="C2391" s="23">
        <v>1184</v>
      </c>
      <c r="D2391" s="23" t="s">
        <v>134</v>
      </c>
      <c r="E2391" s="23" t="str">
        <f>Withdrawals_Data!A1185</f>
        <v>DA-003</v>
      </c>
      <c r="F2391" s="23" t="str">
        <f>Withdrawals_Data!B1185</f>
        <v>DA-003-M0099</v>
      </c>
      <c r="G2391" s="24">
        <f>Withdrawals_Data!C1185</f>
        <v>45549</v>
      </c>
      <c r="H2391" s="27">
        <v>0</v>
      </c>
      <c r="I2391" s="27">
        <f>-Withdrawals_Data!D1185</f>
        <v>-4433</v>
      </c>
    </row>
    <row r="2392" spans="3:9">
      <c r="C2392" s="23">
        <v>1185</v>
      </c>
      <c r="D2392" s="23" t="s">
        <v>134</v>
      </c>
      <c r="E2392" s="23" t="str">
        <f>Withdrawals_Data!A1186</f>
        <v>DA-003</v>
      </c>
      <c r="F2392" s="23" t="str">
        <f>Withdrawals_Data!B1186</f>
        <v>DA-003-M0099</v>
      </c>
      <c r="G2392" s="24">
        <f>Withdrawals_Data!C1186</f>
        <v>45319</v>
      </c>
      <c r="H2392" s="27">
        <v>0</v>
      </c>
      <c r="I2392" s="27">
        <f>-Withdrawals_Data!D1186</f>
        <v>-15459</v>
      </c>
    </row>
    <row r="2393" spans="3:9">
      <c r="C2393" s="23">
        <v>1186</v>
      </c>
      <c r="D2393" s="23" t="s">
        <v>134</v>
      </c>
      <c r="E2393" s="23" t="str">
        <f>Withdrawals_Data!A1187</f>
        <v>DA-003</v>
      </c>
      <c r="F2393" s="23" t="str">
        <f>Withdrawals_Data!B1187</f>
        <v>DA-003-M0099</v>
      </c>
      <c r="G2393" s="24">
        <f>Withdrawals_Data!C1187</f>
        <v>45555</v>
      </c>
      <c r="H2393" s="27">
        <v>0</v>
      </c>
      <c r="I2393" s="27">
        <f>-Withdrawals_Data!D1187</f>
        <v>-11434</v>
      </c>
    </row>
    <row r="2394" spans="3:9">
      <c r="C2394" s="23">
        <v>1187</v>
      </c>
      <c r="D2394" s="23" t="s">
        <v>134</v>
      </c>
      <c r="E2394" s="23" t="str">
        <f>Withdrawals_Data!A1188</f>
        <v>DA-003</v>
      </c>
      <c r="F2394" s="23" t="str">
        <f>Withdrawals_Data!B1188</f>
        <v>DA-003-M0099</v>
      </c>
      <c r="G2394" s="24">
        <f>Withdrawals_Data!C1188</f>
        <v>45327</v>
      </c>
      <c r="H2394" s="27">
        <v>0</v>
      </c>
      <c r="I2394" s="27">
        <f>-Withdrawals_Data!D1188</f>
        <v>-1967</v>
      </c>
    </row>
    <row r="2395" spans="3:9">
      <c r="C2395" s="23">
        <v>1188</v>
      </c>
      <c r="D2395" s="23" t="s">
        <v>134</v>
      </c>
      <c r="E2395" s="23" t="str">
        <f>Withdrawals_Data!A1189</f>
        <v>DA-003</v>
      </c>
      <c r="F2395" s="23" t="str">
        <f>Withdrawals_Data!B1189</f>
        <v>DA-003-M0099</v>
      </c>
      <c r="G2395" s="24">
        <f>Withdrawals_Data!C1189</f>
        <v>45629</v>
      </c>
      <c r="H2395" s="27">
        <v>0</v>
      </c>
      <c r="I2395" s="27">
        <f>-Withdrawals_Data!D1189</f>
        <v>-9145</v>
      </c>
    </row>
    <row r="2396" spans="3:9">
      <c r="C2396" s="23">
        <v>1189</v>
      </c>
      <c r="D2396" s="23" t="s">
        <v>134</v>
      </c>
      <c r="E2396" s="23" t="str">
        <f>Withdrawals_Data!A1190</f>
        <v>DA-003</v>
      </c>
      <c r="F2396" s="23" t="str">
        <f>Withdrawals_Data!B1190</f>
        <v>DA-003-M0099</v>
      </c>
      <c r="G2396" s="24">
        <f>Withdrawals_Data!C1190</f>
        <v>45368</v>
      </c>
      <c r="H2396" s="27">
        <v>0</v>
      </c>
      <c r="I2396" s="27">
        <f>-Withdrawals_Data!D1190</f>
        <v>-1402</v>
      </c>
    </row>
    <row r="2397" spans="3:9">
      <c r="C2397" s="23">
        <v>1190</v>
      </c>
      <c r="D2397" s="23" t="s">
        <v>134</v>
      </c>
      <c r="E2397" s="23" t="str">
        <f>Withdrawals_Data!A1191</f>
        <v>DA-003</v>
      </c>
      <c r="F2397" s="23" t="str">
        <f>Withdrawals_Data!B1191</f>
        <v>DA-003-M0099</v>
      </c>
      <c r="G2397" s="24">
        <f>Withdrawals_Data!C1191</f>
        <v>45548</v>
      </c>
      <c r="H2397" s="27">
        <v>0</v>
      </c>
      <c r="I2397" s="27">
        <f>-Withdrawals_Data!D1191</f>
        <v>-2246</v>
      </c>
    </row>
    <row r="2398" spans="3:9">
      <c r="C2398" s="23">
        <v>1191</v>
      </c>
      <c r="D2398" s="23" t="s">
        <v>134</v>
      </c>
      <c r="E2398" s="23" t="str">
        <f>Withdrawals_Data!A1192</f>
        <v>DA-003</v>
      </c>
      <c r="F2398" s="23" t="str">
        <f>Withdrawals_Data!B1192</f>
        <v>DA-003-M0100</v>
      </c>
      <c r="G2398" s="24">
        <f>Withdrawals_Data!C1192</f>
        <v>45305</v>
      </c>
      <c r="H2398" s="27">
        <v>0</v>
      </c>
      <c r="I2398" s="27">
        <f>-Withdrawals_Data!D1192</f>
        <v>-15414</v>
      </c>
    </row>
    <row r="2399" spans="3:9">
      <c r="C2399" s="23">
        <v>1192</v>
      </c>
      <c r="D2399" s="23" t="s">
        <v>134</v>
      </c>
      <c r="E2399" s="23" t="str">
        <f>Withdrawals_Data!A1193</f>
        <v>DA-003</v>
      </c>
      <c r="F2399" s="23" t="str">
        <f>Withdrawals_Data!B1193</f>
        <v>DA-003-M0100</v>
      </c>
      <c r="G2399" s="24">
        <f>Withdrawals_Data!C1193</f>
        <v>45628</v>
      </c>
      <c r="H2399" s="27">
        <v>0</v>
      </c>
      <c r="I2399" s="27">
        <f>-Withdrawals_Data!D1193</f>
        <v>-17873</v>
      </c>
    </row>
    <row r="2400" spans="3:9">
      <c r="C2400" s="23">
        <v>1193</v>
      </c>
      <c r="D2400" s="23" t="s">
        <v>134</v>
      </c>
      <c r="E2400" s="23" t="str">
        <f>Withdrawals_Data!A1194</f>
        <v>DA-003</v>
      </c>
      <c r="F2400" s="23" t="str">
        <f>Withdrawals_Data!B1194</f>
        <v>DA-003-M0100</v>
      </c>
      <c r="G2400" s="24">
        <f>Withdrawals_Data!C1194</f>
        <v>45583</v>
      </c>
      <c r="H2400" s="27">
        <v>0</v>
      </c>
      <c r="I2400" s="27">
        <f>-Withdrawals_Data!D1194</f>
        <v>-17290</v>
      </c>
    </row>
    <row r="2401" spans="3:9">
      <c r="C2401" s="23">
        <v>1194</v>
      </c>
      <c r="D2401" s="23" t="s">
        <v>134</v>
      </c>
      <c r="E2401" s="23" t="str">
        <f>Withdrawals_Data!A1195</f>
        <v>DA-003</v>
      </c>
      <c r="F2401" s="23" t="str">
        <f>Withdrawals_Data!B1195</f>
        <v>DA-003-M0100</v>
      </c>
      <c r="G2401" s="24">
        <f>Withdrawals_Data!C1195</f>
        <v>45625</v>
      </c>
      <c r="H2401" s="27">
        <v>0</v>
      </c>
      <c r="I2401" s="27">
        <f>-Withdrawals_Data!D1195</f>
        <v>-13510</v>
      </c>
    </row>
    <row r="2402" spans="3:9">
      <c r="C2402" s="23">
        <v>1195</v>
      </c>
      <c r="D2402" s="23" t="s">
        <v>134</v>
      </c>
      <c r="E2402" s="23" t="str">
        <f>Withdrawals_Data!A1196</f>
        <v>DA-003</v>
      </c>
      <c r="F2402" s="23" t="str">
        <f>Withdrawals_Data!B1196</f>
        <v>DA-003-M0100</v>
      </c>
      <c r="G2402" s="24">
        <f>Withdrawals_Data!C1196</f>
        <v>45319</v>
      </c>
      <c r="H2402" s="27">
        <v>0</v>
      </c>
      <c r="I2402" s="27">
        <f>-Withdrawals_Data!D1196</f>
        <v>-19177</v>
      </c>
    </row>
    <row r="2403" spans="3:9">
      <c r="C2403" s="23">
        <v>1196</v>
      </c>
      <c r="D2403" s="23" t="s">
        <v>134</v>
      </c>
      <c r="E2403" s="23" t="str">
        <f>Withdrawals_Data!A1197</f>
        <v>DA-003</v>
      </c>
      <c r="F2403" s="23" t="str">
        <f>Withdrawals_Data!B1197</f>
        <v>DA-003-M0100</v>
      </c>
      <c r="G2403" s="24">
        <f>Withdrawals_Data!C1197</f>
        <v>45602</v>
      </c>
      <c r="H2403" s="27">
        <v>0</v>
      </c>
      <c r="I2403" s="27">
        <f>-Withdrawals_Data!D1197</f>
        <v>-17804</v>
      </c>
    </row>
    <row r="2404" spans="3:9">
      <c r="C2404" s="23">
        <v>1197</v>
      </c>
      <c r="D2404" s="23" t="s">
        <v>134</v>
      </c>
      <c r="E2404" s="23" t="str">
        <f>Withdrawals_Data!A1198</f>
        <v>DA-003</v>
      </c>
      <c r="F2404" s="23" t="str">
        <f>Withdrawals_Data!B1198</f>
        <v>DA-003-M0100</v>
      </c>
      <c r="G2404" s="24">
        <f>Withdrawals_Data!C1198</f>
        <v>45481</v>
      </c>
      <c r="H2404" s="27">
        <v>0</v>
      </c>
      <c r="I2404" s="27">
        <f>-Withdrawals_Data!D1198</f>
        <v>-13277</v>
      </c>
    </row>
    <row r="2405" spans="3:9">
      <c r="C2405" s="23">
        <v>1198</v>
      </c>
      <c r="D2405" s="23" t="s">
        <v>134</v>
      </c>
      <c r="E2405" s="23" t="str">
        <f>Withdrawals_Data!A1199</f>
        <v>DA-003</v>
      </c>
      <c r="F2405" s="23" t="str">
        <f>Withdrawals_Data!B1199</f>
        <v>DA-003-M0100</v>
      </c>
      <c r="G2405" s="24">
        <f>Withdrawals_Data!C1199</f>
        <v>45419</v>
      </c>
      <c r="H2405" s="27">
        <v>0</v>
      </c>
      <c r="I2405" s="27">
        <f>-Withdrawals_Data!D1199</f>
        <v>-14829</v>
      </c>
    </row>
    <row r="2406" spans="3:9">
      <c r="C2406" s="23">
        <v>1199</v>
      </c>
      <c r="D2406" s="23" t="s">
        <v>134</v>
      </c>
      <c r="E2406" s="23" t="str">
        <f>Withdrawals_Data!A1200</f>
        <v>DA-003</v>
      </c>
      <c r="F2406" s="23" t="str">
        <f>Withdrawals_Data!B1200</f>
        <v>DA-003-M0100</v>
      </c>
      <c r="G2406" s="24">
        <f>Withdrawals_Data!C1200</f>
        <v>45623</v>
      </c>
      <c r="H2406" s="27">
        <v>0</v>
      </c>
      <c r="I2406" s="27">
        <f>-Withdrawals_Data!D1200</f>
        <v>-3000</v>
      </c>
    </row>
    <row r="2407" spans="3:9">
      <c r="C2407" s="23">
        <v>1200</v>
      </c>
      <c r="D2407" s="23" t="s">
        <v>134</v>
      </c>
      <c r="E2407" s="23" t="str">
        <f>Withdrawals_Data!A1201</f>
        <v>DA-003</v>
      </c>
      <c r="F2407" s="23" t="str">
        <f>Withdrawals_Data!B1201</f>
        <v>DA-003-M0100</v>
      </c>
      <c r="G2407" s="24">
        <f>Withdrawals_Data!C1201</f>
        <v>45453</v>
      </c>
      <c r="H2407" s="27">
        <v>0</v>
      </c>
      <c r="I2407" s="27">
        <f>-Withdrawals_Data!D1201</f>
        <v>-3757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3443-B809-4469-BF73-E173344EC29D}">
  <sheetPr>
    <tabColor rgb="FF7030A0"/>
  </sheetPr>
  <dimension ref="B6:M2407"/>
  <sheetViews>
    <sheetView showGridLines="0" workbookViewId="0">
      <selection activeCell="F22" sqref="F22"/>
    </sheetView>
  </sheetViews>
  <sheetFormatPr defaultColWidth="9" defaultRowHeight="13.9"/>
  <cols>
    <col min="1" max="1" width="9" style="23"/>
    <col min="2" max="2" width="18" style="23" customWidth="1"/>
    <col min="3" max="3" width="9" style="23"/>
    <col min="4" max="4" width="35.42578125" style="23" bestFit="1" customWidth="1"/>
    <col min="5" max="5" width="23.42578125" style="23" customWidth="1"/>
    <col min="6" max="6" width="20.5703125" style="23" customWidth="1"/>
    <col min="7" max="7" width="20" style="24" customWidth="1"/>
    <col min="8" max="8" width="23.5703125" style="27" customWidth="1"/>
    <col min="9" max="9" width="17.42578125" style="27" bestFit="1" customWidth="1"/>
    <col min="10" max="12" width="9" style="23"/>
    <col min="13" max="13" width="10.140625" style="23" bestFit="1" customWidth="1"/>
    <col min="14" max="16384" width="9" style="23"/>
  </cols>
  <sheetData>
    <row r="6" spans="2:13">
      <c r="H6" s="27">
        <f>SUM(H8:H2407)</f>
        <v>18202582.589999996</v>
      </c>
    </row>
    <row r="7" spans="2:13">
      <c r="D7" s="59" t="s">
        <v>129</v>
      </c>
      <c r="E7" s="25" t="s">
        <v>21</v>
      </c>
      <c r="F7" s="25" t="s">
        <v>22</v>
      </c>
      <c r="G7" s="26" t="s">
        <v>23</v>
      </c>
      <c r="H7" s="28" t="s">
        <v>24</v>
      </c>
      <c r="I7" s="28" t="s">
        <v>130</v>
      </c>
    </row>
    <row r="8" spans="2:13">
      <c r="B8" s="23" t="s">
        <v>131</v>
      </c>
      <c r="C8" s="23" cm="1">
        <f t="array" ref="C8:C1207">_xlfn.SEQUENCE(COUNTA(Contributions_Data!A2:A1201))</f>
        <v>1</v>
      </c>
      <c r="D8" s="23" t="s">
        <v>132</v>
      </c>
      <c r="E8" s="23" t="str">
        <f>Contributions_Data!A910</f>
        <v>DA-003</v>
      </c>
      <c r="F8" s="23" t="str">
        <f>Contributions_Data!B910</f>
        <v>DA-003-M0076</v>
      </c>
      <c r="G8" s="24">
        <f>Contributions_Data!C910</f>
        <v>45292</v>
      </c>
      <c r="H8" s="27">
        <f>Contributions_Data!D910</f>
        <v>15701.36</v>
      </c>
      <c r="I8" s="27">
        <v>0</v>
      </c>
    </row>
    <row r="9" spans="2:13">
      <c r="C9" s="23">
        <v>2</v>
      </c>
      <c r="D9" s="23" t="s">
        <v>132</v>
      </c>
      <c r="E9" s="23" t="str">
        <f>Contributions_Data!A1129</f>
        <v>DA-002</v>
      </c>
      <c r="F9" s="23" t="str">
        <f>Contributions_Data!B1129</f>
        <v>DA-002-M0094</v>
      </c>
      <c r="G9" s="24">
        <f>Contributions_Data!C1129</f>
        <v>45292</v>
      </c>
      <c r="H9" s="27">
        <f>Contributions_Data!D1129</f>
        <v>14320.55</v>
      </c>
      <c r="I9" s="27">
        <v>0</v>
      </c>
    </row>
    <row r="10" spans="2:13">
      <c r="C10" s="23">
        <v>3</v>
      </c>
      <c r="D10" s="23" t="s">
        <v>134</v>
      </c>
      <c r="E10" s="23" t="str">
        <f>Withdrawals_Data!A447</f>
        <v>DA-003</v>
      </c>
      <c r="F10" s="23" t="str">
        <f>Withdrawals_Data!B447</f>
        <v>DA-003-M0014</v>
      </c>
      <c r="G10" s="24">
        <f>Withdrawals_Data!C447</f>
        <v>45292</v>
      </c>
      <c r="H10" s="27">
        <v>0</v>
      </c>
      <c r="I10" s="27">
        <f>-Withdrawals_Data!D447</f>
        <v>-4643</v>
      </c>
    </row>
    <row r="11" spans="2:13">
      <c r="C11" s="23">
        <v>4</v>
      </c>
      <c r="D11" s="23" t="s">
        <v>134</v>
      </c>
      <c r="E11" s="23" t="str">
        <f>Withdrawals_Data!A454</f>
        <v>DA-003</v>
      </c>
      <c r="F11" s="23" t="str">
        <f>Withdrawals_Data!B454</f>
        <v>DA-003-M0015</v>
      </c>
      <c r="G11" s="24">
        <f>Withdrawals_Data!C454</f>
        <v>45292</v>
      </c>
      <c r="H11" s="27">
        <v>0</v>
      </c>
      <c r="I11" s="27">
        <f>-Withdrawals_Data!D454</f>
        <v>-3334</v>
      </c>
    </row>
    <row r="12" spans="2:13">
      <c r="C12" s="23">
        <v>5</v>
      </c>
      <c r="D12" s="23" t="s">
        <v>132</v>
      </c>
      <c r="E12" s="23" t="str">
        <f>Contributions_Data!A361</f>
        <v>DA-002</v>
      </c>
      <c r="F12" s="23" t="str">
        <f>Contributions_Data!B361</f>
        <v>DA-002-M0030</v>
      </c>
      <c r="G12" s="24">
        <f>Contributions_Data!C361</f>
        <v>45293</v>
      </c>
      <c r="H12" s="27">
        <f>Contributions_Data!D361</f>
        <v>14390.86</v>
      </c>
      <c r="I12" s="27">
        <v>0</v>
      </c>
      <c r="M12" s="24"/>
    </row>
    <row r="13" spans="2:13">
      <c r="C13" s="23">
        <v>6</v>
      </c>
      <c r="D13" s="23" t="s">
        <v>132</v>
      </c>
      <c r="E13" s="23" t="str">
        <f>Contributions_Data!A553</f>
        <v>DA-001</v>
      </c>
      <c r="F13" s="23" t="str">
        <f>Contributions_Data!B553</f>
        <v>DA-001-M0046</v>
      </c>
      <c r="G13" s="24">
        <f>Contributions_Data!C553</f>
        <v>45293</v>
      </c>
      <c r="H13" s="27">
        <f>Contributions_Data!D553</f>
        <v>18242.34</v>
      </c>
      <c r="I13" s="27">
        <v>0</v>
      </c>
      <c r="M13" s="24"/>
    </row>
    <row r="14" spans="2:13">
      <c r="C14" s="23">
        <v>7</v>
      </c>
      <c r="D14" s="23" t="s">
        <v>134</v>
      </c>
      <c r="E14" s="23" t="str">
        <f>Withdrawals_Data!A854</f>
        <v>DA-002</v>
      </c>
      <c r="F14" s="23" t="str">
        <f>Withdrawals_Data!B854</f>
        <v>DA-002-M0060</v>
      </c>
      <c r="G14" s="24">
        <f>Withdrawals_Data!C854</f>
        <v>45293</v>
      </c>
      <c r="H14" s="27">
        <v>0</v>
      </c>
      <c r="I14" s="27">
        <f>-Withdrawals_Data!D854</f>
        <v>-6605</v>
      </c>
    </row>
    <row r="15" spans="2:13">
      <c r="C15" s="23">
        <v>8</v>
      </c>
      <c r="D15" s="23" t="s">
        <v>132</v>
      </c>
      <c r="E15" s="23" t="str">
        <f>Contributions_Data!A148</f>
        <v>DA-003</v>
      </c>
      <c r="F15" s="23" t="str">
        <f>Contributions_Data!B148</f>
        <v>DA-003-M0013</v>
      </c>
      <c r="G15" s="24">
        <f>Contributions_Data!C148</f>
        <v>45294</v>
      </c>
      <c r="H15" s="27">
        <f>Contributions_Data!D148</f>
        <v>15030.7</v>
      </c>
      <c r="I15" s="27">
        <v>0</v>
      </c>
    </row>
    <row r="16" spans="2:13">
      <c r="C16" s="23">
        <v>9</v>
      </c>
      <c r="D16" s="23" t="s">
        <v>132</v>
      </c>
      <c r="E16" s="23" t="str">
        <f>Contributions_Data!A232</f>
        <v>DA-002</v>
      </c>
      <c r="F16" s="23" t="str">
        <f>Contributions_Data!B232</f>
        <v>DA-002-M0020</v>
      </c>
      <c r="G16" s="24">
        <f>Contributions_Data!C232</f>
        <v>45294</v>
      </c>
      <c r="H16" s="27">
        <f>Contributions_Data!D232</f>
        <v>13201.82</v>
      </c>
      <c r="I16" s="27">
        <v>0</v>
      </c>
    </row>
    <row r="17" spans="3:9">
      <c r="C17" s="23">
        <v>10</v>
      </c>
      <c r="D17" s="23" t="s">
        <v>132</v>
      </c>
      <c r="E17" s="23" t="str">
        <f>Contributions_Data!A574</f>
        <v>DA-003</v>
      </c>
      <c r="F17" s="23" t="str">
        <f>Contributions_Data!B574</f>
        <v>DA-003-M0048</v>
      </c>
      <c r="G17" s="24">
        <f>Contributions_Data!C574</f>
        <v>45294</v>
      </c>
      <c r="H17" s="27">
        <f>Contributions_Data!D574</f>
        <v>10543.32</v>
      </c>
      <c r="I17" s="27">
        <v>0</v>
      </c>
    </row>
    <row r="18" spans="3:9">
      <c r="C18" s="23">
        <v>11</v>
      </c>
      <c r="D18" s="23" t="s">
        <v>132</v>
      </c>
      <c r="E18" s="23" t="str">
        <f>Contributions_Data!A1022</f>
        <v>DA-003</v>
      </c>
      <c r="F18" s="23" t="str">
        <f>Contributions_Data!B1022</f>
        <v>DA-003-M0086</v>
      </c>
      <c r="G18" s="24">
        <f>Contributions_Data!C1022</f>
        <v>45294</v>
      </c>
      <c r="H18" s="27">
        <f>Contributions_Data!D1022</f>
        <v>13536.27</v>
      </c>
      <c r="I18" s="27">
        <v>0</v>
      </c>
    </row>
    <row r="19" spans="3:9">
      <c r="C19" s="23">
        <v>12</v>
      </c>
      <c r="D19" s="23" t="s">
        <v>132</v>
      </c>
      <c r="E19" s="23" t="str">
        <f>Contributions_Data!A1030</f>
        <v>DA-003</v>
      </c>
      <c r="F19" s="23" t="str">
        <f>Contributions_Data!B1030</f>
        <v>DA-003-M0086</v>
      </c>
      <c r="G19" s="24">
        <f>Contributions_Data!C1030</f>
        <v>45294</v>
      </c>
      <c r="H19" s="27">
        <f>Contributions_Data!D1030</f>
        <v>16379.92</v>
      </c>
      <c r="I19" s="27">
        <v>0</v>
      </c>
    </row>
    <row r="20" spans="3:9">
      <c r="C20" s="23">
        <v>13</v>
      </c>
      <c r="D20" s="23" t="s">
        <v>132</v>
      </c>
      <c r="E20" s="23" t="str">
        <f>Contributions_Data!A1170</f>
        <v>DA-001</v>
      </c>
      <c r="F20" s="23" t="str">
        <f>Contributions_Data!B1170</f>
        <v>DA-001-M0098</v>
      </c>
      <c r="G20" s="24">
        <f>Contributions_Data!C1170</f>
        <v>45294</v>
      </c>
      <c r="H20" s="27">
        <f>Contributions_Data!D1170</f>
        <v>16399.29</v>
      </c>
      <c r="I20" s="27">
        <v>0</v>
      </c>
    </row>
    <row r="21" spans="3:9">
      <c r="C21" s="23">
        <v>14</v>
      </c>
      <c r="D21" s="23" t="s">
        <v>134</v>
      </c>
      <c r="E21" s="23" t="str">
        <f>Withdrawals_Data!A54</f>
        <v>DA-003</v>
      </c>
      <c r="F21" s="23" t="str">
        <f>Withdrawals_Data!B54</f>
        <v>DA-003-M0001</v>
      </c>
      <c r="G21" s="24">
        <f>Withdrawals_Data!C54</f>
        <v>45294</v>
      </c>
      <c r="H21" s="27">
        <v>0</v>
      </c>
      <c r="I21" s="27">
        <f>-Withdrawals_Data!D54</f>
        <v>-11874.58</v>
      </c>
    </row>
    <row r="22" spans="3:9">
      <c r="C22" s="23">
        <v>15</v>
      </c>
      <c r="D22" s="23" t="s">
        <v>134</v>
      </c>
      <c r="E22" s="23" t="str">
        <f>Withdrawals_Data!A123</f>
        <v>DA-002</v>
      </c>
      <c r="F22" s="23" t="str">
        <f>Withdrawals_Data!B123</f>
        <v>DA-002-M0042</v>
      </c>
      <c r="G22" s="24">
        <f>Withdrawals_Data!C123</f>
        <v>45294</v>
      </c>
      <c r="H22" s="27">
        <v>0</v>
      </c>
      <c r="I22" s="27">
        <f>-Withdrawals_Data!D123</f>
        <v>-9231.2099999999991</v>
      </c>
    </row>
    <row r="23" spans="3:9">
      <c r="C23" s="23">
        <v>16</v>
      </c>
      <c r="D23" s="23" t="s">
        <v>134</v>
      </c>
      <c r="E23" s="23" t="str">
        <f>Withdrawals_Data!A169</f>
        <v>DA-001</v>
      </c>
      <c r="F23" s="23" t="str">
        <f>Withdrawals_Data!B169</f>
        <v>DA-001-M0098</v>
      </c>
      <c r="G23" s="24">
        <f>Withdrawals_Data!C169</f>
        <v>45294</v>
      </c>
      <c r="H23" s="27">
        <v>0</v>
      </c>
      <c r="I23" s="27">
        <f>-Withdrawals_Data!D169</f>
        <v>-8246.7199999999993</v>
      </c>
    </row>
    <row r="24" spans="3:9">
      <c r="C24" s="23">
        <v>17</v>
      </c>
      <c r="D24" s="23" t="s">
        <v>134</v>
      </c>
      <c r="E24" s="23" t="str">
        <f>Withdrawals_Data!A406</f>
        <v>DA-001</v>
      </c>
      <c r="F24" s="23" t="str">
        <f>Withdrawals_Data!B406</f>
        <v>DA-001-M0009</v>
      </c>
      <c r="G24" s="24">
        <f>Withdrawals_Data!C406</f>
        <v>45294</v>
      </c>
      <c r="H24" s="27">
        <v>0</v>
      </c>
      <c r="I24" s="27">
        <f>-Withdrawals_Data!D406</f>
        <v>-13820</v>
      </c>
    </row>
    <row r="25" spans="3:9">
      <c r="C25" s="23">
        <v>18</v>
      </c>
      <c r="D25" s="23" t="s">
        <v>134</v>
      </c>
      <c r="E25" s="23" t="str">
        <f>Withdrawals_Data!A419</f>
        <v>DA-001</v>
      </c>
      <c r="F25" s="23" t="str">
        <f>Withdrawals_Data!B419</f>
        <v>DA-001-M0011</v>
      </c>
      <c r="G25" s="24">
        <f>Withdrawals_Data!C419</f>
        <v>45294</v>
      </c>
      <c r="H25" s="27">
        <v>0</v>
      </c>
      <c r="I25" s="27">
        <f>-Withdrawals_Data!D419</f>
        <v>-15636</v>
      </c>
    </row>
    <row r="26" spans="3:9">
      <c r="C26" s="23">
        <v>19</v>
      </c>
      <c r="D26" s="23" t="s">
        <v>134</v>
      </c>
      <c r="E26" s="23" t="str">
        <f>Withdrawals_Data!A739</f>
        <v>DA-003</v>
      </c>
      <c r="F26" s="23" t="str">
        <f>Withdrawals_Data!B739</f>
        <v>DA-003-M0047</v>
      </c>
      <c r="G26" s="24">
        <f>Withdrawals_Data!C739</f>
        <v>45294</v>
      </c>
      <c r="H26" s="27">
        <v>0</v>
      </c>
      <c r="I26" s="27">
        <f>-Withdrawals_Data!D739</f>
        <v>-15527</v>
      </c>
    </row>
    <row r="27" spans="3:9">
      <c r="C27" s="23">
        <v>20</v>
      </c>
      <c r="D27" s="23" t="s">
        <v>134</v>
      </c>
      <c r="E27" s="23" t="str">
        <f>Withdrawals_Data!A1077</f>
        <v>DA-003</v>
      </c>
      <c r="F27" s="23" t="str">
        <f>Withdrawals_Data!B1077</f>
        <v>DA-003-M0086</v>
      </c>
      <c r="G27" s="24">
        <f>Withdrawals_Data!C1077</f>
        <v>45294</v>
      </c>
      <c r="H27" s="27">
        <v>0</v>
      </c>
      <c r="I27" s="27">
        <f>-Withdrawals_Data!D1077</f>
        <v>-12276</v>
      </c>
    </row>
    <row r="28" spans="3:9">
      <c r="C28" s="23">
        <v>21</v>
      </c>
      <c r="D28" s="23" t="s">
        <v>132</v>
      </c>
      <c r="E28" s="23" t="str">
        <f>Contributions_Data!A70</f>
        <v>DA-003</v>
      </c>
      <c r="F28" s="23" t="str">
        <f>Contributions_Data!B70</f>
        <v>DA-003-M0006</v>
      </c>
      <c r="G28" s="24">
        <f>Contributions_Data!C70</f>
        <v>45295</v>
      </c>
      <c r="H28" s="27">
        <f>Contributions_Data!D70</f>
        <v>20690.38</v>
      </c>
      <c r="I28" s="27">
        <v>0</v>
      </c>
    </row>
    <row r="29" spans="3:9">
      <c r="C29" s="23">
        <v>22</v>
      </c>
      <c r="D29" s="23" t="s">
        <v>132</v>
      </c>
      <c r="E29" s="23" t="str">
        <f>Contributions_Data!A343</f>
        <v>DA-003</v>
      </c>
      <c r="F29" s="23" t="str">
        <f>Contributions_Data!B343</f>
        <v>DA-003-M0029</v>
      </c>
      <c r="G29" s="24">
        <f>Contributions_Data!C343</f>
        <v>45295</v>
      </c>
      <c r="H29" s="27">
        <f>Contributions_Data!D343</f>
        <v>13012.13</v>
      </c>
      <c r="I29" s="27">
        <v>0</v>
      </c>
    </row>
    <row r="30" spans="3:9">
      <c r="C30" s="23">
        <v>23</v>
      </c>
      <c r="D30" s="23" t="s">
        <v>132</v>
      </c>
      <c r="E30" s="23" t="str">
        <f>Contributions_Data!A456</f>
        <v>DA-001</v>
      </c>
      <c r="F30" s="23" t="str">
        <f>Contributions_Data!B456</f>
        <v>DA-001-M0038</v>
      </c>
      <c r="G30" s="24">
        <f>Contributions_Data!C456</f>
        <v>45295</v>
      </c>
      <c r="H30" s="27">
        <f>Contributions_Data!D456</f>
        <v>19511.98</v>
      </c>
      <c r="I30" s="27">
        <v>0</v>
      </c>
    </row>
    <row r="31" spans="3:9">
      <c r="C31" s="23">
        <v>24</v>
      </c>
      <c r="D31" s="23" t="s">
        <v>132</v>
      </c>
      <c r="E31" s="23" t="str">
        <f>Contributions_Data!A511</f>
        <v>DA-001</v>
      </c>
      <c r="F31" s="23" t="str">
        <f>Contributions_Data!B511</f>
        <v>DA-001-M0043</v>
      </c>
      <c r="G31" s="24">
        <f>Contributions_Data!C511</f>
        <v>45295</v>
      </c>
      <c r="H31" s="27">
        <f>Contributions_Data!D511</f>
        <v>16417.79</v>
      </c>
      <c r="I31" s="27">
        <v>0</v>
      </c>
    </row>
    <row r="32" spans="3:9">
      <c r="C32" s="23">
        <v>25</v>
      </c>
      <c r="D32" s="23" t="s">
        <v>132</v>
      </c>
      <c r="E32" s="23" t="str">
        <f>Contributions_Data!A973</f>
        <v>DA-003</v>
      </c>
      <c r="F32" s="23" t="str">
        <f>Contributions_Data!B973</f>
        <v>DA-003-M0081</v>
      </c>
      <c r="G32" s="24">
        <f>Contributions_Data!C973</f>
        <v>45295</v>
      </c>
      <c r="H32" s="27">
        <f>Contributions_Data!D973</f>
        <v>15193.42</v>
      </c>
      <c r="I32" s="27">
        <v>0</v>
      </c>
    </row>
    <row r="33" spans="3:9">
      <c r="C33" s="23">
        <v>26</v>
      </c>
      <c r="D33" s="23" t="s">
        <v>132</v>
      </c>
      <c r="E33" s="23" t="str">
        <f>Contributions_Data!A1018</f>
        <v>DA-002</v>
      </c>
      <c r="F33" s="23" t="str">
        <f>Contributions_Data!B1018</f>
        <v>DA-002-M0085</v>
      </c>
      <c r="G33" s="24">
        <f>Contributions_Data!C1018</f>
        <v>45295</v>
      </c>
      <c r="H33" s="27">
        <f>Contributions_Data!D1018</f>
        <v>18119.71</v>
      </c>
      <c r="I33" s="27">
        <v>0</v>
      </c>
    </row>
    <row r="34" spans="3:9">
      <c r="C34" s="23">
        <v>27</v>
      </c>
      <c r="D34" s="23" t="s">
        <v>132</v>
      </c>
      <c r="E34" s="23" t="str">
        <f>Contributions_Data!A1093</f>
        <v>DA-002</v>
      </c>
      <c r="F34" s="23" t="str">
        <f>Contributions_Data!B1093</f>
        <v>DA-002-M0091</v>
      </c>
      <c r="G34" s="24">
        <f>Contributions_Data!C1093</f>
        <v>45295</v>
      </c>
      <c r="H34" s="27">
        <f>Contributions_Data!D1093</f>
        <v>15044.06</v>
      </c>
      <c r="I34" s="27">
        <v>0</v>
      </c>
    </row>
    <row r="35" spans="3:9">
      <c r="C35" s="23">
        <v>28</v>
      </c>
      <c r="D35" s="23" t="s">
        <v>134</v>
      </c>
      <c r="E35" s="23" t="str">
        <f>Withdrawals_Data!A231</f>
        <v>DA-001</v>
      </c>
      <c r="F35" s="23" t="str">
        <f>Withdrawals_Data!B231</f>
        <v>DA-001-M0065</v>
      </c>
      <c r="G35" s="24">
        <f>Withdrawals_Data!C231</f>
        <v>45295</v>
      </c>
      <c r="H35" s="27">
        <v>0</v>
      </c>
      <c r="I35" s="27">
        <f>-Withdrawals_Data!D231</f>
        <v>-6129.2</v>
      </c>
    </row>
    <row r="36" spans="3:9">
      <c r="C36" s="23">
        <v>29</v>
      </c>
      <c r="D36" s="23" t="s">
        <v>134</v>
      </c>
      <c r="E36" s="23" t="str">
        <f>Withdrawals_Data!A317</f>
        <v>DA-002</v>
      </c>
      <c r="F36" s="23" t="str">
        <f>Withdrawals_Data!B317</f>
        <v>DA-002-M0044</v>
      </c>
      <c r="G36" s="24">
        <f>Withdrawals_Data!C317</f>
        <v>45295</v>
      </c>
      <c r="H36" s="27">
        <v>0</v>
      </c>
      <c r="I36" s="27">
        <f>-Withdrawals_Data!D317</f>
        <v>-2373.36</v>
      </c>
    </row>
    <row r="37" spans="3:9">
      <c r="C37" s="23">
        <v>30</v>
      </c>
      <c r="D37" s="23" t="s">
        <v>134</v>
      </c>
      <c r="E37" s="23" t="str">
        <f>Withdrawals_Data!A618</f>
        <v>DA-001</v>
      </c>
      <c r="F37" s="23" t="str">
        <f>Withdrawals_Data!B618</f>
        <v>DA-001-M0034</v>
      </c>
      <c r="G37" s="24">
        <f>Withdrawals_Data!C618</f>
        <v>45295</v>
      </c>
      <c r="H37" s="27">
        <v>0</v>
      </c>
      <c r="I37" s="27">
        <f>-Withdrawals_Data!D618</f>
        <v>-2317</v>
      </c>
    </row>
    <row r="38" spans="3:9">
      <c r="C38" s="23">
        <v>31</v>
      </c>
      <c r="D38" s="23" t="s">
        <v>134</v>
      </c>
      <c r="E38" s="23" t="str">
        <f>Withdrawals_Data!A648</f>
        <v>DA-001</v>
      </c>
      <c r="F38" s="23" t="str">
        <f>Withdrawals_Data!B648</f>
        <v>DA-001-M0038</v>
      </c>
      <c r="G38" s="24">
        <f>Withdrawals_Data!C648</f>
        <v>45295</v>
      </c>
      <c r="H38" s="27">
        <v>0</v>
      </c>
      <c r="I38" s="27">
        <f>-Withdrawals_Data!D648</f>
        <v>-7390</v>
      </c>
    </row>
    <row r="39" spans="3:9">
      <c r="C39" s="23">
        <v>32</v>
      </c>
      <c r="D39" s="23" t="s">
        <v>134</v>
      </c>
      <c r="E39" s="23" t="str">
        <f>Withdrawals_Data!A710</f>
        <v>DA-002</v>
      </c>
      <c r="F39" s="23" t="str">
        <f>Withdrawals_Data!B710</f>
        <v>DA-002-M0044</v>
      </c>
      <c r="G39" s="24">
        <f>Withdrawals_Data!C710</f>
        <v>45295</v>
      </c>
      <c r="H39" s="27">
        <v>0</v>
      </c>
      <c r="I39" s="27">
        <f>-Withdrawals_Data!D710</f>
        <v>-11376</v>
      </c>
    </row>
    <row r="40" spans="3:9">
      <c r="C40" s="23">
        <v>33</v>
      </c>
      <c r="D40" s="23" t="s">
        <v>134</v>
      </c>
      <c r="E40" s="23" t="str">
        <f>Withdrawals_Data!A1091</f>
        <v>DA-001</v>
      </c>
      <c r="F40" s="23" t="str">
        <f>Withdrawals_Data!B1091</f>
        <v>DA-001-M0087</v>
      </c>
      <c r="G40" s="24">
        <f>Withdrawals_Data!C1091</f>
        <v>45295</v>
      </c>
      <c r="H40" s="27">
        <v>0</v>
      </c>
      <c r="I40" s="27">
        <f>-Withdrawals_Data!D1091</f>
        <v>-9068</v>
      </c>
    </row>
    <row r="41" spans="3:9">
      <c r="C41" s="23">
        <v>34</v>
      </c>
      <c r="D41" s="23" t="s">
        <v>132</v>
      </c>
      <c r="E41" s="23" t="str">
        <f>Contributions_Data!A441</f>
        <v>DA-002</v>
      </c>
      <c r="F41" s="23" t="str">
        <f>Contributions_Data!B441</f>
        <v>DA-002-M0037</v>
      </c>
      <c r="G41" s="24">
        <f>Contributions_Data!C441</f>
        <v>45296</v>
      </c>
      <c r="H41" s="27">
        <f>Contributions_Data!D441</f>
        <v>14837.12</v>
      </c>
      <c r="I41" s="27">
        <v>0</v>
      </c>
    </row>
    <row r="42" spans="3:9">
      <c r="C42" s="23">
        <v>35</v>
      </c>
      <c r="D42" s="23" t="s">
        <v>132</v>
      </c>
      <c r="E42" s="23" t="str">
        <f>Contributions_Data!A1132</f>
        <v>DA-003</v>
      </c>
      <c r="F42" s="23" t="str">
        <f>Contributions_Data!B1132</f>
        <v>DA-003-M0095</v>
      </c>
      <c r="G42" s="24">
        <f>Contributions_Data!C1132</f>
        <v>45296</v>
      </c>
      <c r="H42" s="27">
        <f>Contributions_Data!D1132</f>
        <v>20653.759999999998</v>
      </c>
      <c r="I42" s="27">
        <v>0</v>
      </c>
    </row>
    <row r="43" spans="3:9">
      <c r="C43" s="23">
        <v>36</v>
      </c>
      <c r="D43" s="23" t="s">
        <v>134</v>
      </c>
      <c r="E43" s="23" t="str">
        <f>Withdrawals_Data!A466</f>
        <v>DA-002</v>
      </c>
      <c r="F43" s="23" t="str">
        <f>Withdrawals_Data!B466</f>
        <v>DA-002-M0017</v>
      </c>
      <c r="G43" s="24">
        <f>Withdrawals_Data!C466</f>
        <v>45296</v>
      </c>
      <c r="H43" s="27">
        <v>0</v>
      </c>
      <c r="I43" s="27">
        <f>-Withdrawals_Data!D466</f>
        <v>-6425</v>
      </c>
    </row>
    <row r="44" spans="3:9">
      <c r="C44" s="23">
        <v>37</v>
      </c>
      <c r="D44" s="23" t="s">
        <v>134</v>
      </c>
      <c r="E44" s="23" t="str">
        <f>Withdrawals_Data!A971</f>
        <v>DA-001</v>
      </c>
      <c r="F44" s="23" t="str">
        <f>Withdrawals_Data!B971</f>
        <v>DA-001-M0074</v>
      </c>
      <c r="G44" s="24">
        <f>Withdrawals_Data!C971</f>
        <v>45296</v>
      </c>
      <c r="H44" s="27">
        <v>0</v>
      </c>
      <c r="I44" s="27">
        <f>-Withdrawals_Data!D971</f>
        <v>-16086</v>
      </c>
    </row>
    <row r="45" spans="3:9">
      <c r="C45" s="23">
        <v>38</v>
      </c>
      <c r="D45" s="23" t="s">
        <v>132</v>
      </c>
      <c r="E45" s="23" t="str">
        <f>Contributions_Data!A262</f>
        <v>DA-001</v>
      </c>
      <c r="F45" s="23" t="str">
        <f>Contributions_Data!B262</f>
        <v>DA-001-M0022</v>
      </c>
      <c r="G45" s="24">
        <f>Contributions_Data!C262</f>
        <v>45297</v>
      </c>
      <c r="H45" s="27">
        <f>Contributions_Data!D262</f>
        <v>15202.56</v>
      </c>
      <c r="I45" s="27">
        <v>0</v>
      </c>
    </row>
    <row r="46" spans="3:9">
      <c r="C46" s="23">
        <v>39</v>
      </c>
      <c r="D46" s="23" t="s">
        <v>132</v>
      </c>
      <c r="E46" s="23" t="str">
        <f>Contributions_Data!A356</f>
        <v>DA-002</v>
      </c>
      <c r="F46" s="23" t="str">
        <f>Contributions_Data!B356</f>
        <v>DA-002-M0030</v>
      </c>
      <c r="G46" s="24">
        <f>Contributions_Data!C356</f>
        <v>45297</v>
      </c>
      <c r="H46" s="27">
        <f>Contributions_Data!D356</f>
        <v>11610.88</v>
      </c>
      <c r="I46" s="27">
        <v>0</v>
      </c>
    </row>
    <row r="47" spans="3:9">
      <c r="C47" s="23">
        <v>40</v>
      </c>
      <c r="D47" s="23" t="s">
        <v>132</v>
      </c>
      <c r="E47" s="23" t="str">
        <f>Contributions_Data!A645</f>
        <v>DA-002</v>
      </c>
      <c r="F47" s="23" t="str">
        <f>Contributions_Data!B645</f>
        <v>DA-002-M0054</v>
      </c>
      <c r="G47" s="24">
        <f>Contributions_Data!C645</f>
        <v>45297</v>
      </c>
      <c r="H47" s="27">
        <f>Contributions_Data!D645</f>
        <v>18835.36</v>
      </c>
      <c r="I47" s="27">
        <v>0</v>
      </c>
    </row>
    <row r="48" spans="3:9">
      <c r="C48" s="23">
        <v>41</v>
      </c>
      <c r="D48" s="23" t="s">
        <v>132</v>
      </c>
      <c r="E48" s="23" t="str">
        <f>Contributions_Data!A670</f>
        <v>DA-001</v>
      </c>
      <c r="F48" s="23" t="str">
        <f>Contributions_Data!B670</f>
        <v>DA-001-M0056</v>
      </c>
      <c r="G48" s="24">
        <f>Contributions_Data!C670</f>
        <v>45297</v>
      </c>
      <c r="H48" s="27">
        <f>Contributions_Data!D670</f>
        <v>11936.3</v>
      </c>
      <c r="I48" s="27">
        <v>0</v>
      </c>
    </row>
    <row r="49" spans="3:9">
      <c r="C49" s="23">
        <v>42</v>
      </c>
      <c r="D49" s="23" t="s">
        <v>132</v>
      </c>
      <c r="E49" s="23" t="str">
        <f>Contributions_Data!A702</f>
        <v>DA-003</v>
      </c>
      <c r="F49" s="23" t="str">
        <f>Contributions_Data!B702</f>
        <v>DA-003-M0059</v>
      </c>
      <c r="G49" s="24">
        <f>Contributions_Data!C702</f>
        <v>45297</v>
      </c>
      <c r="H49" s="27">
        <f>Contributions_Data!D702</f>
        <v>13042.13</v>
      </c>
      <c r="I49" s="27">
        <v>0</v>
      </c>
    </row>
    <row r="50" spans="3:9">
      <c r="C50" s="23">
        <v>43</v>
      </c>
      <c r="D50" s="23" t="s">
        <v>134</v>
      </c>
      <c r="E50" s="23" t="str">
        <f>Withdrawals_Data!A68</f>
        <v>DA-002</v>
      </c>
      <c r="F50" s="23" t="str">
        <f>Withdrawals_Data!B68</f>
        <v>DA-002-M0016</v>
      </c>
      <c r="G50" s="24">
        <f>Withdrawals_Data!C68</f>
        <v>45297</v>
      </c>
      <c r="H50" s="27">
        <v>0</v>
      </c>
      <c r="I50" s="27">
        <f>-Withdrawals_Data!D68</f>
        <v>-11166.65</v>
      </c>
    </row>
    <row r="51" spans="3:9">
      <c r="C51" s="23">
        <v>44</v>
      </c>
      <c r="D51" s="23" t="s">
        <v>134</v>
      </c>
      <c r="E51" s="23" t="str">
        <f>Withdrawals_Data!A161</f>
        <v>DA-002</v>
      </c>
      <c r="F51" s="23" t="str">
        <f>Withdrawals_Data!B161</f>
        <v>DA-002-M0016</v>
      </c>
      <c r="G51" s="24">
        <f>Withdrawals_Data!C161</f>
        <v>45297</v>
      </c>
      <c r="H51" s="27">
        <v>0</v>
      </c>
      <c r="I51" s="27">
        <f>-Withdrawals_Data!D161</f>
        <v>-8387.98</v>
      </c>
    </row>
    <row r="52" spans="3:9">
      <c r="C52" s="23">
        <v>45</v>
      </c>
      <c r="D52" s="23" t="s">
        <v>134</v>
      </c>
      <c r="E52" s="23" t="str">
        <f>Withdrawals_Data!A185</f>
        <v>DA-001</v>
      </c>
      <c r="F52" s="23" t="str">
        <f>Withdrawals_Data!B185</f>
        <v>DA-001-M0098</v>
      </c>
      <c r="G52" s="24">
        <f>Withdrawals_Data!C185</f>
        <v>45297</v>
      </c>
      <c r="H52" s="27">
        <v>0</v>
      </c>
      <c r="I52" s="27">
        <f>-Withdrawals_Data!D185</f>
        <v>-7857.43</v>
      </c>
    </row>
    <row r="53" spans="3:9">
      <c r="C53" s="23">
        <v>46</v>
      </c>
      <c r="D53" s="23" t="s">
        <v>134</v>
      </c>
      <c r="E53" s="23" t="str">
        <f>Withdrawals_Data!A338</f>
        <v>DA-003</v>
      </c>
      <c r="F53" s="23" t="str">
        <f>Withdrawals_Data!B338</f>
        <v>DA-003-M0001</v>
      </c>
      <c r="G53" s="24">
        <f>Withdrawals_Data!C338</f>
        <v>45297</v>
      </c>
      <c r="H53" s="27">
        <v>0</v>
      </c>
      <c r="I53" s="27">
        <f>-Withdrawals_Data!D338</f>
        <v>-10162</v>
      </c>
    </row>
    <row r="54" spans="3:9">
      <c r="C54" s="23">
        <v>47</v>
      </c>
      <c r="D54" s="23" t="s">
        <v>134</v>
      </c>
      <c r="E54" s="23" t="str">
        <f>Withdrawals_Data!A397</f>
        <v>DA-003</v>
      </c>
      <c r="F54" s="23" t="str">
        <f>Withdrawals_Data!B397</f>
        <v>DA-003-M0008</v>
      </c>
      <c r="G54" s="24">
        <f>Withdrawals_Data!C397</f>
        <v>45297</v>
      </c>
      <c r="H54" s="27">
        <v>0</v>
      </c>
      <c r="I54" s="27">
        <f>-Withdrawals_Data!D397</f>
        <v>-5138</v>
      </c>
    </row>
    <row r="55" spans="3:9">
      <c r="C55" s="23">
        <v>48</v>
      </c>
      <c r="D55" s="23" t="s">
        <v>134</v>
      </c>
      <c r="E55" s="23" t="str">
        <f>Withdrawals_Data!A480</f>
        <v>DA-002</v>
      </c>
      <c r="F55" s="23" t="str">
        <f>Withdrawals_Data!B480</f>
        <v>DA-002-M0018</v>
      </c>
      <c r="G55" s="24">
        <f>Withdrawals_Data!C480</f>
        <v>45297</v>
      </c>
      <c r="H55" s="27">
        <v>0</v>
      </c>
      <c r="I55" s="27">
        <f>-Withdrawals_Data!D480</f>
        <v>-4946</v>
      </c>
    </row>
    <row r="56" spans="3:9">
      <c r="C56" s="23">
        <v>49</v>
      </c>
      <c r="D56" s="23" t="s">
        <v>134</v>
      </c>
      <c r="E56" s="23" t="str">
        <f>Withdrawals_Data!A775</f>
        <v>DA-002</v>
      </c>
      <c r="F56" s="23" t="str">
        <f>Withdrawals_Data!B775</f>
        <v>DA-002-M0051</v>
      </c>
      <c r="G56" s="24">
        <f>Withdrawals_Data!C775</f>
        <v>45297</v>
      </c>
      <c r="H56" s="27">
        <v>0</v>
      </c>
      <c r="I56" s="27">
        <f>-Withdrawals_Data!D775</f>
        <v>-21312</v>
      </c>
    </row>
    <row r="57" spans="3:9">
      <c r="C57" s="23">
        <v>50</v>
      </c>
      <c r="D57" s="23" t="s">
        <v>134</v>
      </c>
      <c r="E57" s="23" t="str">
        <f>Withdrawals_Data!A1034</f>
        <v>DA-003</v>
      </c>
      <c r="F57" s="23" t="str">
        <f>Withdrawals_Data!B1034</f>
        <v>DA-003-M0081</v>
      </c>
      <c r="G57" s="24">
        <f>Withdrawals_Data!C1034</f>
        <v>45297</v>
      </c>
      <c r="H57" s="27">
        <v>0</v>
      </c>
      <c r="I57" s="27">
        <f>-Withdrawals_Data!D1034</f>
        <v>-20886</v>
      </c>
    </row>
    <row r="58" spans="3:9">
      <c r="C58" s="23">
        <v>51</v>
      </c>
      <c r="D58" s="23" t="s">
        <v>134</v>
      </c>
      <c r="E58" s="23" t="str">
        <f>Withdrawals_Data!A1075</f>
        <v>DA-003</v>
      </c>
      <c r="F58" s="23" t="str">
        <f>Withdrawals_Data!B1075</f>
        <v>DA-003-M0086</v>
      </c>
      <c r="G58" s="24">
        <f>Withdrawals_Data!C1075</f>
        <v>45297</v>
      </c>
      <c r="H58" s="27">
        <v>0</v>
      </c>
      <c r="I58" s="27">
        <f>-Withdrawals_Data!D1075</f>
        <v>-6612</v>
      </c>
    </row>
    <row r="59" spans="3:9">
      <c r="C59" s="23">
        <v>52</v>
      </c>
      <c r="D59" s="23" t="s">
        <v>132</v>
      </c>
      <c r="E59" s="23" t="str">
        <f>Contributions_Data!A202</f>
        <v>DA-002</v>
      </c>
      <c r="F59" s="23" t="str">
        <f>Contributions_Data!B202</f>
        <v>DA-002-M0017</v>
      </c>
      <c r="G59" s="24">
        <f>Contributions_Data!C202</f>
        <v>45298</v>
      </c>
      <c r="H59" s="27">
        <f>Contributions_Data!D202</f>
        <v>13586.89</v>
      </c>
      <c r="I59" s="27">
        <v>0</v>
      </c>
    </row>
    <row r="60" spans="3:9">
      <c r="C60" s="23">
        <v>53</v>
      </c>
      <c r="D60" s="23" t="s">
        <v>132</v>
      </c>
      <c r="E60" s="23" t="str">
        <f>Contributions_Data!A308</f>
        <v>DA-002</v>
      </c>
      <c r="F60" s="23" t="str">
        <f>Contributions_Data!B308</f>
        <v>DA-002-M0026</v>
      </c>
      <c r="G60" s="24">
        <f>Contributions_Data!C308</f>
        <v>45298</v>
      </c>
      <c r="H60" s="27">
        <f>Contributions_Data!D308</f>
        <v>15933.75</v>
      </c>
      <c r="I60" s="27">
        <v>0</v>
      </c>
    </row>
    <row r="61" spans="3:9">
      <c r="C61" s="23">
        <v>54</v>
      </c>
      <c r="D61" s="23" t="s">
        <v>132</v>
      </c>
      <c r="E61" s="23" t="str">
        <f>Contributions_Data!A714</f>
        <v>DA-002</v>
      </c>
      <c r="F61" s="23" t="str">
        <f>Contributions_Data!B714</f>
        <v>DA-002-M0060</v>
      </c>
      <c r="G61" s="24">
        <f>Contributions_Data!C714</f>
        <v>45298</v>
      </c>
      <c r="H61" s="27">
        <f>Contributions_Data!D714</f>
        <v>15080.66</v>
      </c>
      <c r="I61" s="27">
        <v>0</v>
      </c>
    </row>
    <row r="62" spans="3:9">
      <c r="C62" s="23">
        <v>55</v>
      </c>
      <c r="D62" s="23" t="s">
        <v>132</v>
      </c>
      <c r="E62" s="23" t="str">
        <f>Contributions_Data!A1166</f>
        <v>DA-001</v>
      </c>
      <c r="F62" s="23" t="str">
        <f>Contributions_Data!B1166</f>
        <v>DA-001-M0098</v>
      </c>
      <c r="G62" s="24">
        <f>Contributions_Data!C1166</f>
        <v>45298</v>
      </c>
      <c r="H62" s="27">
        <f>Contributions_Data!D1166</f>
        <v>17382.79</v>
      </c>
      <c r="I62" s="27">
        <v>0</v>
      </c>
    </row>
    <row r="63" spans="3:9">
      <c r="C63" s="23">
        <v>56</v>
      </c>
      <c r="D63" s="23" t="s">
        <v>134</v>
      </c>
      <c r="E63" s="23" t="str">
        <f>Withdrawals_Data!A408</f>
        <v>DA-001</v>
      </c>
      <c r="F63" s="23" t="str">
        <f>Withdrawals_Data!B408</f>
        <v>DA-001-M0010</v>
      </c>
      <c r="G63" s="24">
        <f>Withdrawals_Data!C408</f>
        <v>45298</v>
      </c>
      <c r="H63" s="27">
        <v>0</v>
      </c>
      <c r="I63" s="27">
        <f>-Withdrawals_Data!D408</f>
        <v>-18456</v>
      </c>
    </row>
    <row r="64" spans="3:9">
      <c r="C64" s="23">
        <v>57</v>
      </c>
      <c r="D64" s="23" t="s">
        <v>134</v>
      </c>
      <c r="E64" s="23" t="str">
        <f>Withdrawals_Data!A424</f>
        <v>DA-003</v>
      </c>
      <c r="F64" s="23" t="str">
        <f>Withdrawals_Data!B424</f>
        <v>DA-003-M0012</v>
      </c>
      <c r="G64" s="24">
        <f>Withdrawals_Data!C424</f>
        <v>45298</v>
      </c>
      <c r="H64" s="27">
        <v>0</v>
      </c>
      <c r="I64" s="27">
        <f>-Withdrawals_Data!D424</f>
        <v>-11880</v>
      </c>
    </row>
    <row r="65" spans="3:9">
      <c r="C65" s="23">
        <v>58</v>
      </c>
      <c r="D65" s="23" t="s">
        <v>134</v>
      </c>
      <c r="E65" s="23" t="str">
        <f>Withdrawals_Data!A902</f>
        <v>DA-003</v>
      </c>
      <c r="F65" s="23" t="str">
        <f>Withdrawals_Data!B902</f>
        <v>DA-003-M0066</v>
      </c>
      <c r="G65" s="24">
        <f>Withdrawals_Data!C902</f>
        <v>45298</v>
      </c>
      <c r="H65" s="27">
        <v>0</v>
      </c>
      <c r="I65" s="27">
        <f>-Withdrawals_Data!D902</f>
        <v>-14833</v>
      </c>
    </row>
    <row r="66" spans="3:9">
      <c r="C66" s="23">
        <v>59</v>
      </c>
      <c r="D66" s="23" t="s">
        <v>134</v>
      </c>
      <c r="E66" s="23" t="str">
        <f>Withdrawals_Data!A938</f>
        <v>DA-002</v>
      </c>
      <c r="F66" s="23" t="str">
        <f>Withdrawals_Data!B938</f>
        <v>DA-002-M0070</v>
      </c>
      <c r="G66" s="24">
        <f>Withdrawals_Data!C938</f>
        <v>45298</v>
      </c>
      <c r="H66" s="27">
        <v>0</v>
      </c>
      <c r="I66" s="27">
        <f>-Withdrawals_Data!D938</f>
        <v>-15018</v>
      </c>
    </row>
    <row r="67" spans="3:9">
      <c r="C67" s="23">
        <v>60</v>
      </c>
      <c r="D67" s="23" t="s">
        <v>132</v>
      </c>
      <c r="E67" s="23" t="str">
        <f>Contributions_Data!A204</f>
        <v>DA-002</v>
      </c>
      <c r="F67" s="23" t="str">
        <f>Contributions_Data!B204</f>
        <v>DA-002-M0017</v>
      </c>
      <c r="G67" s="24">
        <f>Contributions_Data!C204</f>
        <v>45299</v>
      </c>
      <c r="H67" s="27">
        <f>Contributions_Data!D204</f>
        <v>10777.61</v>
      </c>
      <c r="I67" s="27">
        <v>0</v>
      </c>
    </row>
    <row r="68" spans="3:9">
      <c r="C68" s="23">
        <v>61</v>
      </c>
      <c r="D68" s="23" t="s">
        <v>132</v>
      </c>
      <c r="E68" s="23" t="str">
        <f>Contributions_Data!A638</f>
        <v>DA-002</v>
      </c>
      <c r="F68" s="23" t="str">
        <f>Contributions_Data!B638</f>
        <v>DA-002-M0054</v>
      </c>
      <c r="G68" s="24">
        <f>Contributions_Data!C638</f>
        <v>45299</v>
      </c>
      <c r="H68" s="27">
        <f>Contributions_Data!D638</f>
        <v>18507.89</v>
      </c>
      <c r="I68" s="27">
        <v>0</v>
      </c>
    </row>
    <row r="69" spans="3:9">
      <c r="C69" s="23">
        <v>62</v>
      </c>
      <c r="D69" s="23" t="s">
        <v>132</v>
      </c>
      <c r="E69" s="23" t="str">
        <f>Contributions_Data!A865</f>
        <v>DA-002</v>
      </c>
      <c r="F69" s="23" t="str">
        <f>Contributions_Data!B865</f>
        <v>DA-002-M0072</v>
      </c>
      <c r="G69" s="24">
        <f>Contributions_Data!C865</f>
        <v>45299</v>
      </c>
      <c r="H69" s="27">
        <f>Contributions_Data!D865</f>
        <v>17754.95</v>
      </c>
      <c r="I69" s="27">
        <v>0</v>
      </c>
    </row>
    <row r="70" spans="3:9">
      <c r="C70" s="23">
        <v>63</v>
      </c>
      <c r="D70" s="23" t="s">
        <v>132</v>
      </c>
      <c r="E70" s="23" t="str">
        <f>Contributions_Data!A1021</f>
        <v>DA-002</v>
      </c>
      <c r="F70" s="23" t="str">
        <f>Contributions_Data!B1021</f>
        <v>DA-002-M0085</v>
      </c>
      <c r="G70" s="24">
        <f>Contributions_Data!C1021</f>
        <v>45299</v>
      </c>
      <c r="H70" s="27">
        <f>Contributions_Data!D1021</f>
        <v>17033.78</v>
      </c>
      <c r="I70" s="27">
        <v>0</v>
      </c>
    </row>
    <row r="71" spans="3:9">
      <c r="C71" s="23">
        <v>64</v>
      </c>
      <c r="D71" s="23" t="s">
        <v>134</v>
      </c>
      <c r="E71" s="23" t="str">
        <f>Withdrawals_Data!A709</f>
        <v>DA-002</v>
      </c>
      <c r="F71" s="23" t="str">
        <f>Withdrawals_Data!B709</f>
        <v>DA-002-M0044</v>
      </c>
      <c r="G71" s="24">
        <f>Withdrawals_Data!C709</f>
        <v>45299</v>
      </c>
      <c r="H71" s="27">
        <v>0</v>
      </c>
      <c r="I71" s="27">
        <f>-Withdrawals_Data!D709</f>
        <v>-15333</v>
      </c>
    </row>
    <row r="72" spans="3:9">
      <c r="C72" s="23">
        <v>65</v>
      </c>
      <c r="D72" s="23" t="s">
        <v>134</v>
      </c>
      <c r="E72" s="23" t="str">
        <f>Withdrawals_Data!A788</f>
        <v>DA-001</v>
      </c>
      <c r="F72" s="23" t="str">
        <f>Withdrawals_Data!B788</f>
        <v>DA-001-M0053</v>
      </c>
      <c r="G72" s="24">
        <f>Withdrawals_Data!C788</f>
        <v>45299</v>
      </c>
      <c r="H72" s="27">
        <v>0</v>
      </c>
      <c r="I72" s="27">
        <f>-Withdrawals_Data!D788</f>
        <v>-2518</v>
      </c>
    </row>
    <row r="73" spans="3:9">
      <c r="C73" s="23">
        <v>66</v>
      </c>
      <c r="D73" s="23" t="s">
        <v>132</v>
      </c>
      <c r="E73" s="23" t="str">
        <f>Contributions_Data!A37</f>
        <v>DA-002</v>
      </c>
      <c r="F73" s="23" t="str">
        <f>Contributions_Data!B37</f>
        <v>DA-002-M0003</v>
      </c>
      <c r="G73" s="24">
        <f>Contributions_Data!C37</f>
        <v>45300</v>
      </c>
      <c r="H73" s="27">
        <f>Contributions_Data!D37</f>
        <v>12271.84</v>
      </c>
      <c r="I73" s="27">
        <v>0</v>
      </c>
    </row>
    <row r="74" spans="3:9">
      <c r="C74" s="23">
        <v>67</v>
      </c>
      <c r="D74" s="23" t="s">
        <v>132</v>
      </c>
      <c r="E74" s="23" t="str">
        <f>Contributions_Data!A125</f>
        <v>DA-001</v>
      </c>
      <c r="F74" s="23" t="str">
        <f>Contributions_Data!B125</f>
        <v>DA-001-M0011</v>
      </c>
      <c r="G74" s="24">
        <f>Contributions_Data!C125</f>
        <v>45300</v>
      </c>
      <c r="H74" s="27">
        <f>Contributions_Data!D125</f>
        <v>12622.44</v>
      </c>
      <c r="I74" s="27">
        <v>0</v>
      </c>
    </row>
    <row r="75" spans="3:9">
      <c r="C75" s="23">
        <v>68</v>
      </c>
      <c r="D75" s="23" t="s">
        <v>132</v>
      </c>
      <c r="E75" s="23" t="str">
        <f>Contributions_Data!A395</f>
        <v>DA-002</v>
      </c>
      <c r="F75" s="23" t="str">
        <f>Contributions_Data!B395</f>
        <v>DA-002-M0033</v>
      </c>
      <c r="G75" s="24">
        <f>Contributions_Data!C395</f>
        <v>45300</v>
      </c>
      <c r="H75" s="27">
        <f>Contributions_Data!D395</f>
        <v>12431.75</v>
      </c>
      <c r="I75" s="27">
        <v>0</v>
      </c>
    </row>
    <row r="76" spans="3:9">
      <c r="C76" s="23">
        <v>69</v>
      </c>
      <c r="D76" s="23" t="s">
        <v>132</v>
      </c>
      <c r="E76" s="23" t="str">
        <f>Contributions_Data!A729</f>
        <v>DA-003</v>
      </c>
      <c r="F76" s="23" t="str">
        <f>Contributions_Data!B729</f>
        <v>DA-003-M0061</v>
      </c>
      <c r="G76" s="24">
        <f>Contributions_Data!C729</f>
        <v>45300</v>
      </c>
      <c r="H76" s="27">
        <f>Contributions_Data!D729</f>
        <v>16905.52</v>
      </c>
      <c r="I76" s="27">
        <v>0</v>
      </c>
    </row>
    <row r="77" spans="3:9">
      <c r="C77" s="23">
        <v>70</v>
      </c>
      <c r="D77" s="23" t="s">
        <v>132</v>
      </c>
      <c r="E77" s="23" t="str">
        <f>Contributions_Data!A799</f>
        <v>DA-002</v>
      </c>
      <c r="F77" s="23" t="str">
        <f>Contributions_Data!B799</f>
        <v>DA-002-M0067</v>
      </c>
      <c r="G77" s="24">
        <f>Contributions_Data!C799</f>
        <v>45300</v>
      </c>
      <c r="H77" s="27">
        <f>Contributions_Data!D799</f>
        <v>17748.98</v>
      </c>
      <c r="I77" s="27">
        <v>0</v>
      </c>
    </row>
    <row r="78" spans="3:9">
      <c r="C78" s="23">
        <v>71</v>
      </c>
      <c r="D78" s="23" t="s">
        <v>132</v>
      </c>
      <c r="E78" s="23" t="str">
        <f>Contributions_Data!A963</f>
        <v>DA-003</v>
      </c>
      <c r="F78" s="23" t="str">
        <f>Contributions_Data!B963</f>
        <v>DA-003-M0081</v>
      </c>
      <c r="G78" s="24">
        <f>Contributions_Data!C963</f>
        <v>45300</v>
      </c>
      <c r="H78" s="27">
        <f>Contributions_Data!D963</f>
        <v>17453.3</v>
      </c>
      <c r="I78" s="27">
        <v>0</v>
      </c>
    </row>
    <row r="79" spans="3:9">
      <c r="C79" s="23">
        <v>72</v>
      </c>
      <c r="D79" s="23" t="s">
        <v>132</v>
      </c>
      <c r="E79" s="23" t="str">
        <f>Contributions_Data!A999</f>
        <v>DA-003</v>
      </c>
      <c r="F79" s="23" t="str">
        <f>Contributions_Data!B999</f>
        <v>DA-003-M0084</v>
      </c>
      <c r="G79" s="24">
        <f>Contributions_Data!C999</f>
        <v>45300</v>
      </c>
      <c r="H79" s="27">
        <f>Contributions_Data!D999</f>
        <v>13270.47</v>
      </c>
      <c r="I79" s="27">
        <v>0</v>
      </c>
    </row>
    <row r="80" spans="3:9">
      <c r="C80" s="23">
        <v>73</v>
      </c>
      <c r="D80" s="23" t="s">
        <v>134</v>
      </c>
      <c r="E80" s="23" t="str">
        <f>Withdrawals_Data!A45</f>
        <v>DA-001</v>
      </c>
      <c r="F80" s="23" t="str">
        <f>Withdrawals_Data!B45</f>
        <v>DA-001-M0098</v>
      </c>
      <c r="G80" s="24">
        <f>Withdrawals_Data!C45</f>
        <v>45300</v>
      </c>
      <c r="H80" s="27">
        <v>0</v>
      </c>
      <c r="I80" s="27">
        <f>-Withdrawals_Data!D45</f>
        <v>-12594.55</v>
      </c>
    </row>
    <row r="81" spans="3:9">
      <c r="C81" s="23">
        <v>74</v>
      </c>
      <c r="D81" s="23" t="s">
        <v>134</v>
      </c>
      <c r="E81" s="23" t="str">
        <f>Withdrawals_Data!A248</f>
        <v>DA-003</v>
      </c>
      <c r="F81" s="23" t="str">
        <f>Withdrawals_Data!B248</f>
        <v>DA-003-M0031</v>
      </c>
      <c r="G81" s="24">
        <f>Withdrawals_Data!C248</f>
        <v>45300</v>
      </c>
      <c r="H81" s="27">
        <v>0</v>
      </c>
      <c r="I81" s="27">
        <f>-Withdrawals_Data!D248</f>
        <v>-5584.06</v>
      </c>
    </row>
    <row r="82" spans="3:9">
      <c r="C82" s="23">
        <v>75</v>
      </c>
      <c r="D82" s="23" t="s">
        <v>134</v>
      </c>
      <c r="E82" s="23" t="str">
        <f>Withdrawals_Data!A277</f>
        <v>DA-003</v>
      </c>
      <c r="F82" s="23" t="str">
        <f>Withdrawals_Data!B277</f>
        <v>DA-003-M0084</v>
      </c>
      <c r="G82" s="24">
        <f>Withdrawals_Data!C277</f>
        <v>45300</v>
      </c>
      <c r="H82" s="27">
        <v>0</v>
      </c>
      <c r="I82" s="27">
        <f>-Withdrawals_Data!D277</f>
        <v>-4266.93</v>
      </c>
    </row>
    <row r="83" spans="3:9">
      <c r="C83" s="23">
        <v>76</v>
      </c>
      <c r="D83" s="23" t="s">
        <v>134</v>
      </c>
      <c r="E83" s="23" t="str">
        <f>Withdrawals_Data!A809</f>
        <v>DA-001</v>
      </c>
      <c r="F83" s="23" t="str">
        <f>Withdrawals_Data!B809</f>
        <v>DA-001-M0056</v>
      </c>
      <c r="G83" s="24">
        <f>Withdrawals_Data!C809</f>
        <v>45300</v>
      </c>
      <c r="H83" s="27">
        <v>0</v>
      </c>
      <c r="I83" s="27">
        <f>-Withdrawals_Data!D809</f>
        <v>-17352</v>
      </c>
    </row>
    <row r="84" spans="3:9">
      <c r="C84" s="23">
        <v>77</v>
      </c>
      <c r="D84" s="23" t="s">
        <v>134</v>
      </c>
      <c r="E84" s="23" t="str">
        <f>Withdrawals_Data!A1031</f>
        <v>DA-003</v>
      </c>
      <c r="F84" s="23" t="str">
        <f>Withdrawals_Data!B1031</f>
        <v>DA-003-M0081</v>
      </c>
      <c r="G84" s="24">
        <f>Withdrawals_Data!C1031</f>
        <v>45300</v>
      </c>
      <c r="H84" s="27">
        <v>0</v>
      </c>
      <c r="I84" s="27">
        <f>-Withdrawals_Data!D1031</f>
        <v>-7680</v>
      </c>
    </row>
    <row r="85" spans="3:9">
      <c r="C85" s="23">
        <v>78</v>
      </c>
      <c r="D85" s="23" t="s">
        <v>132</v>
      </c>
      <c r="E85" s="23" t="str">
        <f>Contributions_Data!A41</f>
        <v>DA-001</v>
      </c>
      <c r="F85" s="23" t="str">
        <f>Contributions_Data!B41</f>
        <v>DA-001-M0004</v>
      </c>
      <c r="G85" s="24">
        <f>Contributions_Data!C41</f>
        <v>45301</v>
      </c>
      <c r="H85" s="27">
        <f>Contributions_Data!D41</f>
        <v>13301.11</v>
      </c>
      <c r="I85" s="27">
        <v>0</v>
      </c>
    </row>
    <row r="86" spans="3:9">
      <c r="C86" s="23">
        <v>79</v>
      </c>
      <c r="D86" s="23" t="s">
        <v>132</v>
      </c>
      <c r="E86" s="23" t="str">
        <f>Contributions_Data!A182</f>
        <v>DA-002</v>
      </c>
      <c r="F86" s="23" t="str">
        <f>Contributions_Data!B182</f>
        <v>DA-002-M0016</v>
      </c>
      <c r="G86" s="24">
        <f>Contributions_Data!C182</f>
        <v>45301</v>
      </c>
      <c r="H86" s="27">
        <f>Contributions_Data!D182</f>
        <v>14069.2</v>
      </c>
      <c r="I86" s="27">
        <v>0</v>
      </c>
    </row>
    <row r="87" spans="3:9">
      <c r="C87" s="23">
        <v>80</v>
      </c>
      <c r="D87" s="23" t="s">
        <v>132</v>
      </c>
      <c r="E87" s="23" t="str">
        <f>Contributions_Data!A468</f>
        <v>DA-002</v>
      </c>
      <c r="F87" s="23" t="str">
        <f>Contributions_Data!B468</f>
        <v>DA-002-M0039</v>
      </c>
      <c r="G87" s="24">
        <f>Contributions_Data!C468</f>
        <v>45301</v>
      </c>
      <c r="H87" s="27">
        <f>Contributions_Data!D468</f>
        <v>13426.44</v>
      </c>
      <c r="I87" s="27">
        <v>0</v>
      </c>
    </row>
    <row r="88" spans="3:9">
      <c r="C88" s="23">
        <v>81</v>
      </c>
      <c r="D88" s="23" t="s">
        <v>134</v>
      </c>
      <c r="E88" s="23" t="str">
        <f>Withdrawals_Data!A1181</f>
        <v>DA-001</v>
      </c>
      <c r="F88" s="23" t="str">
        <f>Withdrawals_Data!B1181</f>
        <v>DA-001-M0098</v>
      </c>
      <c r="G88" s="24">
        <f>Withdrawals_Data!C1181</f>
        <v>45301</v>
      </c>
      <c r="H88" s="27">
        <v>0</v>
      </c>
      <c r="I88" s="27">
        <f>-Withdrawals_Data!D1181</f>
        <v>-9022</v>
      </c>
    </row>
    <row r="89" spans="3:9">
      <c r="C89" s="23">
        <v>82</v>
      </c>
      <c r="D89" s="23" t="s">
        <v>132</v>
      </c>
      <c r="E89" s="23" t="str">
        <f>Contributions_Data!A112</f>
        <v>DA-001</v>
      </c>
      <c r="F89" s="23" t="str">
        <f>Contributions_Data!B112</f>
        <v>DA-001-M0010</v>
      </c>
      <c r="G89" s="24">
        <f>Contributions_Data!C112</f>
        <v>45302</v>
      </c>
      <c r="H89" s="27">
        <f>Contributions_Data!D112</f>
        <v>13584.2</v>
      </c>
      <c r="I89" s="27">
        <v>0</v>
      </c>
    </row>
    <row r="90" spans="3:9">
      <c r="C90" s="23">
        <v>83</v>
      </c>
      <c r="D90" s="23" t="s">
        <v>132</v>
      </c>
      <c r="E90" s="23" t="str">
        <f>Contributions_Data!A161</f>
        <v>DA-003</v>
      </c>
      <c r="F90" s="23" t="str">
        <f>Contributions_Data!B161</f>
        <v>DA-003-M0014</v>
      </c>
      <c r="G90" s="24">
        <f>Contributions_Data!C161</f>
        <v>45302</v>
      </c>
      <c r="H90" s="27">
        <f>Contributions_Data!D161</f>
        <v>14375.63</v>
      </c>
      <c r="I90" s="27">
        <v>0</v>
      </c>
    </row>
    <row r="91" spans="3:9">
      <c r="C91" s="23">
        <v>84</v>
      </c>
      <c r="D91" s="23" t="s">
        <v>132</v>
      </c>
      <c r="E91" s="23" t="str">
        <f>Contributions_Data!A674</f>
        <v>DA-002</v>
      </c>
      <c r="F91" s="23" t="str">
        <f>Contributions_Data!B674</f>
        <v>DA-002-M0057</v>
      </c>
      <c r="G91" s="24">
        <f>Contributions_Data!C674</f>
        <v>45302</v>
      </c>
      <c r="H91" s="27">
        <f>Contributions_Data!D674</f>
        <v>16950.599999999999</v>
      </c>
      <c r="I91" s="27">
        <v>0</v>
      </c>
    </row>
    <row r="92" spans="3:9">
      <c r="C92" s="23">
        <v>85</v>
      </c>
      <c r="D92" s="23" t="s">
        <v>132</v>
      </c>
      <c r="E92" s="23" t="str">
        <f>Contributions_Data!A936</f>
        <v>DA-002</v>
      </c>
      <c r="F92" s="23" t="str">
        <f>Contributions_Data!B936</f>
        <v>DA-002-M0078</v>
      </c>
      <c r="G92" s="24">
        <f>Contributions_Data!C936</f>
        <v>45302</v>
      </c>
      <c r="H92" s="27">
        <f>Contributions_Data!D936</f>
        <v>15400.62</v>
      </c>
      <c r="I92" s="27">
        <v>0</v>
      </c>
    </row>
    <row r="93" spans="3:9">
      <c r="C93" s="23">
        <v>86</v>
      </c>
      <c r="D93" s="23" t="s">
        <v>134</v>
      </c>
      <c r="E93" s="23" t="str">
        <f>Withdrawals_Data!A511</f>
        <v>DA-001</v>
      </c>
      <c r="F93" s="23" t="str">
        <f>Withdrawals_Data!B511</f>
        <v>DA-001-M0022</v>
      </c>
      <c r="G93" s="24">
        <f>Withdrawals_Data!C511</f>
        <v>45302</v>
      </c>
      <c r="H93" s="27">
        <v>0</v>
      </c>
      <c r="I93" s="27">
        <f>-Withdrawals_Data!D511</f>
        <v>-4177</v>
      </c>
    </row>
    <row r="94" spans="3:9">
      <c r="C94" s="23">
        <v>87</v>
      </c>
      <c r="D94" s="23" t="s">
        <v>134</v>
      </c>
      <c r="E94" s="23" t="str">
        <f>Withdrawals_Data!A920</f>
        <v>DA-003</v>
      </c>
      <c r="F94" s="23" t="str">
        <f>Withdrawals_Data!B920</f>
        <v>DA-003-M0068</v>
      </c>
      <c r="G94" s="24">
        <f>Withdrawals_Data!C920</f>
        <v>45302</v>
      </c>
      <c r="H94" s="27">
        <v>0</v>
      </c>
      <c r="I94" s="27">
        <f>-Withdrawals_Data!D920</f>
        <v>-8631</v>
      </c>
    </row>
    <row r="95" spans="3:9">
      <c r="C95" s="23">
        <v>88</v>
      </c>
      <c r="D95" s="23" t="s">
        <v>134</v>
      </c>
      <c r="E95" s="23" t="str">
        <f>Withdrawals_Data!A1152</f>
        <v>DA-003</v>
      </c>
      <c r="F95" s="23" t="str">
        <f>Withdrawals_Data!B1152</f>
        <v>DA-003-M0095</v>
      </c>
      <c r="G95" s="24">
        <f>Withdrawals_Data!C1152</f>
        <v>45302</v>
      </c>
      <c r="H95" s="27">
        <v>0</v>
      </c>
      <c r="I95" s="27">
        <f>-Withdrawals_Data!D1152</f>
        <v>-5147</v>
      </c>
    </row>
    <row r="96" spans="3:9">
      <c r="C96" s="23">
        <v>89</v>
      </c>
      <c r="D96" s="23" t="s">
        <v>132</v>
      </c>
      <c r="E96" s="23" t="str">
        <f>Contributions_Data!A195</f>
        <v>DA-002</v>
      </c>
      <c r="F96" s="23" t="str">
        <f>Contributions_Data!B195</f>
        <v>DA-002-M0017</v>
      </c>
      <c r="G96" s="24">
        <f>Contributions_Data!C195</f>
        <v>45303</v>
      </c>
      <c r="H96" s="27">
        <f>Contributions_Data!D195</f>
        <v>12523.51</v>
      </c>
      <c r="I96" s="27">
        <v>0</v>
      </c>
    </row>
    <row r="97" spans="3:9">
      <c r="C97" s="23">
        <v>90</v>
      </c>
      <c r="D97" s="23" t="s">
        <v>132</v>
      </c>
      <c r="E97" s="23" t="str">
        <f>Contributions_Data!A205</f>
        <v>DA-002</v>
      </c>
      <c r="F97" s="23" t="str">
        <f>Contributions_Data!B205</f>
        <v>DA-002-M0017</v>
      </c>
      <c r="G97" s="24">
        <f>Contributions_Data!C205</f>
        <v>45303</v>
      </c>
      <c r="H97" s="27">
        <f>Contributions_Data!D205</f>
        <v>12844.67</v>
      </c>
      <c r="I97" s="27">
        <v>0</v>
      </c>
    </row>
    <row r="98" spans="3:9">
      <c r="C98" s="23">
        <v>91</v>
      </c>
      <c r="D98" s="23" t="s">
        <v>132</v>
      </c>
      <c r="E98" s="23" t="str">
        <f>Contributions_Data!A687</f>
        <v>DA-001</v>
      </c>
      <c r="F98" s="23" t="str">
        <f>Contributions_Data!B687</f>
        <v>DA-001-M0058</v>
      </c>
      <c r="G98" s="24">
        <f>Contributions_Data!C687</f>
        <v>45303</v>
      </c>
      <c r="H98" s="27">
        <f>Contributions_Data!D687</f>
        <v>16028.18</v>
      </c>
      <c r="I98" s="27">
        <v>0</v>
      </c>
    </row>
    <row r="99" spans="3:9">
      <c r="C99" s="23">
        <v>92</v>
      </c>
      <c r="D99" s="23" t="s">
        <v>132</v>
      </c>
      <c r="E99" s="23" t="str">
        <f>Contributions_Data!A753</f>
        <v>DA-002</v>
      </c>
      <c r="F99" s="23" t="str">
        <f>Contributions_Data!B753</f>
        <v>DA-002-M0063</v>
      </c>
      <c r="G99" s="24">
        <f>Contributions_Data!C753</f>
        <v>45303</v>
      </c>
      <c r="H99" s="27">
        <f>Contributions_Data!D753</f>
        <v>13550.44</v>
      </c>
      <c r="I99" s="27">
        <v>0</v>
      </c>
    </row>
    <row r="100" spans="3:9">
      <c r="C100" s="23">
        <v>93</v>
      </c>
      <c r="D100" s="23" t="s">
        <v>134</v>
      </c>
      <c r="E100" s="23" t="str">
        <f>Withdrawals_Data!A59</f>
        <v>DA-001</v>
      </c>
      <c r="F100" s="23" t="str">
        <f>Withdrawals_Data!B59</f>
        <v>DA-001-M0019</v>
      </c>
      <c r="G100" s="24">
        <f>Withdrawals_Data!C59</f>
        <v>45303</v>
      </c>
      <c r="H100" s="27">
        <v>0</v>
      </c>
      <c r="I100" s="27">
        <f>-Withdrawals_Data!D59</f>
        <v>-11489.28</v>
      </c>
    </row>
    <row r="101" spans="3:9">
      <c r="C101" s="23">
        <v>94</v>
      </c>
      <c r="D101" s="23" t="s">
        <v>134</v>
      </c>
      <c r="E101" s="23" t="str">
        <f>Withdrawals_Data!A471</f>
        <v>DA-002</v>
      </c>
      <c r="F101" s="23" t="str">
        <f>Withdrawals_Data!B471</f>
        <v>DA-002-M0017</v>
      </c>
      <c r="G101" s="24">
        <f>Withdrawals_Data!C471</f>
        <v>45303</v>
      </c>
      <c r="H101" s="27">
        <v>0</v>
      </c>
      <c r="I101" s="27">
        <f>-Withdrawals_Data!D471</f>
        <v>-8552</v>
      </c>
    </row>
    <row r="102" spans="3:9">
      <c r="C102" s="23">
        <v>95</v>
      </c>
      <c r="D102" s="23" t="s">
        <v>134</v>
      </c>
      <c r="E102" s="23" t="str">
        <f>Withdrawals_Data!A757</f>
        <v>DA-002</v>
      </c>
      <c r="F102" s="23" t="str">
        <f>Withdrawals_Data!B757</f>
        <v>DA-002-M0050</v>
      </c>
      <c r="G102" s="24">
        <f>Withdrawals_Data!C757</f>
        <v>45303</v>
      </c>
      <c r="H102" s="27">
        <v>0</v>
      </c>
      <c r="I102" s="27">
        <f>-Withdrawals_Data!D757</f>
        <v>-9881</v>
      </c>
    </row>
    <row r="103" spans="3:9">
      <c r="C103" s="23">
        <v>96</v>
      </c>
      <c r="D103" s="23" t="s">
        <v>134</v>
      </c>
      <c r="E103" s="23" t="str">
        <f>Withdrawals_Data!A1133</f>
        <v>DA-001</v>
      </c>
      <c r="F103" s="23" t="str">
        <f>Withdrawals_Data!B1133</f>
        <v>DA-001-M0092</v>
      </c>
      <c r="G103" s="24">
        <f>Withdrawals_Data!C1133</f>
        <v>45303</v>
      </c>
      <c r="H103" s="27">
        <v>0</v>
      </c>
      <c r="I103" s="27">
        <f>-Withdrawals_Data!D1133</f>
        <v>-2848</v>
      </c>
    </row>
    <row r="104" spans="3:9">
      <c r="C104" s="23">
        <v>97</v>
      </c>
      <c r="D104" s="23" t="s">
        <v>134</v>
      </c>
      <c r="E104" s="23" t="str">
        <f>Withdrawals_Data!A182</f>
        <v>DA-002</v>
      </c>
      <c r="F104" s="23" t="str">
        <f>Withdrawals_Data!B182</f>
        <v>DA-002-M0018</v>
      </c>
      <c r="G104" s="24">
        <f>Withdrawals_Data!C182</f>
        <v>45304</v>
      </c>
      <c r="H104" s="27">
        <v>0</v>
      </c>
      <c r="I104" s="27">
        <f>-Withdrawals_Data!D182</f>
        <v>-7923.94</v>
      </c>
    </row>
    <row r="105" spans="3:9">
      <c r="C105" s="23">
        <v>98</v>
      </c>
      <c r="D105" s="23" t="s">
        <v>132</v>
      </c>
      <c r="E105" s="23" t="str">
        <f>Contributions_Data!A194</f>
        <v>DA-002</v>
      </c>
      <c r="F105" s="23" t="str">
        <f>Contributions_Data!B194</f>
        <v>DA-002-M0017</v>
      </c>
      <c r="G105" s="24">
        <f>Contributions_Data!C194</f>
        <v>45305</v>
      </c>
      <c r="H105" s="27">
        <f>Contributions_Data!D194</f>
        <v>17925.36</v>
      </c>
      <c r="I105" s="27">
        <v>0</v>
      </c>
    </row>
    <row r="106" spans="3:9">
      <c r="C106" s="23">
        <v>99</v>
      </c>
      <c r="D106" s="23" t="s">
        <v>132</v>
      </c>
      <c r="E106" s="23" t="str">
        <f>Contributions_Data!A460</f>
        <v>DA-002</v>
      </c>
      <c r="F106" s="23" t="str">
        <f>Contributions_Data!B460</f>
        <v>DA-002-M0039</v>
      </c>
      <c r="G106" s="24">
        <f>Contributions_Data!C460</f>
        <v>45305</v>
      </c>
      <c r="H106" s="27">
        <f>Contributions_Data!D460</f>
        <v>13885.68</v>
      </c>
      <c r="I106" s="27">
        <v>0</v>
      </c>
    </row>
    <row r="107" spans="3:9">
      <c r="C107" s="23">
        <v>100</v>
      </c>
      <c r="D107" s="23" t="s">
        <v>134</v>
      </c>
      <c r="E107" s="23" t="str">
        <f>Withdrawals_Data!A127</f>
        <v>DA-003</v>
      </c>
      <c r="F107" s="23" t="str">
        <f>Withdrawals_Data!B127</f>
        <v>DA-003-M0031</v>
      </c>
      <c r="G107" s="24">
        <f>Withdrawals_Data!C127</f>
        <v>45305</v>
      </c>
      <c r="H107" s="27">
        <v>0</v>
      </c>
      <c r="I107" s="27">
        <f>-Withdrawals_Data!D127</f>
        <v>-9159.1</v>
      </c>
    </row>
    <row r="108" spans="3:9">
      <c r="C108" s="23">
        <v>101</v>
      </c>
      <c r="D108" s="23" t="s">
        <v>134</v>
      </c>
      <c r="E108" s="23" t="str">
        <f>Withdrawals_Data!A186</f>
        <v>DA-003</v>
      </c>
      <c r="F108" s="23" t="str">
        <f>Withdrawals_Data!B186</f>
        <v>DA-003-M0047</v>
      </c>
      <c r="G108" s="24">
        <f>Withdrawals_Data!C186</f>
        <v>45305</v>
      </c>
      <c r="H108" s="27">
        <v>0</v>
      </c>
      <c r="I108" s="27">
        <f>-Withdrawals_Data!D186</f>
        <v>-7841.78</v>
      </c>
    </row>
    <row r="109" spans="3:9">
      <c r="C109" s="23">
        <v>102</v>
      </c>
      <c r="D109" s="23" t="s">
        <v>134</v>
      </c>
      <c r="E109" s="23" t="str">
        <f>Withdrawals_Data!A400</f>
        <v>DA-001</v>
      </c>
      <c r="F109" s="23" t="str">
        <f>Withdrawals_Data!B400</f>
        <v>DA-001-M0009</v>
      </c>
      <c r="G109" s="24">
        <f>Withdrawals_Data!C400</f>
        <v>45305</v>
      </c>
      <c r="H109" s="27">
        <v>0</v>
      </c>
      <c r="I109" s="27">
        <f>-Withdrawals_Data!D400</f>
        <v>-12827</v>
      </c>
    </row>
    <row r="110" spans="3:9">
      <c r="C110" s="23">
        <v>103</v>
      </c>
      <c r="D110" s="23" t="s">
        <v>134</v>
      </c>
      <c r="E110" s="23" t="str">
        <f>Withdrawals_Data!A591</f>
        <v>DA-003</v>
      </c>
      <c r="F110" s="23" t="str">
        <f>Withdrawals_Data!B591</f>
        <v>DA-003-M0031</v>
      </c>
      <c r="G110" s="24">
        <f>Withdrawals_Data!C591</f>
        <v>45305</v>
      </c>
      <c r="H110" s="27">
        <v>0</v>
      </c>
      <c r="I110" s="27">
        <f>-Withdrawals_Data!D591</f>
        <v>-17443</v>
      </c>
    </row>
    <row r="111" spans="3:9">
      <c r="C111" s="23">
        <v>104</v>
      </c>
      <c r="D111" s="23" t="s">
        <v>134</v>
      </c>
      <c r="E111" s="23" t="str">
        <f>Withdrawals_Data!A1042</f>
        <v>DA-003</v>
      </c>
      <c r="F111" s="23" t="str">
        <f>Withdrawals_Data!B1042</f>
        <v>DA-003-M0082</v>
      </c>
      <c r="G111" s="24">
        <f>Withdrawals_Data!C1042</f>
        <v>45305</v>
      </c>
      <c r="H111" s="27">
        <v>0</v>
      </c>
      <c r="I111" s="27">
        <f>-Withdrawals_Data!D1042</f>
        <v>-17872</v>
      </c>
    </row>
    <row r="112" spans="3:9">
      <c r="C112" s="23">
        <v>105</v>
      </c>
      <c r="D112" s="23" t="s">
        <v>134</v>
      </c>
      <c r="E112" s="23" t="str">
        <f>Withdrawals_Data!A1192</f>
        <v>DA-003</v>
      </c>
      <c r="F112" s="23" t="str">
        <f>Withdrawals_Data!B1192</f>
        <v>DA-003-M0100</v>
      </c>
      <c r="G112" s="24">
        <f>Withdrawals_Data!C1192</f>
        <v>45305</v>
      </c>
      <c r="H112" s="27">
        <v>0</v>
      </c>
      <c r="I112" s="27">
        <f>-Withdrawals_Data!D1192</f>
        <v>-15414</v>
      </c>
    </row>
    <row r="113" spans="3:9">
      <c r="C113" s="23">
        <v>106</v>
      </c>
      <c r="D113" s="23" t="s">
        <v>134</v>
      </c>
      <c r="E113" s="23" t="str">
        <f>Withdrawals_Data!A567</f>
        <v>DA-003</v>
      </c>
      <c r="F113" s="23" t="str">
        <f>Withdrawals_Data!B567</f>
        <v>DA-003-M0028</v>
      </c>
      <c r="G113" s="24">
        <f>Withdrawals_Data!C567</f>
        <v>45306</v>
      </c>
      <c r="H113" s="27">
        <v>0</v>
      </c>
      <c r="I113" s="27">
        <f>-Withdrawals_Data!D567</f>
        <v>-6334</v>
      </c>
    </row>
    <row r="114" spans="3:9">
      <c r="C114" s="23">
        <v>107</v>
      </c>
      <c r="D114" s="23" t="s">
        <v>134</v>
      </c>
      <c r="E114" s="23" t="str">
        <f>Withdrawals_Data!A584</f>
        <v>DA-002</v>
      </c>
      <c r="F114" s="23" t="str">
        <f>Withdrawals_Data!B584</f>
        <v>DA-002-M0030</v>
      </c>
      <c r="G114" s="24">
        <f>Withdrawals_Data!C584</f>
        <v>45306</v>
      </c>
      <c r="H114" s="27">
        <v>0</v>
      </c>
      <c r="I114" s="27">
        <f>-Withdrawals_Data!D584</f>
        <v>-12410</v>
      </c>
    </row>
    <row r="115" spans="3:9">
      <c r="C115" s="23">
        <v>108</v>
      </c>
      <c r="D115" s="23" t="s">
        <v>134</v>
      </c>
      <c r="E115" s="23" t="str">
        <f>Withdrawals_Data!A874</f>
        <v>DA-002</v>
      </c>
      <c r="F115" s="23" t="str">
        <f>Withdrawals_Data!B874</f>
        <v>DA-002-M0062</v>
      </c>
      <c r="G115" s="24">
        <f>Withdrawals_Data!C874</f>
        <v>45306</v>
      </c>
      <c r="H115" s="27">
        <v>0</v>
      </c>
      <c r="I115" s="27">
        <f>-Withdrawals_Data!D874</f>
        <v>-10357</v>
      </c>
    </row>
    <row r="116" spans="3:9">
      <c r="C116" s="23">
        <v>109</v>
      </c>
      <c r="D116" s="23" t="s">
        <v>134</v>
      </c>
      <c r="E116" s="23" t="str">
        <f>Withdrawals_Data!A910</f>
        <v>DA-002</v>
      </c>
      <c r="F116" s="23" t="str">
        <f>Withdrawals_Data!B910</f>
        <v>DA-002-M0067</v>
      </c>
      <c r="G116" s="24">
        <f>Withdrawals_Data!C910</f>
        <v>45306</v>
      </c>
      <c r="H116" s="27">
        <v>0</v>
      </c>
      <c r="I116" s="27">
        <f>-Withdrawals_Data!D910</f>
        <v>-2877</v>
      </c>
    </row>
    <row r="117" spans="3:9">
      <c r="C117" s="23">
        <v>110</v>
      </c>
      <c r="D117" s="23" t="s">
        <v>134</v>
      </c>
      <c r="E117" s="23" t="str">
        <f>Withdrawals_Data!A1058</f>
        <v>DA-003</v>
      </c>
      <c r="F117" s="23" t="str">
        <f>Withdrawals_Data!B1058</f>
        <v>DA-003-M0084</v>
      </c>
      <c r="G117" s="24">
        <f>Withdrawals_Data!C1058</f>
        <v>45306</v>
      </c>
      <c r="H117" s="27">
        <v>0</v>
      </c>
      <c r="I117" s="27">
        <f>-Withdrawals_Data!D1058</f>
        <v>-3866</v>
      </c>
    </row>
    <row r="118" spans="3:9">
      <c r="C118" s="23">
        <v>111</v>
      </c>
      <c r="D118" s="23" t="s">
        <v>132</v>
      </c>
      <c r="E118" s="23" t="str">
        <f>Contributions_Data!A10</f>
        <v>DA-003</v>
      </c>
      <c r="F118" s="23" t="str">
        <f>Contributions_Data!B10</f>
        <v>DA-003-M0001</v>
      </c>
      <c r="G118" s="24">
        <f>Contributions_Data!C10</f>
        <v>45307</v>
      </c>
      <c r="H118" s="27">
        <f>Contributions_Data!D10</f>
        <v>15986.25</v>
      </c>
      <c r="I118" s="27">
        <v>0</v>
      </c>
    </row>
    <row r="119" spans="3:9">
      <c r="C119" s="23">
        <v>112</v>
      </c>
      <c r="D119" s="23" t="s">
        <v>132</v>
      </c>
      <c r="E119" s="23" t="str">
        <f>Contributions_Data!A979</f>
        <v>DA-003</v>
      </c>
      <c r="F119" s="23" t="str">
        <f>Contributions_Data!B979</f>
        <v>DA-003-M0082</v>
      </c>
      <c r="G119" s="24">
        <f>Contributions_Data!C979</f>
        <v>45307</v>
      </c>
      <c r="H119" s="27">
        <f>Contributions_Data!D979</f>
        <v>19592.25</v>
      </c>
      <c r="I119" s="27">
        <v>0</v>
      </c>
    </row>
    <row r="120" spans="3:9">
      <c r="C120" s="23">
        <v>113</v>
      </c>
      <c r="D120" s="23" t="s">
        <v>134</v>
      </c>
      <c r="E120" s="23" t="str">
        <f>Withdrawals_Data!A263</f>
        <v>DA-003</v>
      </c>
      <c r="F120" s="23" t="str">
        <f>Withdrawals_Data!B263</f>
        <v>DA-003-M0006</v>
      </c>
      <c r="G120" s="24">
        <f>Withdrawals_Data!C263</f>
        <v>45307</v>
      </c>
      <c r="H120" s="27">
        <v>0</v>
      </c>
      <c r="I120" s="27">
        <f>-Withdrawals_Data!D263</f>
        <v>-4985.0600000000004</v>
      </c>
    </row>
    <row r="121" spans="3:9">
      <c r="C121" s="23">
        <v>114</v>
      </c>
      <c r="D121" s="23" t="s">
        <v>134</v>
      </c>
      <c r="E121" s="23" t="str">
        <f>Withdrawals_Data!A361</f>
        <v>DA-002</v>
      </c>
      <c r="F121" s="23" t="str">
        <f>Withdrawals_Data!B361</f>
        <v>DA-002-M0003</v>
      </c>
      <c r="G121" s="24">
        <f>Withdrawals_Data!C361</f>
        <v>45307</v>
      </c>
      <c r="H121" s="27">
        <v>0</v>
      </c>
      <c r="I121" s="27">
        <f>-Withdrawals_Data!D361</f>
        <v>-1879</v>
      </c>
    </row>
    <row r="122" spans="3:9">
      <c r="C122" s="23">
        <v>115</v>
      </c>
      <c r="D122" s="23" t="s">
        <v>134</v>
      </c>
      <c r="E122" s="23" t="str">
        <f>Withdrawals_Data!A465</f>
        <v>DA-002</v>
      </c>
      <c r="F122" s="23" t="str">
        <f>Withdrawals_Data!B465</f>
        <v>DA-002-M0017</v>
      </c>
      <c r="G122" s="24">
        <f>Withdrawals_Data!C465</f>
        <v>45307</v>
      </c>
      <c r="H122" s="27">
        <v>0</v>
      </c>
      <c r="I122" s="27">
        <f>-Withdrawals_Data!D465</f>
        <v>-4861</v>
      </c>
    </row>
    <row r="123" spans="3:9">
      <c r="C123" s="23">
        <v>116</v>
      </c>
      <c r="D123" s="23" t="s">
        <v>134</v>
      </c>
      <c r="E123" s="23" t="str">
        <f>Withdrawals_Data!A605</f>
        <v>DA-002</v>
      </c>
      <c r="F123" s="23" t="str">
        <f>Withdrawals_Data!B605</f>
        <v>DA-002-M0033</v>
      </c>
      <c r="G123" s="24">
        <f>Withdrawals_Data!C605</f>
        <v>45307</v>
      </c>
      <c r="H123" s="27">
        <v>0</v>
      </c>
      <c r="I123" s="27">
        <f>-Withdrawals_Data!D605</f>
        <v>-14349</v>
      </c>
    </row>
    <row r="124" spans="3:9">
      <c r="C124" s="23">
        <v>117</v>
      </c>
      <c r="D124" s="23" t="s">
        <v>134</v>
      </c>
      <c r="E124" s="23" t="str">
        <f>Withdrawals_Data!A713</f>
        <v>DA-003</v>
      </c>
      <c r="F124" s="23" t="str">
        <f>Withdrawals_Data!B713</f>
        <v>DA-003-M0045</v>
      </c>
      <c r="G124" s="24">
        <f>Withdrawals_Data!C713</f>
        <v>45307</v>
      </c>
      <c r="H124" s="27">
        <v>0</v>
      </c>
      <c r="I124" s="27">
        <f>-Withdrawals_Data!D713</f>
        <v>-12046</v>
      </c>
    </row>
    <row r="125" spans="3:9">
      <c r="C125" s="23">
        <v>118</v>
      </c>
      <c r="D125" s="23" t="s">
        <v>134</v>
      </c>
      <c r="E125" s="23" t="str">
        <f>Withdrawals_Data!A1069</f>
        <v>DA-002</v>
      </c>
      <c r="F125" s="23" t="str">
        <f>Withdrawals_Data!B1069</f>
        <v>DA-002-M0085</v>
      </c>
      <c r="G125" s="24">
        <f>Withdrawals_Data!C1069</f>
        <v>45307</v>
      </c>
      <c r="H125" s="27">
        <v>0</v>
      </c>
      <c r="I125" s="27">
        <f>-Withdrawals_Data!D1069</f>
        <v>-7640</v>
      </c>
    </row>
    <row r="126" spans="3:9">
      <c r="C126" s="23">
        <v>119</v>
      </c>
      <c r="D126" s="23" t="s">
        <v>132</v>
      </c>
      <c r="E126" s="23" t="str">
        <f>Contributions_Data!A22</f>
        <v>DA-001</v>
      </c>
      <c r="F126" s="23" t="str">
        <f>Contributions_Data!B22</f>
        <v>DA-001-M0002</v>
      </c>
      <c r="G126" s="24">
        <f>Contributions_Data!C22</f>
        <v>45308</v>
      </c>
      <c r="H126" s="27">
        <f>Contributions_Data!D22</f>
        <v>13738.06</v>
      </c>
      <c r="I126" s="27">
        <v>0</v>
      </c>
    </row>
    <row r="127" spans="3:9">
      <c r="C127" s="23">
        <v>120</v>
      </c>
      <c r="D127" s="23" t="s">
        <v>132</v>
      </c>
      <c r="E127" s="23" t="str">
        <f>Contributions_Data!A349</f>
        <v>DA-003</v>
      </c>
      <c r="F127" s="23" t="str">
        <f>Contributions_Data!B349</f>
        <v>DA-003-M0029</v>
      </c>
      <c r="G127" s="24">
        <f>Contributions_Data!C349</f>
        <v>45308</v>
      </c>
      <c r="H127" s="27">
        <f>Contributions_Data!D349</f>
        <v>16915.78</v>
      </c>
      <c r="I127" s="27">
        <v>0</v>
      </c>
    </row>
    <row r="128" spans="3:9">
      <c r="C128" s="23">
        <v>121</v>
      </c>
      <c r="D128" s="23" t="s">
        <v>132</v>
      </c>
      <c r="E128" s="23" t="str">
        <f>Contributions_Data!A357</f>
        <v>DA-002</v>
      </c>
      <c r="F128" s="23" t="str">
        <f>Contributions_Data!B357</f>
        <v>DA-002-M0030</v>
      </c>
      <c r="G128" s="24">
        <f>Contributions_Data!C357</f>
        <v>45308</v>
      </c>
      <c r="H128" s="27">
        <f>Contributions_Data!D357</f>
        <v>19324.71</v>
      </c>
      <c r="I128" s="27">
        <v>0</v>
      </c>
    </row>
    <row r="129" spans="3:9">
      <c r="C129" s="23">
        <v>122</v>
      </c>
      <c r="D129" s="23" t="s">
        <v>132</v>
      </c>
      <c r="E129" s="23" t="str">
        <f>Contributions_Data!A548</f>
        <v>DA-001</v>
      </c>
      <c r="F129" s="23" t="str">
        <f>Contributions_Data!B548</f>
        <v>DA-001-M0046</v>
      </c>
      <c r="G129" s="24">
        <f>Contributions_Data!C548</f>
        <v>45308</v>
      </c>
      <c r="H129" s="27">
        <f>Contributions_Data!D548</f>
        <v>14776.7</v>
      </c>
      <c r="I129" s="27">
        <v>0</v>
      </c>
    </row>
    <row r="130" spans="3:9">
      <c r="C130" s="23">
        <v>123</v>
      </c>
      <c r="D130" s="23" t="s">
        <v>132</v>
      </c>
      <c r="E130" s="23" t="str">
        <f>Contributions_Data!A969</f>
        <v>DA-003</v>
      </c>
      <c r="F130" s="23" t="str">
        <f>Contributions_Data!B969</f>
        <v>DA-003-M0081</v>
      </c>
      <c r="G130" s="24">
        <f>Contributions_Data!C969</f>
        <v>45308</v>
      </c>
      <c r="H130" s="27">
        <f>Contributions_Data!D969</f>
        <v>15169.95</v>
      </c>
      <c r="I130" s="27">
        <v>0</v>
      </c>
    </row>
    <row r="131" spans="3:9">
      <c r="C131" s="23">
        <v>124</v>
      </c>
      <c r="D131" s="23" t="s">
        <v>134</v>
      </c>
      <c r="E131" s="23" t="str">
        <f>Withdrawals_Data!A281</f>
        <v>DA-001</v>
      </c>
      <c r="F131" s="23" t="str">
        <f>Withdrawals_Data!B281</f>
        <v>DA-001-M0034</v>
      </c>
      <c r="G131" s="24">
        <f>Withdrawals_Data!C281</f>
        <v>45308</v>
      </c>
      <c r="H131" s="27">
        <v>0</v>
      </c>
      <c r="I131" s="27">
        <f>-Withdrawals_Data!D281</f>
        <v>-4084.95</v>
      </c>
    </row>
    <row r="132" spans="3:9">
      <c r="C132" s="23">
        <v>125</v>
      </c>
      <c r="D132" s="23" t="s">
        <v>134</v>
      </c>
      <c r="E132" s="23" t="str">
        <f>Withdrawals_Data!A292</f>
        <v>DA-003</v>
      </c>
      <c r="F132" s="23" t="str">
        <f>Withdrawals_Data!B292</f>
        <v>DA-003-M0079</v>
      </c>
      <c r="G132" s="24">
        <f>Withdrawals_Data!C292</f>
        <v>45308</v>
      </c>
      <c r="H132" s="27">
        <v>0</v>
      </c>
      <c r="I132" s="27">
        <f>-Withdrawals_Data!D292</f>
        <v>-3586.53</v>
      </c>
    </row>
    <row r="133" spans="3:9">
      <c r="C133" s="23">
        <v>126</v>
      </c>
      <c r="D133" s="23" t="s">
        <v>134</v>
      </c>
      <c r="E133" s="23" t="str">
        <f>Withdrawals_Data!A362</f>
        <v>DA-001</v>
      </c>
      <c r="F133" s="23" t="str">
        <f>Withdrawals_Data!B362</f>
        <v>DA-001-M0004</v>
      </c>
      <c r="G133" s="24">
        <f>Withdrawals_Data!C362</f>
        <v>45308</v>
      </c>
      <c r="H133" s="27">
        <v>0</v>
      </c>
      <c r="I133" s="27">
        <f>-Withdrawals_Data!D362</f>
        <v>-13181</v>
      </c>
    </row>
    <row r="134" spans="3:9">
      <c r="C134" s="23">
        <v>127</v>
      </c>
      <c r="D134" s="23" t="s">
        <v>134</v>
      </c>
      <c r="E134" s="23" t="str">
        <f>Withdrawals_Data!A593</f>
        <v>DA-003</v>
      </c>
      <c r="F134" s="23" t="str">
        <f>Withdrawals_Data!B593</f>
        <v>DA-003-M0031</v>
      </c>
      <c r="G134" s="24">
        <f>Withdrawals_Data!C593</f>
        <v>45308</v>
      </c>
      <c r="H134" s="27">
        <v>0</v>
      </c>
      <c r="I134" s="27">
        <f>-Withdrawals_Data!D593</f>
        <v>-16084</v>
      </c>
    </row>
    <row r="135" spans="3:9">
      <c r="C135" s="23">
        <v>128</v>
      </c>
      <c r="D135" s="23" t="s">
        <v>134</v>
      </c>
      <c r="E135" s="23" t="str">
        <f>Withdrawals_Data!A600</f>
        <v>DA-003</v>
      </c>
      <c r="F135" s="23" t="str">
        <f>Withdrawals_Data!B600</f>
        <v>DA-003-M0032</v>
      </c>
      <c r="G135" s="24">
        <f>Withdrawals_Data!C600</f>
        <v>45308</v>
      </c>
      <c r="H135" s="27">
        <v>0</v>
      </c>
      <c r="I135" s="27">
        <f>-Withdrawals_Data!D600</f>
        <v>-10579</v>
      </c>
    </row>
    <row r="136" spans="3:9">
      <c r="C136" s="23">
        <v>129</v>
      </c>
      <c r="D136" s="23" t="s">
        <v>134</v>
      </c>
      <c r="E136" s="23" t="str">
        <f>Withdrawals_Data!A783</f>
        <v>DA-003</v>
      </c>
      <c r="F136" s="23" t="str">
        <f>Withdrawals_Data!B783</f>
        <v>DA-003-M0052</v>
      </c>
      <c r="G136" s="24">
        <f>Withdrawals_Data!C783</f>
        <v>45308</v>
      </c>
      <c r="H136" s="27">
        <v>0</v>
      </c>
      <c r="I136" s="27">
        <f>-Withdrawals_Data!D783</f>
        <v>-12591</v>
      </c>
    </row>
    <row r="137" spans="3:9">
      <c r="C137" s="23">
        <v>130</v>
      </c>
      <c r="D137" s="23" t="s">
        <v>132</v>
      </c>
      <c r="E137" s="23" t="str">
        <f>Contributions_Data!A172</f>
        <v>DA-003</v>
      </c>
      <c r="F137" s="23" t="str">
        <f>Contributions_Data!B172</f>
        <v>DA-003-M0015</v>
      </c>
      <c r="G137" s="24">
        <f>Contributions_Data!C172</f>
        <v>45309</v>
      </c>
      <c r="H137" s="27">
        <f>Contributions_Data!D172</f>
        <v>16831.11</v>
      </c>
      <c r="I137" s="27">
        <v>0</v>
      </c>
    </row>
    <row r="138" spans="3:9">
      <c r="C138" s="23">
        <v>131</v>
      </c>
      <c r="D138" s="23" t="s">
        <v>132</v>
      </c>
      <c r="E138" s="23" t="str">
        <f>Contributions_Data!A639</f>
        <v>DA-002</v>
      </c>
      <c r="F138" s="23" t="str">
        <f>Contributions_Data!B639</f>
        <v>DA-002-M0054</v>
      </c>
      <c r="G138" s="24">
        <f>Contributions_Data!C639</f>
        <v>45309</v>
      </c>
      <c r="H138" s="27">
        <f>Contributions_Data!D639</f>
        <v>19146.48</v>
      </c>
      <c r="I138" s="27">
        <v>0</v>
      </c>
    </row>
    <row r="139" spans="3:9">
      <c r="C139" s="23">
        <v>132</v>
      </c>
      <c r="D139" s="23" t="s">
        <v>134</v>
      </c>
      <c r="E139" s="23" t="str">
        <f>Withdrawals_Data!A360</f>
        <v>DA-002</v>
      </c>
      <c r="F139" s="23" t="str">
        <f>Withdrawals_Data!B360</f>
        <v>DA-002-M0003</v>
      </c>
      <c r="G139" s="24">
        <f>Withdrawals_Data!C360</f>
        <v>45309</v>
      </c>
      <c r="H139" s="27">
        <v>0</v>
      </c>
      <c r="I139" s="27">
        <f>-Withdrawals_Data!D360</f>
        <v>-15245</v>
      </c>
    </row>
    <row r="140" spans="3:9">
      <c r="C140" s="23">
        <v>133</v>
      </c>
      <c r="D140" s="23" t="s">
        <v>134</v>
      </c>
      <c r="E140" s="23" t="str">
        <f>Withdrawals_Data!A516</f>
        <v>DA-001</v>
      </c>
      <c r="F140" s="23" t="str">
        <f>Withdrawals_Data!B516</f>
        <v>DA-001-M0022</v>
      </c>
      <c r="G140" s="24">
        <f>Withdrawals_Data!C516</f>
        <v>45309</v>
      </c>
      <c r="H140" s="27">
        <v>0</v>
      </c>
      <c r="I140" s="27">
        <f>-Withdrawals_Data!D516</f>
        <v>-8843</v>
      </c>
    </row>
    <row r="141" spans="3:9">
      <c r="C141" s="23">
        <v>134</v>
      </c>
      <c r="D141" s="23" t="s">
        <v>132</v>
      </c>
      <c r="E141" s="23" t="str">
        <f>Contributions_Data!A12</f>
        <v>DA-003</v>
      </c>
      <c r="F141" s="23" t="str">
        <f>Contributions_Data!B12</f>
        <v>DA-003-M0001</v>
      </c>
      <c r="G141" s="24">
        <f>Contributions_Data!C12</f>
        <v>45310</v>
      </c>
      <c r="H141" s="27">
        <f>Contributions_Data!D12</f>
        <v>16539.8</v>
      </c>
      <c r="I141" s="27">
        <v>0</v>
      </c>
    </row>
    <row r="142" spans="3:9">
      <c r="C142" s="23">
        <v>135</v>
      </c>
      <c r="D142" s="23" t="s">
        <v>132</v>
      </c>
      <c r="E142" s="23" t="str">
        <f>Contributions_Data!A178</f>
        <v>DA-003</v>
      </c>
      <c r="F142" s="23" t="str">
        <f>Contributions_Data!B178</f>
        <v>DA-003-M0015</v>
      </c>
      <c r="G142" s="24">
        <f>Contributions_Data!C178</f>
        <v>45310</v>
      </c>
      <c r="H142" s="27">
        <f>Contributions_Data!D178</f>
        <v>18296.330000000002</v>
      </c>
      <c r="I142" s="27">
        <v>0</v>
      </c>
    </row>
    <row r="143" spans="3:9">
      <c r="C143" s="23">
        <v>136</v>
      </c>
      <c r="D143" s="23" t="s">
        <v>132</v>
      </c>
      <c r="E143" s="23" t="str">
        <f>Contributions_Data!A531</f>
        <v>DA-003</v>
      </c>
      <c r="F143" s="23" t="str">
        <f>Contributions_Data!B531</f>
        <v>DA-003-M0045</v>
      </c>
      <c r="G143" s="24">
        <f>Contributions_Data!C531</f>
        <v>45310</v>
      </c>
      <c r="H143" s="27">
        <f>Contributions_Data!D531</f>
        <v>17100.93</v>
      </c>
      <c r="I143" s="27">
        <v>0</v>
      </c>
    </row>
    <row r="144" spans="3:9">
      <c r="C144" s="23">
        <v>137</v>
      </c>
      <c r="D144" s="23" t="s">
        <v>132</v>
      </c>
      <c r="E144" s="23" t="str">
        <f>Contributions_Data!A648</f>
        <v>DA-002</v>
      </c>
      <c r="F144" s="23" t="str">
        <f>Contributions_Data!B648</f>
        <v>DA-002-M0054</v>
      </c>
      <c r="G144" s="24">
        <f>Contributions_Data!C648</f>
        <v>45310</v>
      </c>
      <c r="H144" s="27">
        <f>Contributions_Data!D648</f>
        <v>16936.45</v>
      </c>
      <c r="I144" s="27">
        <v>0</v>
      </c>
    </row>
    <row r="145" spans="3:9">
      <c r="C145" s="23">
        <v>138</v>
      </c>
      <c r="D145" s="23" t="s">
        <v>132</v>
      </c>
      <c r="E145" s="23" t="str">
        <f>Contributions_Data!A767</f>
        <v>DA-002</v>
      </c>
      <c r="F145" s="23" t="str">
        <f>Contributions_Data!B767</f>
        <v>DA-002-M0064</v>
      </c>
      <c r="G145" s="24">
        <f>Contributions_Data!C767</f>
        <v>45310</v>
      </c>
      <c r="H145" s="27">
        <f>Contributions_Data!D767</f>
        <v>16482.09</v>
      </c>
      <c r="I145" s="27">
        <v>0</v>
      </c>
    </row>
    <row r="146" spans="3:9">
      <c r="C146" s="23">
        <v>139</v>
      </c>
      <c r="D146" s="23" t="s">
        <v>132</v>
      </c>
      <c r="E146" s="23" t="str">
        <f>Contributions_Data!A831</f>
        <v>DA-002</v>
      </c>
      <c r="F146" s="23" t="str">
        <f>Contributions_Data!B831</f>
        <v>DA-002-M0070</v>
      </c>
      <c r="G146" s="24">
        <f>Contributions_Data!C831</f>
        <v>45310</v>
      </c>
      <c r="H146" s="27">
        <f>Contributions_Data!D831</f>
        <v>14107.31</v>
      </c>
      <c r="I146" s="27">
        <v>0</v>
      </c>
    </row>
    <row r="147" spans="3:9">
      <c r="C147" s="23">
        <v>140</v>
      </c>
      <c r="D147" s="23" t="s">
        <v>132</v>
      </c>
      <c r="E147" s="23" t="str">
        <f>Contributions_Data!A925</f>
        <v>DA-003</v>
      </c>
      <c r="F147" s="23" t="str">
        <f>Contributions_Data!B925</f>
        <v>DA-003-M0077</v>
      </c>
      <c r="G147" s="24">
        <f>Contributions_Data!C925</f>
        <v>45310</v>
      </c>
      <c r="H147" s="27">
        <f>Contributions_Data!D925</f>
        <v>12288.28</v>
      </c>
      <c r="I147" s="27">
        <v>0</v>
      </c>
    </row>
    <row r="148" spans="3:9">
      <c r="C148" s="23">
        <v>141</v>
      </c>
      <c r="D148" s="23" t="s">
        <v>134</v>
      </c>
      <c r="E148" s="23" t="str">
        <f>Withdrawals_Data!A300</f>
        <v>DA-003</v>
      </c>
      <c r="F148" s="23" t="str">
        <f>Withdrawals_Data!B300</f>
        <v>DA-003-M0068</v>
      </c>
      <c r="G148" s="24">
        <f>Withdrawals_Data!C300</f>
        <v>45310</v>
      </c>
      <c r="H148" s="27">
        <v>0</v>
      </c>
      <c r="I148" s="27">
        <f>-Withdrawals_Data!D300</f>
        <v>-3427.98</v>
      </c>
    </row>
    <row r="149" spans="3:9">
      <c r="C149" s="23">
        <v>142</v>
      </c>
      <c r="D149" s="23" t="s">
        <v>134</v>
      </c>
      <c r="E149" s="23" t="str">
        <f>Withdrawals_Data!A556</f>
        <v>DA-002</v>
      </c>
      <c r="F149" s="23" t="str">
        <f>Withdrawals_Data!B556</f>
        <v>DA-002-M0027</v>
      </c>
      <c r="G149" s="24">
        <f>Withdrawals_Data!C556</f>
        <v>45310</v>
      </c>
      <c r="H149" s="27">
        <v>0</v>
      </c>
      <c r="I149" s="27">
        <f>-Withdrawals_Data!D556</f>
        <v>-13591</v>
      </c>
    </row>
    <row r="150" spans="3:9">
      <c r="C150" s="23">
        <v>143</v>
      </c>
      <c r="D150" s="23" t="s">
        <v>132</v>
      </c>
      <c r="E150" s="23" t="str">
        <f>Contributions_Data!A186</f>
        <v>DA-002</v>
      </c>
      <c r="F150" s="23" t="str">
        <f>Contributions_Data!B186</f>
        <v>DA-002-M0016</v>
      </c>
      <c r="G150" s="24">
        <f>Contributions_Data!C186</f>
        <v>45311</v>
      </c>
      <c r="H150" s="27">
        <f>Contributions_Data!D186</f>
        <v>21277.16</v>
      </c>
      <c r="I150" s="27">
        <v>0</v>
      </c>
    </row>
    <row r="151" spans="3:9">
      <c r="C151" s="23">
        <v>144</v>
      </c>
      <c r="D151" s="23" t="s">
        <v>132</v>
      </c>
      <c r="E151" s="23" t="str">
        <f>Contributions_Data!A228</f>
        <v>DA-001</v>
      </c>
      <c r="F151" s="23" t="str">
        <f>Contributions_Data!B228</f>
        <v>DA-001-M0019</v>
      </c>
      <c r="G151" s="24">
        <f>Contributions_Data!C228</f>
        <v>45311</v>
      </c>
      <c r="H151" s="27">
        <f>Contributions_Data!D228</f>
        <v>12697.96</v>
      </c>
      <c r="I151" s="27">
        <v>0</v>
      </c>
    </row>
    <row r="152" spans="3:9">
      <c r="C152" s="23">
        <v>145</v>
      </c>
      <c r="D152" s="23" t="s">
        <v>132</v>
      </c>
      <c r="E152" s="23" t="str">
        <f>Contributions_Data!A591</f>
        <v>DA-002</v>
      </c>
      <c r="F152" s="23" t="str">
        <f>Contributions_Data!B591</f>
        <v>DA-002-M0050</v>
      </c>
      <c r="G152" s="24">
        <f>Contributions_Data!C591</f>
        <v>45311</v>
      </c>
      <c r="H152" s="27">
        <f>Contributions_Data!D591</f>
        <v>15702.64</v>
      </c>
      <c r="I152" s="27">
        <v>0</v>
      </c>
    </row>
    <row r="153" spans="3:9">
      <c r="C153" s="23">
        <v>146</v>
      </c>
      <c r="D153" s="23" t="s">
        <v>132</v>
      </c>
      <c r="E153" s="23" t="str">
        <f>Contributions_Data!A668</f>
        <v>DA-001</v>
      </c>
      <c r="F153" s="23" t="str">
        <f>Contributions_Data!B668</f>
        <v>DA-001-M0056</v>
      </c>
      <c r="G153" s="24">
        <f>Contributions_Data!C668</f>
        <v>45311</v>
      </c>
      <c r="H153" s="27">
        <f>Contributions_Data!D668</f>
        <v>16320.04</v>
      </c>
      <c r="I153" s="27">
        <v>0</v>
      </c>
    </row>
    <row r="154" spans="3:9">
      <c r="C154" s="23">
        <v>147</v>
      </c>
      <c r="D154" s="23" t="s">
        <v>132</v>
      </c>
      <c r="E154" s="23" t="str">
        <f>Contributions_Data!A887</f>
        <v>DA-001</v>
      </c>
      <c r="F154" s="23" t="str">
        <f>Contributions_Data!B887</f>
        <v>DA-001-M0074</v>
      </c>
      <c r="G154" s="24">
        <f>Contributions_Data!C887</f>
        <v>45311</v>
      </c>
      <c r="H154" s="27">
        <f>Contributions_Data!D887</f>
        <v>18743.23</v>
      </c>
      <c r="I154" s="27">
        <v>0</v>
      </c>
    </row>
    <row r="155" spans="3:9">
      <c r="C155" s="23">
        <v>148</v>
      </c>
      <c r="D155" s="23" t="s">
        <v>134</v>
      </c>
      <c r="E155" s="23" t="str">
        <f>Withdrawals_Data!A383</f>
        <v>DA-003</v>
      </c>
      <c r="F155" s="23" t="str">
        <f>Withdrawals_Data!B383</f>
        <v>DA-003-M0006</v>
      </c>
      <c r="G155" s="24">
        <f>Withdrawals_Data!C383</f>
        <v>45311</v>
      </c>
      <c r="H155" s="27">
        <v>0</v>
      </c>
      <c r="I155" s="27">
        <f>-Withdrawals_Data!D383</f>
        <v>-2110</v>
      </c>
    </row>
    <row r="156" spans="3:9">
      <c r="C156" s="23">
        <v>149</v>
      </c>
      <c r="D156" s="23" t="s">
        <v>132</v>
      </c>
      <c r="E156" s="23" t="str">
        <f>Contributions_Data!A724</f>
        <v>DA-003</v>
      </c>
      <c r="F156" s="23" t="str">
        <f>Contributions_Data!B724</f>
        <v>DA-003-M0061</v>
      </c>
      <c r="G156" s="24">
        <f>Contributions_Data!C724</f>
        <v>45312</v>
      </c>
      <c r="H156" s="27">
        <f>Contributions_Data!D724</f>
        <v>17773.900000000001</v>
      </c>
      <c r="I156" s="27">
        <v>0</v>
      </c>
    </row>
    <row r="157" spans="3:9">
      <c r="C157" s="23">
        <v>150</v>
      </c>
      <c r="D157" s="23" t="s">
        <v>132</v>
      </c>
      <c r="E157" s="23" t="str">
        <f>Contributions_Data!A986</f>
        <v>DA-001</v>
      </c>
      <c r="F157" s="23" t="str">
        <f>Contributions_Data!B986</f>
        <v>DA-001-M0083</v>
      </c>
      <c r="G157" s="24">
        <f>Contributions_Data!C986</f>
        <v>45312</v>
      </c>
      <c r="H157" s="27">
        <f>Contributions_Data!D986</f>
        <v>13835.47</v>
      </c>
      <c r="I157" s="27">
        <v>0</v>
      </c>
    </row>
    <row r="158" spans="3:9">
      <c r="C158" s="23">
        <v>151</v>
      </c>
      <c r="D158" s="23" t="s">
        <v>132</v>
      </c>
      <c r="E158" s="23" t="str">
        <f>Contributions_Data!A992</f>
        <v>DA-001</v>
      </c>
      <c r="F158" s="23" t="str">
        <f>Contributions_Data!B992</f>
        <v>DA-001-M0083</v>
      </c>
      <c r="G158" s="24">
        <f>Contributions_Data!C992</f>
        <v>45312</v>
      </c>
      <c r="H158" s="27">
        <f>Contributions_Data!D992</f>
        <v>7338.24</v>
      </c>
      <c r="I158" s="27">
        <v>0</v>
      </c>
    </row>
    <row r="159" spans="3:9">
      <c r="C159" s="23">
        <v>152</v>
      </c>
      <c r="D159" s="23" t="s">
        <v>132</v>
      </c>
      <c r="E159" s="23" t="str">
        <f>Contributions_Data!A1146</f>
        <v>DA-001</v>
      </c>
      <c r="F159" s="23" t="str">
        <f>Contributions_Data!B1146</f>
        <v>DA-001-M0096</v>
      </c>
      <c r="G159" s="24">
        <f>Contributions_Data!C1146</f>
        <v>45312</v>
      </c>
      <c r="H159" s="27">
        <f>Contributions_Data!D1146</f>
        <v>13193.36</v>
      </c>
      <c r="I159" s="27">
        <v>0</v>
      </c>
    </row>
    <row r="160" spans="3:9">
      <c r="C160" s="23">
        <v>153</v>
      </c>
      <c r="D160" s="23" t="s">
        <v>132</v>
      </c>
      <c r="E160" s="23" t="str">
        <f>Contributions_Data!A223</f>
        <v>DA-001</v>
      </c>
      <c r="F160" s="23" t="str">
        <f>Contributions_Data!B223</f>
        <v>DA-001-M0019</v>
      </c>
      <c r="G160" s="24">
        <f>Contributions_Data!C223</f>
        <v>45313</v>
      </c>
      <c r="H160" s="27">
        <f>Contributions_Data!D223</f>
        <v>15073.53</v>
      </c>
      <c r="I160" s="27">
        <v>0</v>
      </c>
    </row>
    <row r="161" spans="3:9">
      <c r="C161" s="23">
        <v>154</v>
      </c>
      <c r="D161" s="23" t="s">
        <v>132</v>
      </c>
      <c r="E161" s="23" t="str">
        <f>Contributions_Data!A383</f>
        <v>DA-003</v>
      </c>
      <c r="F161" s="23" t="str">
        <f>Contributions_Data!B383</f>
        <v>DA-003-M0032</v>
      </c>
      <c r="G161" s="24">
        <f>Contributions_Data!C383</f>
        <v>45313</v>
      </c>
      <c r="H161" s="27">
        <f>Contributions_Data!D383</f>
        <v>14342.7</v>
      </c>
      <c r="I161" s="27">
        <v>0</v>
      </c>
    </row>
    <row r="162" spans="3:9">
      <c r="C162" s="23">
        <v>155</v>
      </c>
      <c r="D162" s="23" t="s">
        <v>132</v>
      </c>
      <c r="E162" s="23" t="str">
        <f>Contributions_Data!A629</f>
        <v>DA-001</v>
      </c>
      <c r="F162" s="23" t="str">
        <f>Contributions_Data!B629</f>
        <v>DA-001-M0053</v>
      </c>
      <c r="G162" s="24">
        <f>Contributions_Data!C629</f>
        <v>45313</v>
      </c>
      <c r="H162" s="27">
        <f>Contributions_Data!D629</f>
        <v>13407.39</v>
      </c>
      <c r="I162" s="27">
        <v>0</v>
      </c>
    </row>
    <row r="163" spans="3:9">
      <c r="C163" s="23">
        <v>156</v>
      </c>
      <c r="D163" s="23" t="s">
        <v>132</v>
      </c>
      <c r="E163" s="23" t="str">
        <f>Contributions_Data!A961</f>
        <v>DA-003</v>
      </c>
      <c r="F163" s="23" t="str">
        <f>Contributions_Data!B961</f>
        <v>DA-003-M0080</v>
      </c>
      <c r="G163" s="24">
        <f>Contributions_Data!C961</f>
        <v>45313</v>
      </c>
      <c r="H163" s="27">
        <f>Contributions_Data!D961</f>
        <v>16424.09</v>
      </c>
      <c r="I163" s="27">
        <v>0</v>
      </c>
    </row>
    <row r="164" spans="3:9">
      <c r="C164" s="23">
        <v>157</v>
      </c>
      <c r="D164" s="23" t="s">
        <v>132</v>
      </c>
      <c r="E164" s="23" t="str">
        <f>Contributions_Data!A1099</f>
        <v>DA-001</v>
      </c>
      <c r="F164" s="23" t="str">
        <f>Contributions_Data!B1099</f>
        <v>DA-001-M0092</v>
      </c>
      <c r="G164" s="24">
        <f>Contributions_Data!C1099</f>
        <v>45313</v>
      </c>
      <c r="H164" s="27">
        <f>Contributions_Data!D1099</f>
        <v>17167.14</v>
      </c>
      <c r="I164" s="27">
        <v>0</v>
      </c>
    </row>
    <row r="165" spans="3:9">
      <c r="C165" s="23">
        <v>158</v>
      </c>
      <c r="D165" s="23" t="s">
        <v>134</v>
      </c>
      <c r="E165" s="23" t="str">
        <f>Withdrawals_Data!A286</f>
        <v>DA-001</v>
      </c>
      <c r="F165" s="23" t="str">
        <f>Withdrawals_Data!B286</f>
        <v>DA-001-M0055</v>
      </c>
      <c r="G165" s="24">
        <f>Withdrawals_Data!C286</f>
        <v>45313</v>
      </c>
      <c r="H165" s="27">
        <v>0</v>
      </c>
      <c r="I165" s="27">
        <f>-Withdrawals_Data!D286</f>
        <v>-3893.94</v>
      </c>
    </row>
    <row r="166" spans="3:9">
      <c r="C166" s="23">
        <v>159</v>
      </c>
      <c r="D166" s="23" t="s">
        <v>134</v>
      </c>
      <c r="E166" s="23" t="str">
        <f>Withdrawals_Data!A725</f>
        <v>DA-001</v>
      </c>
      <c r="F166" s="23" t="str">
        <f>Withdrawals_Data!B725</f>
        <v>DA-001-M0046</v>
      </c>
      <c r="G166" s="24">
        <f>Withdrawals_Data!C725</f>
        <v>45313</v>
      </c>
      <c r="H166" s="27">
        <v>0</v>
      </c>
      <c r="I166" s="27">
        <f>-Withdrawals_Data!D725</f>
        <v>-12770</v>
      </c>
    </row>
    <row r="167" spans="3:9">
      <c r="C167" s="23">
        <v>160</v>
      </c>
      <c r="D167" s="23" t="s">
        <v>134</v>
      </c>
      <c r="E167" s="23" t="str">
        <f>Withdrawals_Data!A916</f>
        <v>DA-002</v>
      </c>
      <c r="F167" s="23" t="str">
        <f>Withdrawals_Data!B916</f>
        <v>DA-002-M0067</v>
      </c>
      <c r="G167" s="24">
        <f>Withdrawals_Data!C916</f>
        <v>45313</v>
      </c>
      <c r="H167" s="27">
        <v>0</v>
      </c>
      <c r="I167" s="27">
        <f>-Withdrawals_Data!D916</f>
        <v>-5587</v>
      </c>
    </row>
    <row r="168" spans="3:9">
      <c r="C168" s="23">
        <v>161</v>
      </c>
      <c r="D168" s="23" t="s">
        <v>134</v>
      </c>
      <c r="E168" s="23" t="str">
        <f>Withdrawals_Data!A1071</f>
        <v>DA-002</v>
      </c>
      <c r="F168" s="23" t="str">
        <f>Withdrawals_Data!B1071</f>
        <v>DA-002-M0085</v>
      </c>
      <c r="G168" s="24">
        <f>Withdrawals_Data!C1071</f>
        <v>45313</v>
      </c>
      <c r="H168" s="27">
        <v>0</v>
      </c>
      <c r="I168" s="27">
        <f>-Withdrawals_Data!D1071</f>
        <v>-12406</v>
      </c>
    </row>
    <row r="169" spans="3:9">
      <c r="C169" s="23">
        <v>162</v>
      </c>
      <c r="D169" s="23" t="s">
        <v>132</v>
      </c>
      <c r="E169" s="23" t="str">
        <f>Contributions_Data!A575</f>
        <v>DA-003</v>
      </c>
      <c r="F169" s="23" t="str">
        <f>Contributions_Data!B575</f>
        <v>DA-003-M0048</v>
      </c>
      <c r="G169" s="24">
        <f>Contributions_Data!C575</f>
        <v>45314</v>
      </c>
      <c r="H169" s="27">
        <f>Contributions_Data!D575</f>
        <v>15801.15</v>
      </c>
      <c r="I169" s="27">
        <v>0</v>
      </c>
    </row>
    <row r="170" spans="3:9">
      <c r="C170" s="23">
        <v>163</v>
      </c>
      <c r="D170" s="23" t="s">
        <v>132</v>
      </c>
      <c r="E170" s="23" t="str">
        <f>Contributions_Data!A586</f>
        <v>DA-001</v>
      </c>
      <c r="F170" s="23" t="str">
        <f>Contributions_Data!B586</f>
        <v>DA-001-M0049</v>
      </c>
      <c r="G170" s="24">
        <f>Contributions_Data!C586</f>
        <v>45314</v>
      </c>
      <c r="H170" s="27">
        <f>Contributions_Data!D586</f>
        <v>10966.65</v>
      </c>
      <c r="I170" s="27">
        <v>0</v>
      </c>
    </row>
    <row r="171" spans="3:9">
      <c r="C171" s="23">
        <v>164</v>
      </c>
      <c r="D171" s="23" t="s">
        <v>132</v>
      </c>
      <c r="E171" s="23" t="str">
        <f>Contributions_Data!A602</f>
        <v>DA-002</v>
      </c>
      <c r="F171" s="23" t="str">
        <f>Contributions_Data!B602</f>
        <v>DA-002-M0051</v>
      </c>
      <c r="G171" s="24">
        <f>Contributions_Data!C602</f>
        <v>45314</v>
      </c>
      <c r="H171" s="27">
        <f>Contributions_Data!D602</f>
        <v>13086.78</v>
      </c>
      <c r="I171" s="27">
        <v>0</v>
      </c>
    </row>
    <row r="172" spans="3:9">
      <c r="C172" s="23">
        <v>165</v>
      </c>
      <c r="D172" s="23" t="s">
        <v>132</v>
      </c>
      <c r="E172" s="23" t="str">
        <f>Contributions_Data!A957</f>
        <v>DA-003</v>
      </c>
      <c r="F172" s="23" t="str">
        <f>Contributions_Data!B957</f>
        <v>DA-003-M0080</v>
      </c>
      <c r="G172" s="24">
        <f>Contributions_Data!C957</f>
        <v>45314</v>
      </c>
      <c r="H172" s="27">
        <f>Contributions_Data!D957</f>
        <v>12304.6</v>
      </c>
      <c r="I172" s="27">
        <v>0</v>
      </c>
    </row>
    <row r="173" spans="3:9">
      <c r="C173" s="23">
        <v>166</v>
      </c>
      <c r="D173" s="23" t="s">
        <v>132</v>
      </c>
      <c r="E173" s="23" t="str">
        <f>Contributions_Data!A1027</f>
        <v>DA-003</v>
      </c>
      <c r="F173" s="23" t="str">
        <f>Contributions_Data!B1027</f>
        <v>DA-003-M0086</v>
      </c>
      <c r="G173" s="24">
        <f>Contributions_Data!C1027</f>
        <v>45314</v>
      </c>
      <c r="H173" s="27">
        <f>Contributions_Data!D1027</f>
        <v>18905.22</v>
      </c>
      <c r="I173" s="27">
        <v>0</v>
      </c>
    </row>
    <row r="174" spans="3:9">
      <c r="C174" s="23">
        <v>167</v>
      </c>
      <c r="D174" s="23" t="s">
        <v>132</v>
      </c>
      <c r="E174" s="23" t="str">
        <f>Contributions_Data!A1185</f>
        <v>DA-003</v>
      </c>
      <c r="F174" s="23" t="str">
        <f>Contributions_Data!B1185</f>
        <v>DA-003-M0099</v>
      </c>
      <c r="G174" s="24">
        <f>Contributions_Data!C1185</f>
        <v>45314</v>
      </c>
      <c r="H174" s="27">
        <f>Contributions_Data!D1185</f>
        <v>7911.2</v>
      </c>
      <c r="I174" s="27">
        <v>0</v>
      </c>
    </row>
    <row r="175" spans="3:9">
      <c r="C175" s="23">
        <v>168</v>
      </c>
      <c r="D175" s="23" t="s">
        <v>134</v>
      </c>
      <c r="E175" s="23" t="str">
        <f>Withdrawals_Data!A608</f>
        <v>DA-002</v>
      </c>
      <c r="F175" s="23" t="str">
        <f>Withdrawals_Data!B608</f>
        <v>DA-002-M0033</v>
      </c>
      <c r="G175" s="24">
        <f>Withdrawals_Data!C608</f>
        <v>45314</v>
      </c>
      <c r="H175" s="27">
        <v>0</v>
      </c>
      <c r="I175" s="27">
        <f>-Withdrawals_Data!D608</f>
        <v>-6441</v>
      </c>
    </row>
    <row r="176" spans="3:9">
      <c r="C176" s="23">
        <v>169</v>
      </c>
      <c r="D176" s="23" t="s">
        <v>134</v>
      </c>
      <c r="E176" s="23" t="str">
        <f>Withdrawals_Data!A1141</f>
        <v>DA-002</v>
      </c>
      <c r="F176" s="23" t="str">
        <f>Withdrawals_Data!B1141</f>
        <v>DA-002-M0094</v>
      </c>
      <c r="G176" s="24">
        <f>Withdrawals_Data!C1141</f>
        <v>45314</v>
      </c>
      <c r="H176" s="27">
        <v>0</v>
      </c>
      <c r="I176" s="27">
        <f>-Withdrawals_Data!D1141</f>
        <v>-3849</v>
      </c>
    </row>
    <row r="177" spans="3:9">
      <c r="C177" s="23">
        <v>170</v>
      </c>
      <c r="D177" s="23" t="s">
        <v>132</v>
      </c>
      <c r="E177" s="23" t="str">
        <f>Contributions_Data!A313</f>
        <v>DA-002</v>
      </c>
      <c r="F177" s="23" t="str">
        <f>Contributions_Data!B313</f>
        <v>DA-002-M0026</v>
      </c>
      <c r="G177" s="24">
        <f>Contributions_Data!C313</f>
        <v>45315</v>
      </c>
      <c r="H177" s="27">
        <f>Contributions_Data!D313</f>
        <v>10180.66</v>
      </c>
      <c r="I177" s="27">
        <v>0</v>
      </c>
    </row>
    <row r="178" spans="3:9">
      <c r="C178" s="23">
        <v>171</v>
      </c>
      <c r="D178" s="23" t="s">
        <v>132</v>
      </c>
      <c r="E178" s="23" t="str">
        <f>Contributions_Data!A410</f>
        <v>DA-001</v>
      </c>
      <c r="F178" s="23" t="str">
        <f>Contributions_Data!B410</f>
        <v>DA-001-M0035</v>
      </c>
      <c r="G178" s="24">
        <f>Contributions_Data!C410</f>
        <v>45315</v>
      </c>
      <c r="H178" s="27">
        <f>Contributions_Data!D410</f>
        <v>11266.04</v>
      </c>
      <c r="I178" s="27">
        <v>0</v>
      </c>
    </row>
    <row r="179" spans="3:9">
      <c r="C179" s="23">
        <v>172</v>
      </c>
      <c r="D179" s="23" t="s">
        <v>132</v>
      </c>
      <c r="E179" s="23" t="str">
        <f>Contributions_Data!A463</f>
        <v>DA-002</v>
      </c>
      <c r="F179" s="23" t="str">
        <f>Contributions_Data!B463</f>
        <v>DA-002-M0039</v>
      </c>
      <c r="G179" s="24">
        <f>Contributions_Data!C463</f>
        <v>45315</v>
      </c>
      <c r="H179" s="27">
        <f>Contributions_Data!D463</f>
        <v>20256.810000000001</v>
      </c>
      <c r="I179" s="27">
        <v>0</v>
      </c>
    </row>
    <row r="180" spans="3:9">
      <c r="C180" s="23">
        <v>173</v>
      </c>
      <c r="D180" s="23" t="s">
        <v>132</v>
      </c>
      <c r="E180" s="23" t="str">
        <f>Contributions_Data!A635</f>
        <v>DA-001</v>
      </c>
      <c r="F180" s="23" t="str">
        <f>Contributions_Data!B635</f>
        <v>DA-001-M0053</v>
      </c>
      <c r="G180" s="24">
        <f>Contributions_Data!C635</f>
        <v>45315</v>
      </c>
      <c r="H180" s="27">
        <f>Contributions_Data!D635</f>
        <v>18326.11</v>
      </c>
      <c r="I180" s="27">
        <v>0</v>
      </c>
    </row>
    <row r="181" spans="3:9">
      <c r="C181" s="23">
        <v>174</v>
      </c>
      <c r="D181" s="23" t="s">
        <v>132</v>
      </c>
      <c r="E181" s="23" t="str">
        <f>Contributions_Data!A964</f>
        <v>DA-003</v>
      </c>
      <c r="F181" s="23" t="str">
        <f>Contributions_Data!B964</f>
        <v>DA-003-M0081</v>
      </c>
      <c r="G181" s="24">
        <f>Contributions_Data!C964</f>
        <v>45315</v>
      </c>
      <c r="H181" s="27">
        <f>Contributions_Data!D964</f>
        <v>19170.62</v>
      </c>
      <c r="I181" s="27">
        <v>0</v>
      </c>
    </row>
    <row r="182" spans="3:9">
      <c r="C182" s="23">
        <v>175</v>
      </c>
      <c r="D182" s="23" t="s">
        <v>134</v>
      </c>
      <c r="E182" s="23" t="str">
        <f>Withdrawals_Data!A65</f>
        <v>DA-003</v>
      </c>
      <c r="F182" s="23" t="str">
        <f>Withdrawals_Data!B65</f>
        <v>DA-003-M0015</v>
      </c>
      <c r="G182" s="24">
        <f>Withdrawals_Data!C65</f>
        <v>45315</v>
      </c>
      <c r="H182" s="27">
        <v>0</v>
      </c>
      <c r="I182" s="27">
        <f>-Withdrawals_Data!D65</f>
        <v>-11301.67</v>
      </c>
    </row>
    <row r="183" spans="3:9">
      <c r="C183" s="23">
        <v>176</v>
      </c>
      <c r="D183" s="23" t="s">
        <v>134</v>
      </c>
      <c r="E183" s="23" t="str">
        <f>Withdrawals_Data!A1121</f>
        <v>DA-002</v>
      </c>
      <c r="F183" s="23" t="str">
        <f>Withdrawals_Data!B1121</f>
        <v>DA-002-M0091</v>
      </c>
      <c r="G183" s="24">
        <f>Withdrawals_Data!C1121</f>
        <v>45315</v>
      </c>
      <c r="H183" s="27">
        <v>0</v>
      </c>
      <c r="I183" s="27">
        <f>-Withdrawals_Data!D1121</f>
        <v>-9640</v>
      </c>
    </row>
    <row r="184" spans="3:9">
      <c r="C184" s="23">
        <v>177</v>
      </c>
      <c r="D184" s="23" t="s">
        <v>132</v>
      </c>
      <c r="E184" s="23" t="str">
        <f>Contributions_Data!A242</f>
        <v>DA-002</v>
      </c>
      <c r="F184" s="23" t="str">
        <f>Contributions_Data!B242</f>
        <v>DA-002-M0021</v>
      </c>
      <c r="G184" s="24">
        <f>Contributions_Data!C242</f>
        <v>45316</v>
      </c>
      <c r="H184" s="27">
        <f>Contributions_Data!D242</f>
        <v>20494.38</v>
      </c>
      <c r="I184" s="27">
        <v>0</v>
      </c>
    </row>
    <row r="185" spans="3:9">
      <c r="C185" s="23">
        <v>178</v>
      </c>
      <c r="D185" s="23" t="s">
        <v>132</v>
      </c>
      <c r="E185" s="23" t="str">
        <f>Contributions_Data!A599</f>
        <v>DA-002</v>
      </c>
      <c r="F185" s="23" t="str">
        <f>Contributions_Data!B599</f>
        <v>DA-002-M0050</v>
      </c>
      <c r="G185" s="24">
        <f>Contributions_Data!C599</f>
        <v>45316</v>
      </c>
      <c r="H185" s="27">
        <f>Contributions_Data!D599</f>
        <v>16477.349999999999</v>
      </c>
      <c r="I185" s="27">
        <v>0</v>
      </c>
    </row>
    <row r="186" spans="3:9">
      <c r="C186" s="23">
        <v>179</v>
      </c>
      <c r="D186" s="23" t="s">
        <v>134</v>
      </c>
      <c r="E186" s="23" t="str">
        <f>Withdrawals_Data!A537</f>
        <v>DA-001</v>
      </c>
      <c r="F186" s="23" t="str">
        <f>Withdrawals_Data!B537</f>
        <v>DA-001-M0025</v>
      </c>
      <c r="G186" s="24">
        <f>Withdrawals_Data!C537</f>
        <v>45316</v>
      </c>
      <c r="H186" s="27">
        <v>0</v>
      </c>
      <c r="I186" s="27">
        <f>-Withdrawals_Data!D537</f>
        <v>-18546</v>
      </c>
    </row>
    <row r="187" spans="3:9">
      <c r="C187" s="23">
        <v>180</v>
      </c>
      <c r="D187" s="23" t="s">
        <v>134</v>
      </c>
      <c r="E187" s="23" t="str">
        <f>Withdrawals_Data!A868</f>
        <v>DA-002</v>
      </c>
      <c r="F187" s="23" t="str">
        <f>Withdrawals_Data!B868</f>
        <v>DA-002-M0062</v>
      </c>
      <c r="G187" s="24">
        <f>Withdrawals_Data!C868</f>
        <v>45316</v>
      </c>
      <c r="H187" s="27">
        <v>0</v>
      </c>
      <c r="I187" s="27">
        <f>-Withdrawals_Data!D868</f>
        <v>-12862</v>
      </c>
    </row>
    <row r="188" spans="3:9">
      <c r="C188" s="23">
        <v>181</v>
      </c>
      <c r="D188" s="23" t="s">
        <v>134</v>
      </c>
      <c r="E188" s="23" t="str">
        <f>Withdrawals_Data!A1078</f>
        <v>DA-003</v>
      </c>
      <c r="F188" s="23" t="str">
        <f>Withdrawals_Data!B1078</f>
        <v>DA-003-M0086</v>
      </c>
      <c r="G188" s="24">
        <f>Withdrawals_Data!C1078</f>
        <v>45316</v>
      </c>
      <c r="H188" s="27">
        <v>0</v>
      </c>
      <c r="I188" s="27">
        <f>-Withdrawals_Data!D1078</f>
        <v>-7893</v>
      </c>
    </row>
    <row r="189" spans="3:9">
      <c r="C189" s="23">
        <v>182</v>
      </c>
      <c r="D189" s="23" t="s">
        <v>132</v>
      </c>
      <c r="E189" s="23" t="str">
        <f>Contributions_Data!A95</f>
        <v>DA-003</v>
      </c>
      <c r="F189" s="23" t="str">
        <f>Contributions_Data!B95</f>
        <v>DA-003-M0008</v>
      </c>
      <c r="G189" s="24">
        <f>Contributions_Data!C95</f>
        <v>45317</v>
      </c>
      <c r="H189" s="27">
        <f>Contributions_Data!D95</f>
        <v>18249.150000000001</v>
      </c>
      <c r="I189" s="27">
        <v>0</v>
      </c>
    </row>
    <row r="190" spans="3:9">
      <c r="C190" s="23">
        <v>183</v>
      </c>
      <c r="D190" s="23" t="s">
        <v>132</v>
      </c>
      <c r="E190" s="23" t="str">
        <f>Contributions_Data!A224</f>
        <v>DA-001</v>
      </c>
      <c r="F190" s="23" t="str">
        <f>Contributions_Data!B224</f>
        <v>DA-001-M0019</v>
      </c>
      <c r="G190" s="24">
        <f>Contributions_Data!C224</f>
        <v>45317</v>
      </c>
      <c r="H190" s="27">
        <f>Contributions_Data!D224</f>
        <v>16493.990000000002</v>
      </c>
      <c r="I190" s="27">
        <v>0</v>
      </c>
    </row>
    <row r="191" spans="3:9">
      <c r="C191" s="23">
        <v>184</v>
      </c>
      <c r="D191" s="23" t="s">
        <v>132</v>
      </c>
      <c r="E191" s="23" t="str">
        <f>Contributions_Data!A347</f>
        <v>DA-003</v>
      </c>
      <c r="F191" s="23" t="str">
        <f>Contributions_Data!B347</f>
        <v>DA-003-M0029</v>
      </c>
      <c r="G191" s="24">
        <f>Contributions_Data!C347</f>
        <v>45317</v>
      </c>
      <c r="H191" s="27">
        <f>Contributions_Data!D347</f>
        <v>15779.17</v>
      </c>
      <c r="I191" s="27">
        <v>0</v>
      </c>
    </row>
    <row r="192" spans="3:9">
      <c r="C192" s="23">
        <v>185</v>
      </c>
      <c r="D192" s="23" t="s">
        <v>132</v>
      </c>
      <c r="E192" s="23" t="str">
        <f>Contributions_Data!A1025</f>
        <v>DA-003</v>
      </c>
      <c r="F192" s="23" t="str">
        <f>Contributions_Data!B1025</f>
        <v>DA-003-M0086</v>
      </c>
      <c r="G192" s="24">
        <f>Contributions_Data!C1025</f>
        <v>45317</v>
      </c>
      <c r="H192" s="27">
        <f>Contributions_Data!D1025</f>
        <v>17226.29</v>
      </c>
      <c r="I192" s="27">
        <v>0</v>
      </c>
    </row>
    <row r="193" spans="3:9">
      <c r="C193" s="23">
        <v>186</v>
      </c>
      <c r="D193" s="23" t="s">
        <v>132</v>
      </c>
      <c r="E193" s="23" t="str">
        <f>Contributions_Data!A1164</f>
        <v>DA-002</v>
      </c>
      <c r="F193" s="23" t="str">
        <f>Contributions_Data!B1164</f>
        <v>DA-002-M0097</v>
      </c>
      <c r="G193" s="24">
        <f>Contributions_Data!C1164</f>
        <v>45317</v>
      </c>
      <c r="H193" s="27">
        <f>Contributions_Data!D1164</f>
        <v>16547.82</v>
      </c>
      <c r="I193" s="27">
        <v>0</v>
      </c>
    </row>
    <row r="194" spans="3:9">
      <c r="C194" s="23">
        <v>187</v>
      </c>
      <c r="D194" s="23" t="s">
        <v>134</v>
      </c>
      <c r="E194" s="23" t="str">
        <f>Withdrawals_Data!A811</f>
        <v>DA-001</v>
      </c>
      <c r="F194" s="23" t="str">
        <f>Withdrawals_Data!B811</f>
        <v>DA-001-M0056</v>
      </c>
      <c r="G194" s="24">
        <f>Withdrawals_Data!C811</f>
        <v>45317</v>
      </c>
      <c r="H194" s="27">
        <v>0</v>
      </c>
      <c r="I194" s="27">
        <f>-Withdrawals_Data!D811</f>
        <v>-2319</v>
      </c>
    </row>
    <row r="195" spans="3:9">
      <c r="C195" s="23">
        <v>188</v>
      </c>
      <c r="D195" s="23" t="s">
        <v>134</v>
      </c>
      <c r="E195" s="23" t="str">
        <f>Withdrawals_Data!A815</f>
        <v>DA-001</v>
      </c>
      <c r="F195" s="23" t="str">
        <f>Withdrawals_Data!B815</f>
        <v>DA-001-M0056</v>
      </c>
      <c r="G195" s="24">
        <f>Withdrawals_Data!C815</f>
        <v>45317</v>
      </c>
      <c r="H195" s="27">
        <v>0</v>
      </c>
      <c r="I195" s="27">
        <f>-Withdrawals_Data!D815</f>
        <v>-12383</v>
      </c>
    </row>
    <row r="196" spans="3:9">
      <c r="C196" s="23">
        <v>189</v>
      </c>
      <c r="D196" s="23" t="s">
        <v>132</v>
      </c>
      <c r="E196" s="23" t="str">
        <f>Contributions_Data!A42</f>
        <v>DA-001</v>
      </c>
      <c r="F196" s="23" t="str">
        <f>Contributions_Data!B42</f>
        <v>DA-001-M0004</v>
      </c>
      <c r="G196" s="24">
        <f>Contributions_Data!C42</f>
        <v>45318</v>
      </c>
      <c r="H196" s="27">
        <f>Contributions_Data!D42</f>
        <v>15298.95</v>
      </c>
      <c r="I196" s="27">
        <v>0</v>
      </c>
    </row>
    <row r="197" spans="3:9">
      <c r="C197" s="23">
        <v>190</v>
      </c>
      <c r="D197" s="23" t="s">
        <v>132</v>
      </c>
      <c r="E197" s="23" t="str">
        <f>Contributions_Data!A196</f>
        <v>DA-002</v>
      </c>
      <c r="F197" s="23" t="str">
        <f>Contributions_Data!B196</f>
        <v>DA-002-M0017</v>
      </c>
      <c r="G197" s="24">
        <f>Contributions_Data!C196</f>
        <v>45318</v>
      </c>
      <c r="H197" s="27">
        <f>Contributions_Data!D196</f>
        <v>16238.79</v>
      </c>
      <c r="I197" s="27">
        <v>0</v>
      </c>
    </row>
    <row r="198" spans="3:9">
      <c r="C198" s="23">
        <v>191</v>
      </c>
      <c r="D198" s="23" t="s">
        <v>132</v>
      </c>
      <c r="E198" s="23" t="str">
        <f>Contributions_Data!A732</f>
        <v>DA-003</v>
      </c>
      <c r="F198" s="23" t="str">
        <f>Contributions_Data!B732</f>
        <v>DA-003-M0061</v>
      </c>
      <c r="G198" s="24">
        <f>Contributions_Data!C732</f>
        <v>45318</v>
      </c>
      <c r="H198" s="27">
        <f>Contributions_Data!D732</f>
        <v>18952.18</v>
      </c>
      <c r="I198" s="27">
        <v>0</v>
      </c>
    </row>
    <row r="199" spans="3:9">
      <c r="C199" s="23">
        <v>192</v>
      </c>
      <c r="D199" s="23" t="s">
        <v>132</v>
      </c>
      <c r="E199" s="23" t="str">
        <f>Contributions_Data!A883</f>
        <v>DA-001</v>
      </c>
      <c r="F199" s="23" t="str">
        <f>Contributions_Data!B883</f>
        <v>DA-001-M0074</v>
      </c>
      <c r="G199" s="24">
        <f>Contributions_Data!C883</f>
        <v>45318</v>
      </c>
      <c r="H199" s="27">
        <f>Contributions_Data!D883</f>
        <v>20248.73</v>
      </c>
      <c r="I199" s="27">
        <v>0</v>
      </c>
    </row>
    <row r="200" spans="3:9">
      <c r="C200" s="23">
        <v>193</v>
      </c>
      <c r="D200" s="23" t="s">
        <v>132</v>
      </c>
      <c r="E200" s="23" t="str">
        <f>Contributions_Data!A889</f>
        <v>DA-001</v>
      </c>
      <c r="F200" s="23" t="str">
        <f>Contributions_Data!B889</f>
        <v>DA-001-M0074</v>
      </c>
      <c r="G200" s="24">
        <f>Contributions_Data!C889</f>
        <v>45318</v>
      </c>
      <c r="H200" s="27">
        <f>Contributions_Data!D889</f>
        <v>12493.96</v>
      </c>
      <c r="I200" s="27">
        <v>0</v>
      </c>
    </row>
    <row r="201" spans="3:9">
      <c r="C201" s="23">
        <v>194</v>
      </c>
      <c r="D201" s="23" t="s">
        <v>132</v>
      </c>
      <c r="E201" s="23" t="str">
        <f>Contributions_Data!A1088</f>
        <v>DA-002</v>
      </c>
      <c r="F201" s="23" t="str">
        <f>Contributions_Data!B1088</f>
        <v>DA-002-M0091</v>
      </c>
      <c r="G201" s="24">
        <f>Contributions_Data!C1088</f>
        <v>45318</v>
      </c>
      <c r="H201" s="27">
        <f>Contributions_Data!D1088</f>
        <v>16184.01</v>
      </c>
      <c r="I201" s="27">
        <v>0</v>
      </c>
    </row>
    <row r="202" spans="3:9">
      <c r="C202" s="23">
        <v>195</v>
      </c>
      <c r="D202" s="23" t="s">
        <v>132</v>
      </c>
      <c r="E202" s="23" t="str">
        <f>Contributions_Data!A1130</f>
        <v>DA-003</v>
      </c>
      <c r="F202" s="23" t="str">
        <f>Contributions_Data!B1130</f>
        <v>DA-003-M0095</v>
      </c>
      <c r="G202" s="24">
        <f>Contributions_Data!C1130</f>
        <v>45318</v>
      </c>
      <c r="H202" s="27">
        <f>Contributions_Data!D1130</f>
        <v>13883.38</v>
      </c>
      <c r="I202" s="27">
        <v>0</v>
      </c>
    </row>
    <row r="203" spans="3:9">
      <c r="C203" s="23">
        <v>196</v>
      </c>
      <c r="D203" s="23" t="s">
        <v>134</v>
      </c>
      <c r="E203" s="23" t="str">
        <f>Withdrawals_Data!A977</f>
        <v>DA-001</v>
      </c>
      <c r="F203" s="23" t="str">
        <f>Withdrawals_Data!B977</f>
        <v>DA-001-M0075</v>
      </c>
      <c r="G203" s="24">
        <f>Withdrawals_Data!C977</f>
        <v>45318</v>
      </c>
      <c r="H203" s="27">
        <v>0</v>
      </c>
      <c r="I203" s="27">
        <f>-Withdrawals_Data!D977</f>
        <v>-12954</v>
      </c>
    </row>
    <row r="204" spans="3:9">
      <c r="C204" s="23">
        <v>197</v>
      </c>
      <c r="D204" s="23" t="s">
        <v>132</v>
      </c>
      <c r="E204" s="23" t="str">
        <f>Contributions_Data!A319</f>
        <v>DA-002</v>
      </c>
      <c r="F204" s="23" t="str">
        <f>Contributions_Data!B319</f>
        <v>DA-002-M0027</v>
      </c>
      <c r="G204" s="24">
        <f>Contributions_Data!C319</f>
        <v>45319</v>
      </c>
      <c r="H204" s="27">
        <f>Contributions_Data!D319</f>
        <v>19439.830000000002</v>
      </c>
      <c r="I204" s="27">
        <v>0</v>
      </c>
    </row>
    <row r="205" spans="3:9">
      <c r="C205" s="23">
        <v>198</v>
      </c>
      <c r="D205" s="23" t="s">
        <v>134</v>
      </c>
      <c r="E205" s="23" t="str">
        <f>Withdrawals_Data!A271</f>
        <v>DA-003</v>
      </c>
      <c r="F205" s="23" t="str">
        <f>Withdrawals_Data!B271</f>
        <v>DA-003-M0014</v>
      </c>
      <c r="G205" s="24">
        <f>Withdrawals_Data!C271</f>
        <v>45319</v>
      </c>
      <c r="H205" s="27">
        <v>0</v>
      </c>
      <c r="I205" s="27">
        <f>-Withdrawals_Data!D271</f>
        <v>-4684.0200000000004</v>
      </c>
    </row>
    <row r="206" spans="3:9">
      <c r="C206" s="23">
        <v>199</v>
      </c>
      <c r="D206" s="23" t="s">
        <v>134</v>
      </c>
      <c r="E206" s="23" t="str">
        <f>Withdrawals_Data!A472</f>
        <v>DA-002</v>
      </c>
      <c r="F206" s="23" t="str">
        <f>Withdrawals_Data!B472</f>
        <v>DA-002-M0018</v>
      </c>
      <c r="G206" s="24">
        <f>Withdrawals_Data!C472</f>
        <v>45319</v>
      </c>
      <c r="H206" s="27">
        <v>0</v>
      </c>
      <c r="I206" s="27">
        <f>-Withdrawals_Data!D472</f>
        <v>-4437</v>
      </c>
    </row>
    <row r="207" spans="3:9">
      <c r="C207" s="23">
        <v>200</v>
      </c>
      <c r="D207" s="23" t="s">
        <v>134</v>
      </c>
      <c r="E207" s="23" t="str">
        <f>Withdrawals_Data!A837</f>
        <v>DA-001</v>
      </c>
      <c r="F207" s="23" t="str">
        <f>Withdrawals_Data!B837</f>
        <v>DA-001-M0058</v>
      </c>
      <c r="G207" s="24">
        <f>Withdrawals_Data!C837</f>
        <v>45319</v>
      </c>
      <c r="H207" s="27">
        <v>0</v>
      </c>
      <c r="I207" s="27">
        <f>-Withdrawals_Data!D837</f>
        <v>-16027</v>
      </c>
    </row>
    <row r="208" spans="3:9">
      <c r="C208" s="23">
        <v>201</v>
      </c>
      <c r="D208" s="23" t="s">
        <v>134</v>
      </c>
      <c r="E208" s="23" t="str">
        <f>Withdrawals_Data!A1146</f>
        <v>DA-002</v>
      </c>
      <c r="F208" s="23" t="str">
        <f>Withdrawals_Data!B1146</f>
        <v>DA-002-M0094</v>
      </c>
      <c r="G208" s="24">
        <f>Withdrawals_Data!C1146</f>
        <v>45319</v>
      </c>
      <c r="H208" s="27">
        <v>0</v>
      </c>
      <c r="I208" s="27">
        <f>-Withdrawals_Data!D1146</f>
        <v>-8397</v>
      </c>
    </row>
    <row r="209" spans="3:9">
      <c r="C209" s="23">
        <v>202</v>
      </c>
      <c r="D209" s="23" t="s">
        <v>134</v>
      </c>
      <c r="E209" s="23" t="str">
        <f>Withdrawals_Data!A1186</f>
        <v>DA-003</v>
      </c>
      <c r="F209" s="23" t="str">
        <f>Withdrawals_Data!B1186</f>
        <v>DA-003-M0099</v>
      </c>
      <c r="G209" s="24">
        <f>Withdrawals_Data!C1186</f>
        <v>45319</v>
      </c>
      <c r="H209" s="27">
        <v>0</v>
      </c>
      <c r="I209" s="27">
        <f>-Withdrawals_Data!D1186</f>
        <v>-15459</v>
      </c>
    </row>
    <row r="210" spans="3:9">
      <c r="C210" s="23">
        <v>203</v>
      </c>
      <c r="D210" s="23" t="s">
        <v>134</v>
      </c>
      <c r="E210" s="23" t="str">
        <f>Withdrawals_Data!A1196</f>
        <v>DA-003</v>
      </c>
      <c r="F210" s="23" t="str">
        <f>Withdrawals_Data!B1196</f>
        <v>DA-003-M0100</v>
      </c>
      <c r="G210" s="24">
        <f>Withdrawals_Data!C1196</f>
        <v>45319</v>
      </c>
      <c r="H210" s="27">
        <v>0</v>
      </c>
      <c r="I210" s="27">
        <f>-Withdrawals_Data!D1196</f>
        <v>-19177</v>
      </c>
    </row>
    <row r="211" spans="3:9">
      <c r="C211" s="23">
        <v>204</v>
      </c>
      <c r="D211" s="23" t="s">
        <v>132</v>
      </c>
      <c r="E211" s="23" t="str">
        <f>Contributions_Data!A131</f>
        <v>DA-001</v>
      </c>
      <c r="F211" s="23" t="str">
        <f>Contributions_Data!B131</f>
        <v>DA-001-M0011</v>
      </c>
      <c r="G211" s="24">
        <f>Contributions_Data!C131</f>
        <v>45320</v>
      </c>
      <c r="H211" s="27">
        <f>Contributions_Data!D131</f>
        <v>16214.95</v>
      </c>
      <c r="I211" s="27">
        <v>0</v>
      </c>
    </row>
    <row r="212" spans="3:9">
      <c r="C212" s="23">
        <v>205</v>
      </c>
      <c r="D212" s="23" t="s">
        <v>132</v>
      </c>
      <c r="E212" s="23" t="str">
        <f>Contributions_Data!A761</f>
        <v>DA-002</v>
      </c>
      <c r="F212" s="23" t="str">
        <f>Contributions_Data!B761</f>
        <v>DA-002-M0064</v>
      </c>
      <c r="G212" s="24">
        <f>Contributions_Data!C761</f>
        <v>45320</v>
      </c>
      <c r="H212" s="27">
        <f>Contributions_Data!D761</f>
        <v>14482.12</v>
      </c>
      <c r="I212" s="27">
        <v>0</v>
      </c>
    </row>
    <row r="213" spans="3:9">
      <c r="C213" s="23">
        <v>206</v>
      </c>
      <c r="D213" s="23" t="s">
        <v>134</v>
      </c>
      <c r="E213" s="23" t="str">
        <f>Withdrawals_Data!A11</f>
        <v>DA-003</v>
      </c>
      <c r="F213" s="23" t="str">
        <f>Withdrawals_Data!B11</f>
        <v>DA-003-M0068</v>
      </c>
      <c r="G213" s="24">
        <f>Withdrawals_Data!C11</f>
        <v>45320</v>
      </c>
      <c r="H213" s="27">
        <v>0</v>
      </c>
      <c r="I213" s="27">
        <f>-Withdrawals_Data!D11</f>
        <v>-15656.13</v>
      </c>
    </row>
    <row r="214" spans="3:9">
      <c r="C214" s="23">
        <v>207</v>
      </c>
      <c r="D214" s="23" t="s">
        <v>134</v>
      </c>
      <c r="E214" s="23" t="str">
        <f>Withdrawals_Data!A308</f>
        <v>DA-001</v>
      </c>
      <c r="F214" s="23" t="str">
        <f>Withdrawals_Data!B308</f>
        <v>DA-001-M0074</v>
      </c>
      <c r="G214" s="24">
        <f>Withdrawals_Data!C308</f>
        <v>45320</v>
      </c>
      <c r="H214" s="27">
        <v>0</v>
      </c>
      <c r="I214" s="27">
        <f>-Withdrawals_Data!D308</f>
        <v>-3024.55</v>
      </c>
    </row>
    <row r="215" spans="3:9">
      <c r="C215" s="23">
        <v>208</v>
      </c>
      <c r="D215" s="23" t="s">
        <v>134</v>
      </c>
      <c r="E215" s="23" t="str">
        <f>Withdrawals_Data!A885</f>
        <v>DA-002</v>
      </c>
      <c r="F215" s="23" t="str">
        <f>Withdrawals_Data!B885</f>
        <v>DA-002-M0063</v>
      </c>
      <c r="G215" s="24">
        <f>Withdrawals_Data!C885</f>
        <v>45320</v>
      </c>
      <c r="H215" s="27">
        <v>0</v>
      </c>
      <c r="I215" s="27">
        <f>-Withdrawals_Data!D885</f>
        <v>-14859</v>
      </c>
    </row>
    <row r="216" spans="3:9">
      <c r="C216" s="23">
        <v>209</v>
      </c>
      <c r="D216" s="23" t="s">
        <v>132</v>
      </c>
      <c r="E216" s="23" t="str">
        <f>Contributions_Data!A810</f>
        <v>DA-003</v>
      </c>
      <c r="F216" s="23" t="str">
        <f>Contributions_Data!B810</f>
        <v>DA-003-M0068</v>
      </c>
      <c r="G216" s="24">
        <f>Contributions_Data!C810</f>
        <v>45321</v>
      </c>
      <c r="H216" s="27">
        <f>Contributions_Data!D810</f>
        <v>16487.05</v>
      </c>
      <c r="I216" s="27">
        <v>0</v>
      </c>
    </row>
    <row r="217" spans="3:9">
      <c r="C217" s="23">
        <v>210</v>
      </c>
      <c r="D217" s="23" t="s">
        <v>132</v>
      </c>
      <c r="E217" s="23" t="str">
        <f>Contributions_Data!A951</f>
        <v>DA-003</v>
      </c>
      <c r="F217" s="23" t="str">
        <f>Contributions_Data!B951</f>
        <v>DA-003-M0080</v>
      </c>
      <c r="G217" s="24">
        <f>Contributions_Data!C951</f>
        <v>45321</v>
      </c>
      <c r="H217" s="27">
        <f>Contributions_Data!D951</f>
        <v>15965.09</v>
      </c>
      <c r="I217" s="27">
        <v>0</v>
      </c>
    </row>
    <row r="218" spans="3:9">
      <c r="C218" s="23">
        <v>211</v>
      </c>
      <c r="D218" s="23" t="s">
        <v>134</v>
      </c>
      <c r="E218" s="23" t="str">
        <f>Withdrawals_Data!A16</f>
        <v>DA-003</v>
      </c>
      <c r="F218" s="23" t="str">
        <f>Withdrawals_Data!B16</f>
        <v>DA-003-M0012</v>
      </c>
      <c r="G218" s="24">
        <f>Withdrawals_Data!C16</f>
        <v>45321</v>
      </c>
      <c r="H218" s="27">
        <v>0</v>
      </c>
      <c r="I218" s="27">
        <f>-Withdrawals_Data!D16</f>
        <v>-14529.65</v>
      </c>
    </row>
    <row r="219" spans="3:9">
      <c r="C219" s="23">
        <v>212</v>
      </c>
      <c r="D219" s="23" t="s">
        <v>134</v>
      </c>
      <c r="E219" s="23" t="str">
        <f>Withdrawals_Data!A259</f>
        <v>DA-001</v>
      </c>
      <c r="F219" s="23" t="str">
        <f>Withdrawals_Data!B259</f>
        <v>DA-001-M0010</v>
      </c>
      <c r="G219" s="24">
        <f>Withdrawals_Data!C259</f>
        <v>45321</v>
      </c>
      <c r="H219" s="27">
        <v>0</v>
      </c>
      <c r="I219" s="27">
        <f>-Withdrawals_Data!D259</f>
        <v>-5138.79</v>
      </c>
    </row>
    <row r="220" spans="3:9">
      <c r="C220" s="23">
        <v>213</v>
      </c>
      <c r="D220" s="23" t="s">
        <v>134</v>
      </c>
      <c r="E220" s="23" t="str">
        <f>Withdrawals_Data!A321</f>
        <v>DA-001</v>
      </c>
      <c r="F220" s="23" t="str">
        <f>Withdrawals_Data!B321</f>
        <v>DA-001-M0056</v>
      </c>
      <c r="G220" s="24">
        <f>Withdrawals_Data!C321</f>
        <v>45321</v>
      </c>
      <c r="H220" s="27">
        <v>0</v>
      </c>
      <c r="I220" s="27">
        <f>-Withdrawals_Data!D321</f>
        <v>-2207.94</v>
      </c>
    </row>
    <row r="221" spans="3:9">
      <c r="C221" s="23">
        <v>214</v>
      </c>
      <c r="D221" s="23" t="s">
        <v>134</v>
      </c>
      <c r="E221" s="23" t="str">
        <f>Withdrawals_Data!A667</f>
        <v>DA-002</v>
      </c>
      <c r="F221" s="23" t="str">
        <f>Withdrawals_Data!B667</f>
        <v>DA-002-M0040</v>
      </c>
      <c r="G221" s="24">
        <f>Withdrawals_Data!C667</f>
        <v>45321</v>
      </c>
      <c r="H221" s="27">
        <v>0</v>
      </c>
      <c r="I221" s="27">
        <f>-Withdrawals_Data!D667</f>
        <v>-13107</v>
      </c>
    </row>
    <row r="222" spans="3:9">
      <c r="C222" s="23">
        <v>215</v>
      </c>
      <c r="D222" s="23" t="s">
        <v>134</v>
      </c>
      <c r="E222" s="23" t="str">
        <f>Withdrawals_Data!A810</f>
        <v>DA-001</v>
      </c>
      <c r="F222" s="23" t="str">
        <f>Withdrawals_Data!B810</f>
        <v>DA-001-M0056</v>
      </c>
      <c r="G222" s="24">
        <f>Withdrawals_Data!C810</f>
        <v>45321</v>
      </c>
      <c r="H222" s="27">
        <v>0</v>
      </c>
      <c r="I222" s="27">
        <f>-Withdrawals_Data!D810</f>
        <v>-11986</v>
      </c>
    </row>
    <row r="223" spans="3:9">
      <c r="C223" s="23">
        <v>216</v>
      </c>
      <c r="D223" s="23" t="s">
        <v>132</v>
      </c>
      <c r="E223" s="23" t="str">
        <f>Contributions_Data!A18</f>
        <v>DA-001</v>
      </c>
      <c r="F223" s="23" t="str">
        <f>Contributions_Data!B18</f>
        <v>DA-001-M0002</v>
      </c>
      <c r="G223" s="24">
        <f>Contributions_Data!C18</f>
        <v>45322</v>
      </c>
      <c r="H223" s="27">
        <f>Contributions_Data!D18</f>
        <v>15783.17</v>
      </c>
      <c r="I223" s="27">
        <v>0</v>
      </c>
    </row>
    <row r="224" spans="3:9">
      <c r="C224" s="23">
        <v>217</v>
      </c>
      <c r="D224" s="23" t="s">
        <v>132</v>
      </c>
      <c r="E224" s="23" t="str">
        <f>Contributions_Data!A323</f>
        <v>DA-002</v>
      </c>
      <c r="F224" s="23" t="str">
        <f>Contributions_Data!B323</f>
        <v>DA-002-M0027</v>
      </c>
      <c r="G224" s="24">
        <f>Contributions_Data!C323</f>
        <v>45322</v>
      </c>
      <c r="H224" s="27">
        <f>Contributions_Data!D323</f>
        <v>16616.73</v>
      </c>
      <c r="I224" s="27">
        <v>0</v>
      </c>
    </row>
    <row r="225" spans="3:9">
      <c r="C225" s="23">
        <v>218</v>
      </c>
      <c r="D225" s="23" t="s">
        <v>132</v>
      </c>
      <c r="E225" s="23" t="str">
        <f>Contributions_Data!A872</f>
        <v>DA-001</v>
      </c>
      <c r="F225" s="23" t="str">
        <f>Contributions_Data!B872</f>
        <v>DA-001-M0073</v>
      </c>
      <c r="G225" s="24">
        <f>Contributions_Data!C872</f>
        <v>45322</v>
      </c>
      <c r="H225" s="27">
        <f>Contributions_Data!D872</f>
        <v>15959.35</v>
      </c>
      <c r="I225" s="27">
        <v>0</v>
      </c>
    </row>
    <row r="226" spans="3:9">
      <c r="C226" s="23">
        <v>219</v>
      </c>
      <c r="D226" s="23" t="s">
        <v>134</v>
      </c>
      <c r="E226" s="23" t="str">
        <f>Withdrawals_Data!A796</f>
        <v>DA-002</v>
      </c>
      <c r="F226" s="23" t="str">
        <f>Withdrawals_Data!B796</f>
        <v>DA-002-M0054</v>
      </c>
      <c r="G226" s="24">
        <f>Withdrawals_Data!C796</f>
        <v>45322</v>
      </c>
      <c r="H226" s="27">
        <v>0</v>
      </c>
      <c r="I226" s="27">
        <f>-Withdrawals_Data!D796</f>
        <v>-4932</v>
      </c>
    </row>
    <row r="227" spans="3:9">
      <c r="C227" s="23">
        <v>220</v>
      </c>
      <c r="D227" s="23" t="s">
        <v>132</v>
      </c>
      <c r="E227" s="23" t="str">
        <f>Contributions_Data!A371</f>
        <v>DA-003</v>
      </c>
      <c r="F227" s="23" t="str">
        <f>Contributions_Data!B371</f>
        <v>DA-003-M0031</v>
      </c>
      <c r="G227" s="24">
        <f>Contributions_Data!C371</f>
        <v>45323</v>
      </c>
      <c r="H227" s="27">
        <f>Contributions_Data!D371</f>
        <v>13737.05</v>
      </c>
      <c r="I227" s="27">
        <v>0</v>
      </c>
    </row>
    <row r="228" spans="3:9">
      <c r="C228" s="23">
        <v>221</v>
      </c>
      <c r="D228" s="23" t="s">
        <v>132</v>
      </c>
      <c r="E228" s="23" t="str">
        <f>Contributions_Data!A523</f>
        <v>DA-002</v>
      </c>
      <c r="F228" s="23" t="str">
        <f>Contributions_Data!B523</f>
        <v>DA-002-M0044</v>
      </c>
      <c r="G228" s="24">
        <f>Contributions_Data!C523</f>
        <v>45323</v>
      </c>
      <c r="H228" s="27">
        <f>Contributions_Data!D523</f>
        <v>12230.3</v>
      </c>
      <c r="I228" s="27">
        <v>0</v>
      </c>
    </row>
    <row r="229" spans="3:9">
      <c r="C229" s="23">
        <v>222</v>
      </c>
      <c r="D229" s="23" t="s">
        <v>132</v>
      </c>
      <c r="E229" s="23" t="str">
        <f>Contributions_Data!A583</f>
        <v>DA-001</v>
      </c>
      <c r="F229" s="23" t="str">
        <f>Contributions_Data!B583</f>
        <v>DA-001-M0049</v>
      </c>
      <c r="G229" s="24">
        <f>Contributions_Data!C583</f>
        <v>45323</v>
      </c>
      <c r="H229" s="27">
        <f>Contributions_Data!D583</f>
        <v>13431.42</v>
      </c>
      <c r="I229" s="27">
        <v>0</v>
      </c>
    </row>
    <row r="230" spans="3:9">
      <c r="C230" s="23">
        <v>223</v>
      </c>
      <c r="D230" s="23" t="s">
        <v>132</v>
      </c>
      <c r="E230" s="23" t="str">
        <f>Contributions_Data!A673</f>
        <v>DA-001</v>
      </c>
      <c r="F230" s="23" t="str">
        <f>Contributions_Data!B673</f>
        <v>DA-001-M0056</v>
      </c>
      <c r="G230" s="24">
        <f>Contributions_Data!C673</f>
        <v>45323</v>
      </c>
      <c r="H230" s="27">
        <f>Contributions_Data!D673</f>
        <v>17617.37</v>
      </c>
      <c r="I230" s="27">
        <v>0</v>
      </c>
    </row>
    <row r="231" spans="3:9">
      <c r="C231" s="23">
        <v>224</v>
      </c>
      <c r="D231" s="23" t="s">
        <v>132</v>
      </c>
      <c r="E231" s="23" t="str">
        <f>Contributions_Data!A990</f>
        <v>DA-001</v>
      </c>
      <c r="F231" s="23" t="str">
        <f>Contributions_Data!B990</f>
        <v>DA-001-M0083</v>
      </c>
      <c r="G231" s="24">
        <f>Contributions_Data!C990</f>
        <v>45323</v>
      </c>
      <c r="H231" s="27">
        <f>Contributions_Data!D990</f>
        <v>17848.66</v>
      </c>
      <c r="I231" s="27">
        <v>0</v>
      </c>
    </row>
    <row r="232" spans="3:9">
      <c r="C232" s="23">
        <v>225</v>
      </c>
      <c r="D232" s="23" t="s">
        <v>132</v>
      </c>
      <c r="E232" s="23" t="str">
        <f>Contributions_Data!A1043</f>
        <v>DA-001</v>
      </c>
      <c r="F232" s="23" t="str">
        <f>Contributions_Data!B1043</f>
        <v>DA-001-M0087</v>
      </c>
      <c r="G232" s="24">
        <f>Contributions_Data!C1043</f>
        <v>45323</v>
      </c>
      <c r="H232" s="27">
        <f>Contributions_Data!D1043</f>
        <v>19504</v>
      </c>
      <c r="I232" s="27">
        <v>0</v>
      </c>
    </row>
    <row r="233" spans="3:9">
      <c r="C233" s="23">
        <v>226</v>
      </c>
      <c r="D233" s="23" t="s">
        <v>134</v>
      </c>
      <c r="E233" s="23" t="str">
        <f>Withdrawals_Data!A206</f>
        <v>DA-003</v>
      </c>
      <c r="F233" s="23" t="str">
        <f>Withdrawals_Data!B206</f>
        <v>DA-003-M0081</v>
      </c>
      <c r="G233" s="24">
        <f>Withdrawals_Data!C206</f>
        <v>45323</v>
      </c>
      <c r="H233" s="27">
        <v>0</v>
      </c>
      <c r="I233" s="27">
        <f>-Withdrawals_Data!D206</f>
        <v>-7252.11</v>
      </c>
    </row>
    <row r="234" spans="3:9">
      <c r="C234" s="23">
        <v>227</v>
      </c>
      <c r="D234" s="23" t="s">
        <v>134</v>
      </c>
      <c r="E234" s="23" t="str">
        <f>Withdrawals_Data!A365</f>
        <v>DA-001</v>
      </c>
      <c r="F234" s="23" t="str">
        <f>Withdrawals_Data!B365</f>
        <v>DA-001-M0004</v>
      </c>
      <c r="G234" s="24">
        <f>Withdrawals_Data!C365</f>
        <v>45323</v>
      </c>
      <c r="H234" s="27">
        <v>0</v>
      </c>
      <c r="I234" s="27">
        <f>-Withdrawals_Data!D365</f>
        <v>-12669</v>
      </c>
    </row>
    <row r="235" spans="3:9">
      <c r="C235" s="23">
        <v>228</v>
      </c>
      <c r="D235" s="23" t="s">
        <v>134</v>
      </c>
      <c r="E235" s="23" t="str">
        <f>Withdrawals_Data!A399</f>
        <v>DA-001</v>
      </c>
      <c r="F235" s="23" t="str">
        <f>Withdrawals_Data!B399</f>
        <v>DA-001-M0009</v>
      </c>
      <c r="G235" s="24">
        <f>Withdrawals_Data!C399</f>
        <v>45323</v>
      </c>
      <c r="H235" s="27">
        <v>0</v>
      </c>
      <c r="I235" s="27">
        <f>-Withdrawals_Data!D399</f>
        <v>-16079</v>
      </c>
    </row>
    <row r="236" spans="3:9">
      <c r="C236" s="23">
        <v>229</v>
      </c>
      <c r="D236" s="23" t="s">
        <v>134</v>
      </c>
      <c r="E236" s="23" t="str">
        <f>Withdrawals_Data!A819</f>
        <v>DA-002</v>
      </c>
      <c r="F236" s="23" t="str">
        <f>Withdrawals_Data!B819</f>
        <v>DA-002-M0057</v>
      </c>
      <c r="G236" s="24">
        <f>Withdrawals_Data!C819</f>
        <v>45323</v>
      </c>
      <c r="H236" s="27">
        <v>0</v>
      </c>
      <c r="I236" s="27">
        <f>-Withdrawals_Data!D819</f>
        <v>-6383</v>
      </c>
    </row>
    <row r="237" spans="3:9">
      <c r="C237" s="23">
        <v>230</v>
      </c>
      <c r="D237" s="23" t="s">
        <v>134</v>
      </c>
      <c r="E237" s="23" t="str">
        <f>Withdrawals_Data!A1056</f>
        <v>DA-003</v>
      </c>
      <c r="F237" s="23" t="str">
        <f>Withdrawals_Data!B1056</f>
        <v>DA-003-M0084</v>
      </c>
      <c r="G237" s="24">
        <f>Withdrawals_Data!C1056</f>
        <v>45323</v>
      </c>
      <c r="H237" s="27">
        <v>0</v>
      </c>
      <c r="I237" s="27">
        <f>-Withdrawals_Data!D1056</f>
        <v>-4896</v>
      </c>
    </row>
    <row r="238" spans="3:9">
      <c r="C238" s="23">
        <v>231</v>
      </c>
      <c r="D238" s="23" t="s">
        <v>132</v>
      </c>
      <c r="E238" s="23" t="str">
        <f>Contributions_Data!A44</f>
        <v>DA-001</v>
      </c>
      <c r="F238" s="23" t="str">
        <f>Contributions_Data!B44</f>
        <v>DA-001-M0004</v>
      </c>
      <c r="G238" s="24">
        <f>Contributions_Data!C44</f>
        <v>45324</v>
      </c>
      <c r="H238" s="27">
        <f>Contributions_Data!D44</f>
        <v>15205.69</v>
      </c>
      <c r="I238" s="27">
        <v>0</v>
      </c>
    </row>
    <row r="239" spans="3:9">
      <c r="C239" s="23">
        <v>232</v>
      </c>
      <c r="D239" s="23" t="s">
        <v>132</v>
      </c>
      <c r="E239" s="23" t="str">
        <f>Contributions_Data!A298</f>
        <v>DA-001</v>
      </c>
      <c r="F239" s="23" t="str">
        <f>Contributions_Data!B298</f>
        <v>DA-001-M0025</v>
      </c>
      <c r="G239" s="24">
        <f>Contributions_Data!C298</f>
        <v>45324</v>
      </c>
      <c r="H239" s="27">
        <f>Contributions_Data!D298</f>
        <v>14337.09</v>
      </c>
      <c r="I239" s="27">
        <v>0</v>
      </c>
    </row>
    <row r="240" spans="3:9">
      <c r="C240" s="23">
        <v>233</v>
      </c>
      <c r="D240" s="23" t="s">
        <v>132</v>
      </c>
      <c r="E240" s="23" t="str">
        <f>Contributions_Data!A400</f>
        <v>DA-001</v>
      </c>
      <c r="F240" s="23" t="str">
        <f>Contributions_Data!B400</f>
        <v>DA-001-M0034</v>
      </c>
      <c r="G240" s="24">
        <f>Contributions_Data!C400</f>
        <v>45324</v>
      </c>
      <c r="H240" s="27">
        <f>Contributions_Data!D400</f>
        <v>18112.62</v>
      </c>
      <c r="I240" s="27">
        <v>0</v>
      </c>
    </row>
    <row r="241" spans="3:9">
      <c r="C241" s="23">
        <v>234</v>
      </c>
      <c r="D241" s="23" t="s">
        <v>132</v>
      </c>
      <c r="E241" s="23" t="str">
        <f>Contributions_Data!A1028</f>
        <v>DA-003</v>
      </c>
      <c r="F241" s="23" t="str">
        <f>Contributions_Data!B1028</f>
        <v>DA-003-M0086</v>
      </c>
      <c r="G241" s="24">
        <f>Contributions_Data!C1028</f>
        <v>45324</v>
      </c>
      <c r="H241" s="27">
        <f>Contributions_Data!D1028</f>
        <v>19684.53</v>
      </c>
      <c r="I241" s="27">
        <v>0</v>
      </c>
    </row>
    <row r="242" spans="3:9">
      <c r="C242" s="23">
        <v>235</v>
      </c>
      <c r="D242" s="23" t="s">
        <v>134</v>
      </c>
      <c r="E242" s="23" t="str">
        <f>Withdrawals_Data!A25</f>
        <v>DA-003</v>
      </c>
      <c r="F242" s="23" t="str">
        <f>Withdrawals_Data!B25</f>
        <v>DA-003-M0012</v>
      </c>
      <c r="G242" s="24">
        <f>Withdrawals_Data!C25</f>
        <v>45324</v>
      </c>
      <c r="H242" s="27">
        <v>0</v>
      </c>
      <c r="I242" s="27">
        <f>-Withdrawals_Data!D25</f>
        <v>-13765.09</v>
      </c>
    </row>
    <row r="243" spans="3:9">
      <c r="C243" s="23">
        <v>236</v>
      </c>
      <c r="D243" s="23" t="s">
        <v>134</v>
      </c>
      <c r="E243" s="23" t="str">
        <f>Withdrawals_Data!A80</f>
        <v>DA-001</v>
      </c>
      <c r="F243" s="23" t="str">
        <f>Withdrawals_Data!B80</f>
        <v>DA-001-M0046</v>
      </c>
      <c r="G243" s="24">
        <f>Withdrawals_Data!C80</f>
        <v>45324</v>
      </c>
      <c r="H243" s="27">
        <v>0</v>
      </c>
      <c r="I243" s="27">
        <f>-Withdrawals_Data!D80</f>
        <v>-10482.69</v>
      </c>
    </row>
    <row r="244" spans="3:9">
      <c r="C244" s="23">
        <v>237</v>
      </c>
      <c r="D244" s="23" t="s">
        <v>134</v>
      </c>
      <c r="E244" s="23" t="str">
        <f>Withdrawals_Data!A372</f>
        <v>DA-003</v>
      </c>
      <c r="F244" s="23" t="str">
        <f>Withdrawals_Data!B372</f>
        <v>DA-003-M0005</v>
      </c>
      <c r="G244" s="24">
        <f>Withdrawals_Data!C372</f>
        <v>45324</v>
      </c>
      <c r="H244" s="27">
        <v>0</v>
      </c>
      <c r="I244" s="27">
        <f>-Withdrawals_Data!D372</f>
        <v>-5612</v>
      </c>
    </row>
    <row r="245" spans="3:9">
      <c r="C245" s="23">
        <v>238</v>
      </c>
      <c r="D245" s="23" t="s">
        <v>134</v>
      </c>
      <c r="E245" s="23" t="str">
        <f>Withdrawals_Data!A661</f>
        <v>DA-002</v>
      </c>
      <c r="F245" s="23" t="str">
        <f>Withdrawals_Data!B661</f>
        <v>DA-002-M0039</v>
      </c>
      <c r="G245" s="24">
        <f>Withdrawals_Data!C661</f>
        <v>45324</v>
      </c>
      <c r="H245" s="27">
        <v>0</v>
      </c>
      <c r="I245" s="27">
        <f>-Withdrawals_Data!D661</f>
        <v>-7209</v>
      </c>
    </row>
    <row r="246" spans="3:9">
      <c r="C246" s="23">
        <v>239</v>
      </c>
      <c r="D246" s="23" t="s">
        <v>134</v>
      </c>
      <c r="E246" s="23" t="str">
        <f>Withdrawals_Data!A894</f>
        <v>DA-002</v>
      </c>
      <c r="F246" s="23" t="str">
        <f>Withdrawals_Data!B894</f>
        <v>DA-002-M0064</v>
      </c>
      <c r="G246" s="24">
        <f>Withdrawals_Data!C894</f>
        <v>45324</v>
      </c>
      <c r="H246" s="27">
        <v>0</v>
      </c>
      <c r="I246" s="27">
        <f>-Withdrawals_Data!D894</f>
        <v>-9595</v>
      </c>
    </row>
    <row r="247" spans="3:9">
      <c r="C247" s="23">
        <v>240</v>
      </c>
      <c r="D247" s="23" t="s">
        <v>134</v>
      </c>
      <c r="E247" s="23" t="str">
        <f>Withdrawals_Data!A47</f>
        <v>DA-003</v>
      </c>
      <c r="F247" s="23" t="str">
        <f>Withdrawals_Data!B47</f>
        <v>DA-003-M0036</v>
      </c>
      <c r="G247" s="24">
        <f>Withdrawals_Data!C47</f>
        <v>45325</v>
      </c>
      <c r="H247" s="27">
        <v>0</v>
      </c>
      <c r="I247" s="27">
        <f>-Withdrawals_Data!D47</f>
        <v>-12376.77</v>
      </c>
    </row>
    <row r="248" spans="3:9">
      <c r="C248" s="23">
        <v>241</v>
      </c>
      <c r="D248" s="23" t="s">
        <v>134</v>
      </c>
      <c r="E248" s="23" t="str">
        <f>Withdrawals_Data!A107</f>
        <v>DA-003</v>
      </c>
      <c r="F248" s="23" t="str">
        <f>Withdrawals_Data!B107</f>
        <v>DA-003-M0059</v>
      </c>
      <c r="G248" s="24">
        <f>Withdrawals_Data!C107</f>
        <v>45325</v>
      </c>
      <c r="H248" s="27">
        <v>0</v>
      </c>
      <c r="I248" s="27">
        <f>-Withdrawals_Data!D107</f>
        <v>-9701.83</v>
      </c>
    </row>
    <row r="249" spans="3:9">
      <c r="C249" s="23">
        <v>242</v>
      </c>
      <c r="D249" s="23" t="s">
        <v>134</v>
      </c>
      <c r="E249" s="23" t="str">
        <f>Withdrawals_Data!A912</f>
        <v>DA-002</v>
      </c>
      <c r="F249" s="23" t="str">
        <f>Withdrawals_Data!B912</f>
        <v>DA-002-M0067</v>
      </c>
      <c r="G249" s="24">
        <f>Withdrawals_Data!C912</f>
        <v>45325</v>
      </c>
      <c r="H249" s="27">
        <v>0</v>
      </c>
      <c r="I249" s="27">
        <f>-Withdrawals_Data!D912</f>
        <v>-1897</v>
      </c>
    </row>
    <row r="250" spans="3:9">
      <c r="C250" s="23">
        <v>243</v>
      </c>
      <c r="D250" s="23" t="s">
        <v>134</v>
      </c>
      <c r="E250" s="23" t="str">
        <f>Withdrawals_Data!A1007</f>
        <v>DA-003</v>
      </c>
      <c r="F250" s="23" t="str">
        <f>Withdrawals_Data!B1007</f>
        <v>DA-003-M0079</v>
      </c>
      <c r="G250" s="24">
        <f>Withdrawals_Data!C1007</f>
        <v>45325</v>
      </c>
      <c r="H250" s="27">
        <v>0</v>
      </c>
      <c r="I250" s="27">
        <f>-Withdrawals_Data!D1007</f>
        <v>-6663</v>
      </c>
    </row>
    <row r="251" spans="3:9">
      <c r="C251" s="23">
        <v>244</v>
      </c>
      <c r="D251" s="23" t="s">
        <v>132</v>
      </c>
      <c r="E251" s="23" t="str">
        <f>Contributions_Data!A630</f>
        <v>DA-001</v>
      </c>
      <c r="F251" s="23" t="str">
        <f>Contributions_Data!B630</f>
        <v>DA-001-M0053</v>
      </c>
      <c r="G251" s="24">
        <f>Contributions_Data!C630</f>
        <v>45326</v>
      </c>
      <c r="H251" s="27">
        <f>Contributions_Data!D630</f>
        <v>18132.48</v>
      </c>
      <c r="I251" s="27">
        <v>0</v>
      </c>
    </row>
    <row r="252" spans="3:9">
      <c r="C252" s="23">
        <v>245</v>
      </c>
      <c r="D252" s="23" t="s">
        <v>132</v>
      </c>
      <c r="E252" s="23" t="str">
        <f>Contributions_Data!A839</f>
        <v>DA-002</v>
      </c>
      <c r="F252" s="23" t="str">
        <f>Contributions_Data!B839</f>
        <v>DA-002-M0070</v>
      </c>
      <c r="G252" s="24">
        <f>Contributions_Data!C839</f>
        <v>45326</v>
      </c>
      <c r="H252" s="27">
        <f>Contributions_Data!D839</f>
        <v>8539.83</v>
      </c>
      <c r="I252" s="27">
        <v>0</v>
      </c>
    </row>
    <row r="253" spans="3:9">
      <c r="C253" s="23">
        <v>246</v>
      </c>
      <c r="D253" s="23" t="s">
        <v>132</v>
      </c>
      <c r="E253" s="23" t="str">
        <f>Contributions_Data!A1067</f>
        <v>DA-002</v>
      </c>
      <c r="F253" s="23" t="str">
        <f>Contributions_Data!B1067</f>
        <v>DA-002-M0089</v>
      </c>
      <c r="G253" s="24">
        <f>Contributions_Data!C1067</f>
        <v>45326</v>
      </c>
      <c r="H253" s="27">
        <f>Contributions_Data!D1067</f>
        <v>19822.04</v>
      </c>
      <c r="I253" s="27">
        <v>0</v>
      </c>
    </row>
    <row r="254" spans="3:9">
      <c r="C254" s="23">
        <v>247</v>
      </c>
      <c r="D254" s="23" t="s">
        <v>134</v>
      </c>
      <c r="E254" s="23" t="str">
        <f>Withdrawals_Data!A287</f>
        <v>DA-002</v>
      </c>
      <c r="F254" s="23" t="str">
        <f>Withdrawals_Data!B287</f>
        <v>DA-002-M0067</v>
      </c>
      <c r="G254" s="24">
        <f>Withdrawals_Data!C287</f>
        <v>45326</v>
      </c>
      <c r="H254" s="27">
        <v>0</v>
      </c>
      <c r="I254" s="27">
        <f>-Withdrawals_Data!D287</f>
        <v>-3840.38</v>
      </c>
    </row>
    <row r="255" spans="3:9">
      <c r="C255" s="23">
        <v>248</v>
      </c>
      <c r="D255" s="23" t="s">
        <v>134</v>
      </c>
      <c r="E255" s="23" t="str">
        <f>Withdrawals_Data!A581</f>
        <v>DA-002</v>
      </c>
      <c r="F255" s="23" t="str">
        <f>Withdrawals_Data!B581</f>
        <v>DA-002-M0030</v>
      </c>
      <c r="G255" s="24">
        <f>Withdrawals_Data!C581</f>
        <v>45326</v>
      </c>
      <c r="H255" s="27">
        <v>0</v>
      </c>
      <c r="I255" s="27">
        <f>-Withdrawals_Data!D581</f>
        <v>-12197</v>
      </c>
    </row>
    <row r="256" spans="3:9">
      <c r="C256" s="23">
        <v>249</v>
      </c>
      <c r="D256" s="23" t="s">
        <v>132</v>
      </c>
      <c r="E256" s="23" t="str">
        <f>Contributions_Data!A943</f>
        <v>DA-003</v>
      </c>
      <c r="F256" s="23" t="str">
        <f>Contributions_Data!B943</f>
        <v>DA-003-M0079</v>
      </c>
      <c r="G256" s="24">
        <f>Contributions_Data!C943</f>
        <v>45327</v>
      </c>
      <c r="H256" s="27">
        <f>Contributions_Data!D943</f>
        <v>8541.33</v>
      </c>
      <c r="I256" s="27">
        <v>0</v>
      </c>
    </row>
    <row r="257" spans="3:9">
      <c r="C257" s="23">
        <v>250</v>
      </c>
      <c r="D257" s="23" t="s">
        <v>132</v>
      </c>
      <c r="E257" s="23" t="str">
        <f>Contributions_Data!A1186</f>
        <v>DA-003</v>
      </c>
      <c r="F257" s="23" t="str">
        <f>Contributions_Data!B1186</f>
        <v>DA-003-M0099</v>
      </c>
      <c r="G257" s="24">
        <f>Contributions_Data!C1186</f>
        <v>45327</v>
      </c>
      <c r="H257" s="27">
        <f>Contributions_Data!D1186</f>
        <v>11970.81</v>
      </c>
      <c r="I257" s="27">
        <v>0</v>
      </c>
    </row>
    <row r="258" spans="3:9">
      <c r="C258" s="23">
        <v>251</v>
      </c>
      <c r="D258" s="23" t="s">
        <v>134</v>
      </c>
      <c r="E258" s="23" t="str">
        <f>Withdrawals_Data!A1188</f>
        <v>DA-003</v>
      </c>
      <c r="F258" s="23" t="str">
        <f>Withdrawals_Data!B1188</f>
        <v>DA-003-M0099</v>
      </c>
      <c r="G258" s="24">
        <f>Withdrawals_Data!C1188</f>
        <v>45327</v>
      </c>
      <c r="H258" s="27">
        <v>0</v>
      </c>
      <c r="I258" s="27">
        <f>-Withdrawals_Data!D1188</f>
        <v>-1967</v>
      </c>
    </row>
    <row r="259" spans="3:9">
      <c r="C259" s="23">
        <v>252</v>
      </c>
      <c r="D259" s="23" t="s">
        <v>132</v>
      </c>
      <c r="E259" s="23" t="str">
        <f>Contributions_Data!A479</f>
        <v>DA-002</v>
      </c>
      <c r="F259" s="23" t="str">
        <f>Contributions_Data!B479</f>
        <v>DA-002-M0040</v>
      </c>
      <c r="G259" s="24">
        <f>Contributions_Data!C479</f>
        <v>45328</v>
      </c>
      <c r="H259" s="27">
        <f>Contributions_Data!D479</f>
        <v>11246.66</v>
      </c>
      <c r="I259" s="27">
        <v>0</v>
      </c>
    </row>
    <row r="260" spans="3:9">
      <c r="C260" s="23">
        <v>253</v>
      </c>
      <c r="D260" s="23" t="s">
        <v>132</v>
      </c>
      <c r="E260" s="23" t="str">
        <f>Contributions_Data!A959</f>
        <v>DA-003</v>
      </c>
      <c r="F260" s="23" t="str">
        <f>Contributions_Data!B959</f>
        <v>DA-003-M0080</v>
      </c>
      <c r="G260" s="24">
        <f>Contributions_Data!C959</f>
        <v>45328</v>
      </c>
      <c r="H260" s="27">
        <f>Contributions_Data!D959</f>
        <v>14972.64</v>
      </c>
      <c r="I260" s="27">
        <v>0</v>
      </c>
    </row>
    <row r="261" spans="3:9">
      <c r="C261" s="23">
        <v>254</v>
      </c>
      <c r="D261" s="23" t="s">
        <v>134</v>
      </c>
      <c r="E261" s="23" t="str">
        <f>Withdrawals_Data!A86</f>
        <v>DA-002</v>
      </c>
      <c r="F261" s="23" t="str">
        <f>Withdrawals_Data!B86</f>
        <v>DA-002-M0091</v>
      </c>
      <c r="G261" s="24">
        <f>Withdrawals_Data!C86</f>
        <v>45328</v>
      </c>
      <c r="H261" s="27">
        <v>0</v>
      </c>
      <c r="I261" s="27">
        <f>-Withdrawals_Data!D86</f>
        <v>-10354.31</v>
      </c>
    </row>
    <row r="262" spans="3:9">
      <c r="C262" s="23">
        <v>255</v>
      </c>
      <c r="D262" s="23" t="s">
        <v>134</v>
      </c>
      <c r="E262" s="23" t="str">
        <f>Withdrawals_Data!A103</f>
        <v>DA-003</v>
      </c>
      <c r="F262" s="23" t="str">
        <f>Withdrawals_Data!B103</f>
        <v>DA-003-M0012</v>
      </c>
      <c r="G262" s="24">
        <f>Withdrawals_Data!C103</f>
        <v>45328</v>
      </c>
      <c r="H262" s="27">
        <v>0</v>
      </c>
      <c r="I262" s="27">
        <f>-Withdrawals_Data!D103</f>
        <v>-9775.2800000000007</v>
      </c>
    </row>
    <row r="263" spans="3:9">
      <c r="C263" s="23">
        <v>256</v>
      </c>
      <c r="D263" s="23" t="s">
        <v>134</v>
      </c>
      <c r="E263" s="23" t="str">
        <f>Withdrawals_Data!A468</f>
        <v>DA-002</v>
      </c>
      <c r="F263" s="23" t="str">
        <f>Withdrawals_Data!B468</f>
        <v>DA-002-M0017</v>
      </c>
      <c r="G263" s="24">
        <f>Withdrawals_Data!C468</f>
        <v>45328</v>
      </c>
      <c r="H263" s="27">
        <v>0</v>
      </c>
      <c r="I263" s="27">
        <f>-Withdrawals_Data!D468</f>
        <v>-21265</v>
      </c>
    </row>
    <row r="264" spans="3:9">
      <c r="C264" s="23">
        <v>257</v>
      </c>
      <c r="D264" s="23" t="s">
        <v>134</v>
      </c>
      <c r="E264" s="23" t="str">
        <f>Withdrawals_Data!A477</f>
        <v>DA-002</v>
      </c>
      <c r="F264" s="23" t="str">
        <f>Withdrawals_Data!B477</f>
        <v>DA-002-M0018</v>
      </c>
      <c r="G264" s="24">
        <f>Withdrawals_Data!C477</f>
        <v>45328</v>
      </c>
      <c r="H264" s="27">
        <v>0</v>
      </c>
      <c r="I264" s="27">
        <f>-Withdrawals_Data!D477</f>
        <v>-21045</v>
      </c>
    </row>
    <row r="265" spans="3:9">
      <c r="C265" s="23">
        <v>258</v>
      </c>
      <c r="D265" s="23" t="s">
        <v>134</v>
      </c>
      <c r="E265" s="23" t="str">
        <f>Withdrawals_Data!A689</f>
        <v>DA-002</v>
      </c>
      <c r="F265" s="23" t="str">
        <f>Withdrawals_Data!B689</f>
        <v>DA-002-M0042</v>
      </c>
      <c r="G265" s="24">
        <f>Withdrawals_Data!C689</f>
        <v>45328</v>
      </c>
      <c r="H265" s="27">
        <v>0</v>
      </c>
      <c r="I265" s="27">
        <f>-Withdrawals_Data!D689</f>
        <v>-2544</v>
      </c>
    </row>
    <row r="266" spans="3:9">
      <c r="C266" s="23">
        <v>259</v>
      </c>
      <c r="D266" s="23" t="s">
        <v>134</v>
      </c>
      <c r="E266" s="23" t="str">
        <f>Withdrawals_Data!A870</f>
        <v>DA-002</v>
      </c>
      <c r="F266" s="23" t="str">
        <f>Withdrawals_Data!B870</f>
        <v>DA-002-M0062</v>
      </c>
      <c r="G266" s="24">
        <f>Withdrawals_Data!C870</f>
        <v>45328</v>
      </c>
      <c r="H266" s="27">
        <v>0</v>
      </c>
      <c r="I266" s="27">
        <f>-Withdrawals_Data!D870</f>
        <v>-18154</v>
      </c>
    </row>
    <row r="267" spans="3:9">
      <c r="C267" s="23">
        <v>260</v>
      </c>
      <c r="D267" s="23" t="s">
        <v>134</v>
      </c>
      <c r="E267" s="23" t="str">
        <f>Withdrawals_Data!A937</f>
        <v>DA-002</v>
      </c>
      <c r="F267" s="23" t="str">
        <f>Withdrawals_Data!B937</f>
        <v>DA-002-M0070</v>
      </c>
      <c r="G267" s="24">
        <f>Withdrawals_Data!C937</f>
        <v>45328</v>
      </c>
      <c r="H267" s="27">
        <v>0</v>
      </c>
      <c r="I267" s="27">
        <f>-Withdrawals_Data!D937</f>
        <v>-4056</v>
      </c>
    </row>
    <row r="268" spans="3:9">
      <c r="C268" s="23">
        <v>261</v>
      </c>
      <c r="D268" s="23" t="s">
        <v>132</v>
      </c>
      <c r="E268" s="23" t="str">
        <f>Contributions_Data!A146</f>
        <v>DA-003</v>
      </c>
      <c r="F268" s="23" t="str">
        <f>Contributions_Data!B146</f>
        <v>DA-003-M0013</v>
      </c>
      <c r="G268" s="24">
        <f>Contributions_Data!C146</f>
        <v>45329</v>
      </c>
      <c r="H268" s="27">
        <f>Contributions_Data!D146</f>
        <v>10692.41</v>
      </c>
      <c r="I268" s="27">
        <v>0</v>
      </c>
    </row>
    <row r="269" spans="3:9">
      <c r="C269" s="23">
        <v>262</v>
      </c>
      <c r="D269" s="23" t="s">
        <v>132</v>
      </c>
      <c r="E269" s="23" t="str">
        <f>Contributions_Data!A403</f>
        <v>DA-001</v>
      </c>
      <c r="F269" s="23" t="str">
        <f>Contributions_Data!B403</f>
        <v>DA-001-M0034</v>
      </c>
      <c r="G269" s="24">
        <f>Contributions_Data!C403</f>
        <v>45329</v>
      </c>
      <c r="H269" s="27">
        <f>Contributions_Data!D403</f>
        <v>13667.12</v>
      </c>
      <c r="I269" s="27">
        <v>0</v>
      </c>
    </row>
    <row r="270" spans="3:9">
      <c r="C270" s="23">
        <v>263</v>
      </c>
      <c r="D270" s="23" t="s">
        <v>132</v>
      </c>
      <c r="E270" s="23" t="str">
        <f>Contributions_Data!A715</f>
        <v>DA-002</v>
      </c>
      <c r="F270" s="23" t="str">
        <f>Contributions_Data!B715</f>
        <v>DA-002-M0060</v>
      </c>
      <c r="G270" s="24">
        <f>Contributions_Data!C715</f>
        <v>45329</v>
      </c>
      <c r="H270" s="27">
        <f>Contributions_Data!D715</f>
        <v>15625.15</v>
      </c>
      <c r="I270" s="27">
        <v>0</v>
      </c>
    </row>
    <row r="271" spans="3:9">
      <c r="C271" s="23">
        <v>264</v>
      </c>
      <c r="D271" s="23" t="s">
        <v>132</v>
      </c>
      <c r="E271" s="23" t="str">
        <f>Contributions_Data!A719</f>
        <v>DA-002</v>
      </c>
      <c r="F271" s="23" t="str">
        <f>Contributions_Data!B719</f>
        <v>DA-002-M0060</v>
      </c>
      <c r="G271" s="24">
        <f>Contributions_Data!C719</f>
        <v>45329</v>
      </c>
      <c r="H271" s="27">
        <f>Contributions_Data!D719</f>
        <v>11995.14</v>
      </c>
      <c r="I271" s="27">
        <v>0</v>
      </c>
    </row>
    <row r="272" spans="3:9">
      <c r="C272" s="23">
        <v>265</v>
      </c>
      <c r="D272" s="23" t="s">
        <v>132</v>
      </c>
      <c r="E272" s="23" t="str">
        <f>Contributions_Data!A896</f>
        <v>DA-001</v>
      </c>
      <c r="F272" s="23" t="str">
        <f>Contributions_Data!B896</f>
        <v>DA-001-M0075</v>
      </c>
      <c r="G272" s="24">
        <f>Contributions_Data!C896</f>
        <v>45329</v>
      </c>
      <c r="H272" s="27">
        <f>Contributions_Data!D896</f>
        <v>17891.64</v>
      </c>
      <c r="I272" s="27">
        <v>0</v>
      </c>
    </row>
    <row r="273" spans="3:9">
      <c r="C273" s="23">
        <v>266</v>
      </c>
      <c r="D273" s="23" t="s">
        <v>132</v>
      </c>
      <c r="E273" s="23" t="str">
        <f>Contributions_Data!A1076</f>
        <v>DA-003</v>
      </c>
      <c r="F273" s="23" t="str">
        <f>Contributions_Data!B1076</f>
        <v>DA-003-M0090</v>
      </c>
      <c r="G273" s="24">
        <f>Contributions_Data!C1076</f>
        <v>45329</v>
      </c>
      <c r="H273" s="27">
        <f>Contributions_Data!D1076</f>
        <v>20106.64</v>
      </c>
      <c r="I273" s="27">
        <v>0</v>
      </c>
    </row>
    <row r="274" spans="3:9">
      <c r="C274" s="23">
        <v>267</v>
      </c>
      <c r="D274" s="23" t="s">
        <v>132</v>
      </c>
      <c r="E274" s="23" t="str">
        <f>Contributions_Data!A684</f>
        <v>DA-002</v>
      </c>
      <c r="F274" s="23" t="str">
        <f>Contributions_Data!B684</f>
        <v>DA-002-M0057</v>
      </c>
      <c r="G274" s="24">
        <f>Contributions_Data!C684</f>
        <v>45330</v>
      </c>
      <c r="H274" s="27">
        <f>Contributions_Data!D684</f>
        <v>19331.29</v>
      </c>
      <c r="I274" s="27">
        <v>0</v>
      </c>
    </row>
    <row r="275" spans="3:9">
      <c r="C275" s="23">
        <v>268</v>
      </c>
      <c r="D275" s="23" t="s">
        <v>134</v>
      </c>
      <c r="E275" s="23" t="str">
        <f>Withdrawals_Data!A498</f>
        <v>DA-002</v>
      </c>
      <c r="F275" s="23" t="str">
        <f>Withdrawals_Data!B498</f>
        <v>DA-002-M0020</v>
      </c>
      <c r="G275" s="24">
        <f>Withdrawals_Data!C498</f>
        <v>45330</v>
      </c>
      <c r="H275" s="27">
        <v>0</v>
      </c>
      <c r="I275" s="27">
        <f>-Withdrawals_Data!D498</f>
        <v>-9181</v>
      </c>
    </row>
    <row r="276" spans="3:9">
      <c r="C276" s="23">
        <v>269</v>
      </c>
      <c r="D276" s="23" t="s">
        <v>134</v>
      </c>
      <c r="E276" s="23" t="str">
        <f>Withdrawals_Data!A503</f>
        <v>DA-002</v>
      </c>
      <c r="F276" s="23" t="str">
        <f>Withdrawals_Data!B503</f>
        <v>DA-002-M0021</v>
      </c>
      <c r="G276" s="24">
        <f>Withdrawals_Data!C503</f>
        <v>45330</v>
      </c>
      <c r="H276" s="27">
        <v>0</v>
      </c>
      <c r="I276" s="27">
        <f>-Withdrawals_Data!D503</f>
        <v>-12299</v>
      </c>
    </row>
    <row r="277" spans="3:9">
      <c r="C277" s="23">
        <v>270</v>
      </c>
      <c r="D277" s="23" t="s">
        <v>134</v>
      </c>
      <c r="E277" s="23" t="str">
        <f>Withdrawals_Data!A928</f>
        <v>DA-003</v>
      </c>
      <c r="F277" s="23" t="str">
        <f>Withdrawals_Data!B928</f>
        <v>DA-003-M0069</v>
      </c>
      <c r="G277" s="24">
        <f>Withdrawals_Data!C928</f>
        <v>45330</v>
      </c>
      <c r="H277" s="27">
        <v>0</v>
      </c>
      <c r="I277" s="27">
        <f>-Withdrawals_Data!D928</f>
        <v>-16535</v>
      </c>
    </row>
    <row r="278" spans="3:9">
      <c r="C278" s="23">
        <v>271</v>
      </c>
      <c r="D278" s="23" t="s">
        <v>134</v>
      </c>
      <c r="E278" s="23" t="str">
        <f>Withdrawals_Data!A1092</f>
        <v>DA-001</v>
      </c>
      <c r="F278" s="23" t="str">
        <f>Withdrawals_Data!B1092</f>
        <v>DA-001-M0087</v>
      </c>
      <c r="G278" s="24">
        <f>Withdrawals_Data!C1092</f>
        <v>45330</v>
      </c>
      <c r="H278" s="27">
        <v>0</v>
      </c>
      <c r="I278" s="27">
        <f>-Withdrawals_Data!D1092</f>
        <v>-8990</v>
      </c>
    </row>
    <row r="279" spans="3:9">
      <c r="C279" s="23">
        <v>272</v>
      </c>
      <c r="D279" s="23" t="s">
        <v>132</v>
      </c>
      <c r="E279" s="23" t="str">
        <f>Contributions_Data!A498</f>
        <v>DA-002</v>
      </c>
      <c r="F279" s="23" t="str">
        <f>Contributions_Data!B498</f>
        <v>DA-002-M0042</v>
      </c>
      <c r="G279" s="24">
        <f>Contributions_Data!C498</f>
        <v>45331</v>
      </c>
      <c r="H279" s="27">
        <f>Contributions_Data!D498</f>
        <v>14829.16</v>
      </c>
      <c r="I279" s="27">
        <v>0</v>
      </c>
    </row>
    <row r="280" spans="3:9">
      <c r="C280" s="23">
        <v>273</v>
      </c>
      <c r="D280" s="23" t="s">
        <v>132</v>
      </c>
      <c r="E280" s="23" t="str">
        <f>Contributions_Data!A850</f>
        <v>DA-001</v>
      </c>
      <c r="F280" s="23" t="str">
        <f>Contributions_Data!B850</f>
        <v>DA-001-M0071</v>
      </c>
      <c r="G280" s="24">
        <f>Contributions_Data!C850</f>
        <v>45331</v>
      </c>
      <c r="H280" s="27">
        <f>Contributions_Data!D850</f>
        <v>22319.26</v>
      </c>
      <c r="I280" s="27">
        <v>0</v>
      </c>
    </row>
    <row r="281" spans="3:9">
      <c r="C281" s="23">
        <v>274</v>
      </c>
      <c r="D281" s="23" t="s">
        <v>132</v>
      </c>
      <c r="E281" s="23" t="str">
        <f>Contributions_Data!A975</f>
        <v>DA-003</v>
      </c>
      <c r="F281" s="23" t="str">
        <f>Contributions_Data!B975</f>
        <v>DA-003-M0082</v>
      </c>
      <c r="G281" s="24">
        <f>Contributions_Data!C975</f>
        <v>45331</v>
      </c>
      <c r="H281" s="27">
        <f>Contributions_Data!D975</f>
        <v>12181.99</v>
      </c>
      <c r="I281" s="27">
        <v>0</v>
      </c>
    </row>
    <row r="282" spans="3:9">
      <c r="C282" s="23">
        <v>275</v>
      </c>
      <c r="D282" s="23" t="s">
        <v>134</v>
      </c>
      <c r="E282" s="23" t="str">
        <f>Withdrawals_Data!A191</f>
        <v>DA-003</v>
      </c>
      <c r="F282" s="23" t="str">
        <f>Withdrawals_Data!B191</f>
        <v>DA-003-M0069</v>
      </c>
      <c r="G282" s="24">
        <f>Withdrawals_Data!C191</f>
        <v>45331</v>
      </c>
      <c r="H282" s="27">
        <v>0</v>
      </c>
      <c r="I282" s="27">
        <f>-Withdrawals_Data!D191</f>
        <v>-7743.45</v>
      </c>
    </row>
    <row r="283" spans="3:9">
      <c r="C283" s="23">
        <v>276</v>
      </c>
      <c r="D283" s="23" t="s">
        <v>134</v>
      </c>
      <c r="E283" s="23" t="str">
        <f>Withdrawals_Data!A196</f>
        <v>DA-003</v>
      </c>
      <c r="F283" s="23" t="str">
        <f>Withdrawals_Data!B196</f>
        <v>DA-003-M0079</v>
      </c>
      <c r="G283" s="24">
        <f>Withdrawals_Data!C196</f>
        <v>45331</v>
      </c>
      <c r="H283" s="27">
        <v>0</v>
      </c>
      <c r="I283" s="27">
        <f>-Withdrawals_Data!D196</f>
        <v>-7604.44</v>
      </c>
    </row>
    <row r="284" spans="3:9">
      <c r="C284" s="23">
        <v>277</v>
      </c>
      <c r="D284" s="23" t="s">
        <v>134</v>
      </c>
      <c r="E284" s="23" t="str">
        <f>Withdrawals_Data!A364</f>
        <v>DA-001</v>
      </c>
      <c r="F284" s="23" t="str">
        <f>Withdrawals_Data!B364</f>
        <v>DA-001-M0004</v>
      </c>
      <c r="G284" s="24">
        <f>Withdrawals_Data!C364</f>
        <v>45331</v>
      </c>
      <c r="H284" s="27">
        <v>0</v>
      </c>
      <c r="I284" s="27">
        <f>-Withdrawals_Data!D364</f>
        <v>-4259</v>
      </c>
    </row>
    <row r="285" spans="3:9">
      <c r="C285" s="23">
        <v>278</v>
      </c>
      <c r="D285" s="23" t="s">
        <v>134</v>
      </c>
      <c r="E285" s="23" t="str">
        <f>Withdrawals_Data!A576</f>
        <v>DA-003</v>
      </c>
      <c r="F285" s="23" t="str">
        <f>Withdrawals_Data!B576</f>
        <v>DA-003-M0029</v>
      </c>
      <c r="G285" s="24">
        <f>Withdrawals_Data!C576</f>
        <v>45331</v>
      </c>
      <c r="H285" s="27">
        <v>0</v>
      </c>
      <c r="I285" s="27">
        <f>-Withdrawals_Data!D576</f>
        <v>-17347</v>
      </c>
    </row>
    <row r="286" spans="3:9">
      <c r="C286" s="23">
        <v>279</v>
      </c>
      <c r="D286" s="23" t="s">
        <v>134</v>
      </c>
      <c r="E286" s="23" t="str">
        <f>Withdrawals_Data!A730</f>
        <v>DA-001</v>
      </c>
      <c r="F286" s="23" t="str">
        <f>Withdrawals_Data!B730</f>
        <v>DA-001-M0046</v>
      </c>
      <c r="G286" s="24">
        <f>Withdrawals_Data!C730</f>
        <v>45331</v>
      </c>
      <c r="H286" s="27">
        <v>0</v>
      </c>
      <c r="I286" s="27">
        <f>-Withdrawals_Data!D730</f>
        <v>-11475</v>
      </c>
    </row>
    <row r="287" spans="3:9">
      <c r="C287" s="23">
        <v>280</v>
      </c>
      <c r="D287" s="23" t="s">
        <v>132</v>
      </c>
      <c r="E287" s="23" t="str">
        <f>Contributions_Data!A285</f>
        <v>DA-001</v>
      </c>
      <c r="F287" s="23" t="str">
        <f>Contributions_Data!B285</f>
        <v>DA-001-M0024</v>
      </c>
      <c r="G287" s="24">
        <f>Contributions_Data!C285</f>
        <v>45332</v>
      </c>
      <c r="H287" s="27">
        <f>Contributions_Data!D285</f>
        <v>16099.79</v>
      </c>
      <c r="I287" s="27">
        <v>0</v>
      </c>
    </row>
    <row r="288" spans="3:9">
      <c r="C288" s="23">
        <v>281</v>
      </c>
      <c r="D288" s="23" t="s">
        <v>132</v>
      </c>
      <c r="E288" s="23" t="str">
        <f>Contributions_Data!A938</f>
        <v>DA-003</v>
      </c>
      <c r="F288" s="23" t="str">
        <f>Contributions_Data!B938</f>
        <v>DA-003-M0079</v>
      </c>
      <c r="G288" s="24">
        <f>Contributions_Data!C938</f>
        <v>45332</v>
      </c>
      <c r="H288" s="27">
        <f>Contributions_Data!D938</f>
        <v>17870.11</v>
      </c>
      <c r="I288" s="27">
        <v>0</v>
      </c>
    </row>
    <row r="289" spans="3:9">
      <c r="C289" s="23">
        <v>282</v>
      </c>
      <c r="D289" s="23" t="s">
        <v>134</v>
      </c>
      <c r="E289" s="23" t="str">
        <f>Withdrawals_Data!A743</f>
        <v>DA-003</v>
      </c>
      <c r="F289" s="23" t="str">
        <f>Withdrawals_Data!B743</f>
        <v>DA-003-M0048</v>
      </c>
      <c r="G289" s="24">
        <f>Withdrawals_Data!C743</f>
        <v>45332</v>
      </c>
      <c r="H289" s="27">
        <v>0</v>
      </c>
      <c r="I289" s="27">
        <f>-Withdrawals_Data!D743</f>
        <v>-19921</v>
      </c>
    </row>
    <row r="290" spans="3:9">
      <c r="C290" s="23">
        <v>283</v>
      </c>
      <c r="D290" s="23" t="s">
        <v>132</v>
      </c>
      <c r="E290" s="23" t="str">
        <f>Contributions_Data!A65</f>
        <v>DA-003</v>
      </c>
      <c r="F290" s="23" t="str">
        <f>Contributions_Data!B65</f>
        <v>DA-003-M0006</v>
      </c>
      <c r="G290" s="24">
        <f>Contributions_Data!C65</f>
        <v>45333</v>
      </c>
      <c r="H290" s="27">
        <f>Contributions_Data!D65</f>
        <v>17361.25</v>
      </c>
      <c r="I290" s="27">
        <v>0</v>
      </c>
    </row>
    <row r="291" spans="3:9">
      <c r="C291" s="23">
        <v>284</v>
      </c>
      <c r="D291" s="23" t="s">
        <v>132</v>
      </c>
      <c r="E291" s="23" t="str">
        <f>Contributions_Data!A264</f>
        <v>DA-001</v>
      </c>
      <c r="F291" s="23" t="str">
        <f>Contributions_Data!B264</f>
        <v>DA-001-M0022</v>
      </c>
      <c r="G291" s="24">
        <f>Contributions_Data!C264</f>
        <v>45333</v>
      </c>
      <c r="H291" s="27">
        <f>Contributions_Data!D264</f>
        <v>20266.02</v>
      </c>
      <c r="I291" s="27">
        <v>0</v>
      </c>
    </row>
    <row r="292" spans="3:9">
      <c r="C292" s="23">
        <v>285</v>
      </c>
      <c r="D292" s="23" t="s">
        <v>132</v>
      </c>
      <c r="E292" s="23" t="str">
        <f>Contributions_Data!A302</f>
        <v>DA-002</v>
      </c>
      <c r="F292" s="23" t="str">
        <f>Contributions_Data!B302</f>
        <v>DA-002-M0026</v>
      </c>
      <c r="G292" s="24">
        <f>Contributions_Data!C302</f>
        <v>45333</v>
      </c>
      <c r="H292" s="27">
        <f>Contributions_Data!D302</f>
        <v>13272.55</v>
      </c>
      <c r="I292" s="27">
        <v>0</v>
      </c>
    </row>
    <row r="293" spans="3:9">
      <c r="C293" s="23">
        <v>286</v>
      </c>
      <c r="D293" s="23" t="s">
        <v>132</v>
      </c>
      <c r="E293" s="23" t="str">
        <f>Contributions_Data!A309</f>
        <v>DA-002</v>
      </c>
      <c r="F293" s="23" t="str">
        <f>Contributions_Data!B309</f>
        <v>DA-002-M0026</v>
      </c>
      <c r="G293" s="24">
        <f>Contributions_Data!C309</f>
        <v>45333</v>
      </c>
      <c r="H293" s="27">
        <f>Contributions_Data!D309</f>
        <v>24236.639999999999</v>
      </c>
      <c r="I293" s="27">
        <v>0</v>
      </c>
    </row>
    <row r="294" spans="3:9">
      <c r="C294" s="23">
        <v>287</v>
      </c>
      <c r="D294" s="23" t="s">
        <v>132</v>
      </c>
      <c r="E294" s="23" t="str">
        <f>Contributions_Data!A1046</f>
        <v>DA-002</v>
      </c>
      <c r="F294" s="23" t="str">
        <f>Contributions_Data!B1046</f>
        <v>DA-002-M0088</v>
      </c>
      <c r="G294" s="24">
        <f>Contributions_Data!C1046</f>
        <v>45333</v>
      </c>
      <c r="H294" s="27">
        <f>Contributions_Data!D1046</f>
        <v>18984.580000000002</v>
      </c>
      <c r="I294" s="27">
        <v>0</v>
      </c>
    </row>
    <row r="295" spans="3:9">
      <c r="C295" s="23">
        <v>288</v>
      </c>
      <c r="D295" s="23" t="s">
        <v>134</v>
      </c>
      <c r="E295" s="23" t="str">
        <f>Withdrawals_Data!A303</f>
        <v>DA-003</v>
      </c>
      <c r="F295" s="23" t="str">
        <f>Withdrawals_Data!B303</f>
        <v>DA-003-M0006</v>
      </c>
      <c r="G295" s="24">
        <f>Withdrawals_Data!C303</f>
        <v>45333</v>
      </c>
      <c r="H295" s="27">
        <v>0</v>
      </c>
      <c r="I295" s="27">
        <f>-Withdrawals_Data!D303</f>
        <v>-3234.79</v>
      </c>
    </row>
    <row r="296" spans="3:9">
      <c r="C296" s="23">
        <v>289</v>
      </c>
      <c r="D296" s="23" t="s">
        <v>134</v>
      </c>
      <c r="E296" s="23" t="str">
        <f>Withdrawals_Data!A492</f>
        <v>DA-002</v>
      </c>
      <c r="F296" s="23" t="str">
        <f>Withdrawals_Data!B492</f>
        <v>DA-002-M0020</v>
      </c>
      <c r="G296" s="24">
        <f>Withdrawals_Data!C492</f>
        <v>45333</v>
      </c>
      <c r="H296" s="27">
        <v>0</v>
      </c>
      <c r="I296" s="27">
        <f>-Withdrawals_Data!D492</f>
        <v>-11346</v>
      </c>
    </row>
    <row r="297" spans="3:9">
      <c r="C297" s="23">
        <v>290</v>
      </c>
      <c r="D297" s="23" t="s">
        <v>132</v>
      </c>
      <c r="E297" s="23" t="str">
        <f>Contributions_Data!A902</f>
        <v>DA-003</v>
      </c>
      <c r="F297" s="23" t="str">
        <f>Contributions_Data!B902</f>
        <v>DA-003-M0076</v>
      </c>
      <c r="G297" s="24">
        <f>Contributions_Data!C902</f>
        <v>45334</v>
      </c>
      <c r="H297" s="27">
        <f>Contributions_Data!D902</f>
        <v>13339.24</v>
      </c>
      <c r="I297" s="27">
        <v>0</v>
      </c>
    </row>
    <row r="298" spans="3:9">
      <c r="C298" s="23">
        <v>291</v>
      </c>
      <c r="D298" s="23" t="s">
        <v>134</v>
      </c>
      <c r="E298" s="23" t="str">
        <f>Withdrawals_Data!A564</f>
        <v>DA-003</v>
      </c>
      <c r="F298" s="23" t="str">
        <f>Withdrawals_Data!B564</f>
        <v>DA-003-M0028</v>
      </c>
      <c r="G298" s="24">
        <f>Withdrawals_Data!C564</f>
        <v>45334</v>
      </c>
      <c r="H298" s="27">
        <v>0</v>
      </c>
      <c r="I298" s="27">
        <f>-Withdrawals_Data!D564</f>
        <v>-17150</v>
      </c>
    </row>
    <row r="299" spans="3:9">
      <c r="C299" s="23">
        <v>292</v>
      </c>
      <c r="D299" s="23" t="s">
        <v>134</v>
      </c>
      <c r="E299" s="23" t="str">
        <f>Withdrawals_Data!A976</f>
        <v>DA-001</v>
      </c>
      <c r="F299" s="23" t="str">
        <f>Withdrawals_Data!B976</f>
        <v>DA-001-M0075</v>
      </c>
      <c r="G299" s="24">
        <f>Withdrawals_Data!C976</f>
        <v>45334</v>
      </c>
      <c r="H299" s="27">
        <v>0</v>
      </c>
      <c r="I299" s="27">
        <f>-Withdrawals_Data!D976</f>
        <v>-4832</v>
      </c>
    </row>
    <row r="300" spans="3:9">
      <c r="C300" s="23">
        <v>293</v>
      </c>
      <c r="D300" s="23" t="s">
        <v>132</v>
      </c>
      <c r="E300" s="23" t="str">
        <f>Contributions_Data!A73</f>
        <v>DA-003</v>
      </c>
      <c r="F300" s="23" t="str">
        <f>Contributions_Data!B73</f>
        <v>DA-003-M0006</v>
      </c>
      <c r="G300" s="24">
        <f>Contributions_Data!C73</f>
        <v>45335</v>
      </c>
      <c r="H300" s="27">
        <f>Contributions_Data!D73</f>
        <v>12552.57</v>
      </c>
      <c r="I300" s="27">
        <v>0</v>
      </c>
    </row>
    <row r="301" spans="3:9">
      <c r="C301" s="23">
        <v>294</v>
      </c>
      <c r="D301" s="23" t="s">
        <v>132</v>
      </c>
      <c r="E301" s="23" t="str">
        <f>Contributions_Data!A976</f>
        <v>DA-003</v>
      </c>
      <c r="F301" s="23" t="str">
        <f>Contributions_Data!B976</f>
        <v>DA-003-M0082</v>
      </c>
      <c r="G301" s="24">
        <f>Contributions_Data!C976</f>
        <v>45335</v>
      </c>
      <c r="H301" s="27">
        <f>Contributions_Data!D976</f>
        <v>14567.74</v>
      </c>
      <c r="I301" s="27">
        <v>0</v>
      </c>
    </row>
    <row r="302" spans="3:9">
      <c r="C302" s="23">
        <v>295</v>
      </c>
      <c r="D302" s="23" t="s">
        <v>132</v>
      </c>
      <c r="E302" s="23" t="str">
        <f>Contributions_Data!A1113</f>
        <v>DA-001</v>
      </c>
      <c r="F302" s="23" t="str">
        <f>Contributions_Data!B1113</f>
        <v>DA-001-M0093</v>
      </c>
      <c r="G302" s="24">
        <f>Contributions_Data!C1113</f>
        <v>45335</v>
      </c>
      <c r="H302" s="27">
        <f>Contributions_Data!D1113</f>
        <v>16777.580000000002</v>
      </c>
      <c r="I302" s="27">
        <v>0</v>
      </c>
    </row>
    <row r="303" spans="3:9">
      <c r="C303" s="23">
        <v>296</v>
      </c>
      <c r="D303" s="23" t="s">
        <v>132</v>
      </c>
      <c r="E303" s="23" t="str">
        <f>Contributions_Data!A1137</f>
        <v>DA-003</v>
      </c>
      <c r="F303" s="23" t="str">
        <f>Contributions_Data!B1137</f>
        <v>DA-003-M0095</v>
      </c>
      <c r="G303" s="24">
        <f>Contributions_Data!C1137</f>
        <v>45335</v>
      </c>
      <c r="H303" s="27">
        <f>Contributions_Data!D1137</f>
        <v>15969.5</v>
      </c>
      <c r="I303" s="27">
        <v>0</v>
      </c>
    </row>
    <row r="304" spans="3:9">
      <c r="C304" s="23">
        <v>297</v>
      </c>
      <c r="D304" s="23" t="s">
        <v>134</v>
      </c>
      <c r="E304" s="23" t="str">
        <f>Withdrawals_Data!A113</f>
        <v>DA-002</v>
      </c>
      <c r="F304" s="23" t="str">
        <f>Withdrawals_Data!B113</f>
        <v>DA-002-M0054</v>
      </c>
      <c r="G304" s="24">
        <f>Withdrawals_Data!C113</f>
        <v>45335</v>
      </c>
      <c r="H304" s="27">
        <v>0</v>
      </c>
      <c r="I304" s="27">
        <f>-Withdrawals_Data!D113</f>
        <v>-9474.69</v>
      </c>
    </row>
    <row r="305" spans="3:9">
      <c r="C305" s="23">
        <v>298</v>
      </c>
      <c r="D305" s="23" t="s">
        <v>134</v>
      </c>
      <c r="E305" s="23" t="str">
        <f>Withdrawals_Data!A149</f>
        <v>DA-003</v>
      </c>
      <c r="F305" s="23" t="str">
        <f>Withdrawals_Data!B149</f>
        <v>DA-003-M0008</v>
      </c>
      <c r="G305" s="24">
        <f>Withdrawals_Data!C149</f>
        <v>45335</v>
      </c>
      <c r="H305" s="27">
        <v>0</v>
      </c>
      <c r="I305" s="27">
        <f>-Withdrawals_Data!D149</f>
        <v>-8614.9</v>
      </c>
    </row>
    <row r="306" spans="3:9">
      <c r="C306" s="23">
        <v>299</v>
      </c>
      <c r="D306" s="23" t="s">
        <v>134</v>
      </c>
      <c r="E306" s="23" t="str">
        <f>Withdrawals_Data!A923</f>
        <v>DA-003</v>
      </c>
      <c r="F306" s="23" t="str">
        <f>Withdrawals_Data!B923</f>
        <v>DA-003-M0068</v>
      </c>
      <c r="G306" s="24">
        <f>Withdrawals_Data!C923</f>
        <v>45335</v>
      </c>
      <c r="H306" s="27">
        <v>0</v>
      </c>
      <c r="I306" s="27">
        <f>-Withdrawals_Data!D923</f>
        <v>-8755</v>
      </c>
    </row>
    <row r="307" spans="3:9">
      <c r="C307" s="23">
        <v>300</v>
      </c>
      <c r="D307" s="23" t="s">
        <v>132</v>
      </c>
      <c r="E307" s="23" t="str">
        <f>Contributions_Data!A179</f>
        <v>DA-003</v>
      </c>
      <c r="F307" s="23" t="str">
        <f>Contributions_Data!B179</f>
        <v>DA-003-M0015</v>
      </c>
      <c r="G307" s="24">
        <f>Contributions_Data!C179</f>
        <v>45336</v>
      </c>
      <c r="H307" s="27">
        <f>Contributions_Data!D179</f>
        <v>17440.53</v>
      </c>
      <c r="I307" s="27">
        <v>0</v>
      </c>
    </row>
    <row r="308" spans="3:9">
      <c r="C308" s="23">
        <v>301</v>
      </c>
      <c r="D308" s="23" t="s">
        <v>132</v>
      </c>
      <c r="E308" s="23" t="str">
        <f>Contributions_Data!A913</f>
        <v>DA-003</v>
      </c>
      <c r="F308" s="23" t="str">
        <f>Contributions_Data!B913</f>
        <v>DA-003-M0076</v>
      </c>
      <c r="G308" s="24">
        <f>Contributions_Data!C913</f>
        <v>45336</v>
      </c>
      <c r="H308" s="27">
        <f>Contributions_Data!D913</f>
        <v>9018.7900000000009</v>
      </c>
      <c r="I308" s="27">
        <v>0</v>
      </c>
    </row>
    <row r="309" spans="3:9">
      <c r="C309" s="23">
        <v>302</v>
      </c>
      <c r="D309" s="23" t="s">
        <v>134</v>
      </c>
      <c r="E309" s="23" t="str">
        <f>Withdrawals_Data!A548</f>
        <v>DA-002</v>
      </c>
      <c r="F309" s="23" t="str">
        <f>Withdrawals_Data!B548</f>
        <v>DA-002-M0026</v>
      </c>
      <c r="G309" s="24">
        <f>Withdrawals_Data!C548</f>
        <v>45336</v>
      </c>
      <c r="H309" s="27">
        <v>0</v>
      </c>
      <c r="I309" s="27">
        <f>-Withdrawals_Data!D548</f>
        <v>-10523</v>
      </c>
    </row>
    <row r="310" spans="3:9">
      <c r="C310" s="23">
        <v>303</v>
      </c>
      <c r="D310" s="23" t="s">
        <v>134</v>
      </c>
      <c r="E310" s="23" t="str">
        <f>Withdrawals_Data!A706</f>
        <v>DA-002</v>
      </c>
      <c r="F310" s="23" t="str">
        <f>Withdrawals_Data!B706</f>
        <v>DA-002-M0044</v>
      </c>
      <c r="G310" s="24">
        <f>Withdrawals_Data!C706</f>
        <v>45336</v>
      </c>
      <c r="H310" s="27">
        <v>0</v>
      </c>
      <c r="I310" s="27">
        <f>-Withdrawals_Data!D706</f>
        <v>-19521</v>
      </c>
    </row>
    <row r="311" spans="3:9">
      <c r="C311" s="23">
        <v>304</v>
      </c>
      <c r="D311" s="23" t="s">
        <v>132</v>
      </c>
      <c r="E311" s="23" t="str">
        <f>Contributions_Data!A314</f>
        <v>DA-002</v>
      </c>
      <c r="F311" s="23" t="str">
        <f>Contributions_Data!B314</f>
        <v>DA-002-M0027</v>
      </c>
      <c r="G311" s="24">
        <f>Contributions_Data!C314</f>
        <v>45337</v>
      </c>
      <c r="H311" s="27">
        <f>Contributions_Data!D314</f>
        <v>12730.95</v>
      </c>
      <c r="I311" s="27">
        <v>0</v>
      </c>
    </row>
    <row r="312" spans="3:9">
      <c r="C312" s="23">
        <v>305</v>
      </c>
      <c r="D312" s="23" t="s">
        <v>132</v>
      </c>
      <c r="E312" s="23" t="str">
        <f>Contributions_Data!A755</f>
        <v>DA-002</v>
      </c>
      <c r="F312" s="23" t="str">
        <f>Contributions_Data!B755</f>
        <v>DA-002-M0063</v>
      </c>
      <c r="G312" s="24">
        <f>Contributions_Data!C755</f>
        <v>45337</v>
      </c>
      <c r="H312" s="27">
        <f>Contributions_Data!D755</f>
        <v>10606.88</v>
      </c>
      <c r="I312" s="27">
        <v>0</v>
      </c>
    </row>
    <row r="313" spans="3:9">
      <c r="C313" s="23">
        <v>306</v>
      </c>
      <c r="D313" s="23" t="s">
        <v>134</v>
      </c>
      <c r="E313" s="23" t="str">
        <f>Withdrawals_Data!A134</f>
        <v>DA-003</v>
      </c>
      <c r="F313" s="23" t="str">
        <f>Withdrawals_Data!B134</f>
        <v>DA-003-M0090</v>
      </c>
      <c r="G313" s="24">
        <f>Withdrawals_Data!C134</f>
        <v>45337</v>
      </c>
      <c r="H313" s="27">
        <v>0</v>
      </c>
      <c r="I313" s="27">
        <f>-Withdrawals_Data!D134</f>
        <v>-8963.01</v>
      </c>
    </row>
    <row r="314" spans="3:9">
      <c r="C314" s="23">
        <v>307</v>
      </c>
      <c r="D314" s="23" t="s">
        <v>134</v>
      </c>
      <c r="E314" s="23" t="str">
        <f>Withdrawals_Data!A582</f>
        <v>DA-002</v>
      </c>
      <c r="F314" s="23" t="str">
        <f>Withdrawals_Data!B582</f>
        <v>DA-002-M0030</v>
      </c>
      <c r="G314" s="24">
        <f>Withdrawals_Data!C582</f>
        <v>45337</v>
      </c>
      <c r="H314" s="27">
        <v>0</v>
      </c>
      <c r="I314" s="27">
        <f>-Withdrawals_Data!D582</f>
        <v>-7973</v>
      </c>
    </row>
    <row r="315" spans="3:9">
      <c r="C315" s="23">
        <v>308</v>
      </c>
      <c r="D315" s="23" t="s">
        <v>134</v>
      </c>
      <c r="E315" s="23" t="str">
        <f>Withdrawals_Data!A779</f>
        <v>DA-003</v>
      </c>
      <c r="F315" s="23" t="str">
        <f>Withdrawals_Data!B779</f>
        <v>DA-003-M0052</v>
      </c>
      <c r="G315" s="24">
        <f>Withdrawals_Data!C779</f>
        <v>45337</v>
      </c>
      <c r="H315" s="27">
        <v>0</v>
      </c>
      <c r="I315" s="27">
        <f>-Withdrawals_Data!D779</f>
        <v>-5559</v>
      </c>
    </row>
    <row r="316" spans="3:9">
      <c r="C316" s="23">
        <v>309</v>
      </c>
      <c r="D316" s="23" t="s">
        <v>134</v>
      </c>
      <c r="E316" s="23" t="str">
        <f>Withdrawals_Data!A892</f>
        <v>DA-002</v>
      </c>
      <c r="F316" s="23" t="str">
        <f>Withdrawals_Data!B892</f>
        <v>DA-002-M0064</v>
      </c>
      <c r="G316" s="24">
        <f>Withdrawals_Data!C892</f>
        <v>45337</v>
      </c>
      <c r="H316" s="27">
        <v>0</v>
      </c>
      <c r="I316" s="27">
        <f>-Withdrawals_Data!D892</f>
        <v>-5548</v>
      </c>
    </row>
    <row r="317" spans="3:9">
      <c r="C317" s="23">
        <v>310</v>
      </c>
      <c r="D317" s="23" t="s">
        <v>134</v>
      </c>
      <c r="E317" s="23" t="str">
        <f>Withdrawals_Data!A1044</f>
        <v>DA-003</v>
      </c>
      <c r="F317" s="23" t="str">
        <f>Withdrawals_Data!B1044</f>
        <v>DA-003-M0082</v>
      </c>
      <c r="G317" s="24">
        <f>Withdrawals_Data!C1044</f>
        <v>45337</v>
      </c>
      <c r="H317" s="27">
        <v>0</v>
      </c>
      <c r="I317" s="27">
        <f>-Withdrawals_Data!D1044</f>
        <v>-10693</v>
      </c>
    </row>
    <row r="318" spans="3:9">
      <c r="C318" s="23">
        <v>311</v>
      </c>
      <c r="D318" s="23" t="s">
        <v>134</v>
      </c>
      <c r="E318" s="23" t="str">
        <f>Withdrawals_Data!A1163</f>
        <v>DA-001</v>
      </c>
      <c r="F318" s="23" t="str">
        <f>Withdrawals_Data!B1163</f>
        <v>DA-001-M0096</v>
      </c>
      <c r="G318" s="24">
        <f>Withdrawals_Data!C1163</f>
        <v>45337</v>
      </c>
      <c r="H318" s="27">
        <v>0</v>
      </c>
      <c r="I318" s="27">
        <f>-Withdrawals_Data!D1163</f>
        <v>-5041</v>
      </c>
    </row>
    <row r="319" spans="3:9">
      <c r="C319" s="23">
        <v>312</v>
      </c>
      <c r="D319" s="23" t="s">
        <v>132</v>
      </c>
      <c r="E319" s="23" t="str">
        <f>Contributions_Data!A426</f>
        <v>DA-003</v>
      </c>
      <c r="F319" s="23" t="str">
        <f>Contributions_Data!B426</f>
        <v>DA-003-M0036</v>
      </c>
      <c r="G319" s="24">
        <f>Contributions_Data!C426</f>
        <v>45338</v>
      </c>
      <c r="H319" s="27">
        <f>Contributions_Data!D426</f>
        <v>12031.19</v>
      </c>
      <c r="I319" s="27">
        <v>0</v>
      </c>
    </row>
    <row r="320" spans="3:9">
      <c r="C320" s="23">
        <v>313</v>
      </c>
      <c r="D320" s="23" t="s">
        <v>132</v>
      </c>
      <c r="E320" s="23" t="str">
        <f>Contributions_Data!A488</f>
        <v>DA-002</v>
      </c>
      <c r="F320" s="23" t="str">
        <f>Contributions_Data!B488</f>
        <v>DA-002-M0041</v>
      </c>
      <c r="G320" s="24">
        <f>Contributions_Data!C488</f>
        <v>45338</v>
      </c>
      <c r="H320" s="27">
        <f>Contributions_Data!D488</f>
        <v>20089.37</v>
      </c>
      <c r="I320" s="27">
        <v>0</v>
      </c>
    </row>
    <row r="321" spans="3:9">
      <c r="C321" s="23">
        <v>314</v>
      </c>
      <c r="D321" s="23" t="s">
        <v>134</v>
      </c>
      <c r="E321" s="23" t="str">
        <f>Withdrawals_Data!A357</f>
        <v>DA-002</v>
      </c>
      <c r="F321" s="23" t="str">
        <f>Withdrawals_Data!B357</f>
        <v>DA-002-M0003</v>
      </c>
      <c r="G321" s="24">
        <f>Withdrawals_Data!C357</f>
        <v>45338</v>
      </c>
      <c r="H321" s="27">
        <v>0</v>
      </c>
      <c r="I321" s="27">
        <f>-Withdrawals_Data!D357</f>
        <v>-21517</v>
      </c>
    </row>
    <row r="322" spans="3:9">
      <c r="C322" s="23">
        <v>315</v>
      </c>
      <c r="D322" s="23" t="s">
        <v>134</v>
      </c>
      <c r="E322" s="23" t="str">
        <f>Withdrawals_Data!A520</f>
        <v>DA-002</v>
      </c>
      <c r="F322" s="23" t="str">
        <f>Withdrawals_Data!B520</f>
        <v>DA-002-M0023</v>
      </c>
      <c r="G322" s="24">
        <f>Withdrawals_Data!C520</f>
        <v>45338</v>
      </c>
      <c r="H322" s="27">
        <v>0</v>
      </c>
      <c r="I322" s="27">
        <f>-Withdrawals_Data!D520</f>
        <v>-6114</v>
      </c>
    </row>
    <row r="323" spans="3:9">
      <c r="C323" s="23">
        <v>316</v>
      </c>
      <c r="D323" s="23" t="s">
        <v>134</v>
      </c>
      <c r="E323" s="23" t="str">
        <f>Withdrawals_Data!A764</f>
        <v>DA-002</v>
      </c>
      <c r="F323" s="23" t="str">
        <f>Withdrawals_Data!B764</f>
        <v>DA-002-M0050</v>
      </c>
      <c r="G323" s="24">
        <f>Withdrawals_Data!C764</f>
        <v>45338</v>
      </c>
      <c r="H323" s="27">
        <v>0</v>
      </c>
      <c r="I323" s="27">
        <f>-Withdrawals_Data!D764</f>
        <v>-6494</v>
      </c>
    </row>
    <row r="324" spans="3:9">
      <c r="C324" s="23">
        <v>317</v>
      </c>
      <c r="D324" s="23" t="s">
        <v>134</v>
      </c>
      <c r="E324" s="23" t="str">
        <f>Withdrawals_Data!A1143</f>
        <v>DA-002</v>
      </c>
      <c r="F324" s="23" t="str">
        <f>Withdrawals_Data!B1143</f>
        <v>DA-002-M0094</v>
      </c>
      <c r="G324" s="24">
        <f>Withdrawals_Data!C1143</f>
        <v>45338</v>
      </c>
      <c r="H324" s="27">
        <v>0</v>
      </c>
      <c r="I324" s="27">
        <f>-Withdrawals_Data!D1143</f>
        <v>-3690</v>
      </c>
    </row>
    <row r="325" spans="3:9">
      <c r="C325" s="23">
        <v>318</v>
      </c>
      <c r="D325" s="23" t="s">
        <v>132</v>
      </c>
      <c r="E325" s="23" t="str">
        <f>Contributions_Data!A239</f>
        <v>DA-002</v>
      </c>
      <c r="F325" s="23" t="str">
        <f>Contributions_Data!B239</f>
        <v>DA-002-M0020</v>
      </c>
      <c r="G325" s="24">
        <f>Contributions_Data!C239</f>
        <v>45339</v>
      </c>
      <c r="H325" s="27">
        <f>Contributions_Data!D239</f>
        <v>13269.29</v>
      </c>
      <c r="I325" s="27">
        <v>0</v>
      </c>
    </row>
    <row r="326" spans="3:9">
      <c r="C326" s="23">
        <v>319</v>
      </c>
      <c r="D326" s="23" t="s">
        <v>132</v>
      </c>
      <c r="E326" s="23" t="str">
        <f>Contributions_Data!A473</f>
        <v>DA-002</v>
      </c>
      <c r="F326" s="23" t="str">
        <f>Contributions_Data!B473</f>
        <v>DA-002-M0040</v>
      </c>
      <c r="G326" s="24">
        <f>Contributions_Data!C473</f>
        <v>45339</v>
      </c>
      <c r="H326" s="27">
        <f>Contributions_Data!D473</f>
        <v>17132.88</v>
      </c>
      <c r="I326" s="27">
        <v>0</v>
      </c>
    </row>
    <row r="327" spans="3:9">
      <c r="C327" s="23">
        <v>320</v>
      </c>
      <c r="D327" s="23" t="s">
        <v>132</v>
      </c>
      <c r="E327" s="23" t="str">
        <f>Contributions_Data!A491</f>
        <v>DA-002</v>
      </c>
      <c r="F327" s="23" t="str">
        <f>Contributions_Data!B491</f>
        <v>DA-002-M0041</v>
      </c>
      <c r="G327" s="24">
        <f>Contributions_Data!C491</f>
        <v>45339</v>
      </c>
      <c r="H327" s="27">
        <f>Contributions_Data!D491</f>
        <v>13365.24</v>
      </c>
      <c r="I327" s="27">
        <v>0</v>
      </c>
    </row>
    <row r="328" spans="3:9">
      <c r="C328" s="23">
        <v>321</v>
      </c>
      <c r="D328" s="23" t="s">
        <v>132</v>
      </c>
      <c r="E328" s="23" t="str">
        <f>Contributions_Data!A636</f>
        <v>DA-001</v>
      </c>
      <c r="F328" s="23" t="str">
        <f>Contributions_Data!B636</f>
        <v>DA-001-M0053</v>
      </c>
      <c r="G328" s="24">
        <f>Contributions_Data!C636</f>
        <v>45339</v>
      </c>
      <c r="H328" s="27">
        <f>Contributions_Data!D636</f>
        <v>17461.45</v>
      </c>
      <c r="I328" s="27">
        <v>0</v>
      </c>
    </row>
    <row r="329" spans="3:9">
      <c r="C329" s="23">
        <v>322</v>
      </c>
      <c r="D329" s="23" t="s">
        <v>132</v>
      </c>
      <c r="E329" s="23" t="str">
        <f>Contributions_Data!A657</f>
        <v>DA-001</v>
      </c>
      <c r="F329" s="23" t="str">
        <f>Contributions_Data!B657</f>
        <v>DA-001-M0055</v>
      </c>
      <c r="G329" s="24">
        <f>Contributions_Data!C657</f>
        <v>45339</v>
      </c>
      <c r="H329" s="27">
        <f>Contributions_Data!D657</f>
        <v>18220.900000000001</v>
      </c>
      <c r="I329" s="27">
        <v>0</v>
      </c>
    </row>
    <row r="330" spans="3:9">
      <c r="C330" s="23">
        <v>323</v>
      </c>
      <c r="D330" s="23" t="s">
        <v>132</v>
      </c>
      <c r="E330" s="23" t="str">
        <f>Contributions_Data!A806</f>
        <v>DA-003</v>
      </c>
      <c r="F330" s="23" t="str">
        <f>Contributions_Data!B806</f>
        <v>DA-003-M0068</v>
      </c>
      <c r="G330" s="24">
        <f>Contributions_Data!C806</f>
        <v>45339</v>
      </c>
      <c r="H330" s="27">
        <f>Contributions_Data!D806</f>
        <v>11839.75</v>
      </c>
      <c r="I330" s="27">
        <v>0</v>
      </c>
    </row>
    <row r="331" spans="3:9">
      <c r="C331" s="23">
        <v>324</v>
      </c>
      <c r="D331" s="23" t="s">
        <v>134</v>
      </c>
      <c r="E331" s="23" t="str">
        <f>Withdrawals_Data!A193</f>
        <v>DA-003</v>
      </c>
      <c r="F331" s="23" t="str">
        <f>Withdrawals_Data!B193</f>
        <v>DA-003-M0006</v>
      </c>
      <c r="G331" s="24">
        <f>Withdrawals_Data!C193</f>
        <v>45339</v>
      </c>
      <c r="H331" s="27">
        <v>0</v>
      </c>
      <c r="I331" s="27">
        <f>-Withdrawals_Data!D193</f>
        <v>-7691.59</v>
      </c>
    </row>
    <row r="332" spans="3:9">
      <c r="C332" s="23">
        <v>325</v>
      </c>
      <c r="D332" s="23" t="s">
        <v>134</v>
      </c>
      <c r="E332" s="23" t="str">
        <f>Withdrawals_Data!A831</f>
        <v>DA-001</v>
      </c>
      <c r="F332" s="23" t="str">
        <f>Withdrawals_Data!B831</f>
        <v>DA-001-M0058</v>
      </c>
      <c r="G332" s="24">
        <f>Withdrawals_Data!C831</f>
        <v>45339</v>
      </c>
      <c r="H332" s="27">
        <v>0</v>
      </c>
      <c r="I332" s="27">
        <f>-Withdrawals_Data!D831</f>
        <v>-6692</v>
      </c>
    </row>
    <row r="333" spans="3:9">
      <c r="C333" s="23">
        <v>326</v>
      </c>
      <c r="D333" s="23" t="s">
        <v>132</v>
      </c>
      <c r="E333" s="23" t="str">
        <f>Contributions_Data!A77</f>
        <v>DA-003</v>
      </c>
      <c r="F333" s="23" t="str">
        <f>Contributions_Data!B77</f>
        <v>DA-003-M0007</v>
      </c>
      <c r="G333" s="24">
        <f>Contributions_Data!C77</f>
        <v>45340</v>
      </c>
      <c r="H333" s="27">
        <f>Contributions_Data!D77</f>
        <v>19360.599999999999</v>
      </c>
      <c r="I333" s="27">
        <v>0</v>
      </c>
    </row>
    <row r="334" spans="3:9">
      <c r="C334" s="23">
        <v>327</v>
      </c>
      <c r="D334" s="23" t="s">
        <v>132</v>
      </c>
      <c r="E334" s="23" t="str">
        <f>Contributions_Data!A932</f>
        <v>DA-002</v>
      </c>
      <c r="F334" s="23" t="str">
        <f>Contributions_Data!B932</f>
        <v>DA-002-M0078</v>
      </c>
      <c r="G334" s="24">
        <f>Contributions_Data!C932</f>
        <v>45340</v>
      </c>
      <c r="H334" s="27">
        <f>Contributions_Data!D932</f>
        <v>15425.15</v>
      </c>
      <c r="I334" s="27">
        <v>0</v>
      </c>
    </row>
    <row r="335" spans="3:9">
      <c r="C335" s="23">
        <v>328</v>
      </c>
      <c r="D335" s="23" t="s">
        <v>134</v>
      </c>
      <c r="E335" s="23" t="str">
        <f>Withdrawals_Data!A5</f>
        <v>DA-001</v>
      </c>
      <c r="F335" s="23" t="str">
        <f>Withdrawals_Data!B5</f>
        <v>DA-001-M0019</v>
      </c>
      <c r="G335" s="24">
        <f>Withdrawals_Data!C5</f>
        <v>45340</v>
      </c>
      <c r="H335" s="27">
        <v>0</v>
      </c>
      <c r="I335" s="27">
        <f>-Withdrawals_Data!D5</f>
        <v>-16759.21</v>
      </c>
    </row>
    <row r="336" spans="3:9">
      <c r="C336" s="23">
        <v>329</v>
      </c>
      <c r="D336" s="23" t="s">
        <v>134</v>
      </c>
      <c r="E336" s="23" t="str">
        <f>Withdrawals_Data!A343</f>
        <v>DA-003</v>
      </c>
      <c r="F336" s="23" t="str">
        <f>Withdrawals_Data!B343</f>
        <v>DA-003-M0001</v>
      </c>
      <c r="G336" s="24">
        <f>Withdrawals_Data!C343</f>
        <v>45340</v>
      </c>
      <c r="H336" s="27">
        <v>0</v>
      </c>
      <c r="I336" s="27">
        <f>-Withdrawals_Data!D343</f>
        <v>-8974</v>
      </c>
    </row>
    <row r="337" spans="3:9">
      <c r="C337" s="23">
        <v>330</v>
      </c>
      <c r="D337" s="23" t="s">
        <v>134</v>
      </c>
      <c r="E337" s="23" t="str">
        <f>Withdrawals_Data!A571</f>
        <v>DA-003</v>
      </c>
      <c r="F337" s="23" t="str">
        <f>Withdrawals_Data!B571</f>
        <v>DA-003-M0029</v>
      </c>
      <c r="G337" s="24">
        <f>Withdrawals_Data!C571</f>
        <v>45340</v>
      </c>
      <c r="H337" s="27">
        <v>0</v>
      </c>
      <c r="I337" s="27">
        <f>-Withdrawals_Data!D571</f>
        <v>-16601</v>
      </c>
    </row>
    <row r="338" spans="3:9">
      <c r="C338" s="23">
        <v>331</v>
      </c>
      <c r="D338" s="23" t="s">
        <v>134</v>
      </c>
      <c r="E338" s="23" t="str">
        <f>Withdrawals_Data!A881</f>
        <v>DA-002</v>
      </c>
      <c r="F338" s="23" t="str">
        <f>Withdrawals_Data!B881</f>
        <v>DA-002-M0063</v>
      </c>
      <c r="G338" s="24">
        <f>Withdrawals_Data!C881</f>
        <v>45340</v>
      </c>
      <c r="H338" s="27">
        <v>0</v>
      </c>
      <c r="I338" s="27">
        <f>-Withdrawals_Data!D881</f>
        <v>-19393</v>
      </c>
    </row>
    <row r="339" spans="3:9">
      <c r="C339" s="23">
        <v>332</v>
      </c>
      <c r="D339" s="23" t="s">
        <v>134</v>
      </c>
      <c r="E339" s="23" t="str">
        <f>Withdrawals_Data!A1038</f>
        <v>DA-003</v>
      </c>
      <c r="F339" s="23" t="str">
        <f>Withdrawals_Data!B1038</f>
        <v>DA-003-M0082</v>
      </c>
      <c r="G339" s="24">
        <f>Withdrawals_Data!C1038</f>
        <v>45340</v>
      </c>
      <c r="H339" s="27">
        <v>0</v>
      </c>
      <c r="I339" s="27">
        <f>-Withdrawals_Data!D1038</f>
        <v>-9264</v>
      </c>
    </row>
    <row r="340" spans="3:9">
      <c r="C340" s="23">
        <v>333</v>
      </c>
      <c r="D340" s="23" t="s">
        <v>134</v>
      </c>
      <c r="E340" s="23" t="str">
        <f>Withdrawals_Data!A1142</f>
        <v>DA-002</v>
      </c>
      <c r="F340" s="23" t="str">
        <f>Withdrawals_Data!B1142</f>
        <v>DA-002-M0094</v>
      </c>
      <c r="G340" s="24">
        <f>Withdrawals_Data!C1142</f>
        <v>45340</v>
      </c>
      <c r="H340" s="27">
        <v>0</v>
      </c>
      <c r="I340" s="27">
        <f>-Withdrawals_Data!D1142</f>
        <v>-7905</v>
      </c>
    </row>
    <row r="341" spans="3:9">
      <c r="C341" s="23">
        <v>334</v>
      </c>
      <c r="D341" s="23" t="s">
        <v>132</v>
      </c>
      <c r="E341" s="23" t="str">
        <f>Contributions_Data!A1086</f>
        <v>DA-002</v>
      </c>
      <c r="F341" s="23" t="str">
        <f>Contributions_Data!B1086</f>
        <v>DA-002-M0091</v>
      </c>
      <c r="G341" s="24">
        <f>Contributions_Data!C1086</f>
        <v>45341</v>
      </c>
      <c r="H341" s="27">
        <f>Contributions_Data!D1086</f>
        <v>13258.43</v>
      </c>
      <c r="I341" s="27">
        <v>0</v>
      </c>
    </row>
    <row r="342" spans="3:9">
      <c r="C342" s="23">
        <v>335</v>
      </c>
      <c r="D342" s="23" t="s">
        <v>132</v>
      </c>
      <c r="E342" s="23" t="str">
        <f>Contributions_Data!A785</f>
        <v>DA-003</v>
      </c>
      <c r="F342" s="23" t="str">
        <f>Contributions_Data!B785</f>
        <v>DA-003-M0066</v>
      </c>
      <c r="G342" s="24">
        <f>Contributions_Data!C785</f>
        <v>45342</v>
      </c>
      <c r="H342" s="27">
        <f>Contributions_Data!D785</f>
        <v>13715.65</v>
      </c>
      <c r="I342" s="27">
        <v>0</v>
      </c>
    </row>
    <row r="343" spans="3:9">
      <c r="C343" s="23">
        <v>336</v>
      </c>
      <c r="D343" s="23" t="s">
        <v>132</v>
      </c>
      <c r="E343" s="23" t="str">
        <f>Contributions_Data!A801</f>
        <v>DA-002</v>
      </c>
      <c r="F343" s="23" t="str">
        <f>Contributions_Data!B801</f>
        <v>DA-002-M0067</v>
      </c>
      <c r="G343" s="24">
        <f>Contributions_Data!C801</f>
        <v>45342</v>
      </c>
      <c r="H343" s="27">
        <f>Contributions_Data!D801</f>
        <v>6311.23</v>
      </c>
      <c r="I343" s="27">
        <v>0</v>
      </c>
    </row>
    <row r="344" spans="3:9">
      <c r="C344" s="23">
        <v>337</v>
      </c>
      <c r="D344" s="23" t="s">
        <v>132</v>
      </c>
      <c r="E344" s="23" t="str">
        <f>Contributions_Data!A1033</f>
        <v>DA-003</v>
      </c>
      <c r="F344" s="23" t="str">
        <f>Contributions_Data!B1033</f>
        <v>DA-003-M0086</v>
      </c>
      <c r="G344" s="24">
        <f>Contributions_Data!C1033</f>
        <v>45342</v>
      </c>
      <c r="H344" s="27">
        <f>Contributions_Data!D1033</f>
        <v>15554.04</v>
      </c>
      <c r="I344" s="27">
        <v>0</v>
      </c>
    </row>
    <row r="345" spans="3:9">
      <c r="C345" s="23">
        <v>338</v>
      </c>
      <c r="D345" s="23" t="s">
        <v>134</v>
      </c>
      <c r="E345" s="23" t="str">
        <f>Withdrawals_Data!A179</f>
        <v>DA-002</v>
      </c>
      <c r="F345" s="23" t="str">
        <f>Withdrawals_Data!B179</f>
        <v>DA-002-M0060</v>
      </c>
      <c r="G345" s="24">
        <f>Withdrawals_Data!C179</f>
        <v>45342</v>
      </c>
      <c r="H345" s="27">
        <v>0</v>
      </c>
      <c r="I345" s="27">
        <f>-Withdrawals_Data!D179</f>
        <v>-7985.59</v>
      </c>
    </row>
    <row r="346" spans="3:9">
      <c r="C346" s="23">
        <v>339</v>
      </c>
      <c r="D346" s="23" t="s">
        <v>134</v>
      </c>
      <c r="E346" s="23" t="str">
        <f>Withdrawals_Data!A946</f>
        <v>DA-001</v>
      </c>
      <c r="F346" s="23" t="str">
        <f>Withdrawals_Data!B946</f>
        <v>DA-001-M0071</v>
      </c>
      <c r="G346" s="24">
        <f>Withdrawals_Data!C946</f>
        <v>45342</v>
      </c>
      <c r="H346" s="27">
        <v>0</v>
      </c>
      <c r="I346" s="27">
        <f>-Withdrawals_Data!D946</f>
        <v>-4023</v>
      </c>
    </row>
    <row r="347" spans="3:9">
      <c r="C347" s="23">
        <v>340</v>
      </c>
      <c r="D347" s="23" t="s">
        <v>132</v>
      </c>
      <c r="E347" s="23" t="str">
        <f>Contributions_Data!A341</f>
        <v>DA-003</v>
      </c>
      <c r="F347" s="23" t="str">
        <f>Contributions_Data!B341</f>
        <v>DA-003-M0029</v>
      </c>
      <c r="G347" s="24">
        <f>Contributions_Data!C341</f>
        <v>45343</v>
      </c>
      <c r="H347" s="27">
        <f>Contributions_Data!D341</f>
        <v>9991.7800000000007</v>
      </c>
      <c r="I347" s="27">
        <v>0</v>
      </c>
    </row>
    <row r="348" spans="3:9">
      <c r="C348" s="23">
        <v>341</v>
      </c>
      <c r="D348" s="23" t="s">
        <v>132</v>
      </c>
      <c r="E348" s="23" t="str">
        <f>Contributions_Data!A374</f>
        <v>DA-003</v>
      </c>
      <c r="F348" s="23" t="str">
        <f>Contributions_Data!B374</f>
        <v>DA-003-M0032</v>
      </c>
      <c r="G348" s="24">
        <f>Contributions_Data!C374</f>
        <v>45343</v>
      </c>
      <c r="H348" s="27">
        <f>Contributions_Data!D374</f>
        <v>14021.93</v>
      </c>
      <c r="I348" s="27">
        <v>0</v>
      </c>
    </row>
    <row r="349" spans="3:9">
      <c r="C349" s="23">
        <v>342</v>
      </c>
      <c r="D349" s="23" t="s">
        <v>132</v>
      </c>
      <c r="E349" s="23" t="str">
        <f>Contributions_Data!A692</f>
        <v>DA-001</v>
      </c>
      <c r="F349" s="23" t="str">
        <f>Contributions_Data!B692</f>
        <v>DA-001-M0058</v>
      </c>
      <c r="G349" s="24">
        <f>Contributions_Data!C692</f>
        <v>45343</v>
      </c>
      <c r="H349" s="27">
        <f>Contributions_Data!D692</f>
        <v>18987.46</v>
      </c>
      <c r="I349" s="27">
        <v>0</v>
      </c>
    </row>
    <row r="350" spans="3:9">
      <c r="C350" s="23">
        <v>343</v>
      </c>
      <c r="D350" s="23" t="s">
        <v>132</v>
      </c>
      <c r="E350" s="23" t="str">
        <f>Contributions_Data!A9</f>
        <v>DA-003</v>
      </c>
      <c r="F350" s="23" t="str">
        <f>Contributions_Data!B9</f>
        <v>DA-003-M0001</v>
      </c>
      <c r="G350" s="24">
        <f>Contributions_Data!C9</f>
        <v>45344</v>
      </c>
      <c r="H350" s="27">
        <f>Contributions_Data!D9</f>
        <v>13494.73</v>
      </c>
      <c r="I350" s="27">
        <v>0</v>
      </c>
    </row>
    <row r="351" spans="3:9">
      <c r="C351" s="23">
        <v>344</v>
      </c>
      <c r="D351" s="23" t="s">
        <v>132</v>
      </c>
      <c r="E351" s="23" t="str">
        <f>Contributions_Data!A537</f>
        <v>DA-003</v>
      </c>
      <c r="F351" s="23" t="str">
        <f>Contributions_Data!B537</f>
        <v>DA-003-M0045</v>
      </c>
      <c r="G351" s="24">
        <f>Contributions_Data!C537</f>
        <v>45344</v>
      </c>
      <c r="H351" s="27">
        <f>Contributions_Data!D537</f>
        <v>20312.400000000001</v>
      </c>
      <c r="I351" s="27">
        <v>0</v>
      </c>
    </row>
    <row r="352" spans="3:9">
      <c r="C352" s="23">
        <v>345</v>
      </c>
      <c r="D352" s="23" t="s">
        <v>132</v>
      </c>
      <c r="E352" s="23" t="str">
        <f>Contributions_Data!A854</f>
        <v>DA-002</v>
      </c>
      <c r="F352" s="23" t="str">
        <f>Contributions_Data!B854</f>
        <v>DA-002-M0072</v>
      </c>
      <c r="G352" s="24">
        <f>Contributions_Data!C854</f>
        <v>45344</v>
      </c>
      <c r="H352" s="27">
        <f>Contributions_Data!D854</f>
        <v>17276.79</v>
      </c>
      <c r="I352" s="27">
        <v>0</v>
      </c>
    </row>
    <row r="353" spans="3:9">
      <c r="C353" s="23">
        <v>346</v>
      </c>
      <c r="D353" s="23" t="s">
        <v>134</v>
      </c>
      <c r="E353" s="23" t="str">
        <f>Withdrawals_Data!A253</f>
        <v>DA-001</v>
      </c>
      <c r="F353" s="23" t="str">
        <f>Withdrawals_Data!B253</f>
        <v>DA-001-M0010</v>
      </c>
      <c r="G353" s="24">
        <f>Withdrawals_Data!C253</f>
        <v>45344</v>
      </c>
      <c r="H353" s="27">
        <v>0</v>
      </c>
      <c r="I353" s="27">
        <f>-Withdrawals_Data!D253</f>
        <v>-5393.6</v>
      </c>
    </row>
    <row r="354" spans="3:9">
      <c r="C354" s="23">
        <v>347</v>
      </c>
      <c r="D354" s="23" t="s">
        <v>134</v>
      </c>
      <c r="E354" s="23" t="str">
        <f>Withdrawals_Data!A273</f>
        <v>DA-002</v>
      </c>
      <c r="F354" s="23" t="str">
        <f>Withdrawals_Data!B273</f>
        <v>DA-002-M0091</v>
      </c>
      <c r="G354" s="24">
        <f>Withdrawals_Data!C273</f>
        <v>45344</v>
      </c>
      <c r="H354" s="27">
        <v>0</v>
      </c>
      <c r="I354" s="27">
        <f>-Withdrawals_Data!D273</f>
        <v>-4597.92</v>
      </c>
    </row>
    <row r="355" spans="3:9">
      <c r="C355" s="23">
        <v>348</v>
      </c>
      <c r="D355" s="23" t="s">
        <v>134</v>
      </c>
      <c r="E355" s="23" t="str">
        <f>Withdrawals_Data!A865</f>
        <v>DA-003</v>
      </c>
      <c r="F355" s="23" t="str">
        <f>Withdrawals_Data!B865</f>
        <v>DA-003-M0061</v>
      </c>
      <c r="G355" s="24">
        <f>Withdrawals_Data!C865</f>
        <v>45344</v>
      </c>
      <c r="H355" s="27">
        <v>0</v>
      </c>
      <c r="I355" s="27">
        <f>-Withdrawals_Data!D865</f>
        <v>-14610</v>
      </c>
    </row>
    <row r="356" spans="3:9">
      <c r="C356" s="23">
        <v>349</v>
      </c>
      <c r="D356" s="23" t="s">
        <v>132</v>
      </c>
      <c r="E356" s="23" t="str">
        <f>Contributions_Data!A784</f>
        <v>DA-003</v>
      </c>
      <c r="F356" s="23" t="str">
        <f>Contributions_Data!B784</f>
        <v>DA-003-M0066</v>
      </c>
      <c r="G356" s="24">
        <f>Contributions_Data!C784</f>
        <v>45345</v>
      </c>
      <c r="H356" s="27">
        <f>Contributions_Data!D784</f>
        <v>10330.25</v>
      </c>
      <c r="I356" s="27">
        <v>0</v>
      </c>
    </row>
    <row r="357" spans="3:9">
      <c r="C357" s="23">
        <v>350</v>
      </c>
      <c r="D357" s="23" t="s">
        <v>132</v>
      </c>
      <c r="E357" s="23" t="str">
        <f>Contributions_Data!A794</f>
        <v>DA-002</v>
      </c>
      <c r="F357" s="23" t="str">
        <f>Contributions_Data!B794</f>
        <v>DA-002-M0067</v>
      </c>
      <c r="G357" s="24">
        <f>Contributions_Data!C794</f>
        <v>45345</v>
      </c>
      <c r="H357" s="27">
        <f>Contributions_Data!D794</f>
        <v>14888.33</v>
      </c>
      <c r="I357" s="27">
        <v>0</v>
      </c>
    </row>
    <row r="358" spans="3:9">
      <c r="C358" s="23">
        <v>351</v>
      </c>
      <c r="D358" s="23" t="s">
        <v>132</v>
      </c>
      <c r="E358" s="23" t="str">
        <f>Contributions_Data!A1100</f>
        <v>DA-001</v>
      </c>
      <c r="F358" s="23" t="str">
        <f>Contributions_Data!B1100</f>
        <v>DA-001-M0092</v>
      </c>
      <c r="G358" s="24">
        <f>Contributions_Data!C1100</f>
        <v>45345</v>
      </c>
      <c r="H358" s="27">
        <f>Contributions_Data!D1100</f>
        <v>13881.5</v>
      </c>
      <c r="I358" s="27">
        <v>0</v>
      </c>
    </row>
    <row r="359" spans="3:9">
      <c r="C359" s="23">
        <v>352</v>
      </c>
      <c r="D359" s="23" t="s">
        <v>134</v>
      </c>
      <c r="E359" s="23" t="str">
        <f>Withdrawals_Data!A205</f>
        <v>DA-002</v>
      </c>
      <c r="F359" s="23" t="str">
        <f>Withdrawals_Data!B205</f>
        <v>DA-002-M0040</v>
      </c>
      <c r="G359" s="24">
        <f>Withdrawals_Data!C205</f>
        <v>45345</v>
      </c>
      <c r="H359" s="27">
        <v>0</v>
      </c>
      <c r="I359" s="27">
        <f>-Withdrawals_Data!D205</f>
        <v>-7260.39</v>
      </c>
    </row>
    <row r="360" spans="3:9">
      <c r="C360" s="23">
        <v>353</v>
      </c>
      <c r="D360" s="23" t="s">
        <v>134</v>
      </c>
      <c r="E360" s="23" t="str">
        <f>Withdrawals_Data!A382</f>
        <v>DA-003</v>
      </c>
      <c r="F360" s="23" t="str">
        <f>Withdrawals_Data!B382</f>
        <v>DA-003-M0006</v>
      </c>
      <c r="G360" s="24">
        <f>Withdrawals_Data!C382</f>
        <v>45345</v>
      </c>
      <c r="H360" s="27">
        <v>0</v>
      </c>
      <c r="I360" s="27">
        <f>-Withdrawals_Data!D382</f>
        <v>-7951</v>
      </c>
    </row>
    <row r="361" spans="3:9">
      <c r="C361" s="23">
        <v>354</v>
      </c>
      <c r="D361" s="23" t="s">
        <v>132</v>
      </c>
      <c r="E361" s="23" t="str">
        <f>Contributions_Data!A221</f>
        <v>DA-001</v>
      </c>
      <c r="F361" s="23" t="str">
        <f>Contributions_Data!B221</f>
        <v>DA-001-M0019</v>
      </c>
      <c r="G361" s="24">
        <f>Contributions_Data!C221</f>
        <v>45346</v>
      </c>
      <c r="H361" s="27">
        <f>Contributions_Data!D221</f>
        <v>15037.78</v>
      </c>
      <c r="I361" s="27">
        <v>0</v>
      </c>
    </row>
    <row r="362" spans="3:9">
      <c r="C362" s="23">
        <v>355</v>
      </c>
      <c r="D362" s="23" t="s">
        <v>132</v>
      </c>
      <c r="E362" s="23" t="str">
        <f>Contributions_Data!A307</f>
        <v>DA-002</v>
      </c>
      <c r="F362" s="23" t="str">
        <f>Contributions_Data!B307</f>
        <v>DA-002-M0026</v>
      </c>
      <c r="G362" s="24">
        <f>Contributions_Data!C307</f>
        <v>45346</v>
      </c>
      <c r="H362" s="27">
        <f>Contributions_Data!D307</f>
        <v>16729.669999999998</v>
      </c>
      <c r="I362" s="27">
        <v>0</v>
      </c>
    </row>
    <row r="363" spans="3:9">
      <c r="C363" s="23">
        <v>356</v>
      </c>
      <c r="D363" s="23" t="s">
        <v>132</v>
      </c>
      <c r="E363" s="23" t="str">
        <f>Contributions_Data!A617</f>
        <v>DA-003</v>
      </c>
      <c r="F363" s="23" t="str">
        <f>Contributions_Data!B617</f>
        <v>DA-003-M0052</v>
      </c>
      <c r="G363" s="24">
        <f>Contributions_Data!C617</f>
        <v>45346</v>
      </c>
      <c r="H363" s="27">
        <f>Contributions_Data!D617</f>
        <v>16003.37</v>
      </c>
      <c r="I363" s="27">
        <v>0</v>
      </c>
    </row>
    <row r="364" spans="3:9">
      <c r="C364" s="23">
        <v>357</v>
      </c>
      <c r="D364" s="23" t="s">
        <v>132</v>
      </c>
      <c r="E364" s="23" t="str">
        <f>Contributions_Data!A1078</f>
        <v>DA-003</v>
      </c>
      <c r="F364" s="23" t="str">
        <f>Contributions_Data!B1078</f>
        <v>DA-003-M0090</v>
      </c>
      <c r="G364" s="24">
        <f>Contributions_Data!C1078</f>
        <v>45346</v>
      </c>
      <c r="H364" s="27">
        <f>Contributions_Data!D1078</f>
        <v>9717.7099999999991</v>
      </c>
      <c r="I364" s="27">
        <v>0</v>
      </c>
    </row>
    <row r="365" spans="3:9">
      <c r="C365" s="23">
        <v>358</v>
      </c>
      <c r="D365" s="23" t="s">
        <v>134</v>
      </c>
      <c r="E365" s="23" t="str">
        <f>Withdrawals_Data!A573</f>
        <v>DA-003</v>
      </c>
      <c r="F365" s="23" t="str">
        <f>Withdrawals_Data!B573</f>
        <v>DA-003-M0029</v>
      </c>
      <c r="G365" s="24">
        <f>Withdrawals_Data!C573</f>
        <v>45346</v>
      </c>
      <c r="H365" s="27">
        <v>0</v>
      </c>
      <c r="I365" s="27">
        <f>-Withdrawals_Data!D573</f>
        <v>-3766</v>
      </c>
    </row>
    <row r="366" spans="3:9">
      <c r="C366" s="23">
        <v>359</v>
      </c>
      <c r="D366" s="23" t="s">
        <v>132</v>
      </c>
      <c r="E366" s="23" t="str">
        <f>Contributions_Data!A191</f>
        <v>DA-002</v>
      </c>
      <c r="F366" s="23" t="str">
        <f>Contributions_Data!B191</f>
        <v>DA-002-M0016</v>
      </c>
      <c r="G366" s="24">
        <f>Contributions_Data!C191</f>
        <v>45347</v>
      </c>
      <c r="H366" s="27">
        <f>Contributions_Data!D191</f>
        <v>14963.26</v>
      </c>
      <c r="I366" s="27">
        <v>0</v>
      </c>
    </row>
    <row r="367" spans="3:9">
      <c r="C367" s="23">
        <v>360</v>
      </c>
      <c r="D367" s="23" t="s">
        <v>132</v>
      </c>
      <c r="E367" s="23" t="str">
        <f>Contributions_Data!A379</f>
        <v>DA-003</v>
      </c>
      <c r="F367" s="23" t="str">
        <f>Contributions_Data!B379</f>
        <v>DA-003-M0032</v>
      </c>
      <c r="G367" s="24">
        <f>Contributions_Data!C379</f>
        <v>45347</v>
      </c>
      <c r="H367" s="27">
        <f>Contributions_Data!D379</f>
        <v>13945.46</v>
      </c>
      <c r="I367" s="27">
        <v>0</v>
      </c>
    </row>
    <row r="368" spans="3:9">
      <c r="C368" s="23">
        <v>361</v>
      </c>
      <c r="D368" s="23" t="s">
        <v>132</v>
      </c>
      <c r="E368" s="23" t="str">
        <f>Contributions_Data!A597</f>
        <v>DA-002</v>
      </c>
      <c r="F368" s="23" t="str">
        <f>Contributions_Data!B597</f>
        <v>DA-002-M0050</v>
      </c>
      <c r="G368" s="24">
        <f>Contributions_Data!C597</f>
        <v>45347</v>
      </c>
      <c r="H368" s="27">
        <f>Contributions_Data!D597</f>
        <v>16147.23</v>
      </c>
      <c r="I368" s="27">
        <v>0</v>
      </c>
    </row>
    <row r="369" spans="3:9">
      <c r="C369" s="23">
        <v>362</v>
      </c>
      <c r="D369" s="23" t="s">
        <v>134</v>
      </c>
      <c r="E369" s="23" t="str">
        <f>Withdrawals_Data!A284</f>
        <v>DA-002</v>
      </c>
      <c r="F369" s="23" t="str">
        <f>Withdrawals_Data!B284</f>
        <v>DA-002-M0016</v>
      </c>
      <c r="G369" s="24">
        <f>Withdrawals_Data!C284</f>
        <v>45347</v>
      </c>
      <c r="H369" s="27">
        <v>0</v>
      </c>
      <c r="I369" s="27">
        <f>-Withdrawals_Data!D284</f>
        <v>-3975.93</v>
      </c>
    </row>
    <row r="370" spans="3:9">
      <c r="C370" s="23">
        <v>363</v>
      </c>
      <c r="D370" s="23" t="s">
        <v>134</v>
      </c>
      <c r="E370" s="23" t="str">
        <f>Withdrawals_Data!A763</f>
        <v>DA-002</v>
      </c>
      <c r="F370" s="23" t="str">
        <f>Withdrawals_Data!B763</f>
        <v>DA-002-M0050</v>
      </c>
      <c r="G370" s="24">
        <f>Withdrawals_Data!C763</f>
        <v>45347</v>
      </c>
      <c r="H370" s="27">
        <v>0</v>
      </c>
      <c r="I370" s="27">
        <f>-Withdrawals_Data!D763</f>
        <v>-13434</v>
      </c>
    </row>
    <row r="371" spans="3:9">
      <c r="C371" s="23">
        <v>364</v>
      </c>
      <c r="D371" s="23" t="s">
        <v>132</v>
      </c>
      <c r="E371" s="23" t="str">
        <f>Contributions_Data!A119</f>
        <v>DA-001</v>
      </c>
      <c r="F371" s="23" t="str">
        <f>Contributions_Data!B119</f>
        <v>DA-001-M0010</v>
      </c>
      <c r="G371" s="24">
        <f>Contributions_Data!C119</f>
        <v>45348</v>
      </c>
      <c r="H371" s="27">
        <f>Contributions_Data!D119</f>
        <v>21431.83</v>
      </c>
      <c r="I371" s="27">
        <v>0</v>
      </c>
    </row>
    <row r="372" spans="3:9">
      <c r="C372" s="23">
        <v>365</v>
      </c>
      <c r="D372" s="23" t="s">
        <v>132</v>
      </c>
      <c r="E372" s="23" t="str">
        <f>Contributions_Data!A487</f>
        <v>DA-002</v>
      </c>
      <c r="F372" s="23" t="str">
        <f>Contributions_Data!B487</f>
        <v>DA-002-M0041</v>
      </c>
      <c r="G372" s="24">
        <f>Contributions_Data!C487</f>
        <v>45348</v>
      </c>
      <c r="H372" s="27">
        <f>Contributions_Data!D487</f>
        <v>8754.2099999999991</v>
      </c>
      <c r="I372" s="27">
        <v>0</v>
      </c>
    </row>
    <row r="373" spans="3:9">
      <c r="C373" s="23">
        <v>366</v>
      </c>
      <c r="D373" s="23" t="s">
        <v>132</v>
      </c>
      <c r="E373" s="23" t="str">
        <f>Contributions_Data!A928</f>
        <v>DA-002</v>
      </c>
      <c r="F373" s="23" t="str">
        <f>Contributions_Data!B928</f>
        <v>DA-002-M0078</v>
      </c>
      <c r="G373" s="24">
        <f>Contributions_Data!C928</f>
        <v>45348</v>
      </c>
      <c r="H373" s="27">
        <f>Contributions_Data!D928</f>
        <v>16827.41</v>
      </c>
      <c r="I373" s="27">
        <v>0</v>
      </c>
    </row>
    <row r="374" spans="3:9">
      <c r="C374" s="23">
        <v>367</v>
      </c>
      <c r="D374" s="23" t="s">
        <v>134</v>
      </c>
      <c r="E374" s="23" t="str">
        <f>Withdrawals_Data!A675</f>
        <v>DA-002</v>
      </c>
      <c r="F374" s="23" t="str">
        <f>Withdrawals_Data!B675</f>
        <v>DA-002-M0041</v>
      </c>
      <c r="G374" s="24">
        <f>Withdrawals_Data!C675</f>
        <v>45348</v>
      </c>
      <c r="H374" s="27">
        <v>0</v>
      </c>
      <c r="I374" s="27">
        <f>-Withdrawals_Data!D675</f>
        <v>-16061</v>
      </c>
    </row>
    <row r="375" spans="3:9">
      <c r="C375" s="23">
        <v>368</v>
      </c>
      <c r="D375" s="23" t="s">
        <v>134</v>
      </c>
      <c r="E375" s="23" t="str">
        <f>Withdrawals_Data!A846</f>
        <v>DA-003</v>
      </c>
      <c r="F375" s="23" t="str">
        <f>Withdrawals_Data!B846</f>
        <v>DA-003-M0059</v>
      </c>
      <c r="G375" s="24">
        <f>Withdrawals_Data!C846</f>
        <v>45348</v>
      </c>
      <c r="H375" s="27">
        <v>0</v>
      </c>
      <c r="I375" s="27">
        <f>-Withdrawals_Data!D846</f>
        <v>-6090</v>
      </c>
    </row>
    <row r="376" spans="3:9">
      <c r="C376" s="23">
        <v>369</v>
      </c>
      <c r="D376" s="23" t="s">
        <v>134</v>
      </c>
      <c r="E376" s="23" t="str">
        <f>Withdrawals_Data!A1090</f>
        <v>DA-001</v>
      </c>
      <c r="F376" s="23" t="str">
        <f>Withdrawals_Data!B1090</f>
        <v>DA-001-M0087</v>
      </c>
      <c r="G376" s="24">
        <f>Withdrawals_Data!C1090</f>
        <v>45348</v>
      </c>
      <c r="H376" s="27">
        <v>0</v>
      </c>
      <c r="I376" s="27">
        <f>-Withdrawals_Data!D1090</f>
        <v>-10456</v>
      </c>
    </row>
    <row r="377" spans="3:9">
      <c r="C377" s="23">
        <v>370</v>
      </c>
      <c r="D377" s="23" t="s">
        <v>132</v>
      </c>
      <c r="E377" s="23" t="str">
        <f>Contributions_Data!A198</f>
        <v>DA-002</v>
      </c>
      <c r="F377" s="23" t="str">
        <f>Contributions_Data!B198</f>
        <v>DA-002-M0017</v>
      </c>
      <c r="G377" s="24">
        <f>Contributions_Data!C198</f>
        <v>45349</v>
      </c>
      <c r="H377" s="27">
        <f>Contributions_Data!D198</f>
        <v>12533.34</v>
      </c>
      <c r="I377" s="27">
        <v>0</v>
      </c>
    </row>
    <row r="378" spans="3:9">
      <c r="C378" s="23">
        <v>371</v>
      </c>
      <c r="D378" s="23" t="s">
        <v>132</v>
      </c>
      <c r="E378" s="23" t="str">
        <f>Contributions_Data!A601</f>
        <v>DA-002</v>
      </c>
      <c r="F378" s="23" t="str">
        <f>Contributions_Data!B601</f>
        <v>DA-002-M0050</v>
      </c>
      <c r="G378" s="24">
        <f>Contributions_Data!C601</f>
        <v>45349</v>
      </c>
      <c r="H378" s="27">
        <f>Contributions_Data!D601</f>
        <v>22365.9</v>
      </c>
      <c r="I378" s="27">
        <v>0</v>
      </c>
    </row>
    <row r="379" spans="3:9">
      <c r="C379" s="23">
        <v>372</v>
      </c>
      <c r="D379" s="23" t="s">
        <v>132</v>
      </c>
      <c r="E379" s="23" t="str">
        <f>Contributions_Data!A1036</f>
        <v>DA-001</v>
      </c>
      <c r="F379" s="23" t="str">
        <f>Contributions_Data!B1036</f>
        <v>DA-001-M0087</v>
      </c>
      <c r="G379" s="24">
        <f>Contributions_Data!C1036</f>
        <v>45349</v>
      </c>
      <c r="H379" s="27">
        <f>Contributions_Data!D1036</f>
        <v>13029.32</v>
      </c>
      <c r="I379" s="27">
        <v>0</v>
      </c>
    </row>
    <row r="380" spans="3:9">
      <c r="C380" s="23">
        <v>373</v>
      </c>
      <c r="D380" s="23" t="s">
        <v>132</v>
      </c>
      <c r="E380" s="23" t="str">
        <f>Contributions_Data!A1154</f>
        <v>DA-002</v>
      </c>
      <c r="F380" s="23" t="str">
        <f>Contributions_Data!B1154</f>
        <v>DA-002-M0097</v>
      </c>
      <c r="G380" s="24">
        <f>Contributions_Data!C1154</f>
        <v>45349</v>
      </c>
      <c r="H380" s="27">
        <f>Contributions_Data!D1154</f>
        <v>14320.56</v>
      </c>
      <c r="I380" s="27">
        <v>0</v>
      </c>
    </row>
    <row r="381" spans="3:9">
      <c r="C381" s="23">
        <v>374</v>
      </c>
      <c r="D381" s="23" t="s">
        <v>134</v>
      </c>
      <c r="E381" s="23" t="str">
        <f>Withdrawals_Data!A237</f>
        <v>DA-001</v>
      </c>
      <c r="F381" s="23" t="str">
        <f>Withdrawals_Data!B237</f>
        <v>DA-001-M0038</v>
      </c>
      <c r="G381" s="24">
        <f>Withdrawals_Data!C237</f>
        <v>45349</v>
      </c>
      <c r="H381" s="27">
        <v>0</v>
      </c>
      <c r="I381" s="27">
        <f>-Withdrawals_Data!D237</f>
        <v>-5826.3</v>
      </c>
    </row>
    <row r="382" spans="3:9">
      <c r="C382" s="23">
        <v>375</v>
      </c>
      <c r="D382" s="23" t="s">
        <v>134</v>
      </c>
      <c r="E382" s="23" t="str">
        <f>Withdrawals_Data!A449</f>
        <v>DA-003</v>
      </c>
      <c r="F382" s="23" t="str">
        <f>Withdrawals_Data!B449</f>
        <v>DA-003-M0015</v>
      </c>
      <c r="G382" s="24">
        <f>Withdrawals_Data!C449</f>
        <v>45349</v>
      </c>
      <c r="H382" s="27">
        <v>0</v>
      </c>
      <c r="I382" s="27">
        <f>-Withdrawals_Data!D449</f>
        <v>-15903</v>
      </c>
    </row>
    <row r="383" spans="3:9">
      <c r="C383" s="23">
        <v>376</v>
      </c>
      <c r="D383" s="23" t="s">
        <v>134</v>
      </c>
      <c r="E383" s="23" t="str">
        <f>Withdrawals_Data!A987</f>
        <v>DA-003</v>
      </c>
      <c r="F383" s="23" t="str">
        <f>Withdrawals_Data!B987</f>
        <v>DA-003-M0077</v>
      </c>
      <c r="G383" s="24">
        <f>Withdrawals_Data!C987</f>
        <v>45349</v>
      </c>
      <c r="H383" s="27">
        <v>0</v>
      </c>
      <c r="I383" s="27">
        <f>-Withdrawals_Data!D987</f>
        <v>-10829</v>
      </c>
    </row>
    <row r="384" spans="3:9">
      <c r="C384" s="23">
        <v>377</v>
      </c>
      <c r="D384" s="23" t="s">
        <v>132</v>
      </c>
      <c r="E384" s="23" t="str">
        <f>Contributions_Data!A532</f>
        <v>DA-003</v>
      </c>
      <c r="F384" s="23" t="str">
        <f>Contributions_Data!B532</f>
        <v>DA-003-M0045</v>
      </c>
      <c r="G384" s="24">
        <f>Contributions_Data!C532</f>
        <v>45350</v>
      </c>
      <c r="H384" s="27">
        <f>Contributions_Data!D532</f>
        <v>13273.09</v>
      </c>
      <c r="I384" s="27">
        <v>0</v>
      </c>
    </row>
    <row r="385" spans="3:9">
      <c r="C385" s="23">
        <v>378</v>
      </c>
      <c r="D385" s="23" t="s">
        <v>132</v>
      </c>
      <c r="E385" s="23" t="str">
        <f>Contributions_Data!A620</f>
        <v>DA-003</v>
      </c>
      <c r="F385" s="23" t="str">
        <f>Contributions_Data!B620</f>
        <v>DA-003-M0052</v>
      </c>
      <c r="G385" s="24">
        <f>Contributions_Data!C620</f>
        <v>45350</v>
      </c>
      <c r="H385" s="27">
        <f>Contributions_Data!D620</f>
        <v>12605.11</v>
      </c>
      <c r="I385" s="27">
        <v>0</v>
      </c>
    </row>
    <row r="386" spans="3:9">
      <c r="C386" s="23">
        <v>379</v>
      </c>
      <c r="D386" s="23" t="s">
        <v>132</v>
      </c>
      <c r="E386" s="23" t="str">
        <f>Contributions_Data!A626</f>
        <v>DA-001</v>
      </c>
      <c r="F386" s="23" t="str">
        <f>Contributions_Data!B626</f>
        <v>DA-001-M0053</v>
      </c>
      <c r="G386" s="24">
        <f>Contributions_Data!C626</f>
        <v>45350</v>
      </c>
      <c r="H386" s="27">
        <f>Contributions_Data!D626</f>
        <v>15671.36</v>
      </c>
      <c r="I386" s="27">
        <v>0</v>
      </c>
    </row>
    <row r="387" spans="3:9">
      <c r="C387" s="23">
        <v>380</v>
      </c>
      <c r="D387" s="23" t="s">
        <v>132</v>
      </c>
      <c r="E387" s="23" t="str">
        <f>Contributions_Data!A987</f>
        <v>DA-001</v>
      </c>
      <c r="F387" s="23" t="str">
        <f>Contributions_Data!B987</f>
        <v>DA-001-M0083</v>
      </c>
      <c r="G387" s="24">
        <f>Contributions_Data!C987</f>
        <v>45350</v>
      </c>
      <c r="H387" s="27">
        <f>Contributions_Data!D987</f>
        <v>15511.25</v>
      </c>
      <c r="I387" s="27">
        <v>0</v>
      </c>
    </row>
    <row r="388" spans="3:9">
      <c r="C388" s="23">
        <v>381</v>
      </c>
      <c r="D388" s="23" t="s">
        <v>132</v>
      </c>
      <c r="E388" s="23" t="str">
        <f>Contributions_Data!A1023</f>
        <v>DA-003</v>
      </c>
      <c r="F388" s="23" t="str">
        <f>Contributions_Data!B1023</f>
        <v>DA-003-M0086</v>
      </c>
      <c r="G388" s="24">
        <f>Contributions_Data!C1023</f>
        <v>45350</v>
      </c>
      <c r="H388" s="27">
        <f>Contributions_Data!D1023</f>
        <v>21471.919999999998</v>
      </c>
      <c r="I388" s="27">
        <v>0</v>
      </c>
    </row>
    <row r="389" spans="3:9">
      <c r="C389" s="23">
        <v>382</v>
      </c>
      <c r="D389" s="23" t="s">
        <v>134</v>
      </c>
      <c r="E389" s="23" t="str">
        <f>Withdrawals_Data!A416</f>
        <v>DA-001</v>
      </c>
      <c r="F389" s="23" t="str">
        <f>Withdrawals_Data!B416</f>
        <v>DA-001-M0011</v>
      </c>
      <c r="G389" s="24">
        <f>Withdrawals_Data!C416</f>
        <v>45350</v>
      </c>
      <c r="H389" s="27">
        <v>0</v>
      </c>
      <c r="I389" s="27">
        <f>-Withdrawals_Data!D416</f>
        <v>-1434</v>
      </c>
    </row>
    <row r="390" spans="3:9">
      <c r="C390" s="23">
        <v>383</v>
      </c>
      <c r="D390" s="23" t="s">
        <v>134</v>
      </c>
      <c r="E390" s="23" t="str">
        <f>Withdrawals_Data!A736</f>
        <v>DA-003</v>
      </c>
      <c r="F390" s="23" t="str">
        <f>Withdrawals_Data!B736</f>
        <v>DA-003-M0047</v>
      </c>
      <c r="G390" s="24">
        <f>Withdrawals_Data!C736</f>
        <v>45350</v>
      </c>
      <c r="H390" s="27">
        <v>0</v>
      </c>
      <c r="I390" s="27">
        <f>-Withdrawals_Data!D736</f>
        <v>-16061</v>
      </c>
    </row>
    <row r="391" spans="3:9">
      <c r="C391" s="23">
        <v>384</v>
      </c>
      <c r="D391" s="23" t="s">
        <v>134</v>
      </c>
      <c r="E391" s="23" t="str">
        <f>Withdrawals_Data!A843</f>
        <v>DA-003</v>
      </c>
      <c r="F391" s="23" t="str">
        <f>Withdrawals_Data!B843</f>
        <v>DA-003-M0059</v>
      </c>
      <c r="G391" s="24">
        <f>Withdrawals_Data!C843</f>
        <v>45350</v>
      </c>
      <c r="H391" s="27">
        <v>0</v>
      </c>
      <c r="I391" s="27">
        <f>-Withdrawals_Data!D843</f>
        <v>-21234</v>
      </c>
    </row>
    <row r="392" spans="3:9">
      <c r="C392" s="23">
        <v>385</v>
      </c>
      <c r="D392" s="23" t="s">
        <v>134</v>
      </c>
      <c r="E392" s="23" t="str">
        <f>Withdrawals_Data!A954</f>
        <v>DA-002</v>
      </c>
      <c r="F392" s="23" t="str">
        <f>Withdrawals_Data!B954</f>
        <v>DA-002-M0072</v>
      </c>
      <c r="G392" s="24">
        <f>Withdrawals_Data!C954</f>
        <v>45350</v>
      </c>
      <c r="H392" s="27">
        <v>0</v>
      </c>
      <c r="I392" s="27">
        <f>-Withdrawals_Data!D954</f>
        <v>-16446</v>
      </c>
    </row>
    <row r="393" spans="3:9">
      <c r="C393" s="23">
        <v>386</v>
      </c>
      <c r="D393" s="23" t="s">
        <v>132</v>
      </c>
      <c r="E393" s="23" t="str">
        <f>Contributions_Data!A17</f>
        <v>DA-001</v>
      </c>
      <c r="F393" s="23" t="str">
        <f>Contributions_Data!B17</f>
        <v>DA-001-M0002</v>
      </c>
      <c r="G393" s="24">
        <f>Contributions_Data!C17</f>
        <v>45351</v>
      </c>
      <c r="H393" s="27">
        <f>Contributions_Data!D17</f>
        <v>15888.36</v>
      </c>
      <c r="I393" s="27">
        <v>0</v>
      </c>
    </row>
    <row r="394" spans="3:9">
      <c r="C394" s="23">
        <v>387</v>
      </c>
      <c r="D394" s="23" t="s">
        <v>132</v>
      </c>
      <c r="E394" s="23" t="str">
        <f>Contributions_Data!A237</f>
        <v>DA-002</v>
      </c>
      <c r="F394" s="23" t="str">
        <f>Contributions_Data!B237</f>
        <v>DA-002-M0020</v>
      </c>
      <c r="G394" s="24">
        <f>Contributions_Data!C237</f>
        <v>45351</v>
      </c>
      <c r="H394" s="27">
        <f>Contributions_Data!D237</f>
        <v>20628.509999999998</v>
      </c>
      <c r="I394" s="27">
        <v>0</v>
      </c>
    </row>
    <row r="395" spans="3:9">
      <c r="C395" s="23">
        <v>388</v>
      </c>
      <c r="D395" s="23" t="s">
        <v>132</v>
      </c>
      <c r="E395" s="23" t="str">
        <f>Contributions_Data!A798</f>
        <v>DA-002</v>
      </c>
      <c r="F395" s="23" t="str">
        <f>Contributions_Data!B798</f>
        <v>DA-002-M0067</v>
      </c>
      <c r="G395" s="24">
        <f>Contributions_Data!C798</f>
        <v>45351</v>
      </c>
      <c r="H395" s="27">
        <f>Contributions_Data!D798</f>
        <v>15235.91</v>
      </c>
      <c r="I395" s="27">
        <v>0</v>
      </c>
    </row>
    <row r="396" spans="3:9">
      <c r="C396" s="23">
        <v>389</v>
      </c>
      <c r="D396" s="23" t="s">
        <v>132</v>
      </c>
      <c r="E396" s="23" t="str">
        <f>Contributions_Data!A871</f>
        <v>DA-001</v>
      </c>
      <c r="F396" s="23" t="str">
        <f>Contributions_Data!B871</f>
        <v>DA-001-M0073</v>
      </c>
      <c r="G396" s="24">
        <f>Contributions_Data!C871</f>
        <v>45351</v>
      </c>
      <c r="H396" s="27">
        <f>Contributions_Data!D871</f>
        <v>10997.92</v>
      </c>
      <c r="I396" s="27">
        <v>0</v>
      </c>
    </row>
    <row r="397" spans="3:9">
      <c r="C397" s="23">
        <v>390</v>
      </c>
      <c r="D397" s="23" t="s">
        <v>134</v>
      </c>
      <c r="E397" s="23" t="str">
        <f>Withdrawals_Data!A861</f>
        <v>DA-003</v>
      </c>
      <c r="F397" s="23" t="str">
        <f>Withdrawals_Data!B861</f>
        <v>DA-003-M0061</v>
      </c>
      <c r="G397" s="24">
        <f>Withdrawals_Data!C861</f>
        <v>45351</v>
      </c>
      <c r="H397" s="27">
        <v>0</v>
      </c>
      <c r="I397" s="27">
        <f>-Withdrawals_Data!D861</f>
        <v>-9951</v>
      </c>
    </row>
    <row r="398" spans="3:9">
      <c r="C398" s="23">
        <v>391</v>
      </c>
      <c r="D398" s="23" t="s">
        <v>134</v>
      </c>
      <c r="E398" s="23" t="str">
        <f>Withdrawals_Data!A882</f>
        <v>DA-002</v>
      </c>
      <c r="F398" s="23" t="str">
        <f>Withdrawals_Data!B882</f>
        <v>DA-002-M0063</v>
      </c>
      <c r="G398" s="24">
        <f>Withdrawals_Data!C882</f>
        <v>45351</v>
      </c>
      <c r="H398" s="27">
        <v>0</v>
      </c>
      <c r="I398" s="27">
        <f>-Withdrawals_Data!D882</f>
        <v>-14663</v>
      </c>
    </row>
    <row r="399" spans="3:9">
      <c r="C399" s="23">
        <v>392</v>
      </c>
      <c r="D399" s="23" t="s">
        <v>134</v>
      </c>
      <c r="E399" s="23" t="str">
        <f>Withdrawals_Data!A930</f>
        <v>DA-003</v>
      </c>
      <c r="F399" s="23" t="str">
        <f>Withdrawals_Data!B930</f>
        <v>DA-003-M0069</v>
      </c>
      <c r="G399" s="24">
        <f>Withdrawals_Data!C930</f>
        <v>45351</v>
      </c>
      <c r="H399" s="27">
        <v>0</v>
      </c>
      <c r="I399" s="27">
        <f>-Withdrawals_Data!D930</f>
        <v>-4159</v>
      </c>
    </row>
    <row r="400" spans="3:9">
      <c r="C400" s="23">
        <v>393</v>
      </c>
      <c r="D400" s="23" t="s">
        <v>132</v>
      </c>
      <c r="E400" s="23" t="str">
        <f>Contributions_Data!A90</f>
        <v>DA-003</v>
      </c>
      <c r="F400" s="23" t="str">
        <f>Contributions_Data!B90</f>
        <v>DA-003-M0008</v>
      </c>
      <c r="G400" s="24">
        <f>Contributions_Data!C90</f>
        <v>45352</v>
      </c>
      <c r="H400" s="27">
        <f>Contributions_Data!D90</f>
        <v>15519.54</v>
      </c>
      <c r="I400" s="27">
        <v>0</v>
      </c>
    </row>
    <row r="401" spans="3:9">
      <c r="C401" s="23">
        <v>394</v>
      </c>
      <c r="D401" s="23" t="s">
        <v>132</v>
      </c>
      <c r="E401" s="23" t="str">
        <f>Contributions_Data!A108</f>
        <v>DA-001</v>
      </c>
      <c r="F401" s="23" t="str">
        <f>Contributions_Data!B108</f>
        <v>DA-001-M0009</v>
      </c>
      <c r="G401" s="24">
        <f>Contributions_Data!C108</f>
        <v>45352</v>
      </c>
      <c r="H401" s="27">
        <f>Contributions_Data!D108</f>
        <v>15245.62</v>
      </c>
      <c r="I401" s="27">
        <v>0</v>
      </c>
    </row>
    <row r="402" spans="3:9">
      <c r="C402" s="23">
        <v>395</v>
      </c>
      <c r="D402" s="23" t="s">
        <v>132</v>
      </c>
      <c r="E402" s="23" t="str">
        <f>Contributions_Data!A654</f>
        <v>DA-001</v>
      </c>
      <c r="F402" s="23" t="str">
        <f>Contributions_Data!B654</f>
        <v>DA-001-M0055</v>
      </c>
      <c r="G402" s="24">
        <f>Contributions_Data!C654</f>
        <v>45352</v>
      </c>
      <c r="H402" s="27">
        <f>Contributions_Data!D654</f>
        <v>16823.689999999999</v>
      </c>
      <c r="I402" s="27">
        <v>0</v>
      </c>
    </row>
    <row r="403" spans="3:9">
      <c r="C403" s="23">
        <v>396</v>
      </c>
      <c r="D403" s="23" t="s">
        <v>132</v>
      </c>
      <c r="E403" s="23" t="str">
        <f>Contributions_Data!A688</f>
        <v>DA-001</v>
      </c>
      <c r="F403" s="23" t="str">
        <f>Contributions_Data!B688</f>
        <v>DA-001-M0058</v>
      </c>
      <c r="G403" s="24">
        <f>Contributions_Data!C688</f>
        <v>45352</v>
      </c>
      <c r="H403" s="27">
        <f>Contributions_Data!D688</f>
        <v>16370.26</v>
      </c>
      <c r="I403" s="27">
        <v>0</v>
      </c>
    </row>
    <row r="404" spans="3:9">
      <c r="C404" s="23">
        <v>397</v>
      </c>
      <c r="D404" s="23" t="s">
        <v>134</v>
      </c>
      <c r="E404" s="23" t="str">
        <f>Withdrawals_Data!A202</f>
        <v>DA-002</v>
      </c>
      <c r="F404" s="23" t="str">
        <f>Withdrawals_Data!B202</f>
        <v>DA-002-M0070</v>
      </c>
      <c r="G404" s="24">
        <f>Withdrawals_Data!C202</f>
        <v>45352</v>
      </c>
      <c r="H404" s="27">
        <v>0</v>
      </c>
      <c r="I404" s="27">
        <f>-Withdrawals_Data!D202</f>
        <v>-7399.78</v>
      </c>
    </row>
    <row r="405" spans="3:9">
      <c r="C405" s="23">
        <v>398</v>
      </c>
      <c r="D405" s="23" t="s">
        <v>134</v>
      </c>
      <c r="E405" s="23" t="str">
        <f>Withdrawals_Data!A450</f>
        <v>DA-003</v>
      </c>
      <c r="F405" s="23" t="str">
        <f>Withdrawals_Data!B450</f>
        <v>DA-003-M0015</v>
      </c>
      <c r="G405" s="24">
        <f>Withdrawals_Data!C450</f>
        <v>45352</v>
      </c>
      <c r="H405" s="27">
        <v>0</v>
      </c>
      <c r="I405" s="27">
        <f>-Withdrawals_Data!D450</f>
        <v>-4628</v>
      </c>
    </row>
    <row r="406" spans="3:9">
      <c r="C406" s="23">
        <v>399</v>
      </c>
      <c r="D406" s="23" t="s">
        <v>134</v>
      </c>
      <c r="E406" s="23" t="str">
        <f>Withdrawals_Data!A645</f>
        <v>DA-002</v>
      </c>
      <c r="F406" s="23" t="str">
        <f>Withdrawals_Data!B645</f>
        <v>DA-002-M0037</v>
      </c>
      <c r="G406" s="24">
        <f>Withdrawals_Data!C645</f>
        <v>45352</v>
      </c>
      <c r="H406" s="27">
        <v>0</v>
      </c>
      <c r="I406" s="27">
        <f>-Withdrawals_Data!D645</f>
        <v>-6747</v>
      </c>
    </row>
    <row r="407" spans="3:9">
      <c r="C407" s="23">
        <v>400</v>
      </c>
      <c r="D407" s="23" t="s">
        <v>134</v>
      </c>
      <c r="E407" s="23" t="str">
        <f>Withdrawals_Data!A1149</f>
        <v>DA-003</v>
      </c>
      <c r="F407" s="23" t="str">
        <f>Withdrawals_Data!B1149</f>
        <v>DA-003-M0095</v>
      </c>
      <c r="G407" s="24">
        <f>Withdrawals_Data!C1149</f>
        <v>45352</v>
      </c>
      <c r="H407" s="27">
        <v>0</v>
      </c>
      <c r="I407" s="27">
        <f>-Withdrawals_Data!D1149</f>
        <v>-4074</v>
      </c>
    </row>
    <row r="408" spans="3:9">
      <c r="C408" s="23">
        <v>401</v>
      </c>
      <c r="D408" s="23" t="s">
        <v>134</v>
      </c>
      <c r="E408" s="23" t="str">
        <f>Withdrawals_Data!A1171</f>
        <v>DA-002</v>
      </c>
      <c r="F408" s="23" t="str">
        <f>Withdrawals_Data!B1171</f>
        <v>DA-002-M0097</v>
      </c>
      <c r="G408" s="24">
        <f>Withdrawals_Data!C1171</f>
        <v>45352</v>
      </c>
      <c r="H408" s="27">
        <v>0</v>
      </c>
      <c r="I408" s="27">
        <f>-Withdrawals_Data!D1171</f>
        <v>-16075</v>
      </c>
    </row>
    <row r="409" spans="3:9">
      <c r="C409" s="23">
        <v>402</v>
      </c>
      <c r="D409" s="23" t="s">
        <v>132</v>
      </c>
      <c r="E409" s="23" t="str">
        <f>Contributions_Data!A104</f>
        <v>DA-001</v>
      </c>
      <c r="F409" s="23" t="str">
        <f>Contributions_Data!B104</f>
        <v>DA-001-M0009</v>
      </c>
      <c r="G409" s="24">
        <f>Contributions_Data!C104</f>
        <v>45353</v>
      </c>
      <c r="H409" s="27">
        <f>Contributions_Data!D104</f>
        <v>16954.169999999998</v>
      </c>
      <c r="I409" s="27">
        <v>0</v>
      </c>
    </row>
    <row r="410" spans="3:9">
      <c r="C410" s="23">
        <v>403</v>
      </c>
      <c r="D410" s="23" t="s">
        <v>132</v>
      </c>
      <c r="E410" s="23" t="str">
        <f>Contributions_Data!A233</f>
        <v>DA-002</v>
      </c>
      <c r="F410" s="23" t="str">
        <f>Contributions_Data!B233</f>
        <v>DA-002-M0020</v>
      </c>
      <c r="G410" s="24">
        <f>Contributions_Data!C233</f>
        <v>45353</v>
      </c>
      <c r="H410" s="27">
        <f>Contributions_Data!D233</f>
        <v>8628.31</v>
      </c>
      <c r="I410" s="27">
        <v>0</v>
      </c>
    </row>
    <row r="411" spans="3:9">
      <c r="C411" s="23">
        <v>404</v>
      </c>
      <c r="D411" s="23" t="s">
        <v>132</v>
      </c>
      <c r="E411" s="23" t="str">
        <f>Contributions_Data!A624</f>
        <v>DA-003</v>
      </c>
      <c r="F411" s="23" t="str">
        <f>Contributions_Data!B624</f>
        <v>DA-003-M0052</v>
      </c>
      <c r="G411" s="24">
        <f>Contributions_Data!C624</f>
        <v>45353</v>
      </c>
      <c r="H411" s="27">
        <f>Contributions_Data!D624</f>
        <v>20383.669999999998</v>
      </c>
      <c r="I411" s="27">
        <v>0</v>
      </c>
    </row>
    <row r="412" spans="3:9">
      <c r="C412" s="23">
        <v>405</v>
      </c>
      <c r="D412" s="23" t="s">
        <v>132</v>
      </c>
      <c r="E412" s="23" t="str">
        <f>Contributions_Data!A644</f>
        <v>DA-002</v>
      </c>
      <c r="F412" s="23" t="str">
        <f>Contributions_Data!B644</f>
        <v>DA-002-M0054</v>
      </c>
      <c r="G412" s="24">
        <f>Contributions_Data!C644</f>
        <v>45353</v>
      </c>
      <c r="H412" s="27">
        <f>Contributions_Data!D644</f>
        <v>15086.23</v>
      </c>
      <c r="I412" s="27">
        <v>0</v>
      </c>
    </row>
    <row r="413" spans="3:9">
      <c r="C413" s="23">
        <v>406</v>
      </c>
      <c r="D413" s="23" t="s">
        <v>132</v>
      </c>
      <c r="E413" s="23" t="str">
        <f>Contributions_Data!A1105</f>
        <v>DA-001</v>
      </c>
      <c r="F413" s="23" t="str">
        <f>Contributions_Data!B1105</f>
        <v>DA-001-M0092</v>
      </c>
      <c r="G413" s="24">
        <f>Contributions_Data!C1105</f>
        <v>45353</v>
      </c>
      <c r="H413" s="27">
        <f>Contributions_Data!D1105</f>
        <v>10423.030000000001</v>
      </c>
      <c r="I413" s="27">
        <v>0</v>
      </c>
    </row>
    <row r="414" spans="3:9">
      <c r="C414" s="23">
        <v>407</v>
      </c>
      <c r="D414" s="23" t="s">
        <v>134</v>
      </c>
      <c r="E414" s="23" t="str">
        <f>Withdrawals_Data!A387</f>
        <v>DA-003</v>
      </c>
      <c r="F414" s="23" t="str">
        <f>Withdrawals_Data!B387</f>
        <v>DA-003-M0007</v>
      </c>
      <c r="G414" s="24">
        <f>Withdrawals_Data!C387</f>
        <v>45353</v>
      </c>
      <c r="H414" s="27">
        <v>0</v>
      </c>
      <c r="I414" s="27">
        <f>-Withdrawals_Data!D387</f>
        <v>-18166</v>
      </c>
    </row>
    <row r="415" spans="3:9">
      <c r="C415" s="23">
        <v>408</v>
      </c>
      <c r="D415" s="23" t="s">
        <v>134</v>
      </c>
      <c r="E415" s="23" t="str">
        <f>Withdrawals_Data!A580</f>
        <v>DA-002</v>
      </c>
      <c r="F415" s="23" t="str">
        <f>Withdrawals_Data!B580</f>
        <v>DA-002-M0030</v>
      </c>
      <c r="G415" s="24">
        <f>Withdrawals_Data!C580</f>
        <v>45353</v>
      </c>
      <c r="H415" s="27">
        <v>0</v>
      </c>
      <c r="I415" s="27">
        <f>-Withdrawals_Data!D580</f>
        <v>-19531</v>
      </c>
    </row>
    <row r="416" spans="3:9">
      <c r="C416" s="23">
        <v>409</v>
      </c>
      <c r="D416" s="23" t="s">
        <v>134</v>
      </c>
      <c r="E416" s="23" t="str">
        <f>Withdrawals_Data!A772</f>
        <v>DA-002</v>
      </c>
      <c r="F416" s="23" t="str">
        <f>Withdrawals_Data!B772</f>
        <v>DA-002-M0051</v>
      </c>
      <c r="G416" s="24">
        <f>Withdrawals_Data!C772</f>
        <v>45353</v>
      </c>
      <c r="H416" s="27">
        <v>0</v>
      </c>
      <c r="I416" s="27">
        <f>-Withdrawals_Data!D772</f>
        <v>-3423</v>
      </c>
    </row>
    <row r="417" spans="3:9">
      <c r="C417" s="23">
        <v>410</v>
      </c>
      <c r="D417" s="23" t="s">
        <v>134</v>
      </c>
      <c r="E417" s="23" t="str">
        <f>Withdrawals_Data!A1135</f>
        <v>DA-001</v>
      </c>
      <c r="F417" s="23" t="str">
        <f>Withdrawals_Data!B1135</f>
        <v>DA-001-M0093</v>
      </c>
      <c r="G417" s="24">
        <f>Withdrawals_Data!C1135</f>
        <v>45353</v>
      </c>
      <c r="H417" s="27">
        <v>0</v>
      </c>
      <c r="I417" s="27">
        <f>-Withdrawals_Data!D1135</f>
        <v>-17992</v>
      </c>
    </row>
    <row r="418" spans="3:9">
      <c r="C418" s="23">
        <v>411</v>
      </c>
      <c r="D418" s="23" t="s">
        <v>132</v>
      </c>
      <c r="E418" s="23" t="str">
        <f>Contributions_Data!A301</f>
        <v>DA-001</v>
      </c>
      <c r="F418" s="23" t="str">
        <f>Contributions_Data!B301</f>
        <v>DA-001-M0025</v>
      </c>
      <c r="G418" s="24">
        <f>Contributions_Data!C301</f>
        <v>45354</v>
      </c>
      <c r="H418" s="27">
        <f>Contributions_Data!D301</f>
        <v>13408.5</v>
      </c>
      <c r="I418" s="27">
        <v>0</v>
      </c>
    </row>
    <row r="419" spans="3:9">
      <c r="C419" s="23">
        <v>412</v>
      </c>
      <c r="D419" s="23" t="s">
        <v>132</v>
      </c>
      <c r="E419" s="23" t="str">
        <f>Contributions_Data!A870</f>
        <v>DA-001</v>
      </c>
      <c r="F419" s="23" t="str">
        <f>Contributions_Data!B870</f>
        <v>DA-001-M0073</v>
      </c>
      <c r="G419" s="24">
        <f>Contributions_Data!C870</f>
        <v>45354</v>
      </c>
      <c r="H419" s="27">
        <f>Contributions_Data!D870</f>
        <v>15316.13</v>
      </c>
      <c r="I419" s="27">
        <v>0</v>
      </c>
    </row>
    <row r="420" spans="3:9">
      <c r="C420" s="23">
        <v>413</v>
      </c>
      <c r="D420" s="23" t="s">
        <v>134</v>
      </c>
      <c r="E420" s="23" t="str">
        <f>Withdrawals_Data!A95</f>
        <v>DA-002</v>
      </c>
      <c r="F420" s="23" t="str">
        <f>Withdrawals_Data!B95</f>
        <v>DA-002-M0030</v>
      </c>
      <c r="G420" s="24">
        <f>Withdrawals_Data!C95</f>
        <v>45354</v>
      </c>
      <c r="H420" s="27">
        <v>0</v>
      </c>
      <c r="I420" s="27">
        <f>-Withdrawals_Data!D95</f>
        <v>-10119.219999999999</v>
      </c>
    </row>
    <row r="421" spans="3:9">
      <c r="C421" s="23">
        <v>414</v>
      </c>
      <c r="D421" s="23" t="s">
        <v>134</v>
      </c>
      <c r="E421" s="23" t="str">
        <f>Withdrawals_Data!A99</f>
        <v>DA-003</v>
      </c>
      <c r="F421" s="23" t="str">
        <f>Withdrawals_Data!B99</f>
        <v>DA-003-M0007</v>
      </c>
      <c r="G421" s="24">
        <f>Withdrawals_Data!C99</f>
        <v>45354</v>
      </c>
      <c r="H421" s="27">
        <v>0</v>
      </c>
      <c r="I421" s="27">
        <f>-Withdrawals_Data!D99</f>
        <v>-9929.89</v>
      </c>
    </row>
    <row r="422" spans="3:9">
      <c r="C422" s="23">
        <v>415</v>
      </c>
      <c r="D422" s="23" t="s">
        <v>134</v>
      </c>
      <c r="E422" s="23" t="str">
        <f>Withdrawals_Data!A157</f>
        <v>DA-003</v>
      </c>
      <c r="F422" s="23" t="str">
        <f>Withdrawals_Data!B157</f>
        <v>DA-003-M0013</v>
      </c>
      <c r="G422" s="24">
        <f>Withdrawals_Data!C157</f>
        <v>45354</v>
      </c>
      <c r="H422" s="27">
        <v>0</v>
      </c>
      <c r="I422" s="27">
        <f>-Withdrawals_Data!D157</f>
        <v>-8454.07</v>
      </c>
    </row>
    <row r="423" spans="3:9">
      <c r="C423" s="23">
        <v>416</v>
      </c>
      <c r="D423" s="23" t="s">
        <v>134</v>
      </c>
      <c r="E423" s="23" t="str">
        <f>Withdrawals_Data!A323</f>
        <v>DA-001</v>
      </c>
      <c r="F423" s="23" t="str">
        <f>Withdrawals_Data!B323</f>
        <v>DA-001-M0002</v>
      </c>
      <c r="G423" s="24">
        <f>Withdrawals_Data!C323</f>
        <v>45354</v>
      </c>
      <c r="H423" s="27">
        <v>0</v>
      </c>
      <c r="I423" s="27">
        <f>-Withdrawals_Data!D323</f>
        <v>-2145.94</v>
      </c>
    </row>
    <row r="424" spans="3:9">
      <c r="C424" s="23">
        <v>417</v>
      </c>
      <c r="D424" s="23" t="s">
        <v>134</v>
      </c>
      <c r="E424" s="23" t="str">
        <f>Withdrawals_Data!A350</f>
        <v>DA-001</v>
      </c>
      <c r="F424" s="23" t="str">
        <f>Withdrawals_Data!B350</f>
        <v>DA-001-M0002</v>
      </c>
      <c r="G424" s="24">
        <f>Withdrawals_Data!C350</f>
        <v>45354</v>
      </c>
      <c r="H424" s="27">
        <v>0</v>
      </c>
      <c r="I424" s="27">
        <f>-Withdrawals_Data!D350</f>
        <v>-13490</v>
      </c>
    </row>
    <row r="425" spans="3:9">
      <c r="C425" s="23">
        <v>418</v>
      </c>
      <c r="D425" s="23" t="s">
        <v>134</v>
      </c>
      <c r="E425" s="23" t="str">
        <f>Withdrawals_Data!A1136</f>
        <v>DA-001</v>
      </c>
      <c r="F425" s="23" t="str">
        <f>Withdrawals_Data!B1136</f>
        <v>DA-001-M0093</v>
      </c>
      <c r="G425" s="24">
        <f>Withdrawals_Data!C1136</f>
        <v>45354</v>
      </c>
      <c r="H425" s="27">
        <v>0</v>
      </c>
      <c r="I425" s="27">
        <f>-Withdrawals_Data!D1136</f>
        <v>-11771</v>
      </c>
    </row>
    <row r="426" spans="3:9">
      <c r="C426" s="23">
        <v>419</v>
      </c>
      <c r="D426" s="23" t="s">
        <v>132</v>
      </c>
      <c r="E426" s="23" t="str">
        <f>Contributions_Data!A256</f>
        <v>DA-001</v>
      </c>
      <c r="F426" s="23" t="str">
        <f>Contributions_Data!B256</f>
        <v>DA-001-M0022</v>
      </c>
      <c r="G426" s="24">
        <f>Contributions_Data!C256</f>
        <v>45355</v>
      </c>
      <c r="H426" s="27">
        <f>Contributions_Data!D256</f>
        <v>17134.84</v>
      </c>
      <c r="I426" s="27">
        <v>0</v>
      </c>
    </row>
    <row r="427" spans="3:9">
      <c r="C427" s="23">
        <v>420</v>
      </c>
      <c r="D427" s="23" t="s">
        <v>132</v>
      </c>
      <c r="E427" s="23" t="str">
        <f>Contributions_Data!A336</f>
        <v>DA-003</v>
      </c>
      <c r="F427" s="23" t="str">
        <f>Contributions_Data!B336</f>
        <v>DA-003-M0028</v>
      </c>
      <c r="G427" s="24">
        <f>Contributions_Data!C336</f>
        <v>45355</v>
      </c>
      <c r="H427" s="27">
        <f>Contributions_Data!D336</f>
        <v>12277.31</v>
      </c>
      <c r="I427" s="27">
        <v>0</v>
      </c>
    </row>
    <row r="428" spans="3:9">
      <c r="C428" s="23">
        <v>421</v>
      </c>
      <c r="D428" s="23" t="s">
        <v>132</v>
      </c>
      <c r="E428" s="23" t="str">
        <f>Contributions_Data!A394</f>
        <v>DA-002</v>
      </c>
      <c r="F428" s="23" t="str">
        <f>Contributions_Data!B394</f>
        <v>DA-002-M0033</v>
      </c>
      <c r="G428" s="24">
        <f>Contributions_Data!C394</f>
        <v>45355</v>
      </c>
      <c r="H428" s="27">
        <f>Contributions_Data!D394</f>
        <v>12450.47</v>
      </c>
      <c r="I428" s="27">
        <v>0</v>
      </c>
    </row>
    <row r="429" spans="3:9">
      <c r="C429" s="23">
        <v>422</v>
      </c>
      <c r="D429" s="23" t="s">
        <v>132</v>
      </c>
      <c r="E429" s="23" t="str">
        <f>Contributions_Data!A447</f>
        <v>DA-001</v>
      </c>
      <c r="F429" s="23" t="str">
        <f>Contributions_Data!B447</f>
        <v>DA-001-M0038</v>
      </c>
      <c r="G429" s="24">
        <f>Contributions_Data!C447</f>
        <v>45355</v>
      </c>
      <c r="H429" s="27">
        <f>Contributions_Data!D447</f>
        <v>15177.66</v>
      </c>
      <c r="I429" s="27">
        <v>0</v>
      </c>
    </row>
    <row r="430" spans="3:9">
      <c r="C430" s="23">
        <v>423</v>
      </c>
      <c r="D430" s="23" t="s">
        <v>132</v>
      </c>
      <c r="E430" s="23" t="str">
        <f>Contributions_Data!A538</f>
        <v>DA-003</v>
      </c>
      <c r="F430" s="23" t="str">
        <f>Contributions_Data!B538</f>
        <v>DA-003-M0045</v>
      </c>
      <c r="G430" s="24">
        <f>Contributions_Data!C538</f>
        <v>45355</v>
      </c>
      <c r="H430" s="27">
        <f>Contributions_Data!D538</f>
        <v>13119.1</v>
      </c>
      <c r="I430" s="27">
        <v>0</v>
      </c>
    </row>
    <row r="431" spans="3:9">
      <c r="C431" s="23">
        <v>424</v>
      </c>
      <c r="D431" s="23" t="s">
        <v>134</v>
      </c>
      <c r="E431" s="23" t="str">
        <f>Withdrawals_Data!A81</f>
        <v>DA-003</v>
      </c>
      <c r="F431" s="23" t="str">
        <f>Withdrawals_Data!B81</f>
        <v>DA-003-M0099</v>
      </c>
      <c r="G431" s="24">
        <f>Withdrawals_Data!C81</f>
        <v>45355</v>
      </c>
      <c r="H431" s="27">
        <v>0</v>
      </c>
      <c r="I431" s="27">
        <f>-Withdrawals_Data!D81</f>
        <v>-10476.620000000001</v>
      </c>
    </row>
    <row r="432" spans="3:9">
      <c r="C432" s="23">
        <v>425</v>
      </c>
      <c r="D432" s="23" t="s">
        <v>134</v>
      </c>
      <c r="E432" s="23" t="str">
        <f>Withdrawals_Data!A982</f>
        <v>DA-003</v>
      </c>
      <c r="F432" s="23" t="str">
        <f>Withdrawals_Data!B982</f>
        <v>DA-003-M0076</v>
      </c>
      <c r="G432" s="24">
        <f>Withdrawals_Data!C982</f>
        <v>45356</v>
      </c>
      <c r="H432" s="27">
        <v>0</v>
      </c>
      <c r="I432" s="27">
        <f>-Withdrawals_Data!D982</f>
        <v>-21032</v>
      </c>
    </row>
    <row r="433" spans="3:9">
      <c r="C433" s="23">
        <v>426</v>
      </c>
      <c r="D433" s="23" t="s">
        <v>132</v>
      </c>
      <c r="E433" s="23" t="str">
        <f>Contributions_Data!A1081</f>
        <v>DA-003</v>
      </c>
      <c r="F433" s="23" t="str">
        <f>Contributions_Data!B1081</f>
        <v>DA-003-M0090</v>
      </c>
      <c r="G433" s="24">
        <f>Contributions_Data!C1081</f>
        <v>45357</v>
      </c>
      <c r="H433" s="27">
        <f>Contributions_Data!D1081</f>
        <v>18869.259999999998</v>
      </c>
      <c r="I433" s="27">
        <v>0</v>
      </c>
    </row>
    <row r="434" spans="3:9">
      <c r="C434" s="23">
        <v>427</v>
      </c>
      <c r="D434" s="23" t="s">
        <v>134</v>
      </c>
      <c r="E434" s="23" t="str">
        <f>Withdrawals_Data!A66</f>
        <v>DA-002</v>
      </c>
      <c r="F434" s="23" t="str">
        <f>Withdrawals_Data!B66</f>
        <v>DA-002-M0089</v>
      </c>
      <c r="G434" s="24">
        <f>Withdrawals_Data!C66</f>
        <v>45357</v>
      </c>
      <c r="H434" s="27">
        <v>0</v>
      </c>
      <c r="I434" s="27">
        <f>-Withdrawals_Data!D66</f>
        <v>-11262.95</v>
      </c>
    </row>
    <row r="435" spans="3:9">
      <c r="C435" s="23">
        <v>428</v>
      </c>
      <c r="D435" s="23" t="s">
        <v>134</v>
      </c>
      <c r="E435" s="23" t="str">
        <f>Withdrawals_Data!A848</f>
        <v>DA-003</v>
      </c>
      <c r="F435" s="23" t="str">
        <f>Withdrawals_Data!B848</f>
        <v>DA-003-M0059</v>
      </c>
      <c r="G435" s="24">
        <f>Withdrawals_Data!C848</f>
        <v>45357</v>
      </c>
      <c r="H435" s="27">
        <v>0</v>
      </c>
      <c r="I435" s="27">
        <f>-Withdrawals_Data!D848</f>
        <v>-17625</v>
      </c>
    </row>
    <row r="436" spans="3:9">
      <c r="C436" s="23">
        <v>429</v>
      </c>
      <c r="D436" s="23" t="s">
        <v>134</v>
      </c>
      <c r="E436" s="23" t="str">
        <f>Withdrawals_Data!A968</f>
        <v>DA-001</v>
      </c>
      <c r="F436" s="23" t="str">
        <f>Withdrawals_Data!B968</f>
        <v>DA-001-M0074</v>
      </c>
      <c r="G436" s="24">
        <f>Withdrawals_Data!C968</f>
        <v>45357</v>
      </c>
      <c r="H436" s="27">
        <v>0</v>
      </c>
      <c r="I436" s="27">
        <f>-Withdrawals_Data!D968</f>
        <v>-5700</v>
      </c>
    </row>
    <row r="437" spans="3:9">
      <c r="C437" s="23">
        <v>430</v>
      </c>
      <c r="D437" s="23" t="s">
        <v>134</v>
      </c>
      <c r="E437" s="23" t="str">
        <f>Withdrawals_Data!A1001</f>
        <v>DA-002</v>
      </c>
      <c r="F437" s="23" t="str">
        <f>Withdrawals_Data!B1001</f>
        <v>DA-002-M0078</v>
      </c>
      <c r="G437" s="24">
        <f>Withdrawals_Data!C1001</f>
        <v>45357</v>
      </c>
      <c r="H437" s="27">
        <v>0</v>
      </c>
      <c r="I437" s="27">
        <f>-Withdrawals_Data!D1001</f>
        <v>-9995</v>
      </c>
    </row>
    <row r="438" spans="3:9">
      <c r="C438" s="23">
        <v>431</v>
      </c>
      <c r="D438" s="23" t="s">
        <v>134</v>
      </c>
      <c r="E438" s="23" t="str">
        <f>Withdrawals_Data!A214</f>
        <v>DA-002</v>
      </c>
      <c r="F438" s="23" t="str">
        <f>Withdrawals_Data!B214</f>
        <v>DA-002-M0026</v>
      </c>
      <c r="G438" s="24">
        <f>Withdrawals_Data!C214</f>
        <v>45358</v>
      </c>
      <c r="H438" s="27">
        <v>0</v>
      </c>
      <c r="I438" s="27">
        <f>-Withdrawals_Data!D214</f>
        <v>-7003.86</v>
      </c>
    </row>
    <row r="439" spans="3:9">
      <c r="C439" s="23">
        <v>432</v>
      </c>
      <c r="D439" s="23" t="s">
        <v>134</v>
      </c>
      <c r="E439" s="23" t="str">
        <f>Withdrawals_Data!A473</f>
        <v>DA-002</v>
      </c>
      <c r="F439" s="23" t="str">
        <f>Withdrawals_Data!B473</f>
        <v>DA-002-M0018</v>
      </c>
      <c r="G439" s="24">
        <f>Withdrawals_Data!C473</f>
        <v>45358</v>
      </c>
      <c r="H439" s="27">
        <v>0</v>
      </c>
      <c r="I439" s="27">
        <f>-Withdrawals_Data!D473</f>
        <v>-15897</v>
      </c>
    </row>
    <row r="440" spans="3:9">
      <c r="C440" s="23">
        <v>433</v>
      </c>
      <c r="D440" s="23" t="s">
        <v>134</v>
      </c>
      <c r="E440" s="23" t="str">
        <f>Withdrawals_Data!A532</f>
        <v>DA-001</v>
      </c>
      <c r="F440" s="23" t="str">
        <f>Withdrawals_Data!B532</f>
        <v>DA-001-M0024</v>
      </c>
      <c r="G440" s="24">
        <f>Withdrawals_Data!C532</f>
        <v>45358</v>
      </c>
      <c r="H440" s="27">
        <v>0</v>
      </c>
      <c r="I440" s="27">
        <f>-Withdrawals_Data!D532</f>
        <v>-11331</v>
      </c>
    </row>
    <row r="441" spans="3:9">
      <c r="C441" s="23">
        <v>434</v>
      </c>
      <c r="D441" s="23" t="s">
        <v>134</v>
      </c>
      <c r="E441" s="23" t="str">
        <f>Withdrawals_Data!A1070</f>
        <v>DA-002</v>
      </c>
      <c r="F441" s="23" t="str">
        <f>Withdrawals_Data!B1070</f>
        <v>DA-002-M0085</v>
      </c>
      <c r="G441" s="24">
        <f>Withdrawals_Data!C1070</f>
        <v>45358</v>
      </c>
      <c r="H441" s="27">
        <v>0</v>
      </c>
      <c r="I441" s="27">
        <f>-Withdrawals_Data!D1070</f>
        <v>-9223</v>
      </c>
    </row>
    <row r="442" spans="3:9">
      <c r="C442" s="23">
        <v>435</v>
      </c>
      <c r="D442" s="23" t="s">
        <v>134</v>
      </c>
      <c r="E442" s="23" t="str">
        <f>Withdrawals_Data!A1081</f>
        <v>DA-003</v>
      </c>
      <c r="F442" s="23" t="str">
        <f>Withdrawals_Data!B1081</f>
        <v>DA-003-M0086</v>
      </c>
      <c r="G442" s="24">
        <f>Withdrawals_Data!C1081</f>
        <v>45358</v>
      </c>
      <c r="H442" s="27">
        <v>0</v>
      </c>
      <c r="I442" s="27">
        <f>-Withdrawals_Data!D1081</f>
        <v>-17725</v>
      </c>
    </row>
    <row r="443" spans="3:9">
      <c r="C443" s="23">
        <v>436</v>
      </c>
      <c r="D443" s="23" t="s">
        <v>132</v>
      </c>
      <c r="E443" s="23" t="str">
        <f>Contributions_Data!A46</f>
        <v>DA-001</v>
      </c>
      <c r="F443" s="23" t="str">
        <f>Contributions_Data!B46</f>
        <v>DA-001-M0004</v>
      </c>
      <c r="G443" s="24">
        <f>Contributions_Data!C46</f>
        <v>45359</v>
      </c>
      <c r="H443" s="27">
        <f>Contributions_Data!D46</f>
        <v>12241.73</v>
      </c>
      <c r="I443" s="27">
        <v>0</v>
      </c>
    </row>
    <row r="444" spans="3:9">
      <c r="C444" s="23">
        <v>437</v>
      </c>
      <c r="D444" s="23" t="s">
        <v>132</v>
      </c>
      <c r="E444" s="23" t="str">
        <f>Contributions_Data!A741</f>
        <v>DA-002</v>
      </c>
      <c r="F444" s="23" t="str">
        <f>Contributions_Data!B741</f>
        <v>DA-002-M0062</v>
      </c>
      <c r="G444" s="24">
        <f>Contributions_Data!C741</f>
        <v>45359</v>
      </c>
      <c r="H444" s="27">
        <f>Contributions_Data!D741</f>
        <v>16568.509999999998</v>
      </c>
      <c r="I444" s="27">
        <v>0</v>
      </c>
    </row>
    <row r="445" spans="3:9">
      <c r="C445" s="23">
        <v>438</v>
      </c>
      <c r="D445" s="23" t="s">
        <v>132</v>
      </c>
      <c r="E445" s="23" t="str">
        <f>Contributions_Data!A1193</f>
        <v>DA-003</v>
      </c>
      <c r="F445" s="23" t="str">
        <f>Contributions_Data!B1193</f>
        <v>DA-003-M0100</v>
      </c>
      <c r="G445" s="24">
        <f>Contributions_Data!C1193</f>
        <v>45359</v>
      </c>
      <c r="H445" s="27">
        <f>Contributions_Data!D1193</f>
        <v>13551.77</v>
      </c>
      <c r="I445" s="27">
        <v>0</v>
      </c>
    </row>
    <row r="446" spans="3:9">
      <c r="C446" s="23">
        <v>439</v>
      </c>
      <c r="D446" s="23" t="s">
        <v>134</v>
      </c>
      <c r="E446" s="23" t="str">
        <f>Withdrawals_Data!A455</f>
        <v>DA-003</v>
      </c>
      <c r="F446" s="23" t="str">
        <f>Withdrawals_Data!B455</f>
        <v>DA-003-M0015</v>
      </c>
      <c r="G446" s="24">
        <f>Withdrawals_Data!C455</f>
        <v>45359</v>
      </c>
      <c r="H446" s="27">
        <v>0</v>
      </c>
      <c r="I446" s="27">
        <f>-Withdrawals_Data!D455</f>
        <v>-7589</v>
      </c>
    </row>
    <row r="447" spans="3:9">
      <c r="C447" s="23">
        <v>440</v>
      </c>
      <c r="D447" s="23" t="s">
        <v>134</v>
      </c>
      <c r="E447" s="23" t="str">
        <f>Withdrawals_Data!A544</f>
        <v>DA-002</v>
      </c>
      <c r="F447" s="23" t="str">
        <f>Withdrawals_Data!B544</f>
        <v>DA-002-M0026</v>
      </c>
      <c r="G447" s="24">
        <f>Withdrawals_Data!C544</f>
        <v>45359</v>
      </c>
      <c r="H447" s="27">
        <v>0</v>
      </c>
      <c r="I447" s="27">
        <f>-Withdrawals_Data!D544</f>
        <v>-3303</v>
      </c>
    </row>
    <row r="448" spans="3:9">
      <c r="C448" s="23">
        <v>441</v>
      </c>
      <c r="D448" s="23" t="s">
        <v>134</v>
      </c>
      <c r="E448" s="23" t="str">
        <f>Withdrawals_Data!A559</f>
        <v>DA-002</v>
      </c>
      <c r="F448" s="23" t="str">
        <f>Withdrawals_Data!B559</f>
        <v>DA-002-M0027</v>
      </c>
      <c r="G448" s="24">
        <f>Withdrawals_Data!C559</f>
        <v>45359</v>
      </c>
      <c r="H448" s="27">
        <v>0</v>
      </c>
      <c r="I448" s="27">
        <f>-Withdrawals_Data!D559</f>
        <v>-17279</v>
      </c>
    </row>
    <row r="449" spans="3:9">
      <c r="C449" s="23">
        <v>442</v>
      </c>
      <c r="D449" s="23" t="s">
        <v>134</v>
      </c>
      <c r="E449" s="23" t="str">
        <f>Withdrawals_Data!A565</f>
        <v>DA-003</v>
      </c>
      <c r="F449" s="23" t="str">
        <f>Withdrawals_Data!B565</f>
        <v>DA-003-M0028</v>
      </c>
      <c r="G449" s="24">
        <f>Withdrawals_Data!C565</f>
        <v>45359</v>
      </c>
      <c r="H449" s="27">
        <v>0</v>
      </c>
      <c r="I449" s="27">
        <f>-Withdrawals_Data!D565</f>
        <v>-10546</v>
      </c>
    </row>
    <row r="450" spans="3:9">
      <c r="C450" s="23">
        <v>443</v>
      </c>
      <c r="D450" s="23" t="s">
        <v>134</v>
      </c>
      <c r="E450" s="23" t="str">
        <f>Withdrawals_Data!A669</f>
        <v>DA-002</v>
      </c>
      <c r="F450" s="23" t="str">
        <f>Withdrawals_Data!B669</f>
        <v>DA-002-M0040</v>
      </c>
      <c r="G450" s="24">
        <f>Withdrawals_Data!C669</f>
        <v>45359</v>
      </c>
      <c r="H450" s="27">
        <v>0</v>
      </c>
      <c r="I450" s="27">
        <f>-Withdrawals_Data!D669</f>
        <v>-17139</v>
      </c>
    </row>
    <row r="451" spans="3:9">
      <c r="C451" s="23">
        <v>444</v>
      </c>
      <c r="D451" s="23" t="s">
        <v>134</v>
      </c>
      <c r="E451" s="23" t="str">
        <f>Withdrawals_Data!A911</f>
        <v>DA-002</v>
      </c>
      <c r="F451" s="23" t="str">
        <f>Withdrawals_Data!B911</f>
        <v>DA-002-M0067</v>
      </c>
      <c r="G451" s="24">
        <f>Withdrawals_Data!C911</f>
        <v>45359</v>
      </c>
      <c r="H451" s="27">
        <v>0</v>
      </c>
      <c r="I451" s="27">
        <f>-Withdrawals_Data!D911</f>
        <v>-17158</v>
      </c>
    </row>
    <row r="452" spans="3:9">
      <c r="C452" s="23">
        <v>445</v>
      </c>
      <c r="D452" s="23" t="s">
        <v>132</v>
      </c>
      <c r="E452" s="23" t="str">
        <f>Contributions_Data!A1053</f>
        <v>DA-002</v>
      </c>
      <c r="F452" s="23" t="str">
        <f>Contributions_Data!B1053</f>
        <v>DA-002-M0088</v>
      </c>
      <c r="G452" s="24">
        <f>Contributions_Data!C1053</f>
        <v>45360</v>
      </c>
      <c r="H452" s="27">
        <f>Contributions_Data!D1053</f>
        <v>16614.89</v>
      </c>
      <c r="I452" s="27">
        <v>0</v>
      </c>
    </row>
    <row r="453" spans="3:9">
      <c r="C453" s="23">
        <v>446</v>
      </c>
      <c r="D453" s="23" t="s">
        <v>134</v>
      </c>
      <c r="E453" s="23" t="str">
        <f>Withdrawals_Data!A204</f>
        <v>DA-001</v>
      </c>
      <c r="F453" s="23" t="str">
        <f>Withdrawals_Data!B204</f>
        <v>DA-001-M0093</v>
      </c>
      <c r="G453" s="24">
        <f>Withdrawals_Data!C204</f>
        <v>45360</v>
      </c>
      <c r="H453" s="27">
        <v>0</v>
      </c>
      <c r="I453" s="27">
        <f>-Withdrawals_Data!D204</f>
        <v>-7319.26</v>
      </c>
    </row>
    <row r="454" spans="3:9">
      <c r="C454" s="23">
        <v>447</v>
      </c>
      <c r="D454" s="23" t="s">
        <v>134</v>
      </c>
      <c r="E454" s="23" t="str">
        <f>Withdrawals_Data!A265</f>
        <v>DA-002</v>
      </c>
      <c r="F454" s="23" t="str">
        <f>Withdrawals_Data!B265</f>
        <v>DA-002-M0020</v>
      </c>
      <c r="G454" s="24">
        <f>Withdrawals_Data!C265</f>
        <v>45360</v>
      </c>
      <c r="H454" s="27">
        <v>0</v>
      </c>
      <c r="I454" s="27">
        <f>-Withdrawals_Data!D265</f>
        <v>-4963.47</v>
      </c>
    </row>
    <row r="455" spans="3:9">
      <c r="C455" s="23">
        <v>448</v>
      </c>
      <c r="D455" s="23" t="s">
        <v>134</v>
      </c>
      <c r="E455" s="23" t="str">
        <f>Withdrawals_Data!A940</f>
        <v>DA-002</v>
      </c>
      <c r="F455" s="23" t="str">
        <f>Withdrawals_Data!B940</f>
        <v>DA-002-M0070</v>
      </c>
      <c r="G455" s="24">
        <f>Withdrawals_Data!C940</f>
        <v>45360</v>
      </c>
      <c r="H455" s="27">
        <v>0</v>
      </c>
      <c r="I455" s="27">
        <f>-Withdrawals_Data!D940</f>
        <v>-19537</v>
      </c>
    </row>
    <row r="456" spans="3:9">
      <c r="C456" s="23">
        <v>449</v>
      </c>
      <c r="D456" s="23" t="s">
        <v>132</v>
      </c>
      <c r="E456" s="23" t="str">
        <f>Contributions_Data!A459</f>
        <v>DA-002</v>
      </c>
      <c r="F456" s="23" t="str">
        <f>Contributions_Data!B459</f>
        <v>DA-002-M0039</v>
      </c>
      <c r="G456" s="24">
        <f>Contributions_Data!C459</f>
        <v>45361</v>
      </c>
      <c r="H456" s="27">
        <f>Contributions_Data!D459</f>
        <v>13971.94</v>
      </c>
      <c r="I456" s="27">
        <v>0</v>
      </c>
    </row>
    <row r="457" spans="3:9">
      <c r="C457" s="23">
        <v>450</v>
      </c>
      <c r="D457" s="23" t="s">
        <v>132</v>
      </c>
      <c r="E457" s="23" t="str">
        <f>Contributions_Data!A1084</f>
        <v>DA-002</v>
      </c>
      <c r="F457" s="23" t="str">
        <f>Contributions_Data!B1084</f>
        <v>DA-002-M0091</v>
      </c>
      <c r="G457" s="24">
        <f>Contributions_Data!C1084</f>
        <v>45361</v>
      </c>
      <c r="H457" s="27">
        <f>Contributions_Data!D1084</f>
        <v>11327.11</v>
      </c>
      <c r="I457" s="27">
        <v>0</v>
      </c>
    </row>
    <row r="458" spans="3:9">
      <c r="C458" s="23">
        <v>451</v>
      </c>
      <c r="D458" s="23" t="s">
        <v>132</v>
      </c>
      <c r="E458" s="23" t="str">
        <f>Contributions_Data!A1090</f>
        <v>DA-002</v>
      </c>
      <c r="F458" s="23" t="str">
        <f>Contributions_Data!B1090</f>
        <v>DA-002-M0091</v>
      </c>
      <c r="G458" s="24">
        <f>Contributions_Data!C1090</f>
        <v>45361</v>
      </c>
      <c r="H458" s="27">
        <f>Contributions_Data!D1090</f>
        <v>16333.81</v>
      </c>
      <c r="I458" s="27">
        <v>0</v>
      </c>
    </row>
    <row r="459" spans="3:9">
      <c r="C459" s="23">
        <v>452</v>
      </c>
      <c r="D459" s="23" t="s">
        <v>134</v>
      </c>
      <c r="E459" s="23" t="str">
        <f>Withdrawals_Data!A133</f>
        <v>DA-001</v>
      </c>
      <c r="F459" s="23" t="str">
        <f>Withdrawals_Data!B133</f>
        <v>DA-001-M0055</v>
      </c>
      <c r="G459" s="24">
        <f>Withdrawals_Data!C133</f>
        <v>45361</v>
      </c>
      <c r="H459" s="27">
        <v>0</v>
      </c>
      <c r="I459" s="27">
        <f>-Withdrawals_Data!D133</f>
        <v>-8997.5300000000007</v>
      </c>
    </row>
    <row r="460" spans="3:9">
      <c r="C460" s="23">
        <v>453</v>
      </c>
      <c r="D460" s="23" t="s">
        <v>134</v>
      </c>
      <c r="E460" s="23" t="str">
        <f>Withdrawals_Data!A142</f>
        <v>DA-002</v>
      </c>
      <c r="F460" s="23" t="str">
        <f>Withdrawals_Data!B142</f>
        <v>DA-002-M0078</v>
      </c>
      <c r="G460" s="24">
        <f>Withdrawals_Data!C142</f>
        <v>45361</v>
      </c>
      <c r="H460" s="27">
        <v>0</v>
      </c>
      <c r="I460" s="27">
        <f>-Withdrawals_Data!D142</f>
        <v>-8768.2000000000007</v>
      </c>
    </row>
    <row r="461" spans="3:9">
      <c r="C461" s="23">
        <v>454</v>
      </c>
      <c r="D461" s="23" t="s">
        <v>134</v>
      </c>
      <c r="E461" s="23" t="str">
        <f>Withdrawals_Data!A189</f>
        <v>DA-003</v>
      </c>
      <c r="F461" s="23" t="str">
        <f>Withdrawals_Data!B189</f>
        <v>DA-003-M0068</v>
      </c>
      <c r="G461" s="24">
        <f>Withdrawals_Data!C189</f>
        <v>45361</v>
      </c>
      <c r="H461" s="27">
        <v>0</v>
      </c>
      <c r="I461" s="27">
        <f>-Withdrawals_Data!D189</f>
        <v>-7769.52</v>
      </c>
    </row>
    <row r="462" spans="3:9">
      <c r="C462" s="23">
        <v>455</v>
      </c>
      <c r="D462" s="23" t="s">
        <v>134</v>
      </c>
      <c r="E462" s="23" t="str">
        <f>Withdrawals_Data!A220</f>
        <v>DA-002</v>
      </c>
      <c r="F462" s="23" t="str">
        <f>Withdrawals_Data!B220</f>
        <v>DA-002-M0017</v>
      </c>
      <c r="G462" s="24">
        <f>Withdrawals_Data!C220</f>
        <v>45361</v>
      </c>
      <c r="H462" s="27">
        <v>0</v>
      </c>
      <c r="I462" s="27">
        <f>-Withdrawals_Data!D220</f>
        <v>-6714.46</v>
      </c>
    </row>
    <row r="463" spans="3:9">
      <c r="C463" s="23">
        <v>456</v>
      </c>
      <c r="D463" s="23" t="s">
        <v>134</v>
      </c>
      <c r="E463" s="23" t="str">
        <f>Withdrawals_Data!A624</f>
        <v>DA-001</v>
      </c>
      <c r="F463" s="23" t="str">
        <f>Withdrawals_Data!B624</f>
        <v>DA-001-M0035</v>
      </c>
      <c r="G463" s="24">
        <f>Withdrawals_Data!C624</f>
        <v>45361</v>
      </c>
      <c r="H463" s="27">
        <v>0</v>
      </c>
      <c r="I463" s="27">
        <f>-Withdrawals_Data!D624</f>
        <v>-1834</v>
      </c>
    </row>
    <row r="464" spans="3:9">
      <c r="C464" s="23">
        <v>457</v>
      </c>
      <c r="D464" s="23" t="s">
        <v>134</v>
      </c>
      <c r="E464" s="23" t="str">
        <f>Withdrawals_Data!A1025</f>
        <v>DA-003</v>
      </c>
      <c r="F464" s="23" t="str">
        <f>Withdrawals_Data!B1025</f>
        <v>DA-003-M0080</v>
      </c>
      <c r="G464" s="24">
        <f>Withdrawals_Data!C1025</f>
        <v>45361</v>
      </c>
      <c r="H464" s="27">
        <v>0</v>
      </c>
      <c r="I464" s="27">
        <f>-Withdrawals_Data!D1025</f>
        <v>-1727</v>
      </c>
    </row>
    <row r="465" spans="3:9">
      <c r="C465" s="23">
        <v>458</v>
      </c>
      <c r="D465" s="23" t="s">
        <v>132</v>
      </c>
      <c r="E465" s="23" t="str">
        <f>Contributions_Data!A246</f>
        <v>DA-002</v>
      </c>
      <c r="F465" s="23" t="str">
        <f>Contributions_Data!B246</f>
        <v>DA-002-M0021</v>
      </c>
      <c r="G465" s="24">
        <f>Contributions_Data!C246</f>
        <v>45362</v>
      </c>
      <c r="H465" s="27">
        <f>Contributions_Data!D246</f>
        <v>14656.38</v>
      </c>
      <c r="I465" s="27">
        <v>0</v>
      </c>
    </row>
    <row r="466" spans="3:9">
      <c r="C466" s="23">
        <v>459</v>
      </c>
      <c r="D466" s="23" t="s">
        <v>132</v>
      </c>
      <c r="E466" s="23" t="str">
        <f>Contributions_Data!A524</f>
        <v>DA-002</v>
      </c>
      <c r="F466" s="23" t="str">
        <f>Contributions_Data!B524</f>
        <v>DA-002-M0044</v>
      </c>
      <c r="G466" s="24">
        <f>Contributions_Data!C524</f>
        <v>45362</v>
      </c>
      <c r="H466" s="27">
        <f>Contributions_Data!D524</f>
        <v>10944.95</v>
      </c>
      <c r="I466" s="27">
        <v>0</v>
      </c>
    </row>
    <row r="467" spans="3:9">
      <c r="C467" s="23">
        <v>460</v>
      </c>
      <c r="D467" s="23" t="s">
        <v>134</v>
      </c>
      <c r="E467" s="23" t="str">
        <f>Withdrawals_Data!A518</f>
        <v>DA-002</v>
      </c>
      <c r="F467" s="23" t="str">
        <f>Withdrawals_Data!B518</f>
        <v>DA-002-M0023</v>
      </c>
      <c r="G467" s="24">
        <f>Withdrawals_Data!C518</f>
        <v>45362</v>
      </c>
      <c r="H467" s="27">
        <v>0</v>
      </c>
      <c r="I467" s="27">
        <f>-Withdrawals_Data!D518</f>
        <v>-20333</v>
      </c>
    </row>
    <row r="468" spans="3:9">
      <c r="C468" s="23">
        <v>461</v>
      </c>
      <c r="D468" s="23" t="s">
        <v>132</v>
      </c>
      <c r="E468" s="23" t="str">
        <f>Contributions_Data!A137</f>
        <v>DA-003</v>
      </c>
      <c r="F468" s="23" t="str">
        <f>Contributions_Data!B137</f>
        <v>DA-003-M0012</v>
      </c>
      <c r="G468" s="24">
        <f>Contributions_Data!C137</f>
        <v>45363</v>
      </c>
      <c r="H468" s="27">
        <f>Contributions_Data!D137</f>
        <v>12876.99</v>
      </c>
      <c r="I468" s="27">
        <v>0</v>
      </c>
    </row>
    <row r="469" spans="3:9">
      <c r="C469" s="23">
        <v>462</v>
      </c>
      <c r="D469" s="23" t="s">
        <v>132</v>
      </c>
      <c r="E469" s="23" t="str">
        <f>Contributions_Data!A493</f>
        <v>DA-002</v>
      </c>
      <c r="F469" s="23" t="str">
        <f>Contributions_Data!B493</f>
        <v>DA-002-M0041</v>
      </c>
      <c r="G469" s="24">
        <f>Contributions_Data!C493</f>
        <v>45363</v>
      </c>
      <c r="H469" s="27">
        <f>Contributions_Data!D493</f>
        <v>14887.1</v>
      </c>
      <c r="I469" s="27">
        <v>0</v>
      </c>
    </row>
    <row r="470" spans="3:9">
      <c r="C470" s="23">
        <v>463</v>
      </c>
      <c r="D470" s="23" t="s">
        <v>132</v>
      </c>
      <c r="E470" s="23" t="str">
        <f>Contributions_Data!A625</f>
        <v>DA-003</v>
      </c>
      <c r="F470" s="23" t="str">
        <f>Contributions_Data!B625</f>
        <v>DA-003-M0052</v>
      </c>
      <c r="G470" s="24">
        <f>Contributions_Data!C625</f>
        <v>45363</v>
      </c>
      <c r="H470" s="27">
        <f>Contributions_Data!D625</f>
        <v>13447.17</v>
      </c>
      <c r="I470" s="27">
        <v>0</v>
      </c>
    </row>
    <row r="471" spans="3:9">
      <c r="C471" s="23">
        <v>464</v>
      </c>
      <c r="D471" s="23" t="s">
        <v>132</v>
      </c>
      <c r="E471" s="23" t="str">
        <f>Contributions_Data!A675</f>
        <v>DA-002</v>
      </c>
      <c r="F471" s="23" t="str">
        <f>Contributions_Data!B675</f>
        <v>DA-002-M0057</v>
      </c>
      <c r="G471" s="24">
        <f>Contributions_Data!C675</f>
        <v>45363</v>
      </c>
      <c r="H471" s="27">
        <f>Contributions_Data!D675</f>
        <v>14702.47</v>
      </c>
      <c r="I471" s="27">
        <v>0</v>
      </c>
    </row>
    <row r="472" spans="3:9">
      <c r="C472" s="23">
        <v>465</v>
      </c>
      <c r="D472" s="23" t="s">
        <v>132</v>
      </c>
      <c r="E472" s="23" t="str">
        <f>Contributions_Data!A738</f>
        <v>DA-002</v>
      </c>
      <c r="F472" s="23" t="str">
        <f>Contributions_Data!B738</f>
        <v>DA-002-M0062</v>
      </c>
      <c r="G472" s="24">
        <f>Contributions_Data!C738</f>
        <v>45363</v>
      </c>
      <c r="H472" s="27">
        <f>Contributions_Data!D738</f>
        <v>13548.34</v>
      </c>
      <c r="I472" s="27">
        <v>0</v>
      </c>
    </row>
    <row r="473" spans="3:9">
      <c r="C473" s="23">
        <v>466</v>
      </c>
      <c r="D473" s="23" t="s">
        <v>134</v>
      </c>
      <c r="E473" s="23" t="str">
        <f>Withdrawals_Data!A8</f>
        <v>DA-001</v>
      </c>
      <c r="F473" s="23" t="str">
        <f>Withdrawals_Data!B8</f>
        <v>DA-001-M0011</v>
      </c>
      <c r="G473" s="24">
        <f>Withdrawals_Data!C8</f>
        <v>45363</v>
      </c>
      <c r="H473" s="27">
        <v>0</v>
      </c>
      <c r="I473" s="27">
        <f>-Withdrawals_Data!D8</f>
        <v>-16488.62</v>
      </c>
    </row>
    <row r="474" spans="3:9">
      <c r="C474" s="23">
        <v>467</v>
      </c>
      <c r="D474" s="23" t="s">
        <v>134</v>
      </c>
      <c r="E474" s="23" t="str">
        <f>Withdrawals_Data!A407</f>
        <v>DA-001</v>
      </c>
      <c r="F474" s="23" t="str">
        <f>Withdrawals_Data!B407</f>
        <v>DA-001-M0010</v>
      </c>
      <c r="G474" s="24">
        <f>Withdrawals_Data!C407</f>
        <v>45363</v>
      </c>
      <c r="H474" s="27">
        <v>0</v>
      </c>
      <c r="I474" s="27">
        <f>-Withdrawals_Data!D407</f>
        <v>-1862</v>
      </c>
    </row>
    <row r="475" spans="3:9">
      <c r="C475" s="23">
        <v>468</v>
      </c>
      <c r="D475" s="23" t="s">
        <v>134</v>
      </c>
      <c r="E475" s="23" t="str">
        <f>Withdrawals_Data!A711</f>
        <v>DA-002</v>
      </c>
      <c r="F475" s="23" t="str">
        <f>Withdrawals_Data!B711</f>
        <v>DA-002-M0044</v>
      </c>
      <c r="G475" s="24">
        <f>Withdrawals_Data!C711</f>
        <v>45363</v>
      </c>
      <c r="H475" s="27">
        <v>0</v>
      </c>
      <c r="I475" s="27">
        <f>-Withdrawals_Data!D711</f>
        <v>-3686</v>
      </c>
    </row>
    <row r="476" spans="3:9">
      <c r="C476" s="23">
        <v>469</v>
      </c>
      <c r="D476" s="23" t="s">
        <v>134</v>
      </c>
      <c r="E476" s="23" t="str">
        <f>Withdrawals_Data!A1046</f>
        <v>DA-001</v>
      </c>
      <c r="F476" s="23" t="str">
        <f>Withdrawals_Data!B1046</f>
        <v>DA-001-M0083</v>
      </c>
      <c r="G476" s="24">
        <f>Withdrawals_Data!C1046</f>
        <v>45363</v>
      </c>
      <c r="H476" s="27">
        <v>0</v>
      </c>
      <c r="I476" s="27">
        <f>-Withdrawals_Data!D1046</f>
        <v>-20876</v>
      </c>
    </row>
    <row r="477" spans="3:9">
      <c r="C477" s="23">
        <v>470</v>
      </c>
      <c r="D477" s="23" t="s">
        <v>134</v>
      </c>
      <c r="E477" s="23" t="str">
        <f>Withdrawals_Data!A1084</f>
        <v>DA-001</v>
      </c>
      <c r="F477" s="23" t="str">
        <f>Withdrawals_Data!B1084</f>
        <v>DA-001-M0087</v>
      </c>
      <c r="G477" s="24">
        <f>Withdrawals_Data!C1084</f>
        <v>45363</v>
      </c>
      <c r="H477" s="27">
        <v>0</v>
      </c>
      <c r="I477" s="27">
        <f>-Withdrawals_Data!D1084</f>
        <v>-11192</v>
      </c>
    </row>
    <row r="478" spans="3:9">
      <c r="C478" s="23">
        <v>471</v>
      </c>
      <c r="D478" s="23" t="s">
        <v>134</v>
      </c>
      <c r="E478" s="23" t="str">
        <f>Withdrawals_Data!A1094</f>
        <v>DA-002</v>
      </c>
      <c r="F478" s="23" t="str">
        <f>Withdrawals_Data!B1094</f>
        <v>DA-002-M0088</v>
      </c>
      <c r="G478" s="24">
        <f>Withdrawals_Data!C1094</f>
        <v>45363</v>
      </c>
      <c r="H478" s="27">
        <v>0</v>
      </c>
      <c r="I478" s="27">
        <f>-Withdrawals_Data!D1094</f>
        <v>-11948</v>
      </c>
    </row>
    <row r="479" spans="3:9">
      <c r="C479" s="23">
        <v>472</v>
      </c>
      <c r="D479" s="23" t="s">
        <v>132</v>
      </c>
      <c r="E479" s="23" t="str">
        <f>Contributions_Data!A693</f>
        <v>DA-001</v>
      </c>
      <c r="F479" s="23" t="str">
        <f>Contributions_Data!B693</f>
        <v>DA-001-M0058</v>
      </c>
      <c r="G479" s="24">
        <f>Contributions_Data!C693</f>
        <v>45364</v>
      </c>
      <c r="H479" s="27">
        <f>Contributions_Data!D693</f>
        <v>15589.56</v>
      </c>
      <c r="I479" s="27">
        <v>0</v>
      </c>
    </row>
    <row r="480" spans="3:9">
      <c r="C480" s="23">
        <v>473</v>
      </c>
      <c r="D480" s="23" t="s">
        <v>132</v>
      </c>
      <c r="E480" s="23" t="str">
        <f>Contributions_Data!A971</f>
        <v>DA-003</v>
      </c>
      <c r="F480" s="23" t="str">
        <f>Contributions_Data!B971</f>
        <v>DA-003-M0081</v>
      </c>
      <c r="G480" s="24">
        <f>Contributions_Data!C971</f>
        <v>45364</v>
      </c>
      <c r="H480" s="27">
        <f>Contributions_Data!D971</f>
        <v>14788.5</v>
      </c>
      <c r="I480" s="27">
        <v>0</v>
      </c>
    </row>
    <row r="481" spans="3:9">
      <c r="C481" s="23">
        <v>474</v>
      </c>
      <c r="D481" s="23" t="s">
        <v>134</v>
      </c>
      <c r="E481" s="23" t="str">
        <f>Withdrawals_Data!A729</f>
        <v>DA-001</v>
      </c>
      <c r="F481" s="23" t="str">
        <f>Withdrawals_Data!B729</f>
        <v>DA-001-M0046</v>
      </c>
      <c r="G481" s="24">
        <f>Withdrawals_Data!C729</f>
        <v>45364</v>
      </c>
      <c r="H481" s="27">
        <v>0</v>
      </c>
      <c r="I481" s="27">
        <f>-Withdrawals_Data!D729</f>
        <v>-20563</v>
      </c>
    </row>
    <row r="482" spans="3:9">
      <c r="C482" s="23">
        <v>475</v>
      </c>
      <c r="D482" s="23" t="s">
        <v>134</v>
      </c>
      <c r="E482" s="23" t="str">
        <f>Withdrawals_Data!A747</f>
        <v>DA-001</v>
      </c>
      <c r="F482" s="23" t="str">
        <f>Withdrawals_Data!B747</f>
        <v>DA-001-M0049</v>
      </c>
      <c r="G482" s="24">
        <f>Withdrawals_Data!C747</f>
        <v>45364</v>
      </c>
      <c r="H482" s="27">
        <v>0</v>
      </c>
      <c r="I482" s="27">
        <f>-Withdrawals_Data!D747</f>
        <v>-20543</v>
      </c>
    </row>
    <row r="483" spans="3:9">
      <c r="C483" s="23">
        <v>476</v>
      </c>
      <c r="D483" s="23" t="s">
        <v>132</v>
      </c>
      <c r="E483" s="23" t="str">
        <f>Contributions_Data!A1182</f>
        <v>DA-003</v>
      </c>
      <c r="F483" s="23" t="str">
        <f>Contributions_Data!B1182</f>
        <v>DA-003-M0099</v>
      </c>
      <c r="G483" s="24">
        <f>Contributions_Data!C1182</f>
        <v>45365</v>
      </c>
      <c r="H483" s="27">
        <f>Contributions_Data!D1182</f>
        <v>6235.95</v>
      </c>
      <c r="I483" s="27">
        <v>0</v>
      </c>
    </row>
    <row r="484" spans="3:9">
      <c r="C484" s="23">
        <v>477</v>
      </c>
      <c r="D484" s="23" t="s">
        <v>134</v>
      </c>
      <c r="E484" s="23" t="str">
        <f>Withdrawals_Data!A124</f>
        <v>DA-003</v>
      </c>
      <c r="F484" s="23" t="str">
        <f>Withdrawals_Data!B124</f>
        <v>DA-003-M0069</v>
      </c>
      <c r="G484" s="24">
        <f>Withdrawals_Data!C124</f>
        <v>45365</v>
      </c>
      <c r="H484" s="27">
        <v>0</v>
      </c>
      <c r="I484" s="27">
        <f>-Withdrawals_Data!D124</f>
        <v>-9210.5400000000009</v>
      </c>
    </row>
    <row r="485" spans="3:9">
      <c r="C485" s="23">
        <v>478</v>
      </c>
      <c r="D485" s="23" t="s">
        <v>134</v>
      </c>
      <c r="E485" s="23" t="str">
        <f>Withdrawals_Data!A376</f>
        <v>DA-003</v>
      </c>
      <c r="F485" s="23" t="str">
        <f>Withdrawals_Data!B376</f>
        <v>DA-003-M0006</v>
      </c>
      <c r="G485" s="24">
        <f>Withdrawals_Data!C376</f>
        <v>45365</v>
      </c>
      <c r="H485" s="27">
        <v>0</v>
      </c>
      <c r="I485" s="27">
        <f>-Withdrawals_Data!D376</f>
        <v>-7086</v>
      </c>
    </row>
    <row r="486" spans="3:9">
      <c r="C486" s="23">
        <v>479</v>
      </c>
      <c r="D486" s="23" t="s">
        <v>134</v>
      </c>
      <c r="E486" s="23" t="str">
        <f>Withdrawals_Data!A943</f>
        <v>DA-001</v>
      </c>
      <c r="F486" s="23" t="str">
        <f>Withdrawals_Data!B943</f>
        <v>DA-001-M0071</v>
      </c>
      <c r="G486" s="24">
        <f>Withdrawals_Data!C943</f>
        <v>45365</v>
      </c>
      <c r="H486" s="27">
        <v>0</v>
      </c>
      <c r="I486" s="27">
        <f>-Withdrawals_Data!D943</f>
        <v>-13687</v>
      </c>
    </row>
    <row r="487" spans="3:9">
      <c r="C487" s="23">
        <v>480</v>
      </c>
      <c r="D487" s="23" t="s">
        <v>132</v>
      </c>
      <c r="E487" s="23" t="str">
        <f>Contributions_Data!A71</f>
        <v>DA-003</v>
      </c>
      <c r="F487" s="23" t="str">
        <f>Contributions_Data!B71</f>
        <v>DA-003-M0006</v>
      </c>
      <c r="G487" s="24">
        <f>Contributions_Data!C71</f>
        <v>45366</v>
      </c>
      <c r="H487" s="27">
        <f>Contributions_Data!D71</f>
        <v>14263.84</v>
      </c>
      <c r="I487" s="27">
        <v>0</v>
      </c>
    </row>
    <row r="488" spans="3:9">
      <c r="C488" s="23">
        <v>481</v>
      </c>
      <c r="D488" s="23" t="s">
        <v>132</v>
      </c>
      <c r="E488" s="23" t="str">
        <f>Contributions_Data!A93</f>
        <v>DA-003</v>
      </c>
      <c r="F488" s="23" t="str">
        <f>Contributions_Data!B93</f>
        <v>DA-003-M0008</v>
      </c>
      <c r="G488" s="24">
        <f>Contributions_Data!C93</f>
        <v>45366</v>
      </c>
      <c r="H488" s="27">
        <f>Contributions_Data!D93</f>
        <v>11571.09</v>
      </c>
      <c r="I488" s="27">
        <v>0</v>
      </c>
    </row>
    <row r="489" spans="3:9">
      <c r="C489" s="23">
        <v>482</v>
      </c>
      <c r="D489" s="23" t="s">
        <v>132</v>
      </c>
      <c r="E489" s="23" t="str">
        <f>Contributions_Data!A192</f>
        <v>DA-002</v>
      </c>
      <c r="F489" s="23" t="str">
        <f>Contributions_Data!B192</f>
        <v>DA-002-M0016</v>
      </c>
      <c r="G489" s="24">
        <f>Contributions_Data!C192</f>
        <v>45366</v>
      </c>
      <c r="H489" s="27">
        <f>Contributions_Data!D192</f>
        <v>12308.24</v>
      </c>
      <c r="I489" s="27">
        <v>0</v>
      </c>
    </row>
    <row r="490" spans="3:9">
      <c r="C490" s="23">
        <v>483</v>
      </c>
      <c r="D490" s="23" t="s">
        <v>132</v>
      </c>
      <c r="E490" s="23" t="str">
        <f>Contributions_Data!A266</f>
        <v>DA-002</v>
      </c>
      <c r="F490" s="23" t="str">
        <f>Contributions_Data!B266</f>
        <v>DA-002-M0023</v>
      </c>
      <c r="G490" s="24">
        <f>Contributions_Data!C266</f>
        <v>45366</v>
      </c>
      <c r="H490" s="27">
        <f>Contributions_Data!D266</f>
        <v>16936.13</v>
      </c>
      <c r="I490" s="27">
        <v>0</v>
      </c>
    </row>
    <row r="491" spans="3:9">
      <c r="C491" s="23">
        <v>484</v>
      </c>
      <c r="D491" s="23" t="s">
        <v>132</v>
      </c>
      <c r="E491" s="23" t="str">
        <f>Contributions_Data!A623</f>
        <v>DA-003</v>
      </c>
      <c r="F491" s="23" t="str">
        <f>Contributions_Data!B623</f>
        <v>DA-003-M0052</v>
      </c>
      <c r="G491" s="24">
        <f>Contributions_Data!C623</f>
        <v>45366</v>
      </c>
      <c r="H491" s="27">
        <f>Contributions_Data!D623</f>
        <v>14900.62</v>
      </c>
      <c r="I491" s="27">
        <v>0</v>
      </c>
    </row>
    <row r="492" spans="3:9">
      <c r="C492" s="23">
        <v>485</v>
      </c>
      <c r="D492" s="23" t="s">
        <v>132</v>
      </c>
      <c r="E492" s="23" t="str">
        <f>Contributions_Data!A646</f>
        <v>DA-002</v>
      </c>
      <c r="F492" s="23" t="str">
        <f>Contributions_Data!B646</f>
        <v>DA-002-M0054</v>
      </c>
      <c r="G492" s="24">
        <f>Contributions_Data!C646</f>
        <v>45366</v>
      </c>
      <c r="H492" s="27">
        <f>Contributions_Data!D646</f>
        <v>15139.31</v>
      </c>
      <c r="I492" s="27">
        <v>0</v>
      </c>
    </row>
    <row r="493" spans="3:9">
      <c r="C493" s="23">
        <v>486</v>
      </c>
      <c r="D493" s="23" t="s">
        <v>134</v>
      </c>
      <c r="E493" s="23" t="str">
        <f>Withdrawals_Data!A162</f>
        <v>DA-003</v>
      </c>
      <c r="F493" s="23" t="str">
        <f>Withdrawals_Data!B162</f>
        <v>DA-003-M0047</v>
      </c>
      <c r="G493" s="24">
        <f>Withdrawals_Data!C162</f>
        <v>45366</v>
      </c>
      <c r="H493" s="27">
        <v>0</v>
      </c>
      <c r="I493" s="27">
        <f>-Withdrawals_Data!D162</f>
        <v>-8384.48</v>
      </c>
    </row>
    <row r="494" spans="3:9">
      <c r="C494" s="23">
        <v>487</v>
      </c>
      <c r="D494" s="23" t="s">
        <v>134</v>
      </c>
      <c r="E494" s="23" t="str">
        <f>Withdrawals_Data!A188</f>
        <v>DA-002</v>
      </c>
      <c r="F494" s="23" t="str">
        <f>Withdrawals_Data!B188</f>
        <v>DA-002-M0050</v>
      </c>
      <c r="G494" s="24">
        <f>Withdrawals_Data!C188</f>
        <v>45366</v>
      </c>
      <c r="H494" s="27">
        <v>0</v>
      </c>
      <c r="I494" s="27">
        <f>-Withdrawals_Data!D188</f>
        <v>-7802.15</v>
      </c>
    </row>
    <row r="495" spans="3:9">
      <c r="C495" s="23">
        <v>488</v>
      </c>
      <c r="D495" s="23" t="s">
        <v>134</v>
      </c>
      <c r="E495" s="23" t="str">
        <f>Withdrawals_Data!A278</f>
        <v>DA-003</v>
      </c>
      <c r="F495" s="23" t="str">
        <f>Withdrawals_Data!B278</f>
        <v>DA-003-M0008</v>
      </c>
      <c r="G495" s="24">
        <f>Withdrawals_Data!C278</f>
        <v>45366</v>
      </c>
      <c r="H495" s="27">
        <v>0</v>
      </c>
      <c r="I495" s="27">
        <f>-Withdrawals_Data!D278</f>
        <v>-4248.7</v>
      </c>
    </row>
    <row r="496" spans="3:9">
      <c r="C496" s="23">
        <v>489</v>
      </c>
      <c r="D496" s="23" t="s">
        <v>134</v>
      </c>
      <c r="E496" s="23" t="str">
        <f>Withdrawals_Data!A427</f>
        <v>DA-003</v>
      </c>
      <c r="F496" s="23" t="str">
        <f>Withdrawals_Data!B427</f>
        <v>DA-003-M0012</v>
      </c>
      <c r="G496" s="24">
        <f>Withdrawals_Data!C427</f>
        <v>45366</v>
      </c>
      <c r="H496" s="27">
        <v>0</v>
      </c>
      <c r="I496" s="27">
        <f>-Withdrawals_Data!D427</f>
        <v>-13348</v>
      </c>
    </row>
    <row r="497" spans="3:9">
      <c r="C497" s="23">
        <v>490</v>
      </c>
      <c r="D497" s="23" t="s">
        <v>134</v>
      </c>
      <c r="E497" s="23" t="str">
        <f>Withdrawals_Data!A558</f>
        <v>DA-002</v>
      </c>
      <c r="F497" s="23" t="str">
        <f>Withdrawals_Data!B558</f>
        <v>DA-002-M0027</v>
      </c>
      <c r="G497" s="24">
        <f>Withdrawals_Data!C558</f>
        <v>45366</v>
      </c>
      <c r="H497" s="27">
        <v>0</v>
      </c>
      <c r="I497" s="27">
        <f>-Withdrawals_Data!D558</f>
        <v>-5776</v>
      </c>
    </row>
    <row r="498" spans="3:9">
      <c r="C498" s="23">
        <v>491</v>
      </c>
      <c r="D498" s="23" t="s">
        <v>134</v>
      </c>
      <c r="E498" s="23" t="str">
        <f>Withdrawals_Data!A849</f>
        <v>DA-002</v>
      </c>
      <c r="F498" s="23" t="str">
        <f>Withdrawals_Data!B849</f>
        <v>DA-002-M0060</v>
      </c>
      <c r="G498" s="24">
        <f>Withdrawals_Data!C849</f>
        <v>45366</v>
      </c>
      <c r="H498" s="27">
        <v>0</v>
      </c>
      <c r="I498" s="27">
        <f>-Withdrawals_Data!D849</f>
        <v>-1654</v>
      </c>
    </row>
    <row r="499" spans="3:9">
      <c r="C499" s="23">
        <v>492</v>
      </c>
      <c r="D499" s="23" t="s">
        <v>134</v>
      </c>
      <c r="E499" s="23" t="str">
        <f>Withdrawals_Data!A1120</f>
        <v>DA-002</v>
      </c>
      <c r="F499" s="23" t="str">
        <f>Withdrawals_Data!B1120</f>
        <v>DA-002-M0091</v>
      </c>
      <c r="G499" s="24">
        <f>Withdrawals_Data!C1120</f>
        <v>45366</v>
      </c>
      <c r="H499" s="27">
        <v>0</v>
      </c>
      <c r="I499" s="27">
        <f>-Withdrawals_Data!D1120</f>
        <v>-1848</v>
      </c>
    </row>
    <row r="500" spans="3:9">
      <c r="C500" s="23">
        <v>493</v>
      </c>
      <c r="D500" s="23" t="s">
        <v>132</v>
      </c>
      <c r="E500" s="23" t="str">
        <f>Contributions_Data!A183</f>
        <v>DA-002</v>
      </c>
      <c r="F500" s="23" t="str">
        <f>Contributions_Data!B183</f>
        <v>DA-002-M0016</v>
      </c>
      <c r="G500" s="24">
        <f>Contributions_Data!C183</f>
        <v>45367</v>
      </c>
      <c r="H500" s="27">
        <f>Contributions_Data!D183</f>
        <v>15972.5</v>
      </c>
      <c r="I500" s="27">
        <v>0</v>
      </c>
    </row>
    <row r="501" spans="3:9">
      <c r="C501" s="23">
        <v>494</v>
      </c>
      <c r="D501" s="23" t="s">
        <v>132</v>
      </c>
      <c r="E501" s="23" t="str">
        <f>Contributions_Data!A502</f>
        <v>DA-002</v>
      </c>
      <c r="F501" s="23" t="str">
        <f>Contributions_Data!B502</f>
        <v>DA-002-M0042</v>
      </c>
      <c r="G501" s="24">
        <f>Contributions_Data!C502</f>
        <v>45367</v>
      </c>
      <c r="H501" s="27">
        <f>Contributions_Data!D502</f>
        <v>15512.6</v>
      </c>
      <c r="I501" s="27">
        <v>0</v>
      </c>
    </row>
    <row r="502" spans="3:9">
      <c r="C502" s="23">
        <v>495</v>
      </c>
      <c r="D502" s="23" t="s">
        <v>132</v>
      </c>
      <c r="E502" s="23" t="str">
        <f>Contributions_Data!A1173</f>
        <v>DA-001</v>
      </c>
      <c r="F502" s="23" t="str">
        <f>Contributions_Data!B1173</f>
        <v>DA-001-M0098</v>
      </c>
      <c r="G502" s="24">
        <f>Contributions_Data!C1173</f>
        <v>45367</v>
      </c>
      <c r="H502" s="27">
        <f>Contributions_Data!D1173</f>
        <v>12569.24</v>
      </c>
      <c r="I502" s="27">
        <v>0</v>
      </c>
    </row>
    <row r="503" spans="3:9">
      <c r="C503" s="23">
        <v>496</v>
      </c>
      <c r="D503" s="23" t="s">
        <v>134</v>
      </c>
      <c r="E503" s="23" t="str">
        <f>Withdrawals_Data!A138</f>
        <v>DA-002</v>
      </c>
      <c r="F503" s="23" t="str">
        <f>Withdrawals_Data!B138</f>
        <v>DA-002-M0026</v>
      </c>
      <c r="G503" s="24">
        <f>Withdrawals_Data!C138</f>
        <v>45367</v>
      </c>
      <c r="H503" s="27">
        <v>0</v>
      </c>
      <c r="I503" s="27">
        <f>-Withdrawals_Data!D138</f>
        <v>-8813.85</v>
      </c>
    </row>
    <row r="504" spans="3:9">
      <c r="C504" s="23">
        <v>497</v>
      </c>
      <c r="D504" s="23" t="s">
        <v>134</v>
      </c>
      <c r="E504" s="23" t="str">
        <f>Withdrawals_Data!A194</f>
        <v>DA-002</v>
      </c>
      <c r="F504" s="23" t="str">
        <f>Withdrawals_Data!B194</f>
        <v>DA-002-M0067</v>
      </c>
      <c r="G504" s="24">
        <f>Withdrawals_Data!C194</f>
        <v>45367</v>
      </c>
      <c r="H504" s="27">
        <v>0</v>
      </c>
      <c r="I504" s="27">
        <f>-Withdrawals_Data!D194</f>
        <v>-7677.13</v>
      </c>
    </row>
    <row r="505" spans="3:9">
      <c r="C505" s="23">
        <v>498</v>
      </c>
      <c r="D505" s="23" t="s">
        <v>134</v>
      </c>
      <c r="E505" s="23" t="str">
        <f>Withdrawals_Data!A374</f>
        <v>DA-003</v>
      </c>
      <c r="F505" s="23" t="str">
        <f>Withdrawals_Data!B374</f>
        <v>DA-003-M0005</v>
      </c>
      <c r="G505" s="24">
        <f>Withdrawals_Data!C374</f>
        <v>45367</v>
      </c>
      <c r="H505" s="27">
        <v>0</v>
      </c>
      <c r="I505" s="27">
        <f>-Withdrawals_Data!D374</f>
        <v>-9761</v>
      </c>
    </row>
    <row r="506" spans="3:9">
      <c r="C506" s="23">
        <v>499</v>
      </c>
      <c r="D506" s="23" t="s">
        <v>134</v>
      </c>
      <c r="E506" s="23" t="str">
        <f>Withdrawals_Data!A506</f>
        <v>DA-002</v>
      </c>
      <c r="F506" s="23" t="str">
        <f>Withdrawals_Data!B506</f>
        <v>DA-002-M0021</v>
      </c>
      <c r="G506" s="24">
        <f>Withdrawals_Data!C506</f>
        <v>45367</v>
      </c>
      <c r="H506" s="27">
        <v>0</v>
      </c>
      <c r="I506" s="27">
        <f>-Withdrawals_Data!D506</f>
        <v>-15298</v>
      </c>
    </row>
    <row r="507" spans="3:9">
      <c r="C507" s="23">
        <v>500</v>
      </c>
      <c r="D507" s="23" t="s">
        <v>134</v>
      </c>
      <c r="E507" s="23" t="str">
        <f>Withdrawals_Data!A856</f>
        <v>DA-002</v>
      </c>
      <c r="F507" s="23" t="str">
        <f>Withdrawals_Data!B856</f>
        <v>DA-002-M0060</v>
      </c>
      <c r="G507" s="24">
        <f>Withdrawals_Data!C856</f>
        <v>45367</v>
      </c>
      <c r="H507" s="27">
        <v>0</v>
      </c>
      <c r="I507" s="27">
        <f>-Withdrawals_Data!D856</f>
        <v>-1661</v>
      </c>
    </row>
    <row r="508" spans="3:9">
      <c r="C508" s="23">
        <v>501</v>
      </c>
      <c r="D508" s="23" t="s">
        <v>134</v>
      </c>
      <c r="E508" s="23" t="str">
        <f>Withdrawals_Data!A1105</f>
        <v>DA-002</v>
      </c>
      <c r="F508" s="23" t="str">
        <f>Withdrawals_Data!B1105</f>
        <v>DA-002-M0089</v>
      </c>
      <c r="G508" s="24">
        <f>Withdrawals_Data!C1105</f>
        <v>45367</v>
      </c>
      <c r="H508" s="27">
        <v>0</v>
      </c>
      <c r="I508" s="27">
        <f>-Withdrawals_Data!D1105</f>
        <v>-15275</v>
      </c>
    </row>
    <row r="509" spans="3:9">
      <c r="C509" s="23">
        <v>502</v>
      </c>
      <c r="D509" s="23" t="s">
        <v>132</v>
      </c>
      <c r="E509" s="23" t="str">
        <f>Contributions_Data!A440</f>
        <v>DA-002</v>
      </c>
      <c r="F509" s="23" t="str">
        <f>Contributions_Data!B440</f>
        <v>DA-002-M0037</v>
      </c>
      <c r="G509" s="24">
        <f>Contributions_Data!C440</f>
        <v>45368</v>
      </c>
      <c r="H509" s="27">
        <f>Contributions_Data!D440</f>
        <v>6909.34</v>
      </c>
      <c r="I509" s="27">
        <v>0</v>
      </c>
    </row>
    <row r="510" spans="3:9">
      <c r="C510" s="23">
        <v>503</v>
      </c>
      <c r="D510" s="23" t="s">
        <v>132</v>
      </c>
      <c r="E510" s="23" t="str">
        <f>Contributions_Data!A1160</f>
        <v>DA-002</v>
      </c>
      <c r="F510" s="23" t="str">
        <f>Contributions_Data!B1160</f>
        <v>DA-002-M0097</v>
      </c>
      <c r="G510" s="24">
        <f>Contributions_Data!C1160</f>
        <v>45368</v>
      </c>
      <c r="H510" s="27">
        <f>Contributions_Data!D1160</f>
        <v>17652.14</v>
      </c>
      <c r="I510" s="27">
        <v>0</v>
      </c>
    </row>
    <row r="511" spans="3:9">
      <c r="C511" s="23">
        <v>504</v>
      </c>
      <c r="D511" s="23" t="s">
        <v>134</v>
      </c>
      <c r="E511" s="23" t="str">
        <f>Withdrawals_Data!A268</f>
        <v>DA-003</v>
      </c>
      <c r="F511" s="23" t="str">
        <f>Withdrawals_Data!B268</f>
        <v>DA-003-M0100</v>
      </c>
      <c r="G511" s="24">
        <f>Withdrawals_Data!C268</f>
        <v>45368</v>
      </c>
      <c r="H511" s="27">
        <v>0</v>
      </c>
      <c r="I511" s="27">
        <f>-Withdrawals_Data!D268</f>
        <v>-4803.2299999999996</v>
      </c>
    </row>
    <row r="512" spans="3:9">
      <c r="C512" s="23">
        <v>505</v>
      </c>
      <c r="D512" s="23" t="s">
        <v>134</v>
      </c>
      <c r="E512" s="23" t="str">
        <f>Withdrawals_Data!A1190</f>
        <v>DA-003</v>
      </c>
      <c r="F512" s="23" t="str">
        <f>Withdrawals_Data!B1190</f>
        <v>DA-003-M0099</v>
      </c>
      <c r="G512" s="24">
        <f>Withdrawals_Data!C1190</f>
        <v>45368</v>
      </c>
      <c r="H512" s="27">
        <v>0</v>
      </c>
      <c r="I512" s="27">
        <f>-Withdrawals_Data!D1190</f>
        <v>-1402</v>
      </c>
    </row>
    <row r="513" spans="3:9">
      <c r="C513" s="23">
        <v>506</v>
      </c>
      <c r="D513" s="23" t="s">
        <v>132</v>
      </c>
      <c r="E513" s="23" t="str">
        <f>Contributions_Data!A140</f>
        <v>DA-003</v>
      </c>
      <c r="F513" s="23" t="str">
        <f>Contributions_Data!B140</f>
        <v>DA-003-M0012</v>
      </c>
      <c r="G513" s="24">
        <f>Contributions_Data!C140</f>
        <v>45369</v>
      </c>
      <c r="H513" s="27">
        <f>Contributions_Data!D140</f>
        <v>5276.2</v>
      </c>
      <c r="I513" s="27">
        <v>0</v>
      </c>
    </row>
    <row r="514" spans="3:9">
      <c r="C514" s="23">
        <v>507</v>
      </c>
      <c r="D514" s="23" t="s">
        <v>132</v>
      </c>
      <c r="E514" s="23" t="str">
        <f>Contributions_Data!A219</f>
        <v>DA-001</v>
      </c>
      <c r="F514" s="23" t="str">
        <f>Contributions_Data!B219</f>
        <v>DA-001-M0019</v>
      </c>
      <c r="G514" s="24">
        <f>Contributions_Data!C219</f>
        <v>45369</v>
      </c>
      <c r="H514" s="27">
        <f>Contributions_Data!D219</f>
        <v>13796.34</v>
      </c>
      <c r="I514" s="27">
        <v>0</v>
      </c>
    </row>
    <row r="515" spans="3:9">
      <c r="C515" s="23">
        <v>508</v>
      </c>
      <c r="D515" s="23" t="s">
        <v>132</v>
      </c>
      <c r="E515" s="23" t="str">
        <f>Contributions_Data!A508</f>
        <v>DA-001</v>
      </c>
      <c r="F515" s="23" t="str">
        <f>Contributions_Data!B508</f>
        <v>DA-001-M0043</v>
      </c>
      <c r="G515" s="24">
        <f>Contributions_Data!C508</f>
        <v>45369</v>
      </c>
      <c r="H515" s="27">
        <f>Contributions_Data!D508</f>
        <v>12064.88</v>
      </c>
      <c r="I515" s="27">
        <v>0</v>
      </c>
    </row>
    <row r="516" spans="3:9">
      <c r="C516" s="23">
        <v>509</v>
      </c>
      <c r="D516" s="23" t="s">
        <v>134</v>
      </c>
      <c r="E516" s="23" t="str">
        <f>Withdrawals_Data!A368</f>
        <v>DA-001</v>
      </c>
      <c r="F516" s="23" t="str">
        <f>Withdrawals_Data!B368</f>
        <v>DA-001-M0004</v>
      </c>
      <c r="G516" s="24">
        <f>Withdrawals_Data!C368</f>
        <v>45369</v>
      </c>
      <c r="H516" s="27">
        <v>0</v>
      </c>
      <c r="I516" s="27">
        <f>-Withdrawals_Data!D368</f>
        <v>-19177</v>
      </c>
    </row>
    <row r="517" spans="3:9">
      <c r="C517" s="23">
        <v>510</v>
      </c>
      <c r="D517" s="23" t="s">
        <v>134</v>
      </c>
      <c r="E517" s="23" t="str">
        <f>Withdrawals_Data!A586</f>
        <v>DA-003</v>
      </c>
      <c r="F517" s="23" t="str">
        <f>Withdrawals_Data!B586</f>
        <v>DA-003-M0031</v>
      </c>
      <c r="G517" s="24">
        <f>Withdrawals_Data!C586</f>
        <v>45369</v>
      </c>
      <c r="H517" s="27">
        <v>0</v>
      </c>
      <c r="I517" s="27">
        <f>-Withdrawals_Data!D586</f>
        <v>-7435</v>
      </c>
    </row>
    <row r="518" spans="3:9">
      <c r="C518" s="23">
        <v>511</v>
      </c>
      <c r="D518" s="23" t="s">
        <v>134</v>
      </c>
      <c r="E518" s="23" t="str">
        <f>Withdrawals_Data!A850</f>
        <v>DA-002</v>
      </c>
      <c r="F518" s="23" t="str">
        <f>Withdrawals_Data!B850</f>
        <v>DA-002-M0060</v>
      </c>
      <c r="G518" s="24">
        <f>Withdrawals_Data!C850</f>
        <v>45369</v>
      </c>
      <c r="H518" s="27">
        <v>0</v>
      </c>
      <c r="I518" s="27">
        <f>-Withdrawals_Data!D850</f>
        <v>-14986</v>
      </c>
    </row>
    <row r="519" spans="3:9">
      <c r="C519" s="23">
        <v>512</v>
      </c>
      <c r="D519" s="23" t="s">
        <v>132</v>
      </c>
      <c r="E519" s="23" t="str">
        <f>Contributions_Data!A185</f>
        <v>DA-002</v>
      </c>
      <c r="F519" s="23" t="str">
        <f>Contributions_Data!B185</f>
        <v>DA-002-M0016</v>
      </c>
      <c r="G519" s="24">
        <f>Contributions_Data!C185</f>
        <v>45370</v>
      </c>
      <c r="H519" s="27">
        <f>Contributions_Data!D185</f>
        <v>16785.47</v>
      </c>
      <c r="I519" s="27">
        <v>0</v>
      </c>
    </row>
    <row r="520" spans="3:9">
      <c r="C520" s="23">
        <v>513</v>
      </c>
      <c r="D520" s="23" t="s">
        <v>132</v>
      </c>
      <c r="E520" s="23" t="str">
        <f>Contributions_Data!A217</f>
        <v>DA-002</v>
      </c>
      <c r="F520" s="23" t="str">
        <f>Contributions_Data!B217</f>
        <v>DA-002-M0018</v>
      </c>
      <c r="G520" s="24">
        <f>Contributions_Data!C217</f>
        <v>45370</v>
      </c>
      <c r="H520" s="27">
        <f>Contributions_Data!D217</f>
        <v>16205.14</v>
      </c>
      <c r="I520" s="27">
        <v>0</v>
      </c>
    </row>
    <row r="521" spans="3:9">
      <c r="C521" s="23">
        <v>514</v>
      </c>
      <c r="D521" s="23" t="s">
        <v>132</v>
      </c>
      <c r="E521" s="23" t="str">
        <f>Contributions_Data!A358</f>
        <v>DA-002</v>
      </c>
      <c r="F521" s="23" t="str">
        <f>Contributions_Data!B358</f>
        <v>DA-002-M0030</v>
      </c>
      <c r="G521" s="24">
        <f>Contributions_Data!C358</f>
        <v>45370</v>
      </c>
      <c r="H521" s="27">
        <f>Contributions_Data!D358</f>
        <v>7585.07</v>
      </c>
      <c r="I521" s="27">
        <v>0</v>
      </c>
    </row>
    <row r="522" spans="3:9">
      <c r="C522" s="23">
        <v>515</v>
      </c>
      <c r="D522" s="23" t="s">
        <v>132</v>
      </c>
      <c r="E522" s="23" t="str">
        <f>Contributions_Data!A360</f>
        <v>DA-002</v>
      </c>
      <c r="F522" s="23" t="str">
        <f>Contributions_Data!B360</f>
        <v>DA-002-M0030</v>
      </c>
      <c r="G522" s="24">
        <f>Contributions_Data!C360</f>
        <v>45370</v>
      </c>
      <c r="H522" s="27">
        <f>Contributions_Data!D360</f>
        <v>16731.22</v>
      </c>
      <c r="I522" s="27">
        <v>0</v>
      </c>
    </row>
    <row r="523" spans="3:9">
      <c r="C523" s="23">
        <v>516</v>
      </c>
      <c r="D523" s="23" t="s">
        <v>132</v>
      </c>
      <c r="E523" s="23" t="str">
        <f>Contributions_Data!A382</f>
        <v>DA-003</v>
      </c>
      <c r="F523" s="23" t="str">
        <f>Contributions_Data!B382</f>
        <v>DA-003-M0032</v>
      </c>
      <c r="G523" s="24">
        <f>Contributions_Data!C382</f>
        <v>45370</v>
      </c>
      <c r="H523" s="27">
        <f>Contributions_Data!D382</f>
        <v>15980.78</v>
      </c>
      <c r="I523" s="27">
        <v>0</v>
      </c>
    </row>
    <row r="524" spans="3:9">
      <c r="C524" s="23">
        <v>517</v>
      </c>
      <c r="D524" s="23" t="s">
        <v>134</v>
      </c>
      <c r="E524" s="23" t="str">
        <f>Withdrawals_Data!A642</f>
        <v>DA-002</v>
      </c>
      <c r="F524" s="23" t="str">
        <f>Withdrawals_Data!B642</f>
        <v>DA-002-M0037</v>
      </c>
      <c r="G524" s="24">
        <f>Withdrawals_Data!C642</f>
        <v>45370</v>
      </c>
      <c r="H524" s="27">
        <v>0</v>
      </c>
      <c r="I524" s="27">
        <f>-Withdrawals_Data!D642</f>
        <v>-19793</v>
      </c>
    </row>
    <row r="525" spans="3:9">
      <c r="C525" s="23">
        <v>518</v>
      </c>
      <c r="D525" s="23" t="s">
        <v>134</v>
      </c>
      <c r="E525" s="23" t="str">
        <f>Withdrawals_Data!A653</f>
        <v>DA-001</v>
      </c>
      <c r="F525" s="23" t="str">
        <f>Withdrawals_Data!B653</f>
        <v>DA-001-M0038</v>
      </c>
      <c r="G525" s="24">
        <f>Withdrawals_Data!C653</f>
        <v>45370</v>
      </c>
      <c r="H525" s="27">
        <v>0</v>
      </c>
      <c r="I525" s="27">
        <f>-Withdrawals_Data!D653</f>
        <v>-12692</v>
      </c>
    </row>
    <row r="526" spans="3:9">
      <c r="C526" s="23">
        <v>519</v>
      </c>
      <c r="D526" s="23" t="s">
        <v>132</v>
      </c>
      <c r="E526" s="23" t="str">
        <f>Contributions_Data!A484</f>
        <v>DA-002</v>
      </c>
      <c r="F526" s="23" t="str">
        <f>Contributions_Data!B484</f>
        <v>DA-002-M0041</v>
      </c>
      <c r="G526" s="24">
        <f>Contributions_Data!C484</f>
        <v>45371</v>
      </c>
      <c r="H526" s="27">
        <f>Contributions_Data!D484</f>
        <v>10330.11</v>
      </c>
      <c r="I526" s="27">
        <v>0</v>
      </c>
    </row>
    <row r="527" spans="3:9">
      <c r="C527" s="23">
        <v>520</v>
      </c>
      <c r="D527" s="23" t="s">
        <v>132</v>
      </c>
      <c r="E527" s="23" t="str">
        <f>Contributions_Data!A1006</f>
        <v>DA-003</v>
      </c>
      <c r="F527" s="23" t="str">
        <f>Contributions_Data!B1006</f>
        <v>DA-003-M0084</v>
      </c>
      <c r="G527" s="24">
        <f>Contributions_Data!C1006</f>
        <v>45371</v>
      </c>
      <c r="H527" s="27">
        <f>Contributions_Data!D1006</f>
        <v>12080.79</v>
      </c>
      <c r="I527" s="27">
        <v>0</v>
      </c>
    </row>
    <row r="528" spans="3:9">
      <c r="C528" s="23">
        <v>521</v>
      </c>
      <c r="D528" s="23" t="s">
        <v>134</v>
      </c>
      <c r="E528" s="23" t="str">
        <f>Withdrawals_Data!A658</f>
        <v>DA-002</v>
      </c>
      <c r="F528" s="23" t="str">
        <f>Withdrawals_Data!B658</f>
        <v>DA-002-M0039</v>
      </c>
      <c r="G528" s="24">
        <f>Withdrawals_Data!C658</f>
        <v>45371</v>
      </c>
      <c r="H528" s="27">
        <v>0</v>
      </c>
      <c r="I528" s="27">
        <f>-Withdrawals_Data!D658</f>
        <v>-7223</v>
      </c>
    </row>
    <row r="529" spans="3:9">
      <c r="C529" s="23">
        <v>522</v>
      </c>
      <c r="D529" s="23" t="s">
        <v>134</v>
      </c>
      <c r="E529" s="23" t="str">
        <f>Withdrawals_Data!A1095</f>
        <v>DA-002</v>
      </c>
      <c r="F529" s="23" t="str">
        <f>Withdrawals_Data!B1095</f>
        <v>DA-002-M0088</v>
      </c>
      <c r="G529" s="24">
        <f>Withdrawals_Data!C1095</f>
        <v>45371</v>
      </c>
      <c r="H529" s="27">
        <v>0</v>
      </c>
      <c r="I529" s="27">
        <f>-Withdrawals_Data!D1095</f>
        <v>-6197</v>
      </c>
    </row>
    <row r="530" spans="3:9">
      <c r="C530" s="23">
        <v>523</v>
      </c>
      <c r="D530" s="23" t="s">
        <v>132</v>
      </c>
      <c r="E530" s="23" t="str">
        <f>Contributions_Data!A134</f>
        <v>DA-003</v>
      </c>
      <c r="F530" s="23" t="str">
        <f>Contributions_Data!B134</f>
        <v>DA-003-M0012</v>
      </c>
      <c r="G530" s="24">
        <f>Contributions_Data!C134</f>
        <v>45372</v>
      </c>
      <c r="H530" s="27">
        <f>Contributions_Data!D134</f>
        <v>18097.400000000001</v>
      </c>
      <c r="I530" s="27">
        <v>0</v>
      </c>
    </row>
    <row r="531" spans="3:9">
      <c r="C531" s="23">
        <v>524</v>
      </c>
      <c r="D531" s="23" t="s">
        <v>132</v>
      </c>
      <c r="E531" s="23" t="str">
        <f>Contributions_Data!A312</f>
        <v>DA-002</v>
      </c>
      <c r="F531" s="23" t="str">
        <f>Contributions_Data!B312</f>
        <v>DA-002-M0026</v>
      </c>
      <c r="G531" s="24">
        <f>Contributions_Data!C312</f>
        <v>45372</v>
      </c>
      <c r="H531" s="27">
        <f>Contributions_Data!D312</f>
        <v>12133.38</v>
      </c>
      <c r="I531" s="27">
        <v>0</v>
      </c>
    </row>
    <row r="532" spans="3:9">
      <c r="C532" s="23">
        <v>525</v>
      </c>
      <c r="D532" s="23" t="s">
        <v>132</v>
      </c>
      <c r="E532" s="23" t="str">
        <f>Contributions_Data!A326</f>
        <v>DA-003</v>
      </c>
      <c r="F532" s="23" t="str">
        <f>Contributions_Data!B326</f>
        <v>DA-003-M0028</v>
      </c>
      <c r="G532" s="24">
        <f>Contributions_Data!C326</f>
        <v>45372</v>
      </c>
      <c r="H532" s="27">
        <f>Contributions_Data!D326</f>
        <v>12373.15</v>
      </c>
      <c r="I532" s="27">
        <v>0</v>
      </c>
    </row>
    <row r="533" spans="3:9">
      <c r="C533" s="23">
        <v>526</v>
      </c>
      <c r="D533" s="23" t="s">
        <v>132</v>
      </c>
      <c r="E533" s="23" t="str">
        <f>Contributions_Data!A918</f>
        <v>DA-003</v>
      </c>
      <c r="F533" s="23" t="str">
        <f>Contributions_Data!B918</f>
        <v>DA-003-M0077</v>
      </c>
      <c r="G533" s="24">
        <f>Contributions_Data!C918</f>
        <v>45372</v>
      </c>
      <c r="H533" s="27">
        <f>Contributions_Data!D918</f>
        <v>12884.96</v>
      </c>
      <c r="I533" s="27">
        <v>0</v>
      </c>
    </row>
    <row r="534" spans="3:9">
      <c r="C534" s="23">
        <v>527</v>
      </c>
      <c r="D534" s="23" t="s">
        <v>134</v>
      </c>
      <c r="E534" s="23" t="str">
        <f>Withdrawals_Data!A208</f>
        <v>DA-003</v>
      </c>
      <c r="F534" s="23" t="str">
        <f>Withdrawals_Data!B208</f>
        <v>DA-003-M0076</v>
      </c>
      <c r="G534" s="24">
        <f>Withdrawals_Data!C208</f>
        <v>45372</v>
      </c>
      <c r="H534" s="27">
        <v>0</v>
      </c>
      <c r="I534" s="27">
        <f>-Withdrawals_Data!D208</f>
        <v>-7185.68</v>
      </c>
    </row>
    <row r="535" spans="3:9">
      <c r="C535" s="23">
        <v>528</v>
      </c>
      <c r="D535" s="23" t="s">
        <v>134</v>
      </c>
      <c r="E535" s="23" t="str">
        <f>Withdrawals_Data!A403</f>
        <v>DA-001</v>
      </c>
      <c r="F535" s="23" t="str">
        <f>Withdrawals_Data!B403</f>
        <v>DA-001-M0009</v>
      </c>
      <c r="G535" s="24">
        <f>Withdrawals_Data!C403</f>
        <v>45372</v>
      </c>
      <c r="H535" s="27">
        <v>0</v>
      </c>
      <c r="I535" s="27">
        <f>-Withdrawals_Data!D403</f>
        <v>-2512</v>
      </c>
    </row>
    <row r="536" spans="3:9">
      <c r="C536" s="23">
        <v>529</v>
      </c>
      <c r="D536" s="23" t="s">
        <v>134</v>
      </c>
      <c r="E536" s="23" t="str">
        <f>Withdrawals_Data!A960</f>
        <v>DA-001</v>
      </c>
      <c r="F536" s="23" t="str">
        <f>Withdrawals_Data!B960</f>
        <v>DA-001-M0073</v>
      </c>
      <c r="G536" s="24">
        <f>Withdrawals_Data!C960</f>
        <v>45372</v>
      </c>
      <c r="H536" s="27">
        <v>0</v>
      </c>
      <c r="I536" s="27">
        <f>-Withdrawals_Data!D960</f>
        <v>-7385</v>
      </c>
    </row>
    <row r="537" spans="3:9">
      <c r="C537" s="23">
        <v>530</v>
      </c>
      <c r="D537" s="23" t="s">
        <v>134</v>
      </c>
      <c r="E537" s="23" t="str">
        <f>Withdrawals_Data!A1099</f>
        <v>DA-002</v>
      </c>
      <c r="F537" s="23" t="str">
        <f>Withdrawals_Data!B1099</f>
        <v>DA-002-M0088</v>
      </c>
      <c r="G537" s="24">
        <f>Withdrawals_Data!C1099</f>
        <v>45372</v>
      </c>
      <c r="H537" s="27">
        <v>0</v>
      </c>
      <c r="I537" s="27">
        <f>-Withdrawals_Data!D1099</f>
        <v>-8317</v>
      </c>
    </row>
    <row r="538" spans="3:9">
      <c r="C538" s="23">
        <v>531</v>
      </c>
      <c r="D538" s="23" t="s">
        <v>132</v>
      </c>
      <c r="E538" s="23" t="str">
        <f>Contributions_Data!A547</f>
        <v>DA-001</v>
      </c>
      <c r="F538" s="23" t="str">
        <f>Contributions_Data!B547</f>
        <v>DA-001-M0046</v>
      </c>
      <c r="G538" s="24">
        <f>Contributions_Data!C547</f>
        <v>45373</v>
      </c>
      <c r="H538" s="27">
        <f>Contributions_Data!D547</f>
        <v>14257.44</v>
      </c>
      <c r="I538" s="27">
        <v>0</v>
      </c>
    </row>
    <row r="539" spans="3:9">
      <c r="C539" s="23">
        <v>532</v>
      </c>
      <c r="D539" s="23" t="s">
        <v>132</v>
      </c>
      <c r="E539" s="23" t="str">
        <f>Contributions_Data!A869</f>
        <v>DA-001</v>
      </c>
      <c r="F539" s="23" t="str">
        <f>Contributions_Data!B869</f>
        <v>DA-001-M0073</v>
      </c>
      <c r="G539" s="24">
        <f>Contributions_Data!C869</f>
        <v>45373</v>
      </c>
      <c r="H539" s="27">
        <f>Contributions_Data!D869</f>
        <v>12094.97</v>
      </c>
      <c r="I539" s="27">
        <v>0</v>
      </c>
    </row>
    <row r="540" spans="3:9">
      <c r="C540" s="23">
        <v>533</v>
      </c>
      <c r="D540" s="23" t="s">
        <v>132</v>
      </c>
      <c r="E540" s="23" t="str">
        <f>Contributions_Data!A1037</f>
        <v>DA-001</v>
      </c>
      <c r="F540" s="23" t="str">
        <f>Contributions_Data!B1037</f>
        <v>DA-001-M0087</v>
      </c>
      <c r="G540" s="24">
        <f>Contributions_Data!C1037</f>
        <v>45373</v>
      </c>
      <c r="H540" s="27">
        <f>Contributions_Data!D1037</f>
        <v>11859.27</v>
      </c>
      <c r="I540" s="27">
        <v>0</v>
      </c>
    </row>
    <row r="541" spans="3:9">
      <c r="C541" s="23">
        <v>534</v>
      </c>
      <c r="D541" s="23" t="s">
        <v>134</v>
      </c>
      <c r="E541" s="23" t="str">
        <f>Withdrawals_Data!A607</f>
        <v>DA-002</v>
      </c>
      <c r="F541" s="23" t="str">
        <f>Withdrawals_Data!B607</f>
        <v>DA-002-M0033</v>
      </c>
      <c r="G541" s="24">
        <f>Withdrawals_Data!C607</f>
        <v>45373</v>
      </c>
      <c r="H541" s="27">
        <v>0</v>
      </c>
      <c r="I541" s="27">
        <f>-Withdrawals_Data!D607</f>
        <v>-4439</v>
      </c>
    </row>
    <row r="542" spans="3:9">
      <c r="C542" s="23">
        <v>535</v>
      </c>
      <c r="D542" s="23" t="s">
        <v>134</v>
      </c>
      <c r="E542" s="23" t="str">
        <f>Withdrawals_Data!A685</f>
        <v>DA-002</v>
      </c>
      <c r="F542" s="23" t="str">
        <f>Withdrawals_Data!B685</f>
        <v>DA-002-M0042</v>
      </c>
      <c r="G542" s="24">
        <f>Withdrawals_Data!C685</f>
        <v>45373</v>
      </c>
      <c r="H542" s="27">
        <v>0</v>
      </c>
      <c r="I542" s="27">
        <f>-Withdrawals_Data!D685</f>
        <v>-14589</v>
      </c>
    </row>
    <row r="543" spans="3:9">
      <c r="C543" s="23">
        <v>536</v>
      </c>
      <c r="D543" s="23" t="s">
        <v>134</v>
      </c>
      <c r="E543" s="23" t="str">
        <f>Withdrawals_Data!A1050</f>
        <v>DA-001</v>
      </c>
      <c r="F543" s="23" t="str">
        <f>Withdrawals_Data!B1050</f>
        <v>DA-001-M0083</v>
      </c>
      <c r="G543" s="24">
        <f>Withdrawals_Data!C1050</f>
        <v>45373</v>
      </c>
      <c r="H543" s="27">
        <v>0</v>
      </c>
      <c r="I543" s="27">
        <f>-Withdrawals_Data!D1050</f>
        <v>-1888</v>
      </c>
    </row>
    <row r="544" spans="3:9">
      <c r="C544" s="23">
        <v>537</v>
      </c>
      <c r="D544" s="23" t="s">
        <v>134</v>
      </c>
      <c r="E544" s="23" t="str">
        <f>Withdrawals_Data!A1176</f>
        <v>DA-001</v>
      </c>
      <c r="F544" s="23" t="str">
        <f>Withdrawals_Data!B1176</f>
        <v>DA-001-M0098</v>
      </c>
      <c r="G544" s="24">
        <f>Withdrawals_Data!C1176</f>
        <v>45373</v>
      </c>
      <c r="H544" s="27">
        <v>0</v>
      </c>
      <c r="I544" s="27">
        <f>-Withdrawals_Data!D1176</f>
        <v>-16898</v>
      </c>
    </row>
    <row r="545" spans="3:9">
      <c r="C545" s="23">
        <v>538</v>
      </c>
      <c r="D545" s="23" t="s">
        <v>132</v>
      </c>
      <c r="E545" s="23" t="str">
        <f>Contributions_Data!A335</f>
        <v>DA-003</v>
      </c>
      <c r="F545" s="23" t="str">
        <f>Contributions_Data!B335</f>
        <v>DA-003-M0028</v>
      </c>
      <c r="G545" s="24">
        <f>Contributions_Data!C335</f>
        <v>45374</v>
      </c>
      <c r="H545" s="27">
        <f>Contributions_Data!D335</f>
        <v>14283.16</v>
      </c>
      <c r="I545" s="27">
        <v>0</v>
      </c>
    </row>
    <row r="546" spans="3:9">
      <c r="C546" s="23">
        <v>539</v>
      </c>
      <c r="D546" s="23" t="s">
        <v>132</v>
      </c>
      <c r="E546" s="23" t="str">
        <f>Contributions_Data!A386</f>
        <v>DA-002</v>
      </c>
      <c r="F546" s="23" t="str">
        <f>Contributions_Data!B386</f>
        <v>DA-002-M0033</v>
      </c>
      <c r="G546" s="24">
        <f>Contributions_Data!C386</f>
        <v>45374</v>
      </c>
      <c r="H546" s="27">
        <f>Contributions_Data!D386</f>
        <v>17312.599999999999</v>
      </c>
      <c r="I546" s="27">
        <v>0</v>
      </c>
    </row>
    <row r="547" spans="3:9">
      <c r="C547" s="23">
        <v>540</v>
      </c>
      <c r="D547" s="23" t="s">
        <v>132</v>
      </c>
      <c r="E547" s="23" t="str">
        <f>Contributions_Data!A546</f>
        <v>DA-001</v>
      </c>
      <c r="F547" s="23" t="str">
        <f>Contributions_Data!B546</f>
        <v>DA-001-M0046</v>
      </c>
      <c r="G547" s="24">
        <f>Contributions_Data!C546</f>
        <v>45374</v>
      </c>
      <c r="H547" s="27">
        <f>Contributions_Data!D546</f>
        <v>12818.59</v>
      </c>
      <c r="I547" s="27">
        <v>0</v>
      </c>
    </row>
    <row r="548" spans="3:9">
      <c r="C548" s="23">
        <v>541</v>
      </c>
      <c r="D548" s="23" t="s">
        <v>132</v>
      </c>
      <c r="E548" s="23" t="str">
        <f>Contributions_Data!A1157</f>
        <v>DA-002</v>
      </c>
      <c r="F548" s="23" t="str">
        <f>Contributions_Data!B1157</f>
        <v>DA-002-M0097</v>
      </c>
      <c r="G548" s="24">
        <f>Contributions_Data!C1157</f>
        <v>45374</v>
      </c>
      <c r="H548" s="27">
        <f>Contributions_Data!D1157</f>
        <v>14186.63</v>
      </c>
      <c r="I548" s="27">
        <v>0</v>
      </c>
    </row>
    <row r="549" spans="3:9">
      <c r="C549" s="23">
        <v>542</v>
      </c>
      <c r="D549" s="23" t="s">
        <v>134</v>
      </c>
      <c r="E549" s="23" t="str">
        <f>Withdrawals_Data!A354</f>
        <v>DA-001</v>
      </c>
      <c r="F549" s="23" t="str">
        <f>Withdrawals_Data!B354</f>
        <v>DA-001-M0002</v>
      </c>
      <c r="G549" s="24">
        <f>Withdrawals_Data!C354</f>
        <v>45374</v>
      </c>
      <c r="H549" s="27">
        <v>0</v>
      </c>
      <c r="I549" s="27">
        <f>-Withdrawals_Data!D354</f>
        <v>-2311</v>
      </c>
    </row>
    <row r="550" spans="3:9">
      <c r="C550" s="23">
        <v>543</v>
      </c>
      <c r="D550" s="23" t="s">
        <v>134</v>
      </c>
      <c r="E550" s="23" t="str">
        <f>Withdrawals_Data!A876</f>
        <v>DA-002</v>
      </c>
      <c r="F550" s="23" t="str">
        <f>Withdrawals_Data!B876</f>
        <v>DA-002-M0062</v>
      </c>
      <c r="G550" s="24">
        <f>Withdrawals_Data!C876</f>
        <v>45374</v>
      </c>
      <c r="H550" s="27">
        <v>0</v>
      </c>
      <c r="I550" s="27">
        <f>-Withdrawals_Data!D876</f>
        <v>-8989</v>
      </c>
    </row>
    <row r="551" spans="3:9">
      <c r="C551" s="23">
        <v>544</v>
      </c>
      <c r="D551" s="23" t="s">
        <v>134</v>
      </c>
      <c r="E551" s="23" t="str">
        <f>Withdrawals_Data!A1062</f>
        <v>DA-003</v>
      </c>
      <c r="F551" s="23" t="str">
        <f>Withdrawals_Data!B1062</f>
        <v>DA-003-M0084</v>
      </c>
      <c r="G551" s="24">
        <f>Withdrawals_Data!C1062</f>
        <v>45374</v>
      </c>
      <c r="H551" s="27">
        <v>0</v>
      </c>
      <c r="I551" s="27">
        <f>-Withdrawals_Data!D1062</f>
        <v>-21084</v>
      </c>
    </row>
    <row r="552" spans="3:9">
      <c r="C552" s="23">
        <v>545</v>
      </c>
      <c r="D552" s="23" t="s">
        <v>132</v>
      </c>
      <c r="E552" s="23" t="str">
        <f>Contributions_Data!A181</f>
        <v>DA-003</v>
      </c>
      <c r="F552" s="23" t="str">
        <f>Contributions_Data!B181</f>
        <v>DA-003-M0015</v>
      </c>
      <c r="G552" s="24">
        <f>Contributions_Data!C181</f>
        <v>45375</v>
      </c>
      <c r="H552" s="27">
        <f>Contributions_Data!D181</f>
        <v>17045.86</v>
      </c>
      <c r="I552" s="27">
        <v>0</v>
      </c>
    </row>
    <row r="553" spans="3:9">
      <c r="C553" s="23">
        <v>546</v>
      </c>
      <c r="D553" s="23" t="s">
        <v>132</v>
      </c>
      <c r="E553" s="23" t="str">
        <f>Contributions_Data!A1176</f>
        <v>DA-001</v>
      </c>
      <c r="F553" s="23" t="str">
        <f>Contributions_Data!B1176</f>
        <v>DA-001-M0098</v>
      </c>
      <c r="G553" s="24">
        <f>Contributions_Data!C1176</f>
        <v>45375</v>
      </c>
      <c r="H553" s="27">
        <f>Contributions_Data!D1176</f>
        <v>16286.45</v>
      </c>
      <c r="I553" s="27">
        <v>0</v>
      </c>
    </row>
    <row r="554" spans="3:9">
      <c r="C554" s="23">
        <v>547</v>
      </c>
      <c r="D554" s="23" t="s">
        <v>134</v>
      </c>
      <c r="E554" s="23" t="str">
        <f>Withdrawals_Data!A232</f>
        <v>DA-001</v>
      </c>
      <c r="F554" s="23" t="str">
        <f>Withdrawals_Data!B232</f>
        <v>DA-001-M0053</v>
      </c>
      <c r="G554" s="24">
        <f>Withdrawals_Data!C232</f>
        <v>45375</v>
      </c>
      <c r="H554" s="27">
        <v>0</v>
      </c>
      <c r="I554" s="27">
        <f>-Withdrawals_Data!D232</f>
        <v>-6042.24</v>
      </c>
    </row>
    <row r="555" spans="3:9">
      <c r="C555" s="23">
        <v>548</v>
      </c>
      <c r="D555" s="23" t="s">
        <v>134</v>
      </c>
      <c r="E555" s="23" t="str">
        <f>Withdrawals_Data!A551</f>
        <v>DA-002</v>
      </c>
      <c r="F555" s="23" t="str">
        <f>Withdrawals_Data!B551</f>
        <v>DA-002-M0026</v>
      </c>
      <c r="G555" s="24">
        <f>Withdrawals_Data!C551</f>
        <v>45375</v>
      </c>
      <c r="H555" s="27">
        <v>0</v>
      </c>
      <c r="I555" s="27">
        <f>-Withdrawals_Data!D551</f>
        <v>-13435</v>
      </c>
    </row>
    <row r="556" spans="3:9">
      <c r="C556" s="23">
        <v>549</v>
      </c>
      <c r="D556" s="23" t="s">
        <v>134</v>
      </c>
      <c r="E556" s="23" t="str">
        <f>Withdrawals_Data!A666</f>
        <v>DA-002</v>
      </c>
      <c r="F556" s="23" t="str">
        <f>Withdrawals_Data!B666</f>
        <v>DA-002-M0040</v>
      </c>
      <c r="G556" s="24">
        <f>Withdrawals_Data!C666</f>
        <v>45375</v>
      </c>
      <c r="H556" s="27">
        <v>0</v>
      </c>
      <c r="I556" s="27">
        <f>-Withdrawals_Data!D666</f>
        <v>-2904</v>
      </c>
    </row>
    <row r="557" spans="3:9">
      <c r="C557" s="23">
        <v>550</v>
      </c>
      <c r="D557" s="23" t="s">
        <v>134</v>
      </c>
      <c r="E557" s="23" t="str">
        <f>Withdrawals_Data!A980</f>
        <v>DA-003</v>
      </c>
      <c r="F557" s="23" t="str">
        <f>Withdrawals_Data!B980</f>
        <v>DA-003-M0076</v>
      </c>
      <c r="G557" s="24">
        <f>Withdrawals_Data!C980</f>
        <v>45375</v>
      </c>
      <c r="H557" s="27">
        <v>0</v>
      </c>
      <c r="I557" s="27">
        <f>-Withdrawals_Data!D980</f>
        <v>-14580</v>
      </c>
    </row>
    <row r="558" spans="3:9">
      <c r="C558" s="23">
        <v>551</v>
      </c>
      <c r="D558" s="23" t="s">
        <v>132</v>
      </c>
      <c r="E558" s="23" t="str">
        <f>Contributions_Data!A156</f>
        <v>DA-003</v>
      </c>
      <c r="F558" s="23" t="str">
        <f>Contributions_Data!B156</f>
        <v>DA-003-M0013</v>
      </c>
      <c r="G558" s="24">
        <f>Contributions_Data!C156</f>
        <v>45376</v>
      </c>
      <c r="H558" s="27">
        <f>Contributions_Data!D156</f>
        <v>21399.1</v>
      </c>
      <c r="I558" s="27">
        <v>0</v>
      </c>
    </row>
    <row r="559" spans="3:9">
      <c r="C559" s="23">
        <v>552</v>
      </c>
      <c r="D559" s="23" t="s">
        <v>132</v>
      </c>
      <c r="E559" s="23" t="str">
        <f>Contributions_Data!A864</f>
        <v>DA-002</v>
      </c>
      <c r="F559" s="23" t="str">
        <f>Contributions_Data!B864</f>
        <v>DA-002-M0072</v>
      </c>
      <c r="G559" s="24">
        <f>Contributions_Data!C864</f>
        <v>45376</v>
      </c>
      <c r="H559" s="27">
        <f>Contributions_Data!D864</f>
        <v>19176.009999999998</v>
      </c>
      <c r="I559" s="27">
        <v>0</v>
      </c>
    </row>
    <row r="560" spans="3:9">
      <c r="C560" s="23">
        <v>553</v>
      </c>
      <c r="D560" s="23" t="s">
        <v>132</v>
      </c>
      <c r="E560" s="23" t="str">
        <f>Contributions_Data!A1074</f>
        <v>DA-003</v>
      </c>
      <c r="F560" s="23" t="str">
        <f>Contributions_Data!B1074</f>
        <v>DA-003-M0090</v>
      </c>
      <c r="G560" s="24">
        <f>Contributions_Data!C1074</f>
        <v>45376</v>
      </c>
      <c r="H560" s="27">
        <f>Contributions_Data!D1074</f>
        <v>18714.849999999999</v>
      </c>
      <c r="I560" s="27">
        <v>0</v>
      </c>
    </row>
    <row r="561" spans="3:9">
      <c r="C561" s="23">
        <v>554</v>
      </c>
      <c r="D561" s="23" t="s">
        <v>132</v>
      </c>
      <c r="E561" s="23" t="str">
        <f>Contributions_Data!A1165</f>
        <v>DA-002</v>
      </c>
      <c r="F561" s="23" t="str">
        <f>Contributions_Data!B1165</f>
        <v>DA-002-M0097</v>
      </c>
      <c r="G561" s="24">
        <f>Contributions_Data!C1165</f>
        <v>45376</v>
      </c>
      <c r="H561" s="27">
        <f>Contributions_Data!D1165</f>
        <v>13412.84</v>
      </c>
      <c r="I561" s="27">
        <v>0</v>
      </c>
    </row>
    <row r="562" spans="3:9">
      <c r="C562" s="23">
        <v>555</v>
      </c>
      <c r="D562" s="23" t="s">
        <v>134</v>
      </c>
      <c r="E562" s="23" t="str">
        <f>Withdrawals_Data!A479</f>
        <v>DA-002</v>
      </c>
      <c r="F562" s="23" t="str">
        <f>Withdrawals_Data!B479</f>
        <v>DA-002-M0018</v>
      </c>
      <c r="G562" s="24">
        <f>Withdrawals_Data!C479</f>
        <v>45376</v>
      </c>
      <c r="H562" s="27">
        <v>0</v>
      </c>
      <c r="I562" s="27">
        <f>-Withdrawals_Data!D479</f>
        <v>-1853</v>
      </c>
    </row>
    <row r="563" spans="3:9">
      <c r="C563" s="23">
        <v>556</v>
      </c>
      <c r="D563" s="23" t="s">
        <v>134</v>
      </c>
      <c r="E563" s="23" t="str">
        <f>Withdrawals_Data!A1068</f>
        <v>DA-002</v>
      </c>
      <c r="F563" s="23" t="str">
        <f>Withdrawals_Data!B1068</f>
        <v>DA-002-M0085</v>
      </c>
      <c r="G563" s="24">
        <f>Withdrawals_Data!C1068</f>
        <v>45376</v>
      </c>
      <c r="H563" s="27">
        <v>0</v>
      </c>
      <c r="I563" s="27">
        <f>-Withdrawals_Data!D1068</f>
        <v>-17581</v>
      </c>
    </row>
    <row r="564" spans="3:9">
      <c r="C564" s="23">
        <v>557</v>
      </c>
      <c r="D564" s="23" t="s">
        <v>132</v>
      </c>
      <c r="E564" s="23" t="str">
        <f>Contributions_Data!A353</f>
        <v>DA-002</v>
      </c>
      <c r="F564" s="23" t="str">
        <f>Contributions_Data!B353</f>
        <v>DA-002-M0030</v>
      </c>
      <c r="G564" s="24">
        <f>Contributions_Data!C353</f>
        <v>45377</v>
      </c>
      <c r="H564" s="27">
        <f>Contributions_Data!D353</f>
        <v>13846.33</v>
      </c>
      <c r="I564" s="27">
        <v>0</v>
      </c>
    </row>
    <row r="565" spans="3:9">
      <c r="C565" s="23">
        <v>558</v>
      </c>
      <c r="D565" s="23" t="s">
        <v>132</v>
      </c>
      <c r="E565" s="23" t="str">
        <f>Contributions_Data!A365</f>
        <v>DA-003</v>
      </c>
      <c r="F565" s="23" t="str">
        <f>Contributions_Data!B365</f>
        <v>DA-003-M0031</v>
      </c>
      <c r="G565" s="24">
        <f>Contributions_Data!C365</f>
        <v>45377</v>
      </c>
      <c r="H565" s="27">
        <f>Contributions_Data!D365</f>
        <v>18503.349999999999</v>
      </c>
      <c r="I565" s="27">
        <v>0</v>
      </c>
    </row>
    <row r="566" spans="3:9">
      <c r="C566" s="23">
        <v>559</v>
      </c>
      <c r="D566" s="23" t="s">
        <v>132</v>
      </c>
      <c r="E566" s="23" t="str">
        <f>Contributions_Data!A398</f>
        <v>DA-001</v>
      </c>
      <c r="F566" s="23" t="str">
        <f>Contributions_Data!B398</f>
        <v>DA-001-M0034</v>
      </c>
      <c r="G566" s="24">
        <f>Contributions_Data!C398</f>
        <v>45377</v>
      </c>
      <c r="H566" s="27">
        <f>Contributions_Data!D398</f>
        <v>16436.939999999999</v>
      </c>
      <c r="I566" s="27">
        <v>0</v>
      </c>
    </row>
    <row r="567" spans="3:9">
      <c r="C567" s="23">
        <v>560</v>
      </c>
      <c r="D567" s="23" t="s">
        <v>134</v>
      </c>
      <c r="E567" s="23" t="str">
        <f>Withdrawals_Data!A366</f>
        <v>DA-001</v>
      </c>
      <c r="F567" s="23" t="str">
        <f>Withdrawals_Data!B366</f>
        <v>DA-001-M0004</v>
      </c>
      <c r="G567" s="24">
        <f>Withdrawals_Data!C366</f>
        <v>45377</v>
      </c>
      <c r="H567" s="27">
        <v>0</v>
      </c>
      <c r="I567" s="27">
        <f>-Withdrawals_Data!D366</f>
        <v>-2141</v>
      </c>
    </row>
    <row r="568" spans="3:9">
      <c r="C568" s="23">
        <v>561</v>
      </c>
      <c r="D568" s="23" t="s">
        <v>134</v>
      </c>
      <c r="E568" s="23" t="str">
        <f>Withdrawals_Data!A1098</f>
        <v>DA-002</v>
      </c>
      <c r="F568" s="23" t="str">
        <f>Withdrawals_Data!B1098</f>
        <v>DA-002-M0088</v>
      </c>
      <c r="G568" s="24">
        <f>Withdrawals_Data!C1098</f>
        <v>45377</v>
      </c>
      <c r="H568" s="27">
        <v>0</v>
      </c>
      <c r="I568" s="27">
        <f>-Withdrawals_Data!D1098</f>
        <v>-19801</v>
      </c>
    </row>
    <row r="569" spans="3:9">
      <c r="C569" s="23">
        <v>562</v>
      </c>
      <c r="D569" s="23" t="s">
        <v>132</v>
      </c>
      <c r="E569" s="23" t="str">
        <f>Contributions_Data!A229</f>
        <v>DA-001</v>
      </c>
      <c r="F569" s="23" t="str">
        <f>Contributions_Data!B229</f>
        <v>DA-001-M0019</v>
      </c>
      <c r="G569" s="24">
        <f>Contributions_Data!C229</f>
        <v>45378</v>
      </c>
      <c r="H569" s="27">
        <f>Contributions_Data!D229</f>
        <v>15550.03</v>
      </c>
      <c r="I569" s="27">
        <v>0</v>
      </c>
    </row>
    <row r="570" spans="3:9">
      <c r="C570" s="23">
        <v>563</v>
      </c>
      <c r="D570" s="23" t="s">
        <v>132</v>
      </c>
      <c r="E570" s="23" t="str">
        <f>Contributions_Data!A362</f>
        <v>DA-003</v>
      </c>
      <c r="F570" s="23" t="str">
        <f>Contributions_Data!B362</f>
        <v>DA-003-M0031</v>
      </c>
      <c r="G570" s="24">
        <f>Contributions_Data!C362</f>
        <v>45378</v>
      </c>
      <c r="H570" s="27">
        <f>Contributions_Data!D362</f>
        <v>16113.44</v>
      </c>
      <c r="I570" s="27">
        <v>0</v>
      </c>
    </row>
    <row r="571" spans="3:9">
      <c r="C571" s="23">
        <v>564</v>
      </c>
      <c r="D571" s="23" t="s">
        <v>132</v>
      </c>
      <c r="E571" s="23" t="str">
        <f>Contributions_Data!A555</f>
        <v>DA-003</v>
      </c>
      <c r="F571" s="23" t="str">
        <f>Contributions_Data!B555</f>
        <v>DA-003-M0047</v>
      </c>
      <c r="G571" s="24">
        <f>Contributions_Data!C555</f>
        <v>45378</v>
      </c>
      <c r="H571" s="27">
        <f>Contributions_Data!D555</f>
        <v>16377.54</v>
      </c>
      <c r="I571" s="27">
        <v>0</v>
      </c>
    </row>
    <row r="572" spans="3:9">
      <c r="C572" s="23">
        <v>565</v>
      </c>
      <c r="D572" s="23" t="s">
        <v>132</v>
      </c>
      <c r="E572" s="23" t="str">
        <f>Contributions_Data!A578</f>
        <v>DA-001</v>
      </c>
      <c r="F572" s="23" t="str">
        <f>Contributions_Data!B578</f>
        <v>DA-001-M0049</v>
      </c>
      <c r="G572" s="24">
        <f>Contributions_Data!C578</f>
        <v>45378</v>
      </c>
      <c r="H572" s="27">
        <f>Contributions_Data!D578</f>
        <v>13448.13</v>
      </c>
      <c r="I572" s="27">
        <v>0</v>
      </c>
    </row>
    <row r="573" spans="3:9">
      <c r="C573" s="23">
        <v>566</v>
      </c>
      <c r="D573" s="23" t="s">
        <v>132</v>
      </c>
      <c r="E573" s="23" t="str">
        <f>Contributions_Data!A791</f>
        <v>DA-003</v>
      </c>
      <c r="F573" s="23" t="str">
        <f>Contributions_Data!B791</f>
        <v>DA-003-M0066</v>
      </c>
      <c r="G573" s="24">
        <f>Contributions_Data!C791</f>
        <v>45378</v>
      </c>
      <c r="H573" s="27">
        <f>Contributions_Data!D791</f>
        <v>18090.849999999999</v>
      </c>
      <c r="I573" s="27">
        <v>0</v>
      </c>
    </row>
    <row r="574" spans="3:9">
      <c r="C574" s="23">
        <v>567</v>
      </c>
      <c r="D574" s="23" t="s">
        <v>134</v>
      </c>
      <c r="E574" s="23" t="str">
        <f>Withdrawals_Data!A217</f>
        <v>DA-002</v>
      </c>
      <c r="F574" s="23" t="str">
        <f>Withdrawals_Data!B217</f>
        <v>DA-002-M0060</v>
      </c>
      <c r="G574" s="24">
        <f>Withdrawals_Data!C217</f>
        <v>45378</v>
      </c>
      <c r="H574" s="27">
        <v>0</v>
      </c>
      <c r="I574" s="27">
        <f>-Withdrawals_Data!D217</f>
        <v>-6875.6</v>
      </c>
    </row>
    <row r="575" spans="3:9">
      <c r="C575" s="23">
        <v>568</v>
      </c>
      <c r="D575" s="23" t="s">
        <v>132</v>
      </c>
      <c r="E575" s="23" t="str">
        <f>Contributions_Data!A144</f>
        <v>DA-003</v>
      </c>
      <c r="F575" s="23" t="str">
        <f>Contributions_Data!B144</f>
        <v>DA-003-M0012</v>
      </c>
      <c r="G575" s="24">
        <f>Contributions_Data!C144</f>
        <v>45379</v>
      </c>
      <c r="H575" s="27">
        <f>Contributions_Data!D144</f>
        <v>13679.87</v>
      </c>
      <c r="I575" s="27">
        <v>0</v>
      </c>
    </row>
    <row r="576" spans="3:9">
      <c r="C576" s="23">
        <v>569</v>
      </c>
      <c r="D576" s="23" t="s">
        <v>132</v>
      </c>
      <c r="E576" s="23" t="str">
        <f>Contributions_Data!A286</f>
        <v>DA-001</v>
      </c>
      <c r="F576" s="23" t="str">
        <f>Contributions_Data!B286</f>
        <v>DA-001-M0024</v>
      </c>
      <c r="G576" s="24">
        <f>Contributions_Data!C286</f>
        <v>45379</v>
      </c>
      <c r="H576" s="27">
        <f>Contributions_Data!D286</f>
        <v>12180.36</v>
      </c>
      <c r="I576" s="27">
        <v>0</v>
      </c>
    </row>
    <row r="577" spans="3:9">
      <c r="C577" s="23">
        <v>570</v>
      </c>
      <c r="D577" s="23" t="s">
        <v>132</v>
      </c>
      <c r="E577" s="23" t="str">
        <f>Contributions_Data!A823</f>
        <v>DA-003</v>
      </c>
      <c r="F577" s="23" t="str">
        <f>Contributions_Data!B823</f>
        <v>DA-003-M0069</v>
      </c>
      <c r="G577" s="24">
        <f>Contributions_Data!C823</f>
        <v>45379</v>
      </c>
      <c r="H577" s="27">
        <f>Contributions_Data!D823</f>
        <v>16265.76</v>
      </c>
      <c r="I577" s="27">
        <v>0</v>
      </c>
    </row>
    <row r="578" spans="3:9">
      <c r="C578" s="23">
        <v>571</v>
      </c>
      <c r="D578" s="23" t="s">
        <v>132</v>
      </c>
      <c r="E578" s="23" t="str">
        <f>Contributions_Data!A1138</f>
        <v>DA-003</v>
      </c>
      <c r="F578" s="23" t="str">
        <f>Contributions_Data!B1138</f>
        <v>DA-003-M0095</v>
      </c>
      <c r="G578" s="24">
        <f>Contributions_Data!C1138</f>
        <v>45379</v>
      </c>
      <c r="H578" s="27">
        <f>Contributions_Data!D1138</f>
        <v>14557.19</v>
      </c>
      <c r="I578" s="27">
        <v>0</v>
      </c>
    </row>
    <row r="579" spans="3:9">
      <c r="C579" s="23">
        <v>572</v>
      </c>
      <c r="D579" s="23" t="s">
        <v>134</v>
      </c>
      <c r="E579" s="23" t="str">
        <f>Withdrawals_Data!A601</f>
        <v>DA-003</v>
      </c>
      <c r="F579" s="23" t="str">
        <f>Withdrawals_Data!B601</f>
        <v>DA-003-M0032</v>
      </c>
      <c r="G579" s="24">
        <f>Withdrawals_Data!C601</f>
        <v>45379</v>
      </c>
      <c r="H579" s="27">
        <v>0</v>
      </c>
      <c r="I579" s="27">
        <f>-Withdrawals_Data!D601</f>
        <v>-20828</v>
      </c>
    </row>
    <row r="580" spans="3:9">
      <c r="C580" s="23">
        <v>573</v>
      </c>
      <c r="D580" s="23" t="s">
        <v>134</v>
      </c>
      <c r="E580" s="23" t="str">
        <f>Withdrawals_Data!A660</f>
        <v>DA-002</v>
      </c>
      <c r="F580" s="23" t="str">
        <f>Withdrawals_Data!B660</f>
        <v>DA-002-M0039</v>
      </c>
      <c r="G580" s="24">
        <f>Withdrawals_Data!C660</f>
        <v>45379</v>
      </c>
      <c r="H580" s="27">
        <v>0</v>
      </c>
      <c r="I580" s="27">
        <f>-Withdrawals_Data!D660</f>
        <v>-18398</v>
      </c>
    </row>
    <row r="581" spans="3:9">
      <c r="C581" s="23">
        <v>574</v>
      </c>
      <c r="D581" s="23" t="s">
        <v>132</v>
      </c>
      <c r="E581" s="23" t="str">
        <f>Contributions_Data!A269</f>
        <v>DA-002</v>
      </c>
      <c r="F581" s="23" t="str">
        <f>Contributions_Data!B269</f>
        <v>DA-002-M0023</v>
      </c>
      <c r="G581" s="24">
        <f>Contributions_Data!C269</f>
        <v>45380</v>
      </c>
      <c r="H581" s="27">
        <f>Contributions_Data!D269</f>
        <v>18175.27</v>
      </c>
      <c r="I581" s="27">
        <v>0</v>
      </c>
    </row>
    <row r="582" spans="3:9">
      <c r="C582" s="23">
        <v>575</v>
      </c>
      <c r="D582" s="23" t="s">
        <v>132</v>
      </c>
      <c r="E582" s="23" t="str">
        <f>Contributions_Data!A334</f>
        <v>DA-003</v>
      </c>
      <c r="F582" s="23" t="str">
        <f>Contributions_Data!B334</f>
        <v>DA-003-M0028</v>
      </c>
      <c r="G582" s="24">
        <f>Contributions_Data!C334</f>
        <v>45380</v>
      </c>
      <c r="H582" s="27">
        <f>Contributions_Data!D334</f>
        <v>14849.29</v>
      </c>
      <c r="I582" s="27">
        <v>0</v>
      </c>
    </row>
    <row r="583" spans="3:9">
      <c r="C583" s="23">
        <v>576</v>
      </c>
      <c r="D583" s="23" t="s">
        <v>132</v>
      </c>
      <c r="E583" s="23" t="str">
        <f>Contributions_Data!A342</f>
        <v>DA-003</v>
      </c>
      <c r="F583" s="23" t="str">
        <f>Contributions_Data!B342</f>
        <v>DA-003-M0029</v>
      </c>
      <c r="G583" s="24">
        <f>Contributions_Data!C342</f>
        <v>45380</v>
      </c>
      <c r="H583" s="27">
        <f>Contributions_Data!D342</f>
        <v>16630.080000000002</v>
      </c>
      <c r="I583" s="27">
        <v>0</v>
      </c>
    </row>
    <row r="584" spans="3:9">
      <c r="C584" s="23">
        <v>577</v>
      </c>
      <c r="D584" s="23" t="s">
        <v>132</v>
      </c>
      <c r="E584" s="23" t="str">
        <f>Contributions_Data!A497</f>
        <v>DA-002</v>
      </c>
      <c r="F584" s="23" t="str">
        <f>Contributions_Data!B497</f>
        <v>DA-002-M0042</v>
      </c>
      <c r="G584" s="24">
        <f>Contributions_Data!C497</f>
        <v>45380</v>
      </c>
      <c r="H584" s="27">
        <f>Contributions_Data!D497</f>
        <v>13909.16</v>
      </c>
      <c r="I584" s="27">
        <v>0</v>
      </c>
    </row>
    <row r="585" spans="3:9">
      <c r="C585" s="23">
        <v>578</v>
      </c>
      <c r="D585" s="23" t="s">
        <v>132</v>
      </c>
      <c r="E585" s="23" t="str">
        <f>Contributions_Data!A980</f>
        <v>DA-003</v>
      </c>
      <c r="F585" s="23" t="str">
        <f>Contributions_Data!B980</f>
        <v>DA-003-M0082</v>
      </c>
      <c r="G585" s="24">
        <f>Contributions_Data!C980</f>
        <v>45380</v>
      </c>
      <c r="H585" s="27">
        <f>Contributions_Data!D980</f>
        <v>18656.29</v>
      </c>
      <c r="I585" s="27">
        <v>0</v>
      </c>
    </row>
    <row r="586" spans="3:9">
      <c r="C586" s="23">
        <v>579</v>
      </c>
      <c r="D586" s="23" t="s">
        <v>134</v>
      </c>
      <c r="E586" s="23" t="str">
        <f>Withdrawals_Data!A872</f>
        <v>DA-002</v>
      </c>
      <c r="F586" s="23" t="str">
        <f>Withdrawals_Data!B872</f>
        <v>DA-002-M0062</v>
      </c>
      <c r="G586" s="24">
        <f>Withdrawals_Data!C872</f>
        <v>45380</v>
      </c>
      <c r="H586" s="27">
        <v>0</v>
      </c>
      <c r="I586" s="27">
        <f>-Withdrawals_Data!D872</f>
        <v>-2569</v>
      </c>
    </row>
    <row r="587" spans="3:9">
      <c r="C587" s="23">
        <v>580</v>
      </c>
      <c r="D587" s="23" t="s">
        <v>134</v>
      </c>
      <c r="E587" s="23" t="str">
        <f>Withdrawals_Data!A879</f>
        <v>DA-002</v>
      </c>
      <c r="F587" s="23" t="str">
        <f>Withdrawals_Data!B879</f>
        <v>DA-002-M0063</v>
      </c>
      <c r="G587" s="24">
        <f>Withdrawals_Data!C879</f>
        <v>45380</v>
      </c>
      <c r="H587" s="27">
        <v>0</v>
      </c>
      <c r="I587" s="27">
        <f>-Withdrawals_Data!D879</f>
        <v>-5406</v>
      </c>
    </row>
    <row r="588" spans="3:9">
      <c r="C588" s="23">
        <v>581</v>
      </c>
      <c r="D588" s="23" t="s">
        <v>132</v>
      </c>
      <c r="E588" s="23" t="str">
        <f>Contributions_Data!A128</f>
        <v>DA-001</v>
      </c>
      <c r="F588" s="23" t="str">
        <f>Contributions_Data!B128</f>
        <v>DA-001-M0011</v>
      </c>
      <c r="G588" s="24">
        <f>Contributions_Data!C128</f>
        <v>45381</v>
      </c>
      <c r="H588" s="27">
        <f>Contributions_Data!D128</f>
        <v>11399.11</v>
      </c>
      <c r="I588" s="27">
        <v>0</v>
      </c>
    </row>
    <row r="589" spans="3:9">
      <c r="C589" s="23">
        <v>582</v>
      </c>
      <c r="D589" s="23" t="s">
        <v>132</v>
      </c>
      <c r="E589" s="23" t="str">
        <f>Contributions_Data!A622</f>
        <v>DA-003</v>
      </c>
      <c r="F589" s="23" t="str">
        <f>Contributions_Data!B622</f>
        <v>DA-003-M0052</v>
      </c>
      <c r="G589" s="24">
        <f>Contributions_Data!C622</f>
        <v>45381</v>
      </c>
      <c r="H589" s="27">
        <f>Contributions_Data!D622</f>
        <v>12807.21</v>
      </c>
      <c r="I589" s="27">
        <v>0</v>
      </c>
    </row>
    <row r="590" spans="3:9">
      <c r="C590" s="23">
        <v>583</v>
      </c>
      <c r="D590" s="23" t="s">
        <v>134</v>
      </c>
      <c r="E590" s="23" t="str">
        <f>Withdrawals_Data!A77</f>
        <v>DA-003</v>
      </c>
      <c r="F590" s="23" t="str">
        <f>Withdrawals_Data!B77</f>
        <v>DA-003-M0052</v>
      </c>
      <c r="G590" s="24">
        <f>Withdrawals_Data!C77</f>
        <v>45381</v>
      </c>
      <c r="H590" s="27">
        <v>0</v>
      </c>
      <c r="I590" s="27">
        <f>-Withdrawals_Data!D77</f>
        <v>-10634.18</v>
      </c>
    </row>
    <row r="591" spans="3:9">
      <c r="C591" s="23">
        <v>584</v>
      </c>
      <c r="D591" s="23" t="s">
        <v>134</v>
      </c>
      <c r="E591" s="23" t="str">
        <f>Withdrawals_Data!A224</f>
        <v>DA-003</v>
      </c>
      <c r="F591" s="23" t="str">
        <f>Withdrawals_Data!B224</f>
        <v>DA-003-M0086</v>
      </c>
      <c r="G591" s="24">
        <f>Withdrawals_Data!C224</f>
        <v>45381</v>
      </c>
      <c r="H591" s="27">
        <v>0</v>
      </c>
      <c r="I591" s="27">
        <f>-Withdrawals_Data!D224</f>
        <v>-6538.71</v>
      </c>
    </row>
    <row r="592" spans="3:9">
      <c r="C592" s="23">
        <v>585</v>
      </c>
      <c r="D592" s="23" t="s">
        <v>134</v>
      </c>
      <c r="E592" s="23" t="str">
        <f>Withdrawals_Data!A411</f>
        <v>DA-001</v>
      </c>
      <c r="F592" s="23" t="str">
        <f>Withdrawals_Data!B411</f>
        <v>DA-001-M0010</v>
      </c>
      <c r="G592" s="24">
        <f>Withdrawals_Data!C411</f>
        <v>45381</v>
      </c>
      <c r="H592" s="27">
        <v>0</v>
      </c>
      <c r="I592" s="27">
        <f>-Withdrawals_Data!D411</f>
        <v>-16410</v>
      </c>
    </row>
    <row r="593" spans="3:9">
      <c r="C593" s="23">
        <v>586</v>
      </c>
      <c r="D593" s="23" t="s">
        <v>134</v>
      </c>
      <c r="E593" s="23" t="str">
        <f>Withdrawals_Data!A423</f>
        <v>DA-001</v>
      </c>
      <c r="F593" s="23" t="str">
        <f>Withdrawals_Data!B423</f>
        <v>DA-001-M0011</v>
      </c>
      <c r="G593" s="24">
        <f>Withdrawals_Data!C423</f>
        <v>45381</v>
      </c>
      <c r="H593" s="27">
        <v>0</v>
      </c>
      <c r="I593" s="27">
        <f>-Withdrawals_Data!D423</f>
        <v>-13840</v>
      </c>
    </row>
    <row r="594" spans="3:9">
      <c r="C594" s="23">
        <v>587</v>
      </c>
      <c r="D594" s="23" t="s">
        <v>134</v>
      </c>
      <c r="E594" s="23" t="str">
        <f>Withdrawals_Data!A714</f>
        <v>DA-003</v>
      </c>
      <c r="F594" s="23" t="str">
        <f>Withdrawals_Data!B714</f>
        <v>DA-003-M0045</v>
      </c>
      <c r="G594" s="24">
        <f>Withdrawals_Data!C714</f>
        <v>45381</v>
      </c>
      <c r="H594" s="27">
        <v>0</v>
      </c>
      <c r="I594" s="27">
        <f>-Withdrawals_Data!D714</f>
        <v>-8057</v>
      </c>
    </row>
    <row r="595" spans="3:9">
      <c r="C595" s="23">
        <v>588</v>
      </c>
      <c r="D595" s="23" t="s">
        <v>134</v>
      </c>
      <c r="E595" s="23" t="str">
        <f>Withdrawals_Data!A787</f>
        <v>DA-001</v>
      </c>
      <c r="F595" s="23" t="str">
        <f>Withdrawals_Data!B787</f>
        <v>DA-001-M0053</v>
      </c>
      <c r="G595" s="24">
        <f>Withdrawals_Data!C787</f>
        <v>45381</v>
      </c>
      <c r="H595" s="27">
        <v>0</v>
      </c>
      <c r="I595" s="27">
        <f>-Withdrawals_Data!D787</f>
        <v>-17247</v>
      </c>
    </row>
    <row r="596" spans="3:9">
      <c r="C596" s="23">
        <v>589</v>
      </c>
      <c r="D596" s="23" t="s">
        <v>134</v>
      </c>
      <c r="E596" s="23" t="str">
        <f>Withdrawals_Data!A790</f>
        <v>DA-001</v>
      </c>
      <c r="F596" s="23" t="str">
        <f>Withdrawals_Data!B790</f>
        <v>DA-001-M0053</v>
      </c>
      <c r="G596" s="24">
        <f>Withdrawals_Data!C790</f>
        <v>45381</v>
      </c>
      <c r="H596" s="27">
        <v>0</v>
      </c>
      <c r="I596" s="27">
        <f>-Withdrawals_Data!D790</f>
        <v>-18088</v>
      </c>
    </row>
    <row r="597" spans="3:9">
      <c r="C597" s="23">
        <v>590</v>
      </c>
      <c r="D597" s="23" t="s">
        <v>134</v>
      </c>
      <c r="E597" s="23" t="str">
        <f>Withdrawals_Data!A956</f>
        <v>DA-002</v>
      </c>
      <c r="F597" s="23" t="str">
        <f>Withdrawals_Data!B956</f>
        <v>DA-002-M0072</v>
      </c>
      <c r="G597" s="24">
        <f>Withdrawals_Data!C956</f>
        <v>45381</v>
      </c>
      <c r="H597" s="27">
        <v>0</v>
      </c>
      <c r="I597" s="27">
        <f>-Withdrawals_Data!D956</f>
        <v>-20722</v>
      </c>
    </row>
    <row r="598" spans="3:9">
      <c r="C598" s="23">
        <v>591</v>
      </c>
      <c r="D598" s="23" t="s">
        <v>132</v>
      </c>
      <c r="E598" s="23" t="str">
        <f>Contributions_Data!A117</f>
        <v>DA-001</v>
      </c>
      <c r="F598" s="23" t="str">
        <f>Contributions_Data!B117</f>
        <v>DA-001-M0010</v>
      </c>
      <c r="G598" s="24">
        <f>Contributions_Data!C117</f>
        <v>45382</v>
      </c>
      <c r="H598" s="27">
        <f>Contributions_Data!D117</f>
        <v>15649.38</v>
      </c>
      <c r="I598" s="27">
        <v>0</v>
      </c>
    </row>
    <row r="599" spans="3:9">
      <c r="C599" s="23">
        <v>592</v>
      </c>
      <c r="D599" s="23" t="s">
        <v>132</v>
      </c>
      <c r="E599" s="23" t="str">
        <f>Contributions_Data!A160</f>
        <v>DA-003</v>
      </c>
      <c r="F599" s="23" t="str">
        <f>Contributions_Data!B160</f>
        <v>DA-003-M0014</v>
      </c>
      <c r="G599" s="24">
        <f>Contributions_Data!C160</f>
        <v>45382</v>
      </c>
      <c r="H599" s="27">
        <f>Contributions_Data!D160</f>
        <v>13131.9</v>
      </c>
      <c r="I599" s="27">
        <v>0</v>
      </c>
    </row>
    <row r="600" spans="3:9">
      <c r="C600" s="23">
        <v>593</v>
      </c>
      <c r="D600" s="23" t="s">
        <v>132</v>
      </c>
      <c r="E600" s="23" t="str">
        <f>Contributions_Data!A222</f>
        <v>DA-001</v>
      </c>
      <c r="F600" s="23" t="str">
        <f>Contributions_Data!B222</f>
        <v>DA-001-M0019</v>
      </c>
      <c r="G600" s="24">
        <f>Contributions_Data!C222</f>
        <v>45382</v>
      </c>
      <c r="H600" s="27">
        <f>Contributions_Data!D222</f>
        <v>12680.97</v>
      </c>
      <c r="I600" s="27">
        <v>0</v>
      </c>
    </row>
    <row r="601" spans="3:9">
      <c r="C601" s="23">
        <v>594</v>
      </c>
      <c r="D601" s="23" t="s">
        <v>132</v>
      </c>
      <c r="E601" s="23" t="str">
        <f>Contributions_Data!A295</f>
        <v>DA-001</v>
      </c>
      <c r="F601" s="23" t="str">
        <f>Contributions_Data!B295</f>
        <v>DA-001-M0025</v>
      </c>
      <c r="G601" s="24">
        <f>Contributions_Data!C295</f>
        <v>45382</v>
      </c>
      <c r="H601" s="27">
        <f>Contributions_Data!D295</f>
        <v>15105.79</v>
      </c>
      <c r="I601" s="27">
        <v>0</v>
      </c>
    </row>
    <row r="602" spans="3:9">
      <c r="C602" s="23">
        <v>595</v>
      </c>
      <c r="D602" s="23" t="s">
        <v>132</v>
      </c>
      <c r="E602" s="23" t="str">
        <f>Contributions_Data!A414</f>
        <v>DA-001</v>
      </c>
      <c r="F602" s="23" t="str">
        <f>Contributions_Data!B414</f>
        <v>DA-001-M0035</v>
      </c>
      <c r="G602" s="24">
        <f>Contributions_Data!C414</f>
        <v>45382</v>
      </c>
      <c r="H602" s="27">
        <f>Contributions_Data!D414</f>
        <v>14833.25</v>
      </c>
      <c r="I602" s="27">
        <v>0</v>
      </c>
    </row>
    <row r="603" spans="3:9">
      <c r="C603" s="23">
        <v>596</v>
      </c>
      <c r="D603" s="23" t="s">
        <v>132</v>
      </c>
      <c r="E603" s="23" t="str">
        <f>Contributions_Data!A891</f>
        <v>DA-001</v>
      </c>
      <c r="F603" s="23" t="str">
        <f>Contributions_Data!B891</f>
        <v>DA-001-M0075</v>
      </c>
      <c r="G603" s="24">
        <f>Contributions_Data!C891</f>
        <v>45382</v>
      </c>
      <c r="H603" s="27">
        <f>Contributions_Data!D891</f>
        <v>11437.2</v>
      </c>
      <c r="I603" s="27">
        <v>0</v>
      </c>
    </row>
    <row r="604" spans="3:9">
      <c r="C604" s="23">
        <v>597</v>
      </c>
      <c r="D604" s="23" t="s">
        <v>134</v>
      </c>
      <c r="E604" s="23" t="str">
        <f>Withdrawals_Data!A207</f>
        <v>DA-002</v>
      </c>
      <c r="F604" s="23" t="str">
        <f>Withdrawals_Data!B207</f>
        <v>DA-002-M0003</v>
      </c>
      <c r="G604" s="24">
        <f>Withdrawals_Data!C207</f>
        <v>45382</v>
      </c>
      <c r="H604" s="27">
        <v>0</v>
      </c>
      <c r="I604" s="27">
        <f>-Withdrawals_Data!D207</f>
        <v>-7230.56</v>
      </c>
    </row>
    <row r="605" spans="3:9">
      <c r="C605" s="23">
        <v>598</v>
      </c>
      <c r="D605" s="23" t="s">
        <v>134</v>
      </c>
      <c r="E605" s="23" t="str">
        <f>Withdrawals_Data!A386</f>
        <v>DA-003</v>
      </c>
      <c r="F605" s="23" t="str">
        <f>Withdrawals_Data!B386</f>
        <v>DA-003-M0007</v>
      </c>
      <c r="G605" s="24">
        <f>Withdrawals_Data!C386</f>
        <v>45382</v>
      </c>
      <c r="H605" s="27">
        <v>0</v>
      </c>
      <c r="I605" s="27">
        <f>-Withdrawals_Data!D386</f>
        <v>-11026</v>
      </c>
    </row>
    <row r="606" spans="3:9">
      <c r="C606" s="23">
        <v>599</v>
      </c>
      <c r="D606" s="23" t="s">
        <v>134</v>
      </c>
      <c r="E606" s="23" t="str">
        <f>Withdrawals_Data!A425</f>
        <v>DA-003</v>
      </c>
      <c r="F606" s="23" t="str">
        <f>Withdrawals_Data!B425</f>
        <v>DA-003-M0012</v>
      </c>
      <c r="G606" s="24">
        <f>Withdrawals_Data!C425</f>
        <v>45382</v>
      </c>
      <c r="H606" s="27">
        <v>0</v>
      </c>
      <c r="I606" s="27">
        <f>-Withdrawals_Data!D425</f>
        <v>-10644</v>
      </c>
    </row>
    <row r="607" spans="3:9">
      <c r="C607" s="23">
        <v>600</v>
      </c>
      <c r="D607" s="23" t="s">
        <v>134</v>
      </c>
      <c r="E607" s="23" t="str">
        <f>Withdrawals_Data!A508</f>
        <v>DA-002</v>
      </c>
      <c r="F607" s="23" t="str">
        <f>Withdrawals_Data!B508</f>
        <v>DA-002-M0021</v>
      </c>
      <c r="G607" s="24">
        <f>Withdrawals_Data!C508</f>
        <v>45382</v>
      </c>
      <c r="H607" s="27">
        <v>0</v>
      </c>
      <c r="I607" s="27">
        <f>-Withdrawals_Data!D508</f>
        <v>-13933</v>
      </c>
    </row>
    <row r="608" spans="3:9">
      <c r="C608" s="23">
        <v>601</v>
      </c>
      <c r="D608" s="23" t="s">
        <v>134</v>
      </c>
      <c r="E608" s="23" t="str">
        <f>Withdrawals_Data!A547</f>
        <v>DA-002</v>
      </c>
      <c r="F608" s="23" t="str">
        <f>Withdrawals_Data!B547</f>
        <v>DA-002-M0026</v>
      </c>
      <c r="G608" s="24">
        <f>Withdrawals_Data!C547</f>
        <v>45382</v>
      </c>
      <c r="H608" s="27">
        <v>0</v>
      </c>
      <c r="I608" s="27">
        <f>-Withdrawals_Data!D547</f>
        <v>-5055</v>
      </c>
    </row>
    <row r="609" spans="3:9">
      <c r="C609" s="23">
        <v>602</v>
      </c>
      <c r="D609" s="23" t="s">
        <v>134</v>
      </c>
      <c r="E609" s="23" t="str">
        <f>Withdrawals_Data!A628</f>
        <v>DA-001</v>
      </c>
      <c r="F609" s="23" t="str">
        <f>Withdrawals_Data!B628</f>
        <v>DA-001-M0035</v>
      </c>
      <c r="G609" s="24">
        <f>Withdrawals_Data!C628</f>
        <v>45382</v>
      </c>
      <c r="H609" s="27">
        <v>0</v>
      </c>
      <c r="I609" s="27">
        <f>-Withdrawals_Data!D628</f>
        <v>-6434</v>
      </c>
    </row>
    <row r="610" spans="3:9">
      <c r="C610" s="23">
        <v>603</v>
      </c>
      <c r="D610" s="23" t="s">
        <v>134</v>
      </c>
      <c r="E610" s="23" t="str">
        <f>Withdrawals_Data!A647</f>
        <v>DA-001</v>
      </c>
      <c r="F610" s="23" t="str">
        <f>Withdrawals_Data!B647</f>
        <v>DA-001-M0038</v>
      </c>
      <c r="G610" s="24">
        <f>Withdrawals_Data!C647</f>
        <v>45382</v>
      </c>
      <c r="H610" s="27">
        <v>0</v>
      </c>
      <c r="I610" s="27">
        <f>-Withdrawals_Data!D647</f>
        <v>-13323</v>
      </c>
    </row>
    <row r="611" spans="3:9">
      <c r="C611" s="23">
        <v>604</v>
      </c>
      <c r="D611" s="23" t="s">
        <v>134</v>
      </c>
      <c r="E611" s="23" t="str">
        <f>Withdrawals_Data!A686</f>
        <v>DA-002</v>
      </c>
      <c r="F611" s="23" t="str">
        <f>Withdrawals_Data!B686</f>
        <v>DA-002-M0042</v>
      </c>
      <c r="G611" s="24">
        <f>Withdrawals_Data!C686</f>
        <v>45382</v>
      </c>
      <c r="H611" s="27">
        <v>0</v>
      </c>
      <c r="I611" s="27">
        <f>-Withdrawals_Data!D686</f>
        <v>-11137</v>
      </c>
    </row>
    <row r="612" spans="3:9">
      <c r="C612" s="23">
        <v>605</v>
      </c>
      <c r="D612" s="23" t="s">
        <v>134</v>
      </c>
      <c r="E612" s="23" t="str">
        <f>Withdrawals_Data!A735</f>
        <v>DA-003</v>
      </c>
      <c r="F612" s="23" t="str">
        <f>Withdrawals_Data!B735</f>
        <v>DA-003-M0047</v>
      </c>
      <c r="G612" s="24">
        <f>Withdrawals_Data!C735</f>
        <v>45382</v>
      </c>
      <c r="H612" s="27">
        <v>0</v>
      </c>
      <c r="I612" s="27">
        <f>-Withdrawals_Data!D735</f>
        <v>-12746</v>
      </c>
    </row>
    <row r="613" spans="3:9">
      <c r="C613" s="23">
        <v>606</v>
      </c>
      <c r="D613" s="23" t="s">
        <v>134</v>
      </c>
      <c r="E613" s="23" t="str">
        <f>Withdrawals_Data!A781</f>
        <v>DA-003</v>
      </c>
      <c r="F613" s="23" t="str">
        <f>Withdrawals_Data!B781</f>
        <v>DA-003-M0052</v>
      </c>
      <c r="G613" s="24">
        <f>Withdrawals_Data!C781</f>
        <v>45382</v>
      </c>
      <c r="H613" s="27">
        <v>0</v>
      </c>
      <c r="I613" s="27">
        <f>-Withdrawals_Data!D781</f>
        <v>-13675</v>
      </c>
    </row>
    <row r="614" spans="3:9">
      <c r="C614" s="23">
        <v>607</v>
      </c>
      <c r="D614" s="23" t="s">
        <v>134</v>
      </c>
      <c r="E614" s="23" t="str">
        <f>Withdrawals_Data!A908</f>
        <v>DA-003</v>
      </c>
      <c r="F614" s="23" t="str">
        <f>Withdrawals_Data!B908</f>
        <v>DA-003-M0066</v>
      </c>
      <c r="G614" s="24">
        <f>Withdrawals_Data!C908</f>
        <v>45382</v>
      </c>
      <c r="H614" s="27">
        <v>0</v>
      </c>
      <c r="I614" s="27">
        <f>-Withdrawals_Data!D908</f>
        <v>-18314</v>
      </c>
    </row>
    <row r="615" spans="3:9">
      <c r="C615" s="23">
        <v>608</v>
      </c>
      <c r="D615" s="23" t="s">
        <v>134</v>
      </c>
      <c r="E615" s="23" t="str">
        <f>Withdrawals_Data!A1040</f>
        <v>DA-003</v>
      </c>
      <c r="F615" s="23" t="str">
        <f>Withdrawals_Data!B1040</f>
        <v>DA-003-M0082</v>
      </c>
      <c r="G615" s="24">
        <f>Withdrawals_Data!C1040</f>
        <v>45382</v>
      </c>
      <c r="H615" s="27">
        <v>0</v>
      </c>
      <c r="I615" s="27">
        <f>-Withdrawals_Data!D1040</f>
        <v>-6933</v>
      </c>
    </row>
    <row r="616" spans="3:9">
      <c r="C616" s="23">
        <v>609</v>
      </c>
      <c r="D616" s="23" t="s">
        <v>132</v>
      </c>
      <c r="E616" s="23" t="str">
        <f>Contributions_Data!A277</f>
        <v>DA-002</v>
      </c>
      <c r="F616" s="23" t="str">
        <f>Contributions_Data!B277</f>
        <v>DA-002-M0023</v>
      </c>
      <c r="G616" s="24">
        <f>Contributions_Data!C277</f>
        <v>45383</v>
      </c>
      <c r="H616" s="27">
        <f>Contributions_Data!D277</f>
        <v>19885.849999999999</v>
      </c>
      <c r="I616" s="27">
        <v>0</v>
      </c>
    </row>
    <row r="617" spans="3:9">
      <c r="C617" s="23">
        <v>610</v>
      </c>
      <c r="D617" s="23" t="s">
        <v>134</v>
      </c>
      <c r="E617" s="23" t="str">
        <f>Withdrawals_Data!A328</f>
        <v>DA-002</v>
      </c>
      <c r="F617" s="23" t="str">
        <f>Withdrawals_Data!B328</f>
        <v>DA-002-M0064</v>
      </c>
      <c r="G617" s="24">
        <f>Withdrawals_Data!C328</f>
        <v>45383</v>
      </c>
      <c r="H617" s="27">
        <v>0</v>
      </c>
      <c r="I617" s="27">
        <f>-Withdrawals_Data!D328</f>
        <v>-1694.43</v>
      </c>
    </row>
    <row r="618" spans="3:9">
      <c r="C618" s="23">
        <v>611</v>
      </c>
      <c r="D618" s="23" t="s">
        <v>134</v>
      </c>
      <c r="E618" s="23" t="str">
        <f>Withdrawals_Data!A453</f>
        <v>DA-003</v>
      </c>
      <c r="F618" s="23" t="str">
        <f>Withdrawals_Data!B453</f>
        <v>DA-003-M0015</v>
      </c>
      <c r="G618" s="24">
        <f>Withdrawals_Data!C453</f>
        <v>45383</v>
      </c>
      <c r="H618" s="27">
        <v>0</v>
      </c>
      <c r="I618" s="27">
        <f>-Withdrawals_Data!D453</f>
        <v>-18654</v>
      </c>
    </row>
    <row r="619" spans="3:9">
      <c r="C619" s="23">
        <v>612</v>
      </c>
      <c r="D619" s="23" t="s">
        <v>134</v>
      </c>
      <c r="E619" s="23" t="str">
        <f>Withdrawals_Data!A866</f>
        <v>DA-003</v>
      </c>
      <c r="F619" s="23" t="str">
        <f>Withdrawals_Data!B866</f>
        <v>DA-003-M0061</v>
      </c>
      <c r="G619" s="24">
        <f>Withdrawals_Data!C866</f>
        <v>45383</v>
      </c>
      <c r="H619" s="27">
        <v>0</v>
      </c>
      <c r="I619" s="27">
        <f>-Withdrawals_Data!D866</f>
        <v>-6404</v>
      </c>
    </row>
    <row r="620" spans="3:9">
      <c r="C620" s="23">
        <v>613</v>
      </c>
      <c r="D620" s="23" t="s">
        <v>132</v>
      </c>
      <c r="E620" s="23" t="str">
        <f>Contributions_Data!A1070</f>
        <v>DA-003</v>
      </c>
      <c r="F620" s="23" t="str">
        <f>Contributions_Data!B1070</f>
        <v>DA-003-M0090</v>
      </c>
      <c r="G620" s="24">
        <f>Contributions_Data!C1070</f>
        <v>45384</v>
      </c>
      <c r="H620" s="27">
        <f>Contributions_Data!D1070</f>
        <v>15543.06</v>
      </c>
      <c r="I620" s="27">
        <v>0</v>
      </c>
    </row>
    <row r="621" spans="3:9">
      <c r="C621" s="23">
        <v>614</v>
      </c>
      <c r="D621" s="23" t="s">
        <v>134</v>
      </c>
      <c r="E621" s="23" t="str">
        <f>Withdrawals_Data!A117</f>
        <v>DA-002</v>
      </c>
      <c r="F621" s="23" t="str">
        <f>Withdrawals_Data!B117</f>
        <v>DA-002-M0067</v>
      </c>
      <c r="G621" s="24">
        <f>Withdrawals_Data!C117</f>
        <v>45384</v>
      </c>
      <c r="H621" s="27">
        <v>0</v>
      </c>
      <c r="I621" s="27">
        <f>-Withdrawals_Data!D117</f>
        <v>-9385.9500000000007</v>
      </c>
    </row>
    <row r="622" spans="3:9">
      <c r="C622" s="23">
        <v>615</v>
      </c>
      <c r="D622" s="23" t="s">
        <v>134</v>
      </c>
      <c r="E622" s="23" t="str">
        <f>Withdrawals_Data!A568</f>
        <v>DA-003</v>
      </c>
      <c r="F622" s="23" t="str">
        <f>Withdrawals_Data!B568</f>
        <v>DA-003-M0028</v>
      </c>
      <c r="G622" s="24">
        <f>Withdrawals_Data!C568</f>
        <v>45384</v>
      </c>
      <c r="H622" s="27">
        <v>0</v>
      </c>
      <c r="I622" s="27">
        <f>-Withdrawals_Data!D568</f>
        <v>-14858</v>
      </c>
    </row>
    <row r="623" spans="3:9">
      <c r="C623" s="23">
        <v>616</v>
      </c>
      <c r="D623" s="23" t="s">
        <v>134</v>
      </c>
      <c r="E623" s="23" t="str">
        <f>Withdrawals_Data!A901</f>
        <v>DA-001</v>
      </c>
      <c r="F623" s="23" t="str">
        <f>Withdrawals_Data!B901</f>
        <v>DA-001-M0065</v>
      </c>
      <c r="G623" s="24">
        <f>Withdrawals_Data!C901</f>
        <v>45384</v>
      </c>
      <c r="H623" s="27">
        <v>0</v>
      </c>
      <c r="I623" s="27">
        <f>-Withdrawals_Data!D901</f>
        <v>-13468</v>
      </c>
    </row>
    <row r="624" spans="3:9">
      <c r="C624" s="23">
        <v>617</v>
      </c>
      <c r="D624" s="23" t="s">
        <v>134</v>
      </c>
      <c r="E624" s="23" t="str">
        <f>Withdrawals_Data!A936</f>
        <v>DA-002</v>
      </c>
      <c r="F624" s="23" t="str">
        <f>Withdrawals_Data!B936</f>
        <v>DA-002-M0070</v>
      </c>
      <c r="G624" s="24">
        <f>Withdrawals_Data!C936</f>
        <v>45384</v>
      </c>
      <c r="H624" s="27">
        <v>0</v>
      </c>
      <c r="I624" s="27">
        <f>-Withdrawals_Data!D936</f>
        <v>-14345</v>
      </c>
    </row>
    <row r="625" spans="3:9">
      <c r="C625" s="23">
        <v>618</v>
      </c>
      <c r="D625" s="23" t="s">
        <v>134</v>
      </c>
      <c r="E625" s="23" t="str">
        <f>Withdrawals_Data!A1065</f>
        <v>DA-002</v>
      </c>
      <c r="F625" s="23" t="str">
        <f>Withdrawals_Data!B1065</f>
        <v>DA-002-M0085</v>
      </c>
      <c r="G625" s="24">
        <f>Withdrawals_Data!C1065</f>
        <v>45384</v>
      </c>
      <c r="H625" s="27">
        <v>0</v>
      </c>
      <c r="I625" s="27">
        <f>-Withdrawals_Data!D1065</f>
        <v>-2258</v>
      </c>
    </row>
    <row r="626" spans="3:9">
      <c r="C626" s="23">
        <v>619</v>
      </c>
      <c r="D626" s="23" t="s">
        <v>134</v>
      </c>
      <c r="E626" s="23" t="str">
        <f>Withdrawals_Data!A1087</f>
        <v>DA-001</v>
      </c>
      <c r="F626" s="23" t="str">
        <f>Withdrawals_Data!B1087</f>
        <v>DA-001-M0087</v>
      </c>
      <c r="G626" s="24">
        <f>Withdrawals_Data!C1087</f>
        <v>45384</v>
      </c>
      <c r="H626" s="27">
        <v>0</v>
      </c>
      <c r="I626" s="27">
        <f>-Withdrawals_Data!D1087</f>
        <v>-2341</v>
      </c>
    </row>
    <row r="627" spans="3:9">
      <c r="C627" s="23">
        <v>620</v>
      </c>
      <c r="D627" s="23" t="s">
        <v>134</v>
      </c>
      <c r="E627" s="23" t="str">
        <f>Withdrawals_Data!A1104</f>
        <v>DA-002</v>
      </c>
      <c r="F627" s="23" t="str">
        <f>Withdrawals_Data!B1104</f>
        <v>DA-002-M0089</v>
      </c>
      <c r="G627" s="24">
        <f>Withdrawals_Data!C1104</f>
        <v>45384</v>
      </c>
      <c r="H627" s="27">
        <v>0</v>
      </c>
      <c r="I627" s="27">
        <f>-Withdrawals_Data!D1104</f>
        <v>-7867</v>
      </c>
    </row>
    <row r="628" spans="3:9">
      <c r="C628" s="23">
        <v>621</v>
      </c>
      <c r="D628" s="23" t="s">
        <v>134</v>
      </c>
      <c r="E628" s="23" t="str">
        <f>Withdrawals_Data!A1108</f>
        <v>DA-002</v>
      </c>
      <c r="F628" s="23" t="str">
        <f>Withdrawals_Data!B1108</f>
        <v>DA-002-M0089</v>
      </c>
      <c r="G628" s="24">
        <f>Withdrawals_Data!C1108</f>
        <v>45384</v>
      </c>
      <c r="H628" s="27">
        <v>0</v>
      </c>
      <c r="I628" s="27">
        <f>-Withdrawals_Data!D1108</f>
        <v>-2297</v>
      </c>
    </row>
    <row r="629" spans="3:9">
      <c r="C629" s="23">
        <v>622</v>
      </c>
      <c r="D629" s="23" t="s">
        <v>132</v>
      </c>
      <c r="E629" s="23" t="str">
        <f>Contributions_Data!A61</f>
        <v>DA-003</v>
      </c>
      <c r="F629" s="23" t="str">
        <f>Contributions_Data!B61</f>
        <v>DA-003-M0005</v>
      </c>
      <c r="G629" s="24">
        <f>Contributions_Data!C61</f>
        <v>45385</v>
      </c>
      <c r="H629" s="27">
        <f>Contributions_Data!D61</f>
        <v>20597.32</v>
      </c>
      <c r="I629" s="27">
        <v>0</v>
      </c>
    </row>
    <row r="630" spans="3:9">
      <c r="C630" s="23">
        <v>623</v>
      </c>
      <c r="D630" s="23" t="s">
        <v>132</v>
      </c>
      <c r="E630" s="23" t="str">
        <f>Contributions_Data!A278</f>
        <v>DA-001</v>
      </c>
      <c r="F630" s="23" t="str">
        <f>Contributions_Data!B278</f>
        <v>DA-001-M0024</v>
      </c>
      <c r="G630" s="24">
        <f>Contributions_Data!C278</f>
        <v>45385</v>
      </c>
      <c r="H630" s="27">
        <f>Contributions_Data!D278</f>
        <v>10859.7</v>
      </c>
      <c r="I630" s="27">
        <v>0</v>
      </c>
    </row>
    <row r="631" spans="3:9">
      <c r="C631" s="23">
        <v>624</v>
      </c>
      <c r="D631" s="23" t="s">
        <v>132</v>
      </c>
      <c r="E631" s="23" t="str">
        <f>Contributions_Data!A516</f>
        <v>DA-001</v>
      </c>
      <c r="F631" s="23" t="str">
        <f>Contributions_Data!B516</f>
        <v>DA-001-M0043</v>
      </c>
      <c r="G631" s="24">
        <f>Contributions_Data!C516</f>
        <v>45385</v>
      </c>
      <c r="H631" s="27">
        <f>Contributions_Data!D516</f>
        <v>11161.27</v>
      </c>
      <c r="I631" s="27">
        <v>0</v>
      </c>
    </row>
    <row r="632" spans="3:9">
      <c r="C632" s="23">
        <v>625</v>
      </c>
      <c r="D632" s="23" t="s">
        <v>132</v>
      </c>
      <c r="E632" s="23" t="str">
        <f>Contributions_Data!A579</f>
        <v>DA-001</v>
      </c>
      <c r="F632" s="23" t="str">
        <f>Contributions_Data!B579</f>
        <v>DA-001-M0049</v>
      </c>
      <c r="G632" s="24">
        <f>Contributions_Data!C579</f>
        <v>45385</v>
      </c>
      <c r="H632" s="27">
        <f>Contributions_Data!D579</f>
        <v>19228.04</v>
      </c>
      <c r="I632" s="27">
        <v>0</v>
      </c>
    </row>
    <row r="633" spans="3:9">
      <c r="C633" s="23">
        <v>626</v>
      </c>
      <c r="D633" s="23" t="s">
        <v>132</v>
      </c>
      <c r="E633" s="23" t="str">
        <f>Contributions_Data!A1085</f>
        <v>DA-002</v>
      </c>
      <c r="F633" s="23" t="str">
        <f>Contributions_Data!B1085</f>
        <v>DA-002-M0091</v>
      </c>
      <c r="G633" s="24">
        <f>Contributions_Data!C1085</f>
        <v>45385</v>
      </c>
      <c r="H633" s="27">
        <f>Contributions_Data!D1085</f>
        <v>14372.93</v>
      </c>
      <c r="I633" s="27">
        <v>0</v>
      </c>
    </row>
    <row r="634" spans="3:9">
      <c r="C634" s="23">
        <v>627</v>
      </c>
      <c r="D634" s="23" t="s">
        <v>132</v>
      </c>
      <c r="E634" s="23" t="str">
        <f>Contributions_Data!A1187</f>
        <v>DA-003</v>
      </c>
      <c r="F634" s="23" t="str">
        <f>Contributions_Data!B1187</f>
        <v>DA-003-M0099</v>
      </c>
      <c r="G634" s="24">
        <f>Contributions_Data!C1187</f>
        <v>45385</v>
      </c>
      <c r="H634" s="27">
        <f>Contributions_Data!D1187</f>
        <v>21172.49</v>
      </c>
      <c r="I634" s="27">
        <v>0</v>
      </c>
    </row>
    <row r="635" spans="3:9">
      <c r="C635" s="23">
        <v>628</v>
      </c>
      <c r="D635" s="23" t="s">
        <v>134</v>
      </c>
      <c r="E635" s="23" t="str">
        <f>Withdrawals_Data!A756</f>
        <v>DA-001</v>
      </c>
      <c r="F635" s="23" t="str">
        <f>Withdrawals_Data!B756</f>
        <v>DA-001-M0049</v>
      </c>
      <c r="G635" s="24">
        <f>Withdrawals_Data!C756</f>
        <v>45385</v>
      </c>
      <c r="H635" s="27">
        <v>0</v>
      </c>
      <c r="I635" s="27">
        <f>-Withdrawals_Data!D756</f>
        <v>-2927</v>
      </c>
    </row>
    <row r="636" spans="3:9">
      <c r="C636" s="23">
        <v>629</v>
      </c>
      <c r="D636" s="23" t="s">
        <v>132</v>
      </c>
      <c r="E636" s="23" t="str">
        <f>Contributions_Data!A226</f>
        <v>DA-001</v>
      </c>
      <c r="F636" s="23" t="str">
        <f>Contributions_Data!B226</f>
        <v>DA-001-M0019</v>
      </c>
      <c r="G636" s="24">
        <f>Contributions_Data!C226</f>
        <v>45386</v>
      </c>
      <c r="H636" s="27">
        <f>Contributions_Data!D226</f>
        <v>17877.810000000001</v>
      </c>
      <c r="I636" s="27">
        <v>0</v>
      </c>
    </row>
    <row r="637" spans="3:9">
      <c r="C637" s="23">
        <v>630</v>
      </c>
      <c r="D637" s="23" t="s">
        <v>132</v>
      </c>
      <c r="E637" s="23" t="str">
        <f>Contributions_Data!A517</f>
        <v>DA-001</v>
      </c>
      <c r="F637" s="23" t="str">
        <f>Contributions_Data!B517</f>
        <v>DA-001-M0043</v>
      </c>
      <c r="G637" s="24">
        <f>Contributions_Data!C517</f>
        <v>45386</v>
      </c>
      <c r="H637" s="27">
        <f>Contributions_Data!D517</f>
        <v>13125.54</v>
      </c>
      <c r="I637" s="27">
        <v>0</v>
      </c>
    </row>
    <row r="638" spans="3:9">
      <c r="C638" s="23">
        <v>631</v>
      </c>
      <c r="D638" s="23" t="s">
        <v>132</v>
      </c>
      <c r="E638" s="23" t="str">
        <f>Contributions_Data!A1039</f>
        <v>DA-001</v>
      </c>
      <c r="F638" s="23" t="str">
        <f>Contributions_Data!B1039</f>
        <v>DA-001-M0087</v>
      </c>
      <c r="G638" s="24">
        <f>Contributions_Data!C1039</f>
        <v>45386</v>
      </c>
      <c r="H638" s="27">
        <f>Contributions_Data!D1039</f>
        <v>18557.11</v>
      </c>
      <c r="I638" s="27">
        <v>0</v>
      </c>
    </row>
    <row r="639" spans="3:9">
      <c r="C639" s="23">
        <v>632</v>
      </c>
      <c r="D639" s="23" t="s">
        <v>134</v>
      </c>
      <c r="E639" s="23" t="str">
        <f>Withdrawals_Data!A255</f>
        <v>DA-001</v>
      </c>
      <c r="F639" s="23" t="str">
        <f>Withdrawals_Data!B255</f>
        <v>DA-001-M0058</v>
      </c>
      <c r="G639" s="24">
        <f>Withdrawals_Data!C255</f>
        <v>45386</v>
      </c>
      <c r="H639" s="27">
        <v>0</v>
      </c>
      <c r="I639" s="27">
        <f>-Withdrawals_Data!D255</f>
        <v>-5294.43</v>
      </c>
    </row>
    <row r="640" spans="3:9">
      <c r="C640" s="23">
        <v>633</v>
      </c>
      <c r="D640" s="23" t="s">
        <v>132</v>
      </c>
      <c r="E640" s="23" t="str">
        <f>Contributions_Data!A11</f>
        <v>DA-003</v>
      </c>
      <c r="F640" s="23" t="str">
        <f>Contributions_Data!B11</f>
        <v>DA-003-M0001</v>
      </c>
      <c r="G640" s="24">
        <f>Contributions_Data!C11</f>
        <v>45387</v>
      </c>
      <c r="H640" s="27">
        <f>Contributions_Data!D11</f>
        <v>13410.72</v>
      </c>
      <c r="I640" s="27">
        <v>0</v>
      </c>
    </row>
    <row r="641" spans="3:9">
      <c r="C641" s="23">
        <v>634</v>
      </c>
      <c r="D641" s="23" t="s">
        <v>132</v>
      </c>
      <c r="E641" s="23" t="str">
        <f>Contributions_Data!A166</f>
        <v>DA-003</v>
      </c>
      <c r="F641" s="23" t="str">
        <f>Contributions_Data!B166</f>
        <v>DA-003-M0014</v>
      </c>
      <c r="G641" s="24">
        <f>Contributions_Data!C166</f>
        <v>45387</v>
      </c>
      <c r="H641" s="27">
        <f>Contributions_Data!D166</f>
        <v>17698.8</v>
      </c>
      <c r="I641" s="27">
        <v>0</v>
      </c>
    </row>
    <row r="642" spans="3:9">
      <c r="C642" s="23">
        <v>635</v>
      </c>
      <c r="D642" s="23" t="s">
        <v>132</v>
      </c>
      <c r="E642" s="23" t="str">
        <f>Contributions_Data!A167</f>
        <v>DA-003</v>
      </c>
      <c r="F642" s="23" t="str">
        <f>Contributions_Data!B167</f>
        <v>DA-003-M0014</v>
      </c>
      <c r="G642" s="24">
        <f>Contributions_Data!C167</f>
        <v>45387</v>
      </c>
      <c r="H642" s="27">
        <f>Contributions_Data!D167</f>
        <v>15921.9</v>
      </c>
      <c r="I642" s="27">
        <v>0</v>
      </c>
    </row>
    <row r="643" spans="3:9">
      <c r="C643" s="23">
        <v>636</v>
      </c>
      <c r="D643" s="23" t="s">
        <v>132</v>
      </c>
      <c r="E643" s="23" t="str">
        <f>Contributions_Data!A345</f>
        <v>DA-003</v>
      </c>
      <c r="F643" s="23" t="str">
        <f>Contributions_Data!B345</f>
        <v>DA-003-M0029</v>
      </c>
      <c r="G643" s="24">
        <f>Contributions_Data!C345</f>
        <v>45387</v>
      </c>
      <c r="H643" s="27">
        <f>Contributions_Data!D345</f>
        <v>9585.35</v>
      </c>
      <c r="I643" s="27">
        <v>0</v>
      </c>
    </row>
    <row r="644" spans="3:9">
      <c r="C644" s="23">
        <v>637</v>
      </c>
      <c r="D644" s="23" t="s">
        <v>132</v>
      </c>
      <c r="E644" s="23" t="str">
        <f>Contributions_Data!A448</f>
        <v>DA-001</v>
      </c>
      <c r="F644" s="23" t="str">
        <f>Contributions_Data!B448</f>
        <v>DA-001-M0038</v>
      </c>
      <c r="G644" s="24">
        <f>Contributions_Data!C448</f>
        <v>45387</v>
      </c>
      <c r="H644" s="27">
        <f>Contributions_Data!D448</f>
        <v>14927.62</v>
      </c>
      <c r="I644" s="27">
        <v>0</v>
      </c>
    </row>
    <row r="645" spans="3:9">
      <c r="C645" s="23">
        <v>638</v>
      </c>
      <c r="D645" s="23" t="s">
        <v>132</v>
      </c>
      <c r="E645" s="23" t="str">
        <f>Contributions_Data!A494</f>
        <v>DA-002</v>
      </c>
      <c r="F645" s="23" t="str">
        <f>Contributions_Data!B494</f>
        <v>DA-002-M0042</v>
      </c>
      <c r="G645" s="24">
        <f>Contributions_Data!C494</f>
        <v>45387</v>
      </c>
      <c r="H645" s="27">
        <f>Contributions_Data!D494</f>
        <v>18309.91</v>
      </c>
      <c r="I645" s="27">
        <v>0</v>
      </c>
    </row>
    <row r="646" spans="3:9">
      <c r="C646" s="23">
        <v>639</v>
      </c>
      <c r="D646" s="23" t="s">
        <v>132</v>
      </c>
      <c r="E646" s="23" t="str">
        <f>Contributions_Data!A1162</f>
        <v>DA-002</v>
      </c>
      <c r="F646" s="23" t="str">
        <f>Contributions_Data!B1162</f>
        <v>DA-002-M0097</v>
      </c>
      <c r="G646" s="24">
        <f>Contributions_Data!C1162</f>
        <v>45387</v>
      </c>
      <c r="H646" s="27">
        <f>Contributions_Data!D1162</f>
        <v>14156.02</v>
      </c>
      <c r="I646" s="27">
        <v>0</v>
      </c>
    </row>
    <row r="647" spans="3:9">
      <c r="C647" s="23">
        <v>640</v>
      </c>
      <c r="D647" s="23" t="s">
        <v>134</v>
      </c>
      <c r="E647" s="23" t="str">
        <f>Withdrawals_Data!A71</f>
        <v>DA-003</v>
      </c>
      <c r="F647" s="23" t="str">
        <f>Withdrawals_Data!B71</f>
        <v>DA-003-M0084</v>
      </c>
      <c r="G647" s="24">
        <f>Withdrawals_Data!C71</f>
        <v>45387</v>
      </c>
      <c r="H647" s="27">
        <v>0</v>
      </c>
      <c r="I647" s="27">
        <f>-Withdrawals_Data!D71</f>
        <v>-11036.62</v>
      </c>
    </row>
    <row r="648" spans="3:9">
      <c r="C648" s="23">
        <v>641</v>
      </c>
      <c r="D648" s="23" t="s">
        <v>134</v>
      </c>
      <c r="E648" s="23" t="str">
        <f>Withdrawals_Data!A158</f>
        <v>DA-001</v>
      </c>
      <c r="F648" s="23" t="str">
        <f>Withdrawals_Data!B158</f>
        <v>DA-001-M0035</v>
      </c>
      <c r="G648" s="24">
        <f>Withdrawals_Data!C158</f>
        <v>45387</v>
      </c>
      <c r="H648" s="27">
        <v>0</v>
      </c>
      <c r="I648" s="27">
        <f>-Withdrawals_Data!D158</f>
        <v>-8437.58</v>
      </c>
    </row>
    <row r="649" spans="3:9">
      <c r="C649" s="23">
        <v>642</v>
      </c>
      <c r="D649" s="23" t="s">
        <v>134</v>
      </c>
      <c r="E649" s="23" t="str">
        <f>Withdrawals_Data!A388</f>
        <v>DA-003</v>
      </c>
      <c r="F649" s="23" t="str">
        <f>Withdrawals_Data!B388</f>
        <v>DA-003-M0007</v>
      </c>
      <c r="G649" s="24">
        <f>Withdrawals_Data!C388</f>
        <v>45387</v>
      </c>
      <c r="H649" s="27">
        <v>0</v>
      </c>
      <c r="I649" s="27">
        <f>-Withdrawals_Data!D388</f>
        <v>-13916</v>
      </c>
    </row>
    <row r="650" spans="3:9">
      <c r="C650" s="23">
        <v>643</v>
      </c>
      <c r="D650" s="23" t="s">
        <v>134</v>
      </c>
      <c r="E650" s="23" t="str">
        <f>Withdrawals_Data!A789</f>
        <v>DA-001</v>
      </c>
      <c r="F650" s="23" t="str">
        <f>Withdrawals_Data!B789</f>
        <v>DA-001-M0053</v>
      </c>
      <c r="G650" s="24">
        <f>Withdrawals_Data!C789</f>
        <v>45387</v>
      </c>
      <c r="H650" s="27">
        <v>0</v>
      </c>
      <c r="I650" s="27">
        <f>-Withdrawals_Data!D789</f>
        <v>-11662</v>
      </c>
    </row>
    <row r="651" spans="3:9">
      <c r="C651" s="23">
        <v>644</v>
      </c>
      <c r="D651" s="23" t="s">
        <v>132</v>
      </c>
      <c r="E651" s="23" t="str">
        <f>Contributions_Data!A173</f>
        <v>DA-003</v>
      </c>
      <c r="F651" s="23" t="str">
        <f>Contributions_Data!B173</f>
        <v>DA-003-M0015</v>
      </c>
      <c r="G651" s="24">
        <f>Contributions_Data!C173</f>
        <v>45388</v>
      </c>
      <c r="H651" s="27">
        <f>Contributions_Data!D173</f>
        <v>14937.3</v>
      </c>
      <c r="I651" s="27">
        <v>0</v>
      </c>
    </row>
    <row r="652" spans="3:9">
      <c r="C652" s="23">
        <v>645</v>
      </c>
      <c r="D652" s="23" t="s">
        <v>132</v>
      </c>
      <c r="E652" s="23" t="str">
        <f>Contributions_Data!A786</f>
        <v>DA-003</v>
      </c>
      <c r="F652" s="23" t="str">
        <f>Contributions_Data!B786</f>
        <v>DA-003-M0066</v>
      </c>
      <c r="G652" s="24">
        <f>Contributions_Data!C786</f>
        <v>45388</v>
      </c>
      <c r="H652" s="27">
        <f>Contributions_Data!D786</f>
        <v>17550.669999999998</v>
      </c>
      <c r="I652" s="27">
        <v>0</v>
      </c>
    </row>
    <row r="653" spans="3:9">
      <c r="C653" s="23">
        <v>646</v>
      </c>
      <c r="D653" s="23" t="s">
        <v>134</v>
      </c>
      <c r="E653" s="23" t="str">
        <f>Withdrawals_Data!A359</f>
        <v>DA-002</v>
      </c>
      <c r="F653" s="23" t="str">
        <f>Withdrawals_Data!B359</f>
        <v>DA-002-M0003</v>
      </c>
      <c r="G653" s="24">
        <f>Withdrawals_Data!C359</f>
        <v>45388</v>
      </c>
      <c r="H653" s="27">
        <v>0</v>
      </c>
      <c r="I653" s="27">
        <f>-Withdrawals_Data!D359</f>
        <v>-10245</v>
      </c>
    </row>
    <row r="654" spans="3:9">
      <c r="C654" s="23">
        <v>647</v>
      </c>
      <c r="D654" s="23" t="s">
        <v>134</v>
      </c>
      <c r="E654" s="23" t="str">
        <f>Withdrawals_Data!A575</f>
        <v>DA-003</v>
      </c>
      <c r="F654" s="23" t="str">
        <f>Withdrawals_Data!B575</f>
        <v>DA-003-M0029</v>
      </c>
      <c r="G654" s="24">
        <f>Withdrawals_Data!C575</f>
        <v>45388</v>
      </c>
      <c r="H654" s="27">
        <v>0</v>
      </c>
      <c r="I654" s="27">
        <f>-Withdrawals_Data!D575</f>
        <v>-1670</v>
      </c>
    </row>
    <row r="655" spans="3:9">
      <c r="C655" s="23">
        <v>648</v>
      </c>
      <c r="D655" s="23" t="s">
        <v>134</v>
      </c>
      <c r="E655" s="23" t="str">
        <f>Withdrawals_Data!A1015</f>
        <v>DA-003</v>
      </c>
      <c r="F655" s="23" t="str">
        <f>Withdrawals_Data!B1015</f>
        <v>DA-003-M0080</v>
      </c>
      <c r="G655" s="24">
        <f>Withdrawals_Data!C1015</f>
        <v>45388</v>
      </c>
      <c r="H655" s="27">
        <v>0</v>
      </c>
      <c r="I655" s="27">
        <f>-Withdrawals_Data!D1015</f>
        <v>-14382</v>
      </c>
    </row>
    <row r="656" spans="3:9">
      <c r="C656" s="23">
        <v>649</v>
      </c>
      <c r="D656" s="23" t="s">
        <v>132</v>
      </c>
      <c r="E656" s="23" t="str">
        <f>Contributions_Data!A270</f>
        <v>DA-002</v>
      </c>
      <c r="F656" s="23" t="str">
        <f>Contributions_Data!B270</f>
        <v>DA-002-M0023</v>
      </c>
      <c r="G656" s="24">
        <f>Contributions_Data!C270</f>
        <v>45389</v>
      </c>
      <c r="H656" s="27">
        <f>Contributions_Data!D270</f>
        <v>9723.7800000000007</v>
      </c>
      <c r="I656" s="27">
        <v>0</v>
      </c>
    </row>
    <row r="657" spans="3:9">
      <c r="C657" s="23">
        <v>650</v>
      </c>
      <c r="D657" s="23" t="s">
        <v>134</v>
      </c>
      <c r="E657" s="23" t="str">
        <f>Withdrawals_Data!A198</f>
        <v>DA-002</v>
      </c>
      <c r="F657" s="23" t="str">
        <f>Withdrawals_Data!B198</f>
        <v>DA-002-M0094</v>
      </c>
      <c r="G657" s="24">
        <f>Withdrawals_Data!C198</f>
        <v>45389</v>
      </c>
      <c r="H657" s="27">
        <v>0</v>
      </c>
      <c r="I657" s="27">
        <f>-Withdrawals_Data!D198</f>
        <v>-7513.01</v>
      </c>
    </row>
    <row r="658" spans="3:9">
      <c r="C658" s="23">
        <v>651</v>
      </c>
      <c r="D658" s="23" t="s">
        <v>134</v>
      </c>
      <c r="E658" s="23" t="str">
        <f>Withdrawals_Data!A932</f>
        <v>DA-003</v>
      </c>
      <c r="F658" s="23" t="str">
        <f>Withdrawals_Data!B932</f>
        <v>DA-003-M0069</v>
      </c>
      <c r="G658" s="24">
        <f>Withdrawals_Data!C932</f>
        <v>45389</v>
      </c>
      <c r="H658" s="27">
        <v>0</v>
      </c>
      <c r="I658" s="27">
        <f>-Withdrawals_Data!D932</f>
        <v>-12104</v>
      </c>
    </row>
    <row r="659" spans="3:9">
      <c r="C659" s="23">
        <v>652</v>
      </c>
      <c r="D659" s="23" t="s">
        <v>134</v>
      </c>
      <c r="E659" s="23" t="str">
        <f>Withdrawals_Data!A1000</f>
        <v>DA-002</v>
      </c>
      <c r="F659" s="23" t="str">
        <f>Withdrawals_Data!B1000</f>
        <v>DA-002-M0078</v>
      </c>
      <c r="G659" s="24">
        <f>Withdrawals_Data!C1000</f>
        <v>45389</v>
      </c>
      <c r="H659" s="27">
        <v>0</v>
      </c>
      <c r="I659" s="27">
        <f>-Withdrawals_Data!D1000</f>
        <v>-1524</v>
      </c>
    </row>
    <row r="660" spans="3:9">
      <c r="C660" s="23">
        <v>653</v>
      </c>
      <c r="D660" s="23" t="s">
        <v>132</v>
      </c>
      <c r="E660" s="23" t="str">
        <f>Contributions_Data!A190</f>
        <v>DA-002</v>
      </c>
      <c r="F660" s="23" t="str">
        <f>Contributions_Data!B190</f>
        <v>DA-002-M0016</v>
      </c>
      <c r="G660" s="24">
        <f>Contributions_Data!C190</f>
        <v>45390</v>
      </c>
      <c r="H660" s="27">
        <f>Contributions_Data!D190</f>
        <v>16885.04</v>
      </c>
      <c r="I660" s="27">
        <v>0</v>
      </c>
    </row>
    <row r="661" spans="3:9">
      <c r="C661" s="23">
        <v>654</v>
      </c>
      <c r="D661" s="23" t="s">
        <v>132</v>
      </c>
      <c r="E661" s="23" t="str">
        <f>Contributions_Data!A705</f>
        <v>DA-003</v>
      </c>
      <c r="F661" s="23" t="str">
        <f>Contributions_Data!B705</f>
        <v>DA-003-M0059</v>
      </c>
      <c r="G661" s="24">
        <f>Contributions_Data!C705</f>
        <v>45390</v>
      </c>
      <c r="H661" s="27">
        <f>Contributions_Data!D705</f>
        <v>13643.08</v>
      </c>
      <c r="I661" s="27">
        <v>0</v>
      </c>
    </row>
    <row r="662" spans="3:9">
      <c r="C662" s="23">
        <v>655</v>
      </c>
      <c r="D662" s="23" t="s">
        <v>132</v>
      </c>
      <c r="E662" s="23" t="str">
        <f>Contributions_Data!A1012</f>
        <v>DA-002</v>
      </c>
      <c r="F662" s="23" t="str">
        <f>Contributions_Data!B1012</f>
        <v>DA-002-M0085</v>
      </c>
      <c r="G662" s="24">
        <f>Contributions_Data!C1012</f>
        <v>45390</v>
      </c>
      <c r="H662" s="27">
        <f>Contributions_Data!D1012</f>
        <v>14481.16</v>
      </c>
      <c r="I662" s="27">
        <v>0</v>
      </c>
    </row>
    <row r="663" spans="3:9">
      <c r="C663" s="23">
        <v>656</v>
      </c>
      <c r="D663" s="23" t="s">
        <v>132</v>
      </c>
      <c r="E663" s="23" t="str">
        <f>Contributions_Data!A1131</f>
        <v>DA-003</v>
      </c>
      <c r="F663" s="23" t="str">
        <f>Contributions_Data!B1131</f>
        <v>DA-003-M0095</v>
      </c>
      <c r="G663" s="24">
        <f>Contributions_Data!C1131</f>
        <v>45390</v>
      </c>
      <c r="H663" s="27">
        <f>Contributions_Data!D1131</f>
        <v>18266.25</v>
      </c>
      <c r="I663" s="27">
        <v>0</v>
      </c>
    </row>
    <row r="664" spans="3:9">
      <c r="C664" s="23">
        <v>657</v>
      </c>
      <c r="D664" s="23" t="s">
        <v>134</v>
      </c>
      <c r="E664" s="23" t="str">
        <f>Withdrawals_Data!A94</f>
        <v>DA-001</v>
      </c>
      <c r="F664" s="23" t="str">
        <f>Withdrawals_Data!B94</f>
        <v>DA-001-M0073</v>
      </c>
      <c r="G664" s="24">
        <f>Withdrawals_Data!C94</f>
        <v>45390</v>
      </c>
      <c r="H664" s="27">
        <v>0</v>
      </c>
      <c r="I664" s="27">
        <f>-Withdrawals_Data!D94</f>
        <v>-10200.209999999999</v>
      </c>
    </row>
    <row r="665" spans="3:9">
      <c r="C665" s="23">
        <v>658</v>
      </c>
      <c r="D665" s="23" t="s">
        <v>134</v>
      </c>
      <c r="E665" s="23" t="str">
        <f>Withdrawals_Data!A467</f>
        <v>DA-002</v>
      </c>
      <c r="F665" s="23" t="str">
        <f>Withdrawals_Data!B467</f>
        <v>DA-002-M0017</v>
      </c>
      <c r="G665" s="24">
        <f>Withdrawals_Data!C467</f>
        <v>45390</v>
      </c>
      <c r="H665" s="27">
        <v>0</v>
      </c>
      <c r="I665" s="27">
        <f>-Withdrawals_Data!D467</f>
        <v>-8591</v>
      </c>
    </row>
    <row r="666" spans="3:9">
      <c r="C666" s="23">
        <v>659</v>
      </c>
      <c r="D666" s="23" t="s">
        <v>134</v>
      </c>
      <c r="E666" s="23" t="str">
        <f>Withdrawals_Data!A504</f>
        <v>DA-002</v>
      </c>
      <c r="F666" s="23" t="str">
        <f>Withdrawals_Data!B504</f>
        <v>DA-002-M0021</v>
      </c>
      <c r="G666" s="24">
        <f>Withdrawals_Data!C504</f>
        <v>45390</v>
      </c>
      <c r="H666" s="27">
        <v>0</v>
      </c>
      <c r="I666" s="27">
        <f>-Withdrawals_Data!D504</f>
        <v>-17660</v>
      </c>
    </row>
    <row r="667" spans="3:9">
      <c r="C667" s="23">
        <v>660</v>
      </c>
      <c r="D667" s="23" t="s">
        <v>134</v>
      </c>
      <c r="E667" s="23" t="str">
        <f>Withdrawals_Data!A715</f>
        <v>DA-003</v>
      </c>
      <c r="F667" s="23" t="str">
        <f>Withdrawals_Data!B715</f>
        <v>DA-003-M0045</v>
      </c>
      <c r="G667" s="24">
        <f>Withdrawals_Data!C715</f>
        <v>45390</v>
      </c>
      <c r="H667" s="27">
        <v>0</v>
      </c>
      <c r="I667" s="27">
        <f>-Withdrawals_Data!D715</f>
        <v>-12477</v>
      </c>
    </row>
    <row r="668" spans="3:9">
      <c r="C668" s="23">
        <v>661</v>
      </c>
      <c r="D668" s="23" t="s">
        <v>134</v>
      </c>
      <c r="E668" s="23" t="str">
        <f>Withdrawals_Data!A1011</f>
        <v>DA-003</v>
      </c>
      <c r="F668" s="23" t="str">
        <f>Withdrawals_Data!B1011</f>
        <v>DA-003-M0079</v>
      </c>
      <c r="G668" s="24">
        <f>Withdrawals_Data!C1011</f>
        <v>45390</v>
      </c>
      <c r="H668" s="27">
        <v>0</v>
      </c>
      <c r="I668" s="27">
        <f>-Withdrawals_Data!D1011</f>
        <v>-20992</v>
      </c>
    </row>
    <row r="669" spans="3:9">
      <c r="C669" s="23">
        <v>662</v>
      </c>
      <c r="D669" s="23" t="s">
        <v>134</v>
      </c>
      <c r="E669" s="23" t="str">
        <f>Withdrawals_Data!A1164</f>
        <v>DA-001</v>
      </c>
      <c r="F669" s="23" t="str">
        <f>Withdrawals_Data!B1164</f>
        <v>DA-001-M0096</v>
      </c>
      <c r="G669" s="24">
        <f>Withdrawals_Data!C1164</f>
        <v>45390</v>
      </c>
      <c r="H669" s="27">
        <v>0</v>
      </c>
      <c r="I669" s="27">
        <f>-Withdrawals_Data!D1164</f>
        <v>-21451</v>
      </c>
    </row>
    <row r="670" spans="3:9">
      <c r="C670" s="23">
        <v>663</v>
      </c>
      <c r="D670" s="23" t="s">
        <v>132</v>
      </c>
      <c r="E670" s="23" t="str">
        <f>Contributions_Data!A1072</f>
        <v>DA-003</v>
      </c>
      <c r="F670" s="23" t="str">
        <f>Contributions_Data!B1072</f>
        <v>DA-003-M0090</v>
      </c>
      <c r="G670" s="24">
        <f>Contributions_Data!C1072</f>
        <v>45391</v>
      </c>
      <c r="H670" s="27">
        <f>Contributions_Data!D1072</f>
        <v>13045.93</v>
      </c>
      <c r="I670" s="27">
        <v>0</v>
      </c>
    </row>
    <row r="671" spans="3:9">
      <c r="C671" s="23">
        <v>664</v>
      </c>
      <c r="D671" s="23" t="s">
        <v>134</v>
      </c>
      <c r="E671" s="23" t="str">
        <f>Withdrawals_Data!A91</f>
        <v>DA-001</v>
      </c>
      <c r="F671" s="23" t="str">
        <f>Withdrawals_Data!B91</f>
        <v>DA-001-M0046</v>
      </c>
      <c r="G671" s="24">
        <f>Withdrawals_Data!C91</f>
        <v>45391</v>
      </c>
      <c r="H671" s="27">
        <v>0</v>
      </c>
      <c r="I671" s="27">
        <f>-Withdrawals_Data!D91</f>
        <v>-10239.16</v>
      </c>
    </row>
    <row r="672" spans="3:9">
      <c r="C672" s="23">
        <v>665</v>
      </c>
      <c r="D672" s="23" t="s">
        <v>134</v>
      </c>
      <c r="E672" s="23" t="str">
        <f>Withdrawals_Data!A784</f>
        <v>DA-003</v>
      </c>
      <c r="F672" s="23" t="str">
        <f>Withdrawals_Data!B784</f>
        <v>DA-003-M0052</v>
      </c>
      <c r="G672" s="24">
        <f>Withdrawals_Data!C784</f>
        <v>45391</v>
      </c>
      <c r="H672" s="27">
        <v>0</v>
      </c>
      <c r="I672" s="27">
        <f>-Withdrawals_Data!D784</f>
        <v>-3950</v>
      </c>
    </row>
    <row r="673" spans="3:9">
      <c r="C673" s="23">
        <v>666</v>
      </c>
      <c r="D673" s="23" t="s">
        <v>134</v>
      </c>
      <c r="E673" s="23" t="str">
        <f>Withdrawals_Data!A925</f>
        <v>DA-003</v>
      </c>
      <c r="F673" s="23" t="str">
        <f>Withdrawals_Data!B925</f>
        <v>DA-003-M0069</v>
      </c>
      <c r="G673" s="24">
        <f>Withdrawals_Data!C925</f>
        <v>45391</v>
      </c>
      <c r="H673" s="27">
        <v>0</v>
      </c>
      <c r="I673" s="27">
        <f>-Withdrawals_Data!D925</f>
        <v>-14007</v>
      </c>
    </row>
    <row r="674" spans="3:9">
      <c r="C674" s="23">
        <v>667</v>
      </c>
      <c r="D674" s="23" t="s">
        <v>134</v>
      </c>
      <c r="E674" s="23" t="str">
        <f>Withdrawals_Data!A947</f>
        <v>DA-001</v>
      </c>
      <c r="F674" s="23" t="str">
        <f>Withdrawals_Data!B947</f>
        <v>DA-001-M0071</v>
      </c>
      <c r="G674" s="24">
        <f>Withdrawals_Data!C947</f>
        <v>45391</v>
      </c>
      <c r="H674" s="27">
        <v>0</v>
      </c>
      <c r="I674" s="27">
        <f>-Withdrawals_Data!D947</f>
        <v>-9976</v>
      </c>
    </row>
    <row r="675" spans="3:9">
      <c r="C675" s="23">
        <v>668</v>
      </c>
      <c r="D675" s="23" t="s">
        <v>134</v>
      </c>
      <c r="E675" s="23" t="str">
        <f>Withdrawals_Data!A1002</f>
        <v>DA-002</v>
      </c>
      <c r="F675" s="23" t="str">
        <f>Withdrawals_Data!B1002</f>
        <v>DA-002-M0078</v>
      </c>
      <c r="G675" s="24">
        <f>Withdrawals_Data!C1002</f>
        <v>45391</v>
      </c>
      <c r="H675" s="27">
        <v>0</v>
      </c>
      <c r="I675" s="27">
        <f>-Withdrawals_Data!D1002</f>
        <v>-7813</v>
      </c>
    </row>
    <row r="676" spans="3:9">
      <c r="C676" s="23">
        <v>669</v>
      </c>
      <c r="D676" s="23" t="s">
        <v>134</v>
      </c>
      <c r="E676" s="23" t="str">
        <f>Withdrawals_Data!A1049</f>
        <v>DA-001</v>
      </c>
      <c r="F676" s="23" t="str">
        <f>Withdrawals_Data!B1049</f>
        <v>DA-001-M0083</v>
      </c>
      <c r="G676" s="24">
        <f>Withdrawals_Data!C1049</f>
        <v>45391</v>
      </c>
      <c r="H676" s="27">
        <v>0</v>
      </c>
      <c r="I676" s="27">
        <f>-Withdrawals_Data!D1049</f>
        <v>-17600</v>
      </c>
    </row>
    <row r="677" spans="3:9">
      <c r="C677" s="23">
        <v>670</v>
      </c>
      <c r="D677" s="23" t="s">
        <v>134</v>
      </c>
      <c r="E677" s="23" t="str">
        <f>Withdrawals_Data!A1158</f>
        <v>DA-003</v>
      </c>
      <c r="F677" s="23" t="str">
        <f>Withdrawals_Data!B1158</f>
        <v>DA-003-M0095</v>
      </c>
      <c r="G677" s="24">
        <f>Withdrawals_Data!C1158</f>
        <v>45391</v>
      </c>
      <c r="H677" s="27">
        <v>0</v>
      </c>
      <c r="I677" s="27">
        <f>-Withdrawals_Data!D1158</f>
        <v>-5883</v>
      </c>
    </row>
    <row r="678" spans="3:9">
      <c r="C678" s="23">
        <v>671</v>
      </c>
      <c r="D678" s="23" t="s">
        <v>134</v>
      </c>
      <c r="E678" s="23" t="str">
        <f>Withdrawals_Data!A1180</f>
        <v>DA-001</v>
      </c>
      <c r="F678" s="23" t="str">
        <f>Withdrawals_Data!B1180</f>
        <v>DA-001-M0098</v>
      </c>
      <c r="G678" s="24">
        <f>Withdrawals_Data!C1180</f>
        <v>45391</v>
      </c>
      <c r="H678" s="27">
        <v>0</v>
      </c>
      <c r="I678" s="27">
        <f>-Withdrawals_Data!D1180</f>
        <v>-15335</v>
      </c>
    </row>
    <row r="679" spans="3:9">
      <c r="C679" s="23">
        <v>672</v>
      </c>
      <c r="D679" s="23" t="s">
        <v>132</v>
      </c>
      <c r="E679" s="23" t="str">
        <f>Contributions_Data!A76</f>
        <v>DA-003</v>
      </c>
      <c r="F679" s="23" t="str">
        <f>Contributions_Data!B76</f>
        <v>DA-003-M0007</v>
      </c>
      <c r="G679" s="24">
        <f>Contributions_Data!C76</f>
        <v>45392</v>
      </c>
      <c r="H679" s="27">
        <f>Contributions_Data!D76</f>
        <v>15039.01</v>
      </c>
      <c r="I679" s="27">
        <v>0</v>
      </c>
    </row>
    <row r="680" spans="3:9">
      <c r="C680" s="23">
        <v>673</v>
      </c>
      <c r="D680" s="23" t="s">
        <v>132</v>
      </c>
      <c r="E680" s="23" t="str">
        <f>Contributions_Data!A434</f>
        <v>DA-002</v>
      </c>
      <c r="F680" s="23" t="str">
        <f>Contributions_Data!B434</f>
        <v>DA-002-M0037</v>
      </c>
      <c r="G680" s="24">
        <f>Contributions_Data!C434</f>
        <v>45392</v>
      </c>
      <c r="H680" s="27">
        <f>Contributions_Data!D434</f>
        <v>15219.95</v>
      </c>
      <c r="I680" s="27">
        <v>0</v>
      </c>
    </row>
    <row r="681" spans="3:9">
      <c r="C681" s="23">
        <v>674</v>
      </c>
      <c r="D681" s="23" t="s">
        <v>132</v>
      </c>
      <c r="E681" s="23" t="str">
        <f>Contributions_Data!A886</f>
        <v>DA-001</v>
      </c>
      <c r="F681" s="23" t="str">
        <f>Contributions_Data!B886</f>
        <v>DA-001-M0074</v>
      </c>
      <c r="G681" s="24">
        <f>Contributions_Data!C886</f>
        <v>45392</v>
      </c>
      <c r="H681" s="27">
        <f>Contributions_Data!D886</f>
        <v>14115.15</v>
      </c>
      <c r="I681" s="27">
        <v>0</v>
      </c>
    </row>
    <row r="682" spans="3:9">
      <c r="C682" s="23">
        <v>675</v>
      </c>
      <c r="D682" s="23" t="s">
        <v>134</v>
      </c>
      <c r="E682" s="23" t="str">
        <f>Withdrawals_Data!A889</f>
        <v>DA-002</v>
      </c>
      <c r="F682" s="23" t="str">
        <f>Withdrawals_Data!B889</f>
        <v>DA-002-M0064</v>
      </c>
      <c r="G682" s="24">
        <f>Withdrawals_Data!C889</f>
        <v>45392</v>
      </c>
      <c r="H682" s="27">
        <v>0</v>
      </c>
      <c r="I682" s="27">
        <f>-Withdrawals_Data!D889</f>
        <v>-7082</v>
      </c>
    </row>
    <row r="683" spans="3:9">
      <c r="C683" s="23">
        <v>676</v>
      </c>
      <c r="D683" s="23" t="s">
        <v>134</v>
      </c>
      <c r="E683" s="23" t="str">
        <f>Withdrawals_Data!A986</f>
        <v>DA-003</v>
      </c>
      <c r="F683" s="23" t="str">
        <f>Withdrawals_Data!B986</f>
        <v>DA-003-M0076</v>
      </c>
      <c r="G683" s="24">
        <f>Withdrawals_Data!C986</f>
        <v>45392</v>
      </c>
      <c r="H683" s="27">
        <v>0</v>
      </c>
      <c r="I683" s="27">
        <f>-Withdrawals_Data!D986</f>
        <v>-18869</v>
      </c>
    </row>
    <row r="684" spans="3:9">
      <c r="C684" s="23">
        <v>677</v>
      </c>
      <c r="D684" s="23" t="s">
        <v>132</v>
      </c>
      <c r="E684" s="23" t="str">
        <f>Contributions_Data!A504</f>
        <v>DA-002</v>
      </c>
      <c r="F684" s="23" t="str">
        <f>Contributions_Data!B504</f>
        <v>DA-002-M0042</v>
      </c>
      <c r="G684" s="24">
        <f>Contributions_Data!C504</f>
        <v>45393</v>
      </c>
      <c r="H684" s="27">
        <f>Contributions_Data!D504</f>
        <v>15055.3</v>
      </c>
      <c r="I684" s="27">
        <v>0</v>
      </c>
    </row>
    <row r="685" spans="3:9">
      <c r="C685" s="23">
        <v>678</v>
      </c>
      <c r="D685" s="23" t="s">
        <v>132</v>
      </c>
      <c r="E685" s="23" t="str">
        <f>Contributions_Data!A867</f>
        <v>DA-001</v>
      </c>
      <c r="F685" s="23" t="str">
        <f>Contributions_Data!B867</f>
        <v>DA-001-M0073</v>
      </c>
      <c r="G685" s="24">
        <f>Contributions_Data!C867</f>
        <v>45393</v>
      </c>
      <c r="H685" s="27">
        <f>Contributions_Data!D867</f>
        <v>17822.310000000001</v>
      </c>
      <c r="I685" s="27">
        <v>0</v>
      </c>
    </row>
    <row r="686" spans="3:9">
      <c r="C686" s="23">
        <v>679</v>
      </c>
      <c r="D686" s="23" t="s">
        <v>134</v>
      </c>
      <c r="E686" s="23" t="str">
        <f>Withdrawals_Data!A243</f>
        <v>DA-002</v>
      </c>
      <c r="F686" s="23" t="str">
        <f>Withdrawals_Data!B243</f>
        <v>DA-002-M0062</v>
      </c>
      <c r="G686" s="24">
        <f>Withdrawals_Data!C243</f>
        <v>45393</v>
      </c>
      <c r="H686" s="27">
        <v>0</v>
      </c>
      <c r="I686" s="27">
        <f>-Withdrawals_Data!D243</f>
        <v>-5705.2</v>
      </c>
    </row>
    <row r="687" spans="3:9">
      <c r="C687" s="23">
        <v>680</v>
      </c>
      <c r="D687" s="23" t="s">
        <v>132</v>
      </c>
      <c r="E687" s="23" t="str">
        <f>Contributions_Data!A225</f>
        <v>DA-001</v>
      </c>
      <c r="F687" s="23" t="str">
        <f>Contributions_Data!B225</f>
        <v>DA-001-M0019</v>
      </c>
      <c r="G687" s="24">
        <f>Contributions_Data!C225</f>
        <v>45394</v>
      </c>
      <c r="H687" s="27">
        <f>Contributions_Data!D225</f>
        <v>19353.43</v>
      </c>
      <c r="I687" s="27">
        <v>0</v>
      </c>
    </row>
    <row r="688" spans="3:9">
      <c r="C688" s="23">
        <v>681</v>
      </c>
      <c r="D688" s="23" t="s">
        <v>132</v>
      </c>
      <c r="E688" s="23" t="str">
        <f>Contributions_Data!A413</f>
        <v>DA-001</v>
      </c>
      <c r="F688" s="23" t="str">
        <f>Contributions_Data!B413</f>
        <v>DA-001-M0035</v>
      </c>
      <c r="G688" s="24">
        <f>Contributions_Data!C413</f>
        <v>45394</v>
      </c>
      <c r="H688" s="27">
        <f>Contributions_Data!D413</f>
        <v>16963.099999999999</v>
      </c>
      <c r="I688" s="27">
        <v>0</v>
      </c>
    </row>
    <row r="689" spans="3:9">
      <c r="C689" s="23">
        <v>682</v>
      </c>
      <c r="D689" s="23" t="s">
        <v>132</v>
      </c>
      <c r="E689" s="23" t="str">
        <f>Contributions_Data!A465</f>
        <v>DA-002</v>
      </c>
      <c r="F689" s="23" t="str">
        <f>Contributions_Data!B465</f>
        <v>DA-002-M0039</v>
      </c>
      <c r="G689" s="24">
        <f>Contributions_Data!C465</f>
        <v>45394</v>
      </c>
      <c r="H689" s="27">
        <f>Contributions_Data!D465</f>
        <v>18814.669999999998</v>
      </c>
      <c r="I689" s="27">
        <v>0</v>
      </c>
    </row>
    <row r="690" spans="3:9">
      <c r="C690" s="23">
        <v>683</v>
      </c>
      <c r="D690" s="23" t="s">
        <v>132</v>
      </c>
      <c r="E690" s="23" t="str">
        <f>Contributions_Data!A713</f>
        <v>DA-002</v>
      </c>
      <c r="F690" s="23" t="str">
        <f>Contributions_Data!B713</f>
        <v>DA-002-M0060</v>
      </c>
      <c r="G690" s="24">
        <f>Contributions_Data!C713</f>
        <v>45394</v>
      </c>
      <c r="H690" s="27">
        <f>Contributions_Data!D713</f>
        <v>14337.11</v>
      </c>
      <c r="I690" s="27">
        <v>0</v>
      </c>
    </row>
    <row r="691" spans="3:9">
      <c r="C691" s="23">
        <v>684</v>
      </c>
      <c r="D691" s="23" t="s">
        <v>132</v>
      </c>
      <c r="E691" s="23" t="str">
        <f>Contributions_Data!A894</f>
        <v>DA-001</v>
      </c>
      <c r="F691" s="23" t="str">
        <f>Contributions_Data!B894</f>
        <v>DA-001-M0075</v>
      </c>
      <c r="G691" s="24">
        <f>Contributions_Data!C894</f>
        <v>45394</v>
      </c>
      <c r="H691" s="27">
        <f>Contributions_Data!D894</f>
        <v>15131.43</v>
      </c>
      <c r="I691" s="27">
        <v>0</v>
      </c>
    </row>
    <row r="692" spans="3:9">
      <c r="C692" s="23">
        <v>685</v>
      </c>
      <c r="D692" s="23" t="s">
        <v>132</v>
      </c>
      <c r="E692" s="23" t="str">
        <f>Contributions_Data!A945</f>
        <v>DA-003</v>
      </c>
      <c r="F692" s="23" t="str">
        <f>Contributions_Data!B945</f>
        <v>DA-003-M0079</v>
      </c>
      <c r="G692" s="24">
        <f>Contributions_Data!C945</f>
        <v>45394</v>
      </c>
      <c r="H692" s="27">
        <f>Contributions_Data!D945</f>
        <v>14981.79</v>
      </c>
      <c r="I692" s="27">
        <v>0</v>
      </c>
    </row>
    <row r="693" spans="3:9">
      <c r="C693" s="23">
        <v>686</v>
      </c>
      <c r="D693" s="23" t="s">
        <v>132</v>
      </c>
      <c r="E693" s="23" t="str">
        <f>Contributions_Data!A956</f>
        <v>DA-003</v>
      </c>
      <c r="F693" s="23" t="str">
        <f>Contributions_Data!B956</f>
        <v>DA-003-M0080</v>
      </c>
      <c r="G693" s="24">
        <f>Contributions_Data!C956</f>
        <v>45394</v>
      </c>
      <c r="H693" s="27">
        <f>Contributions_Data!D956</f>
        <v>16609.53</v>
      </c>
      <c r="I693" s="27">
        <v>0</v>
      </c>
    </row>
    <row r="694" spans="3:9">
      <c r="C694" s="23">
        <v>687</v>
      </c>
      <c r="D694" s="23" t="s">
        <v>132</v>
      </c>
      <c r="E694" s="23" t="str">
        <f>Contributions_Data!A513</f>
        <v>DA-001</v>
      </c>
      <c r="F694" s="23" t="str">
        <f>Contributions_Data!B513</f>
        <v>DA-001-M0043</v>
      </c>
      <c r="G694" s="24">
        <f>Contributions_Data!C513</f>
        <v>45395</v>
      </c>
      <c r="H694" s="27">
        <f>Contributions_Data!D513</f>
        <v>17948.07</v>
      </c>
      <c r="I694" s="27">
        <v>0</v>
      </c>
    </row>
    <row r="695" spans="3:9">
      <c r="C695" s="23">
        <v>688</v>
      </c>
      <c r="D695" s="23" t="s">
        <v>134</v>
      </c>
      <c r="E695" s="23" t="str">
        <f>Withdrawals_Data!A282</f>
        <v>DA-003</v>
      </c>
      <c r="F695" s="23" t="str">
        <f>Withdrawals_Data!B282</f>
        <v>DA-003-M0013</v>
      </c>
      <c r="G695" s="24">
        <f>Withdrawals_Data!C282</f>
        <v>45395</v>
      </c>
      <c r="H695" s="27">
        <v>0</v>
      </c>
      <c r="I695" s="27">
        <f>-Withdrawals_Data!D282</f>
        <v>-4073.97</v>
      </c>
    </row>
    <row r="696" spans="3:9">
      <c r="C696" s="23">
        <v>689</v>
      </c>
      <c r="D696" s="23" t="s">
        <v>132</v>
      </c>
      <c r="E696" s="23" t="str">
        <f>Contributions_Data!A72</f>
        <v>DA-003</v>
      </c>
      <c r="F696" s="23" t="str">
        <f>Contributions_Data!B72</f>
        <v>DA-003-M0006</v>
      </c>
      <c r="G696" s="24">
        <f>Contributions_Data!C72</f>
        <v>45396</v>
      </c>
      <c r="H696" s="27">
        <f>Contributions_Data!D72</f>
        <v>12331.46</v>
      </c>
      <c r="I696" s="27">
        <v>0</v>
      </c>
    </row>
    <row r="697" spans="3:9">
      <c r="C697" s="23">
        <v>690</v>
      </c>
      <c r="D697" s="23" t="s">
        <v>132</v>
      </c>
      <c r="E697" s="23" t="str">
        <f>Contributions_Data!A743</f>
        <v>DA-002</v>
      </c>
      <c r="F697" s="23" t="str">
        <f>Contributions_Data!B743</f>
        <v>DA-002-M0062</v>
      </c>
      <c r="G697" s="24">
        <f>Contributions_Data!C743</f>
        <v>45396</v>
      </c>
      <c r="H697" s="27">
        <f>Contributions_Data!D743</f>
        <v>20182.63</v>
      </c>
      <c r="I697" s="27">
        <v>0</v>
      </c>
    </row>
    <row r="698" spans="3:9">
      <c r="C698" s="23">
        <v>691</v>
      </c>
      <c r="D698" s="23" t="s">
        <v>132</v>
      </c>
      <c r="E698" s="23" t="str">
        <f>Contributions_Data!A993</f>
        <v>DA-001</v>
      </c>
      <c r="F698" s="23" t="str">
        <f>Contributions_Data!B993</f>
        <v>DA-001-M0083</v>
      </c>
      <c r="G698" s="24">
        <f>Contributions_Data!C993</f>
        <v>45396</v>
      </c>
      <c r="H698" s="27">
        <f>Contributions_Data!D993</f>
        <v>17802.96</v>
      </c>
      <c r="I698" s="27">
        <v>0</v>
      </c>
    </row>
    <row r="699" spans="3:9">
      <c r="C699" s="23">
        <v>692</v>
      </c>
      <c r="D699" s="23" t="s">
        <v>132</v>
      </c>
      <c r="E699" s="23" t="str">
        <f>Contributions_Data!A1156</f>
        <v>DA-002</v>
      </c>
      <c r="F699" s="23" t="str">
        <f>Contributions_Data!B1156</f>
        <v>DA-002-M0097</v>
      </c>
      <c r="G699" s="24">
        <f>Contributions_Data!C1156</f>
        <v>45396</v>
      </c>
      <c r="H699" s="27">
        <f>Contributions_Data!D1156</f>
        <v>12590.46</v>
      </c>
      <c r="I699" s="27">
        <v>0</v>
      </c>
    </row>
    <row r="700" spans="3:9">
      <c r="C700" s="23">
        <v>693</v>
      </c>
      <c r="D700" s="23" t="s">
        <v>132</v>
      </c>
      <c r="E700" s="23" t="str">
        <f>Contributions_Data!A1163</f>
        <v>DA-002</v>
      </c>
      <c r="F700" s="23" t="str">
        <f>Contributions_Data!B1163</f>
        <v>DA-002-M0097</v>
      </c>
      <c r="G700" s="24">
        <f>Contributions_Data!C1163</f>
        <v>45396</v>
      </c>
      <c r="H700" s="27">
        <f>Contributions_Data!D1163</f>
        <v>15200.97</v>
      </c>
      <c r="I700" s="27">
        <v>0</v>
      </c>
    </row>
    <row r="701" spans="3:9">
      <c r="C701" s="23">
        <v>694</v>
      </c>
      <c r="D701" s="23" t="s">
        <v>134</v>
      </c>
      <c r="E701" s="23" t="str">
        <f>Withdrawals_Data!A250</f>
        <v>DA-002</v>
      </c>
      <c r="F701" s="23" t="str">
        <f>Withdrawals_Data!B250</f>
        <v>DA-002-M0070</v>
      </c>
      <c r="G701" s="24">
        <f>Withdrawals_Data!C250</f>
        <v>45396</v>
      </c>
      <c r="H701" s="27">
        <v>0</v>
      </c>
      <c r="I701" s="27">
        <f>-Withdrawals_Data!D250</f>
        <v>-5444.15</v>
      </c>
    </row>
    <row r="702" spans="3:9">
      <c r="C702" s="23">
        <v>695</v>
      </c>
      <c r="D702" s="23" t="s">
        <v>134</v>
      </c>
      <c r="E702" s="23" t="str">
        <f>Withdrawals_Data!A501</f>
        <v>DA-002</v>
      </c>
      <c r="F702" s="23" t="str">
        <f>Withdrawals_Data!B501</f>
        <v>DA-002-M0021</v>
      </c>
      <c r="G702" s="24">
        <f>Withdrawals_Data!C501</f>
        <v>45396</v>
      </c>
      <c r="H702" s="27">
        <v>0</v>
      </c>
      <c r="I702" s="27">
        <f>-Withdrawals_Data!D501</f>
        <v>-6888</v>
      </c>
    </row>
    <row r="703" spans="3:9">
      <c r="C703" s="23">
        <v>696</v>
      </c>
      <c r="D703" s="23" t="s">
        <v>132</v>
      </c>
      <c r="E703" s="23" t="str">
        <f>Contributions_Data!A609</f>
        <v>DA-002</v>
      </c>
      <c r="F703" s="23" t="str">
        <f>Contributions_Data!B609</f>
        <v>DA-002-M0051</v>
      </c>
      <c r="G703" s="24">
        <f>Contributions_Data!C609</f>
        <v>45397</v>
      </c>
      <c r="H703" s="27">
        <f>Contributions_Data!D609</f>
        <v>13343.33</v>
      </c>
      <c r="I703" s="27">
        <v>0</v>
      </c>
    </row>
    <row r="704" spans="3:9">
      <c r="C704" s="23">
        <v>697</v>
      </c>
      <c r="D704" s="23" t="s">
        <v>132</v>
      </c>
      <c r="E704" s="23" t="str">
        <f>Contributions_Data!A647</f>
        <v>DA-002</v>
      </c>
      <c r="F704" s="23" t="str">
        <f>Contributions_Data!B647</f>
        <v>DA-002-M0054</v>
      </c>
      <c r="G704" s="24">
        <f>Contributions_Data!C647</f>
        <v>45397</v>
      </c>
      <c r="H704" s="27">
        <f>Contributions_Data!D647</f>
        <v>17238.759999999998</v>
      </c>
      <c r="I704" s="27">
        <v>0</v>
      </c>
    </row>
    <row r="705" spans="3:9">
      <c r="C705" s="23">
        <v>698</v>
      </c>
      <c r="D705" s="23" t="s">
        <v>132</v>
      </c>
      <c r="E705" s="23" t="str">
        <f>Contributions_Data!A914</f>
        <v>DA-003</v>
      </c>
      <c r="F705" s="23" t="str">
        <f>Contributions_Data!B914</f>
        <v>DA-003-M0077</v>
      </c>
      <c r="G705" s="24">
        <f>Contributions_Data!C914</f>
        <v>45397</v>
      </c>
      <c r="H705" s="27">
        <f>Contributions_Data!D914</f>
        <v>16122.17</v>
      </c>
      <c r="I705" s="27">
        <v>0</v>
      </c>
    </row>
    <row r="706" spans="3:9">
      <c r="C706" s="23">
        <v>699</v>
      </c>
      <c r="D706" s="23" t="s">
        <v>132</v>
      </c>
      <c r="E706" s="23" t="str">
        <f>Contributions_Data!A1096</f>
        <v>DA-001</v>
      </c>
      <c r="F706" s="23" t="str">
        <f>Contributions_Data!B1096</f>
        <v>DA-001-M0092</v>
      </c>
      <c r="G706" s="24">
        <f>Contributions_Data!C1096</f>
        <v>45397</v>
      </c>
      <c r="H706" s="27">
        <f>Contributions_Data!D1096</f>
        <v>14637.16</v>
      </c>
      <c r="I706" s="27">
        <v>0</v>
      </c>
    </row>
    <row r="707" spans="3:9">
      <c r="C707" s="23">
        <v>700</v>
      </c>
      <c r="D707" s="23" t="s">
        <v>134</v>
      </c>
      <c r="E707" s="23" t="str">
        <f>Withdrawals_Data!A7</f>
        <v>DA-002</v>
      </c>
      <c r="F707" s="23" t="str">
        <f>Withdrawals_Data!B7</f>
        <v>DA-002-M0062</v>
      </c>
      <c r="G707" s="24">
        <f>Withdrawals_Data!C7</f>
        <v>45397</v>
      </c>
      <c r="H707" s="27">
        <v>0</v>
      </c>
      <c r="I707" s="27">
        <f>-Withdrawals_Data!D7</f>
        <v>-16569.080000000002</v>
      </c>
    </row>
    <row r="708" spans="3:9">
      <c r="C708" s="23">
        <v>701</v>
      </c>
      <c r="D708" s="23" t="s">
        <v>134</v>
      </c>
      <c r="E708" s="23" t="str">
        <f>Withdrawals_Data!A33</f>
        <v>DA-003</v>
      </c>
      <c r="F708" s="23" t="str">
        <f>Withdrawals_Data!B33</f>
        <v>DA-003-M0015</v>
      </c>
      <c r="G708" s="24">
        <f>Withdrawals_Data!C33</f>
        <v>45397</v>
      </c>
      <c r="H708" s="27">
        <v>0</v>
      </c>
      <c r="I708" s="27">
        <f>-Withdrawals_Data!D33</f>
        <v>-13221.92</v>
      </c>
    </row>
    <row r="709" spans="3:9">
      <c r="C709" s="23">
        <v>702</v>
      </c>
      <c r="D709" s="23" t="s">
        <v>134</v>
      </c>
      <c r="E709" s="23" t="str">
        <f>Withdrawals_Data!A223</f>
        <v>DA-003</v>
      </c>
      <c r="F709" s="23" t="str">
        <f>Withdrawals_Data!B223</f>
        <v>DA-003-M0066</v>
      </c>
      <c r="G709" s="24">
        <f>Withdrawals_Data!C223</f>
        <v>45397</v>
      </c>
      <c r="H709" s="27">
        <v>0</v>
      </c>
      <c r="I709" s="27">
        <f>-Withdrawals_Data!D223</f>
        <v>-6605.39</v>
      </c>
    </row>
    <row r="710" spans="3:9">
      <c r="C710" s="23">
        <v>703</v>
      </c>
      <c r="D710" s="23" t="s">
        <v>134</v>
      </c>
      <c r="E710" s="23" t="str">
        <f>Withdrawals_Data!A234</f>
        <v>DA-003</v>
      </c>
      <c r="F710" s="23" t="str">
        <f>Withdrawals_Data!B234</f>
        <v>DA-003-M0036</v>
      </c>
      <c r="G710" s="24">
        <f>Withdrawals_Data!C234</f>
        <v>45397</v>
      </c>
      <c r="H710" s="27">
        <v>0</v>
      </c>
      <c r="I710" s="27">
        <f>-Withdrawals_Data!D234</f>
        <v>-5955.14</v>
      </c>
    </row>
    <row r="711" spans="3:9">
      <c r="C711" s="23">
        <v>704</v>
      </c>
      <c r="D711" s="23" t="s">
        <v>134</v>
      </c>
      <c r="E711" s="23" t="str">
        <f>Withdrawals_Data!A417</f>
        <v>DA-001</v>
      </c>
      <c r="F711" s="23" t="str">
        <f>Withdrawals_Data!B417</f>
        <v>DA-001-M0011</v>
      </c>
      <c r="G711" s="24">
        <f>Withdrawals_Data!C417</f>
        <v>45397</v>
      </c>
      <c r="H711" s="27">
        <v>0</v>
      </c>
      <c r="I711" s="27">
        <f>-Withdrawals_Data!D417</f>
        <v>-20381</v>
      </c>
    </row>
    <row r="712" spans="3:9">
      <c r="C712" s="23">
        <v>705</v>
      </c>
      <c r="D712" s="23" t="s">
        <v>134</v>
      </c>
      <c r="E712" s="23" t="str">
        <f>Withdrawals_Data!A753</f>
        <v>DA-001</v>
      </c>
      <c r="F712" s="23" t="str">
        <f>Withdrawals_Data!B753</f>
        <v>DA-001-M0049</v>
      </c>
      <c r="G712" s="24">
        <f>Withdrawals_Data!C753</f>
        <v>45397</v>
      </c>
      <c r="H712" s="27">
        <v>0</v>
      </c>
      <c r="I712" s="27">
        <f>-Withdrawals_Data!D753</f>
        <v>-2736</v>
      </c>
    </row>
    <row r="713" spans="3:9">
      <c r="C713" s="23">
        <v>706</v>
      </c>
      <c r="D713" s="23" t="s">
        <v>134</v>
      </c>
      <c r="E713" s="23" t="str">
        <f>Withdrawals_Data!A768</f>
        <v>DA-002</v>
      </c>
      <c r="F713" s="23" t="str">
        <f>Withdrawals_Data!B768</f>
        <v>DA-002-M0051</v>
      </c>
      <c r="G713" s="24">
        <f>Withdrawals_Data!C768</f>
        <v>45397</v>
      </c>
      <c r="H713" s="27">
        <v>0</v>
      </c>
      <c r="I713" s="27">
        <f>-Withdrawals_Data!D768</f>
        <v>-6145</v>
      </c>
    </row>
    <row r="714" spans="3:9">
      <c r="C714" s="23">
        <v>707</v>
      </c>
      <c r="D714" s="23" t="s">
        <v>132</v>
      </c>
      <c r="E714" s="23" t="str">
        <f>Contributions_Data!A297</f>
        <v>DA-001</v>
      </c>
      <c r="F714" s="23" t="str">
        <f>Contributions_Data!B297</f>
        <v>DA-001-M0025</v>
      </c>
      <c r="G714" s="24">
        <f>Contributions_Data!C297</f>
        <v>45398</v>
      </c>
      <c r="H714" s="27">
        <f>Contributions_Data!D297</f>
        <v>15641.94</v>
      </c>
      <c r="I714" s="27">
        <v>0</v>
      </c>
    </row>
    <row r="715" spans="3:9">
      <c r="C715" s="23">
        <v>708</v>
      </c>
      <c r="D715" s="23" t="s">
        <v>132</v>
      </c>
      <c r="E715" s="23" t="str">
        <f>Contributions_Data!A882</f>
        <v>DA-001</v>
      </c>
      <c r="F715" s="23" t="str">
        <f>Contributions_Data!B882</f>
        <v>DA-001-M0074</v>
      </c>
      <c r="G715" s="24">
        <f>Contributions_Data!C882</f>
        <v>45398</v>
      </c>
      <c r="H715" s="27">
        <f>Contributions_Data!D882</f>
        <v>10792.18</v>
      </c>
      <c r="I715" s="27">
        <v>0</v>
      </c>
    </row>
    <row r="716" spans="3:9">
      <c r="C716" s="23">
        <v>709</v>
      </c>
      <c r="D716" s="23" t="s">
        <v>132</v>
      </c>
      <c r="E716" s="23" t="str">
        <f>Contributions_Data!A915</f>
        <v>DA-003</v>
      </c>
      <c r="F716" s="23" t="str">
        <f>Contributions_Data!B915</f>
        <v>DA-003-M0077</v>
      </c>
      <c r="G716" s="24">
        <f>Contributions_Data!C915</f>
        <v>45398</v>
      </c>
      <c r="H716" s="27">
        <f>Contributions_Data!D915</f>
        <v>18683.009999999998</v>
      </c>
      <c r="I716" s="27">
        <v>0</v>
      </c>
    </row>
    <row r="717" spans="3:9">
      <c r="C717" s="23">
        <v>710</v>
      </c>
      <c r="D717" s="23" t="s">
        <v>134</v>
      </c>
      <c r="E717" s="23" t="str">
        <f>Withdrawals_Data!A167</f>
        <v>DA-003</v>
      </c>
      <c r="F717" s="23" t="str">
        <f>Withdrawals_Data!B167</f>
        <v>DA-003-M0077</v>
      </c>
      <c r="G717" s="24">
        <f>Withdrawals_Data!C167</f>
        <v>45398</v>
      </c>
      <c r="H717" s="27">
        <v>0</v>
      </c>
      <c r="I717" s="27">
        <f>-Withdrawals_Data!D167</f>
        <v>-8304.02</v>
      </c>
    </row>
    <row r="718" spans="3:9">
      <c r="C718" s="23">
        <v>711</v>
      </c>
      <c r="D718" s="23" t="s">
        <v>134</v>
      </c>
      <c r="E718" s="23" t="str">
        <f>Withdrawals_Data!A1030</f>
        <v>DA-003</v>
      </c>
      <c r="F718" s="23" t="str">
        <f>Withdrawals_Data!B1030</f>
        <v>DA-003-M0081</v>
      </c>
      <c r="G718" s="24">
        <f>Withdrawals_Data!C1030</f>
        <v>45398</v>
      </c>
      <c r="H718" s="27">
        <v>0</v>
      </c>
      <c r="I718" s="27">
        <f>-Withdrawals_Data!D1030</f>
        <v>-6816</v>
      </c>
    </row>
    <row r="719" spans="3:9">
      <c r="C719" s="23">
        <v>712</v>
      </c>
      <c r="D719" s="23" t="s">
        <v>132</v>
      </c>
      <c r="E719" s="23" t="str">
        <f>Contributions_Data!A68</f>
        <v>DA-003</v>
      </c>
      <c r="F719" s="23" t="str">
        <f>Contributions_Data!B68</f>
        <v>DA-003-M0006</v>
      </c>
      <c r="G719" s="24">
        <f>Contributions_Data!C68</f>
        <v>45399</v>
      </c>
      <c r="H719" s="27">
        <f>Contributions_Data!D68</f>
        <v>16238.34</v>
      </c>
      <c r="I719" s="27">
        <v>0</v>
      </c>
    </row>
    <row r="720" spans="3:9">
      <c r="C720" s="23">
        <v>713</v>
      </c>
      <c r="D720" s="23" t="s">
        <v>132</v>
      </c>
      <c r="E720" s="23" t="str">
        <f>Contributions_Data!A359</f>
        <v>DA-002</v>
      </c>
      <c r="F720" s="23" t="str">
        <f>Contributions_Data!B359</f>
        <v>DA-002-M0030</v>
      </c>
      <c r="G720" s="24">
        <f>Contributions_Data!C359</f>
        <v>45399</v>
      </c>
      <c r="H720" s="27">
        <f>Contributions_Data!D359</f>
        <v>12609.31</v>
      </c>
      <c r="I720" s="27">
        <v>0</v>
      </c>
    </row>
    <row r="721" spans="3:9">
      <c r="C721" s="23">
        <v>714</v>
      </c>
      <c r="D721" s="23" t="s">
        <v>132</v>
      </c>
      <c r="E721" s="23" t="str">
        <f>Contributions_Data!A418</f>
        <v>DA-001</v>
      </c>
      <c r="F721" s="23" t="str">
        <f>Contributions_Data!B418</f>
        <v>DA-001-M0035</v>
      </c>
      <c r="G721" s="24">
        <f>Contributions_Data!C418</f>
        <v>45399</v>
      </c>
      <c r="H721" s="27">
        <f>Contributions_Data!D418</f>
        <v>17177.3</v>
      </c>
      <c r="I721" s="27">
        <v>0</v>
      </c>
    </row>
    <row r="722" spans="3:9">
      <c r="C722" s="23">
        <v>715</v>
      </c>
      <c r="D722" s="23" t="s">
        <v>132</v>
      </c>
      <c r="E722" s="23" t="str">
        <f>Contributions_Data!A750</f>
        <v>DA-002</v>
      </c>
      <c r="F722" s="23" t="str">
        <f>Contributions_Data!B750</f>
        <v>DA-002-M0063</v>
      </c>
      <c r="G722" s="24">
        <f>Contributions_Data!C750</f>
        <v>45399</v>
      </c>
      <c r="H722" s="27">
        <f>Contributions_Data!D750</f>
        <v>9994.25</v>
      </c>
      <c r="I722" s="27">
        <v>0</v>
      </c>
    </row>
    <row r="723" spans="3:9">
      <c r="C723" s="23">
        <v>716</v>
      </c>
      <c r="D723" s="23" t="s">
        <v>132</v>
      </c>
      <c r="E723" s="23" t="str">
        <f>Contributions_Data!A855</f>
        <v>DA-002</v>
      </c>
      <c r="F723" s="23" t="str">
        <f>Contributions_Data!B855</f>
        <v>DA-002-M0072</v>
      </c>
      <c r="G723" s="24">
        <f>Contributions_Data!C855</f>
        <v>45399</v>
      </c>
      <c r="H723" s="27">
        <f>Contributions_Data!D855</f>
        <v>15843.57</v>
      </c>
      <c r="I723" s="27">
        <v>0</v>
      </c>
    </row>
    <row r="724" spans="3:9">
      <c r="C724" s="23">
        <v>717</v>
      </c>
      <c r="D724" s="23" t="s">
        <v>134</v>
      </c>
      <c r="E724" s="23" t="str">
        <f>Withdrawals_Data!A110</f>
        <v>DA-003</v>
      </c>
      <c r="F724" s="23" t="str">
        <f>Withdrawals_Data!B110</f>
        <v>DA-003-M0090</v>
      </c>
      <c r="G724" s="24">
        <f>Withdrawals_Data!C110</f>
        <v>45399</v>
      </c>
      <c r="H724" s="27">
        <v>0</v>
      </c>
      <c r="I724" s="27">
        <f>-Withdrawals_Data!D110</f>
        <v>-9598.75</v>
      </c>
    </row>
    <row r="725" spans="3:9">
      <c r="C725" s="23">
        <v>718</v>
      </c>
      <c r="D725" s="23" t="s">
        <v>134</v>
      </c>
      <c r="E725" s="23" t="str">
        <f>Withdrawals_Data!A1047</f>
        <v>DA-001</v>
      </c>
      <c r="F725" s="23" t="str">
        <f>Withdrawals_Data!B1047</f>
        <v>DA-001-M0083</v>
      </c>
      <c r="G725" s="24">
        <f>Withdrawals_Data!C1047</f>
        <v>45399</v>
      </c>
      <c r="H725" s="27">
        <v>0</v>
      </c>
      <c r="I725" s="27">
        <f>-Withdrawals_Data!D1047</f>
        <v>-11607</v>
      </c>
    </row>
    <row r="726" spans="3:9">
      <c r="C726" s="23">
        <v>719</v>
      </c>
      <c r="D726" s="23" t="s">
        <v>132</v>
      </c>
      <c r="E726" s="23" t="str">
        <f>Contributions_Data!A776</f>
        <v>DA-001</v>
      </c>
      <c r="F726" s="23" t="str">
        <f>Contributions_Data!B776</f>
        <v>DA-001-M0065</v>
      </c>
      <c r="G726" s="24">
        <f>Contributions_Data!C776</f>
        <v>45400</v>
      </c>
      <c r="H726" s="27">
        <f>Contributions_Data!D776</f>
        <v>13912.68</v>
      </c>
      <c r="I726" s="27">
        <v>0</v>
      </c>
    </row>
    <row r="727" spans="3:9">
      <c r="C727" s="23">
        <v>720</v>
      </c>
      <c r="D727" s="23" t="s">
        <v>132</v>
      </c>
      <c r="E727" s="23" t="str">
        <f>Contributions_Data!A1153</f>
        <v>DA-001</v>
      </c>
      <c r="F727" s="23" t="str">
        <f>Contributions_Data!B1153</f>
        <v>DA-001-M0096</v>
      </c>
      <c r="G727" s="24">
        <f>Contributions_Data!C1153</f>
        <v>45400</v>
      </c>
      <c r="H727" s="27">
        <f>Contributions_Data!D1153</f>
        <v>12366.05</v>
      </c>
      <c r="I727" s="27">
        <v>0</v>
      </c>
    </row>
    <row r="728" spans="3:9">
      <c r="C728" s="23">
        <v>721</v>
      </c>
      <c r="D728" s="23" t="s">
        <v>134</v>
      </c>
      <c r="E728" s="23" t="str">
        <f>Withdrawals_Data!A679</f>
        <v>DA-002</v>
      </c>
      <c r="F728" s="23" t="str">
        <f>Withdrawals_Data!B679</f>
        <v>DA-002-M0041</v>
      </c>
      <c r="G728" s="24">
        <f>Withdrawals_Data!C679</f>
        <v>45400</v>
      </c>
      <c r="H728" s="27">
        <v>0</v>
      </c>
      <c r="I728" s="27">
        <f>-Withdrawals_Data!D679</f>
        <v>-17796</v>
      </c>
    </row>
    <row r="729" spans="3:9">
      <c r="C729" s="23">
        <v>722</v>
      </c>
      <c r="D729" s="23" t="s">
        <v>132</v>
      </c>
      <c r="E729" s="23" t="str">
        <f>Contributions_Data!A4</f>
        <v>DA-003</v>
      </c>
      <c r="F729" s="23" t="str">
        <f>Contributions_Data!B4</f>
        <v>DA-003-M0001</v>
      </c>
      <c r="G729" s="24">
        <f>Contributions_Data!C4</f>
        <v>45401</v>
      </c>
      <c r="H729" s="27">
        <f>Contributions_Data!D4</f>
        <v>9037.2900000000009</v>
      </c>
      <c r="I729" s="27">
        <v>0</v>
      </c>
    </row>
    <row r="730" spans="3:9">
      <c r="C730" s="23">
        <v>723</v>
      </c>
      <c r="D730" s="23" t="s">
        <v>132</v>
      </c>
      <c r="E730" s="23" t="str">
        <f>Contributions_Data!A105</f>
        <v>DA-001</v>
      </c>
      <c r="F730" s="23" t="str">
        <f>Contributions_Data!B105</f>
        <v>DA-001-M0009</v>
      </c>
      <c r="G730" s="24">
        <f>Contributions_Data!C105</f>
        <v>45401</v>
      </c>
      <c r="H730" s="27">
        <f>Contributions_Data!D105</f>
        <v>17276.91</v>
      </c>
      <c r="I730" s="27">
        <v>0</v>
      </c>
    </row>
    <row r="731" spans="3:9">
      <c r="C731" s="23">
        <v>724</v>
      </c>
      <c r="D731" s="23" t="s">
        <v>132</v>
      </c>
      <c r="E731" s="23" t="str">
        <f>Contributions_Data!A758</f>
        <v>DA-002</v>
      </c>
      <c r="F731" s="23" t="str">
        <f>Contributions_Data!B758</f>
        <v>DA-002-M0064</v>
      </c>
      <c r="G731" s="24">
        <f>Contributions_Data!C758</f>
        <v>45401</v>
      </c>
      <c r="H731" s="27">
        <f>Contributions_Data!D758</f>
        <v>20051.78</v>
      </c>
      <c r="I731" s="27">
        <v>0</v>
      </c>
    </row>
    <row r="732" spans="3:9">
      <c r="C732" s="23">
        <v>725</v>
      </c>
      <c r="D732" s="23" t="s">
        <v>134</v>
      </c>
      <c r="E732" s="23" t="str">
        <f>Withdrawals_Data!A72</f>
        <v>DA-001</v>
      </c>
      <c r="F732" s="23" t="str">
        <f>Withdrawals_Data!B72</f>
        <v>DA-001-M0056</v>
      </c>
      <c r="G732" s="24">
        <f>Withdrawals_Data!C72</f>
        <v>45401</v>
      </c>
      <c r="H732" s="27">
        <v>0</v>
      </c>
      <c r="I732" s="27">
        <f>-Withdrawals_Data!D72</f>
        <v>-10833.43</v>
      </c>
    </row>
    <row r="733" spans="3:9">
      <c r="C733" s="23">
        <v>726</v>
      </c>
      <c r="D733" s="23" t="s">
        <v>134</v>
      </c>
      <c r="E733" s="23" t="str">
        <f>Withdrawals_Data!A560</f>
        <v>DA-002</v>
      </c>
      <c r="F733" s="23" t="str">
        <f>Withdrawals_Data!B560</f>
        <v>DA-002-M0027</v>
      </c>
      <c r="G733" s="24">
        <f>Withdrawals_Data!C560</f>
        <v>45401</v>
      </c>
      <c r="H733" s="27">
        <v>0</v>
      </c>
      <c r="I733" s="27">
        <f>-Withdrawals_Data!D560</f>
        <v>-16378</v>
      </c>
    </row>
    <row r="734" spans="3:9">
      <c r="C734" s="23">
        <v>727</v>
      </c>
      <c r="D734" s="23" t="s">
        <v>134</v>
      </c>
      <c r="E734" s="23" t="str">
        <f>Withdrawals_Data!A970</f>
        <v>DA-001</v>
      </c>
      <c r="F734" s="23" t="str">
        <f>Withdrawals_Data!B970</f>
        <v>DA-001-M0074</v>
      </c>
      <c r="G734" s="24">
        <f>Withdrawals_Data!C970</f>
        <v>45401</v>
      </c>
      <c r="H734" s="27">
        <v>0</v>
      </c>
      <c r="I734" s="27">
        <f>-Withdrawals_Data!D970</f>
        <v>-15805</v>
      </c>
    </row>
    <row r="735" spans="3:9">
      <c r="C735" s="23">
        <v>728</v>
      </c>
      <c r="D735" s="23" t="s">
        <v>132</v>
      </c>
      <c r="E735" s="23" t="str">
        <f>Contributions_Data!A109</f>
        <v>DA-001</v>
      </c>
      <c r="F735" s="23" t="str">
        <f>Contributions_Data!B109</f>
        <v>DA-001-M0009</v>
      </c>
      <c r="G735" s="24">
        <f>Contributions_Data!C109</f>
        <v>45402</v>
      </c>
      <c r="H735" s="27">
        <f>Contributions_Data!D109</f>
        <v>21943.98</v>
      </c>
      <c r="I735" s="27">
        <v>0</v>
      </c>
    </row>
    <row r="736" spans="3:9">
      <c r="C736" s="23">
        <v>729</v>
      </c>
      <c r="D736" s="23" t="s">
        <v>132</v>
      </c>
      <c r="E736" s="23" t="str">
        <f>Contributions_Data!A255</f>
        <v>DA-001</v>
      </c>
      <c r="F736" s="23" t="str">
        <f>Contributions_Data!B255</f>
        <v>DA-001-M0022</v>
      </c>
      <c r="G736" s="24">
        <f>Contributions_Data!C255</f>
        <v>45402</v>
      </c>
      <c r="H736" s="27">
        <f>Contributions_Data!D255</f>
        <v>16543.32</v>
      </c>
      <c r="I736" s="27">
        <v>0</v>
      </c>
    </row>
    <row r="737" spans="3:9">
      <c r="C737" s="23">
        <v>730</v>
      </c>
      <c r="D737" s="23" t="s">
        <v>132</v>
      </c>
      <c r="E737" s="23" t="str">
        <f>Contributions_Data!A483</f>
        <v>DA-002</v>
      </c>
      <c r="F737" s="23" t="str">
        <f>Contributions_Data!B483</f>
        <v>DA-002-M0041</v>
      </c>
      <c r="G737" s="24">
        <f>Contributions_Data!C483</f>
        <v>45402</v>
      </c>
      <c r="H737" s="27">
        <f>Contributions_Data!D483</f>
        <v>12886.97</v>
      </c>
      <c r="I737" s="27">
        <v>0</v>
      </c>
    </row>
    <row r="738" spans="3:9">
      <c r="C738" s="23">
        <v>731</v>
      </c>
      <c r="D738" s="23" t="s">
        <v>132</v>
      </c>
      <c r="E738" s="23" t="str">
        <f>Contributions_Data!A1133</f>
        <v>DA-003</v>
      </c>
      <c r="F738" s="23" t="str">
        <f>Contributions_Data!B1133</f>
        <v>DA-003-M0095</v>
      </c>
      <c r="G738" s="24">
        <f>Contributions_Data!C1133</f>
        <v>45402</v>
      </c>
      <c r="H738" s="27">
        <f>Contributions_Data!D1133</f>
        <v>19629.73</v>
      </c>
      <c r="I738" s="27">
        <v>0</v>
      </c>
    </row>
    <row r="739" spans="3:9">
      <c r="C739" s="23">
        <v>732</v>
      </c>
      <c r="D739" s="23" t="s">
        <v>132</v>
      </c>
      <c r="E739" s="23" t="str">
        <f>Contributions_Data!A1151</f>
        <v>DA-001</v>
      </c>
      <c r="F739" s="23" t="str">
        <f>Contributions_Data!B1151</f>
        <v>DA-001-M0096</v>
      </c>
      <c r="G739" s="24">
        <f>Contributions_Data!C1151</f>
        <v>45402</v>
      </c>
      <c r="H739" s="27">
        <f>Contributions_Data!D1151</f>
        <v>14699.54</v>
      </c>
      <c r="I739" s="27">
        <v>0</v>
      </c>
    </row>
    <row r="740" spans="3:9">
      <c r="C740" s="23">
        <v>733</v>
      </c>
      <c r="D740" s="23" t="s">
        <v>134</v>
      </c>
      <c r="E740" s="23" t="str">
        <f>Withdrawals_Data!A64</f>
        <v>DA-003</v>
      </c>
      <c r="F740" s="23" t="str">
        <f>Withdrawals_Data!B64</f>
        <v>DA-003-M0007</v>
      </c>
      <c r="G740" s="24">
        <f>Withdrawals_Data!C64</f>
        <v>45402</v>
      </c>
      <c r="H740" s="27">
        <v>0</v>
      </c>
      <c r="I740" s="27">
        <f>-Withdrawals_Data!D64</f>
        <v>-11308.73</v>
      </c>
    </row>
    <row r="741" spans="3:9">
      <c r="C741" s="23">
        <v>734</v>
      </c>
      <c r="D741" s="23" t="s">
        <v>134</v>
      </c>
      <c r="E741" s="23" t="str">
        <f>Withdrawals_Data!A389</f>
        <v>DA-003</v>
      </c>
      <c r="F741" s="23" t="str">
        <f>Withdrawals_Data!B389</f>
        <v>DA-003-M0007</v>
      </c>
      <c r="G741" s="24">
        <f>Withdrawals_Data!C389</f>
        <v>45402</v>
      </c>
      <c r="H741" s="27">
        <v>0</v>
      </c>
      <c r="I741" s="27">
        <f>-Withdrawals_Data!D389</f>
        <v>-11335</v>
      </c>
    </row>
    <row r="742" spans="3:9">
      <c r="C742" s="23">
        <v>735</v>
      </c>
      <c r="D742" s="23" t="s">
        <v>132</v>
      </c>
      <c r="E742" s="23" t="str">
        <f>Contributions_Data!A39</f>
        <v>DA-001</v>
      </c>
      <c r="F742" s="23" t="str">
        <f>Contributions_Data!B39</f>
        <v>DA-001-M0004</v>
      </c>
      <c r="G742" s="24">
        <f>Contributions_Data!C39</f>
        <v>45403</v>
      </c>
      <c r="H742" s="27">
        <f>Contributions_Data!D39</f>
        <v>21571.37</v>
      </c>
      <c r="I742" s="27">
        <v>0</v>
      </c>
    </row>
    <row r="743" spans="3:9">
      <c r="C743" s="23">
        <v>736</v>
      </c>
      <c r="D743" s="23" t="s">
        <v>132</v>
      </c>
      <c r="E743" s="23" t="str">
        <f>Contributions_Data!A243</f>
        <v>DA-002</v>
      </c>
      <c r="F743" s="23" t="str">
        <f>Contributions_Data!B243</f>
        <v>DA-002-M0021</v>
      </c>
      <c r="G743" s="24">
        <f>Contributions_Data!C243</f>
        <v>45403</v>
      </c>
      <c r="H743" s="27">
        <f>Contributions_Data!D243</f>
        <v>18538.32</v>
      </c>
      <c r="I743" s="27">
        <v>0</v>
      </c>
    </row>
    <row r="744" spans="3:9">
      <c r="C744" s="23">
        <v>737</v>
      </c>
      <c r="D744" s="23" t="s">
        <v>132</v>
      </c>
      <c r="E744" s="23" t="str">
        <f>Contributions_Data!A457</f>
        <v>DA-001</v>
      </c>
      <c r="F744" s="23" t="str">
        <f>Contributions_Data!B457</f>
        <v>DA-001-M0038</v>
      </c>
      <c r="G744" s="24">
        <f>Contributions_Data!C457</f>
        <v>45403</v>
      </c>
      <c r="H744" s="27">
        <f>Contributions_Data!D457</f>
        <v>18274.52</v>
      </c>
      <c r="I744" s="27">
        <v>0</v>
      </c>
    </row>
    <row r="745" spans="3:9">
      <c r="C745" s="23">
        <v>738</v>
      </c>
      <c r="D745" s="23" t="s">
        <v>132</v>
      </c>
      <c r="E745" s="23" t="str">
        <f>Contributions_Data!A585</f>
        <v>DA-001</v>
      </c>
      <c r="F745" s="23" t="str">
        <f>Contributions_Data!B585</f>
        <v>DA-001-M0049</v>
      </c>
      <c r="G745" s="24">
        <f>Contributions_Data!C585</f>
        <v>45403</v>
      </c>
      <c r="H745" s="27">
        <f>Contributions_Data!D585</f>
        <v>14154.65</v>
      </c>
      <c r="I745" s="27">
        <v>0</v>
      </c>
    </row>
    <row r="746" spans="3:9">
      <c r="C746" s="23">
        <v>739</v>
      </c>
      <c r="D746" s="23" t="s">
        <v>132</v>
      </c>
      <c r="E746" s="23" t="str">
        <f>Contributions_Data!A907</f>
        <v>DA-003</v>
      </c>
      <c r="F746" s="23" t="str">
        <f>Contributions_Data!B907</f>
        <v>DA-003-M0076</v>
      </c>
      <c r="G746" s="24">
        <f>Contributions_Data!C907</f>
        <v>45403</v>
      </c>
      <c r="H746" s="27">
        <f>Contributions_Data!D907</f>
        <v>11328.18</v>
      </c>
      <c r="I746" s="27">
        <v>0</v>
      </c>
    </row>
    <row r="747" spans="3:9">
      <c r="C747" s="23">
        <v>740</v>
      </c>
      <c r="D747" s="23" t="s">
        <v>134</v>
      </c>
      <c r="E747" s="23" t="str">
        <f>Withdrawals_Data!A309</f>
        <v>DA-003</v>
      </c>
      <c r="F747" s="23" t="str">
        <f>Withdrawals_Data!B309</f>
        <v>DA-003-M0008</v>
      </c>
      <c r="G747" s="24">
        <f>Withdrawals_Data!C309</f>
        <v>45403</v>
      </c>
      <c r="H747" s="27">
        <v>0</v>
      </c>
      <c r="I747" s="27">
        <f>-Withdrawals_Data!D309</f>
        <v>-3017.04</v>
      </c>
    </row>
    <row r="748" spans="3:9">
      <c r="C748" s="23">
        <v>741</v>
      </c>
      <c r="D748" s="23" t="s">
        <v>134</v>
      </c>
      <c r="E748" s="23" t="str">
        <f>Withdrawals_Data!A616</f>
        <v>DA-001</v>
      </c>
      <c r="F748" s="23" t="str">
        <f>Withdrawals_Data!B616</f>
        <v>DA-001-M0034</v>
      </c>
      <c r="G748" s="24">
        <f>Withdrawals_Data!C616</f>
        <v>45403</v>
      </c>
      <c r="H748" s="27">
        <v>0</v>
      </c>
      <c r="I748" s="27">
        <f>-Withdrawals_Data!D616</f>
        <v>-8659</v>
      </c>
    </row>
    <row r="749" spans="3:9">
      <c r="C749" s="23">
        <v>742</v>
      </c>
      <c r="D749" s="23" t="s">
        <v>134</v>
      </c>
      <c r="E749" s="23" t="str">
        <f>Withdrawals_Data!A672</f>
        <v>DA-002</v>
      </c>
      <c r="F749" s="23" t="str">
        <f>Withdrawals_Data!B672</f>
        <v>DA-002-M0040</v>
      </c>
      <c r="G749" s="24">
        <f>Withdrawals_Data!C672</f>
        <v>45403</v>
      </c>
      <c r="H749" s="27">
        <v>0</v>
      </c>
      <c r="I749" s="27">
        <f>-Withdrawals_Data!D672</f>
        <v>-5358</v>
      </c>
    </row>
    <row r="750" spans="3:9">
      <c r="C750" s="23">
        <v>743</v>
      </c>
      <c r="D750" s="23" t="s">
        <v>134</v>
      </c>
      <c r="E750" s="23" t="str">
        <f>Withdrawals_Data!A878</f>
        <v>DA-002</v>
      </c>
      <c r="F750" s="23" t="str">
        <f>Withdrawals_Data!B878</f>
        <v>DA-002-M0063</v>
      </c>
      <c r="G750" s="24">
        <f>Withdrawals_Data!C878</f>
        <v>45403</v>
      </c>
      <c r="H750" s="27">
        <v>0</v>
      </c>
      <c r="I750" s="27">
        <f>-Withdrawals_Data!D878</f>
        <v>-10045</v>
      </c>
    </row>
    <row r="751" spans="3:9">
      <c r="C751" s="23">
        <v>744</v>
      </c>
      <c r="D751" s="23" t="s">
        <v>134</v>
      </c>
      <c r="E751" s="23" t="str">
        <f>Withdrawals_Data!A942</f>
        <v>DA-001</v>
      </c>
      <c r="F751" s="23" t="str">
        <f>Withdrawals_Data!B942</f>
        <v>DA-001-M0071</v>
      </c>
      <c r="G751" s="24">
        <f>Withdrawals_Data!C942</f>
        <v>45403</v>
      </c>
      <c r="H751" s="27">
        <v>0</v>
      </c>
      <c r="I751" s="27">
        <f>-Withdrawals_Data!D942</f>
        <v>-19656</v>
      </c>
    </row>
    <row r="752" spans="3:9">
      <c r="C752" s="23">
        <v>745</v>
      </c>
      <c r="D752" s="23" t="s">
        <v>132</v>
      </c>
      <c r="E752" s="23" t="str">
        <f>Contributions_Data!A435</f>
        <v>DA-002</v>
      </c>
      <c r="F752" s="23" t="str">
        <f>Contributions_Data!B435</f>
        <v>DA-002-M0037</v>
      </c>
      <c r="G752" s="24">
        <f>Contributions_Data!C435</f>
        <v>45404</v>
      </c>
      <c r="H752" s="27">
        <f>Contributions_Data!D435</f>
        <v>11130.12</v>
      </c>
      <c r="I752" s="27">
        <v>0</v>
      </c>
    </row>
    <row r="753" spans="3:9">
      <c r="C753" s="23">
        <v>746</v>
      </c>
      <c r="D753" s="23" t="s">
        <v>132</v>
      </c>
      <c r="E753" s="23" t="str">
        <f>Contributions_Data!A500</f>
        <v>DA-002</v>
      </c>
      <c r="F753" s="23" t="str">
        <f>Contributions_Data!B500</f>
        <v>DA-002-M0042</v>
      </c>
      <c r="G753" s="24">
        <f>Contributions_Data!C500</f>
        <v>45404</v>
      </c>
      <c r="H753" s="27">
        <f>Contributions_Data!D500</f>
        <v>10955.44</v>
      </c>
      <c r="I753" s="27">
        <v>0</v>
      </c>
    </row>
    <row r="754" spans="3:9">
      <c r="C754" s="23">
        <v>747</v>
      </c>
      <c r="D754" s="23" t="s">
        <v>132</v>
      </c>
      <c r="E754" s="23" t="str">
        <f>Contributions_Data!A774</f>
        <v>DA-001</v>
      </c>
      <c r="F754" s="23" t="str">
        <f>Contributions_Data!B774</f>
        <v>DA-001-M0065</v>
      </c>
      <c r="G754" s="24">
        <f>Contributions_Data!C774</f>
        <v>45404</v>
      </c>
      <c r="H754" s="27">
        <f>Contributions_Data!D774</f>
        <v>6454.37</v>
      </c>
      <c r="I754" s="27">
        <v>0</v>
      </c>
    </row>
    <row r="755" spans="3:9">
      <c r="C755" s="23">
        <v>748</v>
      </c>
      <c r="D755" s="23" t="s">
        <v>132</v>
      </c>
      <c r="E755" s="23" t="str">
        <f>Contributions_Data!A953</f>
        <v>DA-003</v>
      </c>
      <c r="F755" s="23" t="str">
        <f>Contributions_Data!B953</f>
        <v>DA-003-M0080</v>
      </c>
      <c r="G755" s="24">
        <f>Contributions_Data!C953</f>
        <v>45404</v>
      </c>
      <c r="H755" s="27">
        <f>Contributions_Data!D953</f>
        <v>17976.13</v>
      </c>
      <c r="I755" s="27">
        <v>0</v>
      </c>
    </row>
    <row r="756" spans="3:9">
      <c r="C756" s="23">
        <v>749</v>
      </c>
      <c r="D756" s="23" t="s">
        <v>134</v>
      </c>
      <c r="E756" s="23" t="str">
        <f>Withdrawals_Data!A246</f>
        <v>DA-002</v>
      </c>
      <c r="F756" s="23" t="str">
        <f>Withdrawals_Data!B246</f>
        <v>DA-002-M0021</v>
      </c>
      <c r="G756" s="24">
        <f>Withdrawals_Data!C246</f>
        <v>45404</v>
      </c>
      <c r="H756" s="27">
        <v>0</v>
      </c>
      <c r="I756" s="27">
        <f>-Withdrawals_Data!D246</f>
        <v>-5602.5</v>
      </c>
    </row>
    <row r="757" spans="3:9">
      <c r="C757" s="23">
        <v>750</v>
      </c>
      <c r="D757" s="23" t="s">
        <v>134</v>
      </c>
      <c r="E757" s="23" t="str">
        <f>Withdrawals_Data!A258</f>
        <v>DA-003</v>
      </c>
      <c r="F757" s="23" t="str">
        <f>Withdrawals_Data!B258</f>
        <v>DA-003-M0045</v>
      </c>
      <c r="G757" s="24">
        <f>Withdrawals_Data!C258</f>
        <v>45404</v>
      </c>
      <c r="H757" s="27">
        <v>0</v>
      </c>
      <c r="I757" s="27">
        <f>-Withdrawals_Data!D258</f>
        <v>-5187.29</v>
      </c>
    </row>
    <row r="758" spans="3:9">
      <c r="C758" s="23">
        <v>751</v>
      </c>
      <c r="D758" s="23" t="s">
        <v>134</v>
      </c>
      <c r="E758" s="23" t="str">
        <f>Withdrawals_Data!A798</f>
        <v>DA-002</v>
      </c>
      <c r="F758" s="23" t="str">
        <f>Withdrawals_Data!B798</f>
        <v>DA-002-M0054</v>
      </c>
      <c r="G758" s="24">
        <f>Withdrawals_Data!C798</f>
        <v>45404</v>
      </c>
      <c r="H758" s="27">
        <v>0</v>
      </c>
      <c r="I758" s="27">
        <f>-Withdrawals_Data!D798</f>
        <v>-15350</v>
      </c>
    </row>
    <row r="759" spans="3:9">
      <c r="C759" s="23">
        <v>752</v>
      </c>
      <c r="D759" s="23" t="s">
        <v>134</v>
      </c>
      <c r="E759" s="23" t="str">
        <f>Withdrawals_Data!A1032</f>
        <v>DA-003</v>
      </c>
      <c r="F759" s="23" t="str">
        <f>Withdrawals_Data!B1032</f>
        <v>DA-003-M0081</v>
      </c>
      <c r="G759" s="24">
        <f>Withdrawals_Data!C1032</f>
        <v>45404</v>
      </c>
      <c r="H759" s="27">
        <v>0</v>
      </c>
      <c r="I759" s="27">
        <f>-Withdrawals_Data!D1032</f>
        <v>-7553</v>
      </c>
    </row>
    <row r="760" spans="3:9">
      <c r="C760" s="23">
        <v>753</v>
      </c>
      <c r="D760" s="23" t="s">
        <v>134</v>
      </c>
      <c r="E760" s="23" t="str">
        <f>Withdrawals_Data!A1129</f>
        <v>DA-001</v>
      </c>
      <c r="F760" s="23" t="str">
        <f>Withdrawals_Data!B1129</f>
        <v>DA-001-M0092</v>
      </c>
      <c r="G760" s="24">
        <f>Withdrawals_Data!C1129</f>
        <v>45404</v>
      </c>
      <c r="H760" s="27">
        <v>0</v>
      </c>
      <c r="I760" s="27">
        <f>-Withdrawals_Data!D1129</f>
        <v>-13127</v>
      </c>
    </row>
    <row r="761" spans="3:9">
      <c r="C761" s="23">
        <v>754</v>
      </c>
      <c r="D761" s="23" t="s">
        <v>132</v>
      </c>
      <c r="E761" s="23" t="str">
        <f>Contributions_Data!A101</f>
        <v>DA-001</v>
      </c>
      <c r="F761" s="23" t="str">
        <f>Contributions_Data!B101</f>
        <v>DA-001-M0009</v>
      </c>
      <c r="G761" s="24">
        <f>Contributions_Data!C101</f>
        <v>45405</v>
      </c>
      <c r="H761" s="27">
        <f>Contributions_Data!D101</f>
        <v>26558.19</v>
      </c>
      <c r="I761" s="27">
        <v>0</v>
      </c>
    </row>
    <row r="762" spans="3:9">
      <c r="C762" s="23">
        <v>755</v>
      </c>
      <c r="D762" s="23" t="s">
        <v>132</v>
      </c>
      <c r="E762" s="23" t="str">
        <f>Contributions_Data!A429</f>
        <v>DA-003</v>
      </c>
      <c r="F762" s="23" t="str">
        <f>Contributions_Data!B429</f>
        <v>DA-003-M0036</v>
      </c>
      <c r="G762" s="24">
        <f>Contributions_Data!C429</f>
        <v>45405</v>
      </c>
      <c r="H762" s="27">
        <f>Contributions_Data!D429</f>
        <v>19588.650000000001</v>
      </c>
      <c r="I762" s="27">
        <v>0</v>
      </c>
    </row>
    <row r="763" spans="3:9">
      <c r="C763" s="23">
        <v>756</v>
      </c>
      <c r="D763" s="23" t="s">
        <v>132</v>
      </c>
      <c r="E763" s="23" t="str">
        <f>Contributions_Data!A505</f>
        <v>DA-002</v>
      </c>
      <c r="F763" s="23" t="str">
        <f>Contributions_Data!B505</f>
        <v>DA-002-M0042</v>
      </c>
      <c r="G763" s="24">
        <f>Contributions_Data!C505</f>
        <v>45405</v>
      </c>
      <c r="H763" s="27">
        <f>Contributions_Data!D505</f>
        <v>16042.75</v>
      </c>
      <c r="I763" s="27">
        <v>0</v>
      </c>
    </row>
    <row r="764" spans="3:9">
      <c r="C764" s="23">
        <v>757</v>
      </c>
      <c r="D764" s="23" t="s">
        <v>132</v>
      </c>
      <c r="E764" s="23" t="str">
        <f>Contributions_Data!A545</f>
        <v>DA-001</v>
      </c>
      <c r="F764" s="23" t="str">
        <f>Contributions_Data!B545</f>
        <v>DA-001-M0046</v>
      </c>
      <c r="G764" s="24">
        <f>Contributions_Data!C545</f>
        <v>45405</v>
      </c>
      <c r="H764" s="27">
        <f>Contributions_Data!D545</f>
        <v>10289.33</v>
      </c>
      <c r="I764" s="27">
        <v>0</v>
      </c>
    </row>
    <row r="765" spans="3:9">
      <c r="C765" s="23">
        <v>758</v>
      </c>
      <c r="D765" s="23" t="s">
        <v>132</v>
      </c>
      <c r="E765" s="23" t="str">
        <f>Contributions_Data!A804</f>
        <v>DA-002</v>
      </c>
      <c r="F765" s="23" t="str">
        <f>Contributions_Data!B804</f>
        <v>DA-002-M0067</v>
      </c>
      <c r="G765" s="24">
        <f>Contributions_Data!C804</f>
        <v>45405</v>
      </c>
      <c r="H765" s="27">
        <f>Contributions_Data!D804</f>
        <v>18324.55</v>
      </c>
      <c r="I765" s="27">
        <v>0</v>
      </c>
    </row>
    <row r="766" spans="3:9">
      <c r="C766" s="23">
        <v>759</v>
      </c>
      <c r="D766" s="23" t="s">
        <v>132</v>
      </c>
      <c r="E766" s="23" t="str">
        <f>Contributions_Data!A873</f>
        <v>DA-001</v>
      </c>
      <c r="F766" s="23" t="str">
        <f>Contributions_Data!B873</f>
        <v>DA-001-M0073</v>
      </c>
      <c r="G766" s="24">
        <f>Contributions_Data!C873</f>
        <v>45405</v>
      </c>
      <c r="H766" s="27">
        <f>Contributions_Data!D873</f>
        <v>16321.42</v>
      </c>
      <c r="I766" s="27">
        <v>0</v>
      </c>
    </row>
    <row r="767" spans="3:9">
      <c r="C767" s="23">
        <v>760</v>
      </c>
      <c r="D767" s="23" t="s">
        <v>132</v>
      </c>
      <c r="E767" s="23" t="str">
        <f>Contributions_Data!A927</f>
        <v>DA-002</v>
      </c>
      <c r="F767" s="23" t="str">
        <f>Contributions_Data!B927</f>
        <v>DA-002-M0078</v>
      </c>
      <c r="G767" s="24">
        <f>Contributions_Data!C927</f>
        <v>45405</v>
      </c>
      <c r="H767" s="27">
        <f>Contributions_Data!D927</f>
        <v>18708.28</v>
      </c>
      <c r="I767" s="27">
        <v>0</v>
      </c>
    </row>
    <row r="768" spans="3:9">
      <c r="C768" s="23">
        <v>761</v>
      </c>
      <c r="D768" s="23" t="s">
        <v>132</v>
      </c>
      <c r="E768" s="23" t="str">
        <f>Contributions_Data!A1017</f>
        <v>DA-002</v>
      </c>
      <c r="F768" s="23" t="str">
        <f>Contributions_Data!B1017</f>
        <v>DA-002-M0085</v>
      </c>
      <c r="G768" s="24">
        <f>Contributions_Data!C1017</f>
        <v>45405</v>
      </c>
      <c r="H768" s="27">
        <f>Contributions_Data!D1017</f>
        <v>12992.78</v>
      </c>
      <c r="I768" s="27">
        <v>0</v>
      </c>
    </row>
    <row r="769" spans="3:9">
      <c r="C769" s="23">
        <v>762</v>
      </c>
      <c r="D769" s="23" t="s">
        <v>134</v>
      </c>
      <c r="E769" s="23" t="str">
        <f>Withdrawals_Data!A24</f>
        <v>DA-002</v>
      </c>
      <c r="F769" s="23" t="str">
        <f>Withdrawals_Data!B24</f>
        <v>DA-002-M0097</v>
      </c>
      <c r="G769" s="24">
        <f>Withdrawals_Data!C24</f>
        <v>45405</v>
      </c>
      <c r="H769" s="27">
        <v>0</v>
      </c>
      <c r="I769" s="27">
        <f>-Withdrawals_Data!D24</f>
        <v>-13970.75</v>
      </c>
    </row>
    <row r="770" spans="3:9">
      <c r="C770" s="23">
        <v>763</v>
      </c>
      <c r="D770" s="23" t="s">
        <v>134</v>
      </c>
      <c r="E770" s="23" t="str">
        <f>Withdrawals_Data!A948</f>
        <v>DA-001</v>
      </c>
      <c r="F770" s="23" t="str">
        <f>Withdrawals_Data!B948</f>
        <v>DA-001-M0071</v>
      </c>
      <c r="G770" s="24">
        <f>Withdrawals_Data!C948</f>
        <v>45405</v>
      </c>
      <c r="H770" s="27">
        <v>0</v>
      </c>
      <c r="I770" s="27">
        <f>-Withdrawals_Data!D948</f>
        <v>-15745</v>
      </c>
    </row>
    <row r="771" spans="3:9">
      <c r="C771" s="23">
        <v>764</v>
      </c>
      <c r="D771" s="23" t="s">
        <v>132</v>
      </c>
      <c r="E771" s="23" t="str">
        <f>Contributions_Data!A218</f>
        <v>DA-001</v>
      </c>
      <c r="F771" s="23" t="str">
        <f>Contributions_Data!B218</f>
        <v>DA-001-M0019</v>
      </c>
      <c r="G771" s="24">
        <f>Contributions_Data!C218</f>
        <v>45406</v>
      </c>
      <c r="H771" s="27">
        <f>Contributions_Data!D218</f>
        <v>17070.43</v>
      </c>
      <c r="I771" s="27">
        <v>0</v>
      </c>
    </row>
    <row r="772" spans="3:9">
      <c r="C772" s="23">
        <v>765</v>
      </c>
      <c r="D772" s="23" t="s">
        <v>132</v>
      </c>
      <c r="E772" s="23" t="str">
        <f>Contributions_Data!A292</f>
        <v>DA-001</v>
      </c>
      <c r="F772" s="23" t="str">
        <f>Contributions_Data!B292</f>
        <v>DA-001-M0025</v>
      </c>
      <c r="G772" s="24">
        <f>Contributions_Data!C292</f>
        <v>45406</v>
      </c>
      <c r="H772" s="27">
        <f>Contributions_Data!D292</f>
        <v>14678.91</v>
      </c>
      <c r="I772" s="27">
        <v>0</v>
      </c>
    </row>
    <row r="773" spans="3:9">
      <c r="C773" s="23">
        <v>766</v>
      </c>
      <c r="D773" s="23" t="s">
        <v>132</v>
      </c>
      <c r="E773" s="23" t="str">
        <f>Contributions_Data!A470</f>
        <v>DA-002</v>
      </c>
      <c r="F773" s="23" t="str">
        <f>Contributions_Data!B470</f>
        <v>DA-002-M0040</v>
      </c>
      <c r="G773" s="24">
        <f>Contributions_Data!C470</f>
        <v>45406</v>
      </c>
      <c r="H773" s="27">
        <f>Contributions_Data!D470</f>
        <v>17139</v>
      </c>
      <c r="I773" s="27">
        <v>0</v>
      </c>
    </row>
    <row r="774" spans="3:9">
      <c r="C774" s="23">
        <v>767</v>
      </c>
      <c r="D774" s="23" t="s">
        <v>132</v>
      </c>
      <c r="E774" s="23" t="str">
        <f>Contributions_Data!A608</f>
        <v>DA-002</v>
      </c>
      <c r="F774" s="23" t="str">
        <f>Contributions_Data!B608</f>
        <v>DA-002-M0051</v>
      </c>
      <c r="G774" s="24">
        <f>Contributions_Data!C608</f>
        <v>45406</v>
      </c>
      <c r="H774" s="27">
        <f>Contributions_Data!D608</f>
        <v>12502.93</v>
      </c>
      <c r="I774" s="27">
        <v>0</v>
      </c>
    </row>
    <row r="775" spans="3:9">
      <c r="C775" s="23">
        <v>768</v>
      </c>
      <c r="D775" s="23" t="s">
        <v>132</v>
      </c>
      <c r="E775" s="23" t="str">
        <f>Contributions_Data!A618</f>
        <v>DA-003</v>
      </c>
      <c r="F775" s="23" t="str">
        <f>Contributions_Data!B618</f>
        <v>DA-003-M0052</v>
      </c>
      <c r="G775" s="24">
        <f>Contributions_Data!C618</f>
        <v>45406</v>
      </c>
      <c r="H775" s="27">
        <f>Contributions_Data!D618</f>
        <v>21030.61</v>
      </c>
      <c r="I775" s="27">
        <v>0</v>
      </c>
    </row>
    <row r="776" spans="3:9">
      <c r="C776" s="23">
        <v>769</v>
      </c>
      <c r="D776" s="23" t="s">
        <v>132</v>
      </c>
      <c r="E776" s="23" t="str">
        <f>Contributions_Data!A812</f>
        <v>DA-003</v>
      </c>
      <c r="F776" s="23" t="str">
        <f>Contributions_Data!B812</f>
        <v>DA-003-M0068</v>
      </c>
      <c r="G776" s="24">
        <f>Contributions_Data!C812</f>
        <v>45406</v>
      </c>
      <c r="H776" s="27">
        <f>Contributions_Data!D812</f>
        <v>22210.25</v>
      </c>
      <c r="I776" s="27">
        <v>0</v>
      </c>
    </row>
    <row r="777" spans="3:9">
      <c r="C777" s="23">
        <v>770</v>
      </c>
      <c r="D777" s="23" t="s">
        <v>134</v>
      </c>
      <c r="E777" s="23" t="str">
        <f>Withdrawals_Data!A61</f>
        <v>DA-001</v>
      </c>
      <c r="F777" s="23" t="str">
        <f>Withdrawals_Data!B61</f>
        <v>DA-001-M0011</v>
      </c>
      <c r="G777" s="24">
        <f>Withdrawals_Data!C61</f>
        <v>45406</v>
      </c>
      <c r="H777" s="27">
        <v>0</v>
      </c>
      <c r="I777" s="27">
        <f>-Withdrawals_Data!D61</f>
        <v>-11463.02</v>
      </c>
    </row>
    <row r="778" spans="3:9">
      <c r="C778" s="23">
        <v>771</v>
      </c>
      <c r="D778" s="23" t="s">
        <v>134</v>
      </c>
      <c r="E778" s="23" t="str">
        <f>Withdrawals_Data!A396</f>
        <v>DA-003</v>
      </c>
      <c r="F778" s="23" t="str">
        <f>Withdrawals_Data!B396</f>
        <v>DA-003-M0008</v>
      </c>
      <c r="G778" s="24">
        <f>Withdrawals_Data!C396</f>
        <v>45406</v>
      </c>
      <c r="H778" s="27">
        <v>0</v>
      </c>
      <c r="I778" s="27">
        <f>-Withdrawals_Data!D396</f>
        <v>-19480</v>
      </c>
    </row>
    <row r="779" spans="3:9">
      <c r="C779" s="23">
        <v>772</v>
      </c>
      <c r="D779" s="23" t="s">
        <v>134</v>
      </c>
      <c r="E779" s="23" t="str">
        <f>Withdrawals_Data!A485</f>
        <v>DA-001</v>
      </c>
      <c r="F779" s="23" t="str">
        <f>Withdrawals_Data!B485</f>
        <v>DA-001-M0019</v>
      </c>
      <c r="G779" s="24">
        <f>Withdrawals_Data!C485</f>
        <v>45406</v>
      </c>
      <c r="H779" s="27">
        <v>0</v>
      </c>
      <c r="I779" s="27">
        <f>-Withdrawals_Data!D485</f>
        <v>-11583</v>
      </c>
    </row>
    <row r="780" spans="3:9">
      <c r="C780" s="23">
        <v>773</v>
      </c>
      <c r="D780" s="23" t="s">
        <v>134</v>
      </c>
      <c r="E780" s="23" t="str">
        <f>Withdrawals_Data!A664</f>
        <v>DA-002</v>
      </c>
      <c r="F780" s="23" t="str">
        <f>Withdrawals_Data!B664</f>
        <v>DA-002-M0039</v>
      </c>
      <c r="G780" s="24">
        <f>Withdrawals_Data!C664</f>
        <v>45406</v>
      </c>
      <c r="H780" s="27">
        <v>0</v>
      </c>
      <c r="I780" s="27">
        <f>-Withdrawals_Data!D664</f>
        <v>-18025</v>
      </c>
    </row>
    <row r="781" spans="3:9">
      <c r="C781" s="23">
        <v>774</v>
      </c>
      <c r="D781" s="23" t="s">
        <v>134</v>
      </c>
      <c r="E781" s="23" t="str">
        <f>Withdrawals_Data!A864</f>
        <v>DA-003</v>
      </c>
      <c r="F781" s="23" t="str">
        <f>Withdrawals_Data!B864</f>
        <v>DA-003-M0061</v>
      </c>
      <c r="G781" s="24">
        <f>Withdrawals_Data!C864</f>
        <v>45406</v>
      </c>
      <c r="H781" s="27">
        <v>0</v>
      </c>
      <c r="I781" s="27">
        <f>-Withdrawals_Data!D864</f>
        <v>-11540</v>
      </c>
    </row>
    <row r="782" spans="3:9">
      <c r="C782" s="23">
        <v>775</v>
      </c>
      <c r="D782" s="23" t="s">
        <v>134</v>
      </c>
      <c r="E782" s="23" t="str">
        <f>Withdrawals_Data!A875</f>
        <v>DA-002</v>
      </c>
      <c r="F782" s="23" t="str">
        <f>Withdrawals_Data!B875</f>
        <v>DA-002-M0062</v>
      </c>
      <c r="G782" s="24">
        <f>Withdrawals_Data!C875</f>
        <v>45406</v>
      </c>
      <c r="H782" s="27">
        <v>0</v>
      </c>
      <c r="I782" s="27">
        <f>-Withdrawals_Data!D875</f>
        <v>-3291</v>
      </c>
    </row>
    <row r="783" spans="3:9">
      <c r="C783" s="23">
        <v>776</v>
      </c>
      <c r="D783" s="23" t="s">
        <v>134</v>
      </c>
      <c r="E783" s="23" t="str">
        <f>Withdrawals_Data!A893</f>
        <v>DA-002</v>
      </c>
      <c r="F783" s="23" t="str">
        <f>Withdrawals_Data!B893</f>
        <v>DA-002-M0064</v>
      </c>
      <c r="G783" s="24">
        <f>Withdrawals_Data!C893</f>
        <v>45406</v>
      </c>
      <c r="H783" s="27">
        <v>0</v>
      </c>
      <c r="I783" s="27">
        <f>-Withdrawals_Data!D893</f>
        <v>-6657</v>
      </c>
    </row>
    <row r="784" spans="3:9">
      <c r="C784" s="23">
        <v>777</v>
      </c>
      <c r="D784" s="23" t="s">
        <v>134</v>
      </c>
      <c r="E784" s="23" t="str">
        <f>Withdrawals_Data!A949</f>
        <v>DA-001</v>
      </c>
      <c r="F784" s="23" t="str">
        <f>Withdrawals_Data!B949</f>
        <v>DA-001-M0071</v>
      </c>
      <c r="G784" s="24">
        <f>Withdrawals_Data!C949</f>
        <v>45406</v>
      </c>
      <c r="H784" s="27">
        <v>0</v>
      </c>
      <c r="I784" s="27">
        <f>-Withdrawals_Data!D949</f>
        <v>-2790</v>
      </c>
    </row>
    <row r="785" spans="3:9">
      <c r="C785" s="23">
        <v>778</v>
      </c>
      <c r="D785" s="23" t="s">
        <v>134</v>
      </c>
      <c r="E785" s="23" t="str">
        <f>Withdrawals_Data!A952</f>
        <v>DA-002</v>
      </c>
      <c r="F785" s="23" t="str">
        <f>Withdrawals_Data!B952</f>
        <v>DA-002-M0072</v>
      </c>
      <c r="G785" s="24">
        <f>Withdrawals_Data!C952</f>
        <v>45406</v>
      </c>
      <c r="H785" s="27">
        <v>0</v>
      </c>
      <c r="I785" s="27">
        <f>-Withdrawals_Data!D952</f>
        <v>-2835</v>
      </c>
    </row>
    <row r="786" spans="3:9">
      <c r="C786" s="23">
        <v>779</v>
      </c>
      <c r="D786" s="23" t="s">
        <v>132</v>
      </c>
      <c r="E786" s="23" t="str">
        <f>Contributions_Data!A50</f>
        <v>DA-003</v>
      </c>
      <c r="F786" s="23" t="str">
        <f>Contributions_Data!B50</f>
        <v>DA-003-M0005</v>
      </c>
      <c r="G786" s="24">
        <f>Contributions_Data!C50</f>
        <v>45407</v>
      </c>
      <c r="H786" s="27">
        <f>Contributions_Data!D50</f>
        <v>11307.41</v>
      </c>
      <c r="I786" s="27">
        <v>0</v>
      </c>
    </row>
    <row r="787" spans="3:9">
      <c r="C787" s="23">
        <v>780</v>
      </c>
      <c r="D787" s="23" t="s">
        <v>132</v>
      </c>
      <c r="E787" s="23" t="str">
        <f>Contributions_Data!A150</f>
        <v>DA-003</v>
      </c>
      <c r="F787" s="23" t="str">
        <f>Contributions_Data!B150</f>
        <v>DA-003-M0013</v>
      </c>
      <c r="G787" s="24">
        <f>Contributions_Data!C150</f>
        <v>45407</v>
      </c>
      <c r="H787" s="27">
        <f>Contributions_Data!D150</f>
        <v>15597.18</v>
      </c>
      <c r="I787" s="27">
        <v>0</v>
      </c>
    </row>
    <row r="788" spans="3:9">
      <c r="C788" s="23">
        <v>781</v>
      </c>
      <c r="D788" s="23" t="s">
        <v>132</v>
      </c>
      <c r="E788" s="23" t="str">
        <f>Contributions_Data!A402</f>
        <v>DA-001</v>
      </c>
      <c r="F788" s="23" t="str">
        <f>Contributions_Data!B402</f>
        <v>DA-001-M0034</v>
      </c>
      <c r="G788" s="24">
        <f>Contributions_Data!C402</f>
        <v>45407</v>
      </c>
      <c r="H788" s="27">
        <f>Contributions_Data!D402</f>
        <v>14190.38</v>
      </c>
      <c r="I788" s="27">
        <v>0</v>
      </c>
    </row>
    <row r="789" spans="3:9">
      <c r="C789" s="23">
        <v>782</v>
      </c>
      <c r="D789" s="23" t="s">
        <v>132</v>
      </c>
      <c r="E789" s="23" t="str">
        <f>Contributions_Data!A510</f>
        <v>DA-001</v>
      </c>
      <c r="F789" s="23" t="str">
        <f>Contributions_Data!B510</f>
        <v>DA-001-M0043</v>
      </c>
      <c r="G789" s="24">
        <f>Contributions_Data!C510</f>
        <v>45407</v>
      </c>
      <c r="H789" s="27">
        <f>Contributions_Data!D510</f>
        <v>18087.47</v>
      </c>
      <c r="I789" s="27">
        <v>0</v>
      </c>
    </row>
    <row r="790" spans="3:9">
      <c r="C790" s="23">
        <v>783</v>
      </c>
      <c r="D790" s="23" t="s">
        <v>132</v>
      </c>
      <c r="E790" s="23" t="str">
        <f>Contributions_Data!A603</f>
        <v>DA-002</v>
      </c>
      <c r="F790" s="23" t="str">
        <f>Contributions_Data!B603</f>
        <v>DA-002-M0051</v>
      </c>
      <c r="G790" s="24">
        <f>Contributions_Data!C603</f>
        <v>45407</v>
      </c>
      <c r="H790" s="27">
        <f>Contributions_Data!D603</f>
        <v>13407.01</v>
      </c>
      <c r="I790" s="27">
        <v>0</v>
      </c>
    </row>
    <row r="791" spans="3:9">
      <c r="C791" s="23">
        <v>784</v>
      </c>
      <c r="D791" s="23" t="s">
        <v>132</v>
      </c>
      <c r="E791" s="23" t="str">
        <f>Contributions_Data!A860</f>
        <v>DA-002</v>
      </c>
      <c r="F791" s="23" t="str">
        <f>Contributions_Data!B860</f>
        <v>DA-002-M0072</v>
      </c>
      <c r="G791" s="24">
        <f>Contributions_Data!C860</f>
        <v>45407</v>
      </c>
      <c r="H791" s="27">
        <f>Contributions_Data!D860</f>
        <v>14704.98</v>
      </c>
      <c r="I791" s="27">
        <v>0</v>
      </c>
    </row>
    <row r="792" spans="3:9">
      <c r="C792" s="23">
        <v>785</v>
      </c>
      <c r="D792" s="23" t="s">
        <v>132</v>
      </c>
      <c r="E792" s="23" t="str">
        <f>Contributions_Data!A861</f>
        <v>DA-002</v>
      </c>
      <c r="F792" s="23" t="str">
        <f>Contributions_Data!B861</f>
        <v>DA-002-M0072</v>
      </c>
      <c r="G792" s="24">
        <f>Contributions_Data!C861</f>
        <v>45407</v>
      </c>
      <c r="H792" s="27">
        <f>Contributions_Data!D861</f>
        <v>12034.23</v>
      </c>
      <c r="I792" s="27">
        <v>0</v>
      </c>
    </row>
    <row r="793" spans="3:9">
      <c r="C793" s="23">
        <v>786</v>
      </c>
      <c r="D793" s="23" t="s">
        <v>132</v>
      </c>
      <c r="E793" s="23" t="str">
        <f>Contributions_Data!A909</f>
        <v>DA-003</v>
      </c>
      <c r="F793" s="23" t="str">
        <f>Contributions_Data!B909</f>
        <v>DA-003-M0076</v>
      </c>
      <c r="G793" s="24">
        <f>Contributions_Data!C909</f>
        <v>45407</v>
      </c>
      <c r="H793" s="27">
        <f>Contributions_Data!D909</f>
        <v>12690.08</v>
      </c>
      <c r="I793" s="27">
        <v>0</v>
      </c>
    </row>
    <row r="794" spans="3:9">
      <c r="C794" s="23">
        <v>787</v>
      </c>
      <c r="D794" s="23" t="s">
        <v>132</v>
      </c>
      <c r="E794" s="23" t="str">
        <f>Contributions_Data!A1045</f>
        <v>DA-001</v>
      </c>
      <c r="F794" s="23" t="str">
        <f>Contributions_Data!B1045</f>
        <v>DA-001-M0087</v>
      </c>
      <c r="G794" s="24">
        <f>Contributions_Data!C1045</f>
        <v>45407</v>
      </c>
      <c r="H794" s="27">
        <f>Contributions_Data!D1045</f>
        <v>14247.5</v>
      </c>
      <c r="I794" s="27">
        <v>0</v>
      </c>
    </row>
    <row r="795" spans="3:9">
      <c r="C795" s="23">
        <v>788</v>
      </c>
      <c r="D795" s="23" t="s">
        <v>134</v>
      </c>
      <c r="E795" s="23" t="str">
        <f>Withdrawals_Data!A272</f>
        <v>DA-003</v>
      </c>
      <c r="F795" s="23" t="str">
        <f>Withdrawals_Data!B272</f>
        <v>DA-003-M0007</v>
      </c>
      <c r="G795" s="24">
        <f>Withdrawals_Data!C272</f>
        <v>45407</v>
      </c>
      <c r="H795" s="27">
        <v>0</v>
      </c>
      <c r="I795" s="27">
        <f>-Withdrawals_Data!D272</f>
        <v>-4612.83</v>
      </c>
    </row>
    <row r="796" spans="3:9">
      <c r="C796" s="23">
        <v>789</v>
      </c>
      <c r="D796" s="23" t="s">
        <v>134</v>
      </c>
      <c r="E796" s="23" t="str">
        <f>Withdrawals_Data!A585</f>
        <v>DA-003</v>
      </c>
      <c r="F796" s="23" t="str">
        <f>Withdrawals_Data!B585</f>
        <v>DA-003-M0031</v>
      </c>
      <c r="G796" s="24">
        <f>Withdrawals_Data!C585</f>
        <v>45407</v>
      </c>
      <c r="H796" s="27">
        <v>0</v>
      </c>
      <c r="I796" s="27">
        <f>-Withdrawals_Data!D585</f>
        <v>-2999</v>
      </c>
    </row>
    <row r="797" spans="3:9">
      <c r="C797" s="23">
        <v>790</v>
      </c>
      <c r="D797" s="23" t="s">
        <v>134</v>
      </c>
      <c r="E797" s="23" t="str">
        <f>Withdrawals_Data!A678</f>
        <v>DA-002</v>
      </c>
      <c r="F797" s="23" t="str">
        <f>Withdrawals_Data!B678</f>
        <v>DA-002-M0041</v>
      </c>
      <c r="G797" s="24">
        <f>Withdrawals_Data!C678</f>
        <v>45407</v>
      </c>
      <c r="H797" s="27">
        <v>0</v>
      </c>
      <c r="I797" s="27">
        <f>-Withdrawals_Data!D678</f>
        <v>-15327</v>
      </c>
    </row>
    <row r="798" spans="3:9">
      <c r="C798" s="23">
        <v>791</v>
      </c>
      <c r="D798" s="23" t="s">
        <v>134</v>
      </c>
      <c r="E798" s="23" t="str">
        <f>Withdrawals_Data!A944</f>
        <v>DA-001</v>
      </c>
      <c r="F798" s="23" t="str">
        <f>Withdrawals_Data!B944</f>
        <v>DA-001-M0071</v>
      </c>
      <c r="G798" s="24">
        <f>Withdrawals_Data!C944</f>
        <v>45407</v>
      </c>
      <c r="H798" s="27">
        <v>0</v>
      </c>
      <c r="I798" s="27">
        <f>-Withdrawals_Data!D944</f>
        <v>-10622</v>
      </c>
    </row>
    <row r="799" spans="3:9">
      <c r="C799" s="23">
        <v>792</v>
      </c>
      <c r="D799" s="23" t="s">
        <v>134</v>
      </c>
      <c r="E799" s="23" t="str">
        <f>Withdrawals_Data!A1055</f>
        <v>DA-001</v>
      </c>
      <c r="F799" s="23" t="str">
        <f>Withdrawals_Data!B1055</f>
        <v>DA-001-M0083</v>
      </c>
      <c r="G799" s="24">
        <f>Withdrawals_Data!C1055</f>
        <v>45407</v>
      </c>
      <c r="H799" s="27">
        <v>0</v>
      </c>
      <c r="I799" s="27">
        <f>-Withdrawals_Data!D1055</f>
        <v>-16653</v>
      </c>
    </row>
    <row r="800" spans="3:9">
      <c r="C800" s="23">
        <v>793</v>
      </c>
      <c r="D800" s="23" t="s">
        <v>132</v>
      </c>
      <c r="E800" s="23" t="str">
        <f>Contributions_Data!A118</f>
        <v>DA-001</v>
      </c>
      <c r="F800" s="23" t="str">
        <f>Contributions_Data!B118</f>
        <v>DA-001-M0010</v>
      </c>
      <c r="G800" s="24">
        <f>Contributions_Data!C118</f>
        <v>45408</v>
      </c>
      <c r="H800" s="27">
        <f>Contributions_Data!D118</f>
        <v>15136.72</v>
      </c>
      <c r="I800" s="27">
        <v>0</v>
      </c>
    </row>
    <row r="801" spans="3:9">
      <c r="C801" s="23">
        <v>794</v>
      </c>
      <c r="D801" s="23" t="s">
        <v>134</v>
      </c>
      <c r="E801" s="23" t="str">
        <f>Withdrawals_Data!A203</f>
        <v>DA-003</v>
      </c>
      <c r="F801" s="23" t="str">
        <f>Withdrawals_Data!B203</f>
        <v>DA-003-M0013</v>
      </c>
      <c r="G801" s="24">
        <f>Withdrawals_Data!C203</f>
        <v>45408</v>
      </c>
      <c r="H801" s="27">
        <v>0</v>
      </c>
      <c r="I801" s="27">
        <f>-Withdrawals_Data!D203</f>
        <v>-7392.86</v>
      </c>
    </row>
    <row r="802" spans="3:9">
      <c r="C802" s="23">
        <v>795</v>
      </c>
      <c r="D802" s="23" t="s">
        <v>134</v>
      </c>
      <c r="E802" s="23" t="str">
        <f>Withdrawals_Data!A905</f>
        <v>DA-003</v>
      </c>
      <c r="F802" s="23" t="str">
        <f>Withdrawals_Data!B905</f>
        <v>DA-003-M0066</v>
      </c>
      <c r="G802" s="24">
        <f>Withdrawals_Data!C905</f>
        <v>45408</v>
      </c>
      <c r="H802" s="27">
        <v>0</v>
      </c>
      <c r="I802" s="27">
        <f>-Withdrawals_Data!D905</f>
        <v>-12580</v>
      </c>
    </row>
    <row r="803" spans="3:9">
      <c r="C803" s="23">
        <v>796</v>
      </c>
      <c r="D803" s="23" t="s">
        <v>134</v>
      </c>
      <c r="E803" s="23" t="str">
        <f>Withdrawals_Data!A1088</f>
        <v>DA-001</v>
      </c>
      <c r="F803" s="23" t="str">
        <f>Withdrawals_Data!B1088</f>
        <v>DA-001-M0087</v>
      </c>
      <c r="G803" s="24">
        <f>Withdrawals_Data!C1088</f>
        <v>45408</v>
      </c>
      <c r="H803" s="27">
        <v>0</v>
      </c>
      <c r="I803" s="27">
        <f>-Withdrawals_Data!D1088</f>
        <v>-18832</v>
      </c>
    </row>
    <row r="804" spans="3:9">
      <c r="C804" s="23">
        <v>797</v>
      </c>
      <c r="D804" s="23" t="s">
        <v>132</v>
      </c>
      <c r="E804" s="23" t="str">
        <f>Contributions_Data!A230</f>
        <v>DA-002</v>
      </c>
      <c r="F804" s="23" t="str">
        <f>Contributions_Data!B230</f>
        <v>DA-002-M0020</v>
      </c>
      <c r="G804" s="24">
        <f>Contributions_Data!C230</f>
        <v>45409</v>
      </c>
      <c r="H804" s="27">
        <f>Contributions_Data!D230</f>
        <v>12575.11</v>
      </c>
      <c r="I804" s="27">
        <v>0</v>
      </c>
    </row>
    <row r="805" spans="3:9">
      <c r="C805" s="23">
        <v>798</v>
      </c>
      <c r="D805" s="23" t="s">
        <v>132</v>
      </c>
      <c r="E805" s="23" t="str">
        <f>Contributions_Data!A562</f>
        <v>DA-003</v>
      </c>
      <c r="F805" s="23" t="str">
        <f>Contributions_Data!B562</f>
        <v>DA-003-M0047</v>
      </c>
      <c r="G805" s="24">
        <f>Contributions_Data!C562</f>
        <v>45409</v>
      </c>
      <c r="H805" s="27">
        <f>Contributions_Data!D562</f>
        <v>17044.5</v>
      </c>
      <c r="I805" s="27">
        <v>0</v>
      </c>
    </row>
    <row r="806" spans="3:9">
      <c r="C806" s="23">
        <v>799</v>
      </c>
      <c r="D806" s="23" t="s">
        <v>132</v>
      </c>
      <c r="E806" s="23" t="str">
        <f>Contributions_Data!A802</f>
        <v>DA-002</v>
      </c>
      <c r="F806" s="23" t="str">
        <f>Contributions_Data!B802</f>
        <v>DA-002-M0067</v>
      </c>
      <c r="G806" s="24">
        <f>Contributions_Data!C802</f>
        <v>45409</v>
      </c>
      <c r="H806" s="27">
        <f>Contributions_Data!D802</f>
        <v>21265.119999999999</v>
      </c>
      <c r="I806" s="27">
        <v>0</v>
      </c>
    </row>
    <row r="807" spans="3:9">
      <c r="C807" s="23">
        <v>800</v>
      </c>
      <c r="D807" s="23" t="s">
        <v>132</v>
      </c>
      <c r="E807" s="23" t="str">
        <f>Contributions_Data!A857</f>
        <v>DA-002</v>
      </c>
      <c r="F807" s="23" t="str">
        <f>Contributions_Data!B857</f>
        <v>DA-002-M0072</v>
      </c>
      <c r="G807" s="24">
        <f>Contributions_Data!C857</f>
        <v>45409</v>
      </c>
      <c r="H807" s="27">
        <f>Contributions_Data!D857</f>
        <v>14812.22</v>
      </c>
      <c r="I807" s="27">
        <v>0</v>
      </c>
    </row>
    <row r="808" spans="3:9">
      <c r="C808" s="23">
        <v>801</v>
      </c>
      <c r="D808" s="23" t="s">
        <v>132</v>
      </c>
      <c r="E808" s="23" t="str">
        <f>Contributions_Data!A1013</f>
        <v>DA-002</v>
      </c>
      <c r="F808" s="23" t="str">
        <f>Contributions_Data!B1013</f>
        <v>DA-002-M0085</v>
      </c>
      <c r="G808" s="24">
        <f>Contributions_Data!C1013</f>
        <v>45409</v>
      </c>
      <c r="H808" s="27">
        <f>Contributions_Data!D1013</f>
        <v>20135.13</v>
      </c>
      <c r="I808" s="27">
        <v>0</v>
      </c>
    </row>
    <row r="809" spans="3:9">
      <c r="C809" s="23">
        <v>802</v>
      </c>
      <c r="D809" s="23" t="s">
        <v>134</v>
      </c>
      <c r="E809" s="23" t="str">
        <f>Withdrawals_Data!A267</f>
        <v>DA-001</v>
      </c>
      <c r="F809" s="23" t="str">
        <f>Withdrawals_Data!B267</f>
        <v>DA-001-M0025</v>
      </c>
      <c r="G809" s="24">
        <f>Withdrawals_Data!C267</f>
        <v>45409</v>
      </c>
      <c r="H809" s="27">
        <v>0</v>
      </c>
      <c r="I809" s="27">
        <f>-Withdrawals_Data!D267</f>
        <v>-4828.51</v>
      </c>
    </row>
    <row r="810" spans="3:9">
      <c r="C810" s="23">
        <v>803</v>
      </c>
      <c r="D810" s="23" t="s">
        <v>134</v>
      </c>
      <c r="E810" s="23" t="str">
        <f>Withdrawals_Data!A718</f>
        <v>DA-003</v>
      </c>
      <c r="F810" s="23" t="str">
        <f>Withdrawals_Data!B718</f>
        <v>DA-003-M0045</v>
      </c>
      <c r="G810" s="24">
        <f>Withdrawals_Data!C718</f>
        <v>45409</v>
      </c>
      <c r="H810" s="27">
        <v>0</v>
      </c>
      <c r="I810" s="27">
        <f>-Withdrawals_Data!D718</f>
        <v>-11097</v>
      </c>
    </row>
    <row r="811" spans="3:9">
      <c r="C811" s="23">
        <v>804</v>
      </c>
      <c r="D811" s="23" t="s">
        <v>134</v>
      </c>
      <c r="E811" s="23" t="str">
        <f>Withdrawals_Data!A795</f>
        <v>DA-002</v>
      </c>
      <c r="F811" s="23" t="str">
        <f>Withdrawals_Data!B795</f>
        <v>DA-002-M0054</v>
      </c>
      <c r="G811" s="24">
        <f>Withdrawals_Data!C795</f>
        <v>45409</v>
      </c>
      <c r="H811" s="27">
        <v>0</v>
      </c>
      <c r="I811" s="27">
        <f>-Withdrawals_Data!D795</f>
        <v>-8865</v>
      </c>
    </row>
    <row r="812" spans="3:9">
      <c r="C812" s="23">
        <v>805</v>
      </c>
      <c r="D812" s="23" t="s">
        <v>132</v>
      </c>
      <c r="E812" s="23" t="str">
        <f>Contributions_Data!A329</f>
        <v>DA-003</v>
      </c>
      <c r="F812" s="23" t="str">
        <f>Contributions_Data!B329</f>
        <v>DA-003-M0028</v>
      </c>
      <c r="G812" s="24">
        <f>Contributions_Data!C329</f>
        <v>45410</v>
      </c>
      <c r="H812" s="27">
        <f>Contributions_Data!D329</f>
        <v>13048.07</v>
      </c>
      <c r="I812" s="27">
        <v>0</v>
      </c>
    </row>
    <row r="813" spans="3:9">
      <c r="C813" s="23">
        <v>806</v>
      </c>
      <c r="D813" s="23" t="s">
        <v>132</v>
      </c>
      <c r="E813" s="23" t="str">
        <f>Contributions_Data!A615</f>
        <v>DA-003</v>
      </c>
      <c r="F813" s="23" t="str">
        <f>Contributions_Data!B615</f>
        <v>DA-003-M0052</v>
      </c>
      <c r="G813" s="24">
        <f>Contributions_Data!C615</f>
        <v>45410</v>
      </c>
      <c r="H813" s="27">
        <f>Contributions_Data!D615</f>
        <v>13161.63</v>
      </c>
      <c r="I813" s="27">
        <v>0</v>
      </c>
    </row>
    <row r="814" spans="3:9">
      <c r="C814" s="23">
        <v>807</v>
      </c>
      <c r="D814" s="23" t="s">
        <v>132</v>
      </c>
      <c r="E814" s="23" t="str">
        <f>Contributions_Data!A1115</f>
        <v>DA-001</v>
      </c>
      <c r="F814" s="23" t="str">
        <f>Contributions_Data!B1115</f>
        <v>DA-001-M0093</v>
      </c>
      <c r="G814" s="24">
        <f>Contributions_Data!C1115</f>
        <v>45410</v>
      </c>
      <c r="H814" s="27">
        <f>Contributions_Data!D1115</f>
        <v>12545.4</v>
      </c>
      <c r="I814" s="27">
        <v>0</v>
      </c>
    </row>
    <row r="815" spans="3:9">
      <c r="C815" s="23">
        <v>808</v>
      </c>
      <c r="D815" s="23" t="s">
        <v>132</v>
      </c>
      <c r="E815" s="23" t="str">
        <f>Contributions_Data!A62</f>
        <v>DA-003</v>
      </c>
      <c r="F815" s="23" t="str">
        <f>Contributions_Data!B62</f>
        <v>DA-003-M0006</v>
      </c>
      <c r="G815" s="24">
        <f>Contributions_Data!C62</f>
        <v>45411</v>
      </c>
      <c r="H815" s="27">
        <f>Contributions_Data!D62</f>
        <v>16421.5</v>
      </c>
      <c r="I815" s="27">
        <v>0</v>
      </c>
    </row>
    <row r="816" spans="3:9">
      <c r="C816" s="23">
        <v>809</v>
      </c>
      <c r="D816" s="23" t="s">
        <v>132</v>
      </c>
      <c r="E816" s="23" t="str">
        <f>Contributions_Data!A558</f>
        <v>DA-003</v>
      </c>
      <c r="F816" s="23" t="str">
        <f>Contributions_Data!B558</f>
        <v>DA-003-M0047</v>
      </c>
      <c r="G816" s="24">
        <f>Contributions_Data!C558</f>
        <v>45411</v>
      </c>
      <c r="H816" s="27">
        <f>Contributions_Data!D558</f>
        <v>15623.06</v>
      </c>
      <c r="I816" s="27">
        <v>0</v>
      </c>
    </row>
    <row r="817" spans="3:9">
      <c r="C817" s="23">
        <v>810</v>
      </c>
      <c r="D817" s="23" t="s">
        <v>132</v>
      </c>
      <c r="E817" s="23" t="str">
        <f>Contributions_Data!A965</f>
        <v>DA-003</v>
      </c>
      <c r="F817" s="23" t="str">
        <f>Contributions_Data!B965</f>
        <v>DA-003-M0081</v>
      </c>
      <c r="G817" s="24">
        <f>Contributions_Data!C965</f>
        <v>45411</v>
      </c>
      <c r="H817" s="27">
        <f>Contributions_Data!D965</f>
        <v>16673.43</v>
      </c>
      <c r="I817" s="27">
        <v>0</v>
      </c>
    </row>
    <row r="818" spans="3:9">
      <c r="C818" s="23">
        <v>811</v>
      </c>
      <c r="D818" s="23" t="s">
        <v>134</v>
      </c>
      <c r="E818" s="23" t="str">
        <f>Withdrawals_Data!A160</f>
        <v>DA-001</v>
      </c>
      <c r="F818" s="23" t="str">
        <f>Withdrawals_Data!B160</f>
        <v>DA-001-M0019</v>
      </c>
      <c r="G818" s="24">
        <f>Withdrawals_Data!C160</f>
        <v>45411</v>
      </c>
      <c r="H818" s="27">
        <v>0</v>
      </c>
      <c r="I818" s="27">
        <f>-Withdrawals_Data!D160</f>
        <v>-8390.7000000000007</v>
      </c>
    </row>
    <row r="819" spans="3:9">
      <c r="C819" s="23">
        <v>812</v>
      </c>
      <c r="D819" s="23" t="s">
        <v>134</v>
      </c>
      <c r="E819" s="23" t="str">
        <f>Withdrawals_Data!A165</f>
        <v>DA-003</v>
      </c>
      <c r="F819" s="23" t="str">
        <f>Withdrawals_Data!B165</f>
        <v>DA-003-M0099</v>
      </c>
      <c r="G819" s="24">
        <f>Withdrawals_Data!C165</f>
        <v>45411</v>
      </c>
      <c r="H819" s="27">
        <v>0</v>
      </c>
      <c r="I819" s="27">
        <f>-Withdrawals_Data!D165</f>
        <v>-8344.58</v>
      </c>
    </row>
    <row r="820" spans="3:9">
      <c r="C820" s="23">
        <v>813</v>
      </c>
      <c r="D820" s="23" t="s">
        <v>134</v>
      </c>
      <c r="E820" s="23" t="str">
        <f>Withdrawals_Data!A448</f>
        <v>DA-003</v>
      </c>
      <c r="F820" s="23" t="str">
        <f>Withdrawals_Data!B448</f>
        <v>DA-003-M0015</v>
      </c>
      <c r="G820" s="24">
        <f>Withdrawals_Data!C448</f>
        <v>45411</v>
      </c>
      <c r="H820" s="27">
        <v>0</v>
      </c>
      <c r="I820" s="27">
        <f>-Withdrawals_Data!D448</f>
        <v>-10959</v>
      </c>
    </row>
    <row r="821" spans="3:9">
      <c r="C821" s="23">
        <v>814</v>
      </c>
      <c r="D821" s="23" t="s">
        <v>134</v>
      </c>
      <c r="E821" s="23" t="str">
        <f>Withdrawals_Data!A612</f>
        <v>DA-002</v>
      </c>
      <c r="F821" s="23" t="str">
        <f>Withdrawals_Data!B612</f>
        <v>DA-002-M0033</v>
      </c>
      <c r="G821" s="24">
        <f>Withdrawals_Data!C612</f>
        <v>45411</v>
      </c>
      <c r="H821" s="27">
        <v>0</v>
      </c>
      <c r="I821" s="27">
        <f>-Withdrawals_Data!D612</f>
        <v>-3070</v>
      </c>
    </row>
    <row r="822" spans="3:9">
      <c r="C822" s="23">
        <v>815</v>
      </c>
      <c r="D822" s="23" t="s">
        <v>134</v>
      </c>
      <c r="E822" s="23" t="str">
        <f>Withdrawals_Data!A636</f>
        <v>DA-003</v>
      </c>
      <c r="F822" s="23" t="str">
        <f>Withdrawals_Data!B636</f>
        <v>DA-003-M0036</v>
      </c>
      <c r="G822" s="24">
        <f>Withdrawals_Data!C636</f>
        <v>45411</v>
      </c>
      <c r="H822" s="27">
        <v>0</v>
      </c>
      <c r="I822" s="27">
        <f>-Withdrawals_Data!D636</f>
        <v>-16009</v>
      </c>
    </row>
    <row r="823" spans="3:9">
      <c r="C823" s="23">
        <v>816</v>
      </c>
      <c r="D823" s="23" t="s">
        <v>134</v>
      </c>
      <c r="E823" s="23" t="str">
        <f>Withdrawals_Data!A1043</f>
        <v>DA-003</v>
      </c>
      <c r="F823" s="23" t="str">
        <f>Withdrawals_Data!B1043</f>
        <v>DA-003-M0082</v>
      </c>
      <c r="G823" s="24">
        <f>Withdrawals_Data!C1043</f>
        <v>45411</v>
      </c>
      <c r="H823" s="27">
        <v>0</v>
      </c>
      <c r="I823" s="27">
        <f>-Withdrawals_Data!D1043</f>
        <v>-21250</v>
      </c>
    </row>
    <row r="824" spans="3:9">
      <c r="C824" s="23">
        <v>817</v>
      </c>
      <c r="D824" s="23" t="s">
        <v>134</v>
      </c>
      <c r="E824" s="23" t="str">
        <f>Withdrawals_Data!A1054</f>
        <v>DA-001</v>
      </c>
      <c r="F824" s="23" t="str">
        <f>Withdrawals_Data!B1054</f>
        <v>DA-001-M0083</v>
      </c>
      <c r="G824" s="24">
        <f>Withdrawals_Data!C1054</f>
        <v>45411</v>
      </c>
      <c r="H824" s="27">
        <v>0</v>
      </c>
      <c r="I824" s="27">
        <f>-Withdrawals_Data!D1054</f>
        <v>-3305</v>
      </c>
    </row>
    <row r="825" spans="3:9">
      <c r="C825" s="23">
        <v>818</v>
      </c>
      <c r="D825" s="23" t="s">
        <v>132</v>
      </c>
      <c r="E825" s="23" t="str">
        <f>Contributions_Data!A526</f>
        <v>DA-002</v>
      </c>
      <c r="F825" s="23" t="str">
        <f>Contributions_Data!B526</f>
        <v>DA-002-M0044</v>
      </c>
      <c r="G825" s="24">
        <f>Contributions_Data!C526</f>
        <v>45412</v>
      </c>
      <c r="H825" s="27">
        <f>Contributions_Data!D526</f>
        <v>12151.8</v>
      </c>
      <c r="I825" s="27">
        <v>0</v>
      </c>
    </row>
    <row r="826" spans="3:9">
      <c r="C826" s="23">
        <v>819</v>
      </c>
      <c r="D826" s="23" t="s">
        <v>132</v>
      </c>
      <c r="E826" s="23" t="str">
        <f>Contributions_Data!A665</f>
        <v>DA-001</v>
      </c>
      <c r="F826" s="23" t="str">
        <f>Contributions_Data!B665</f>
        <v>DA-001-M0056</v>
      </c>
      <c r="G826" s="24">
        <f>Contributions_Data!C665</f>
        <v>45412</v>
      </c>
      <c r="H826" s="27">
        <f>Contributions_Data!D665</f>
        <v>13334.4</v>
      </c>
      <c r="I826" s="27">
        <v>0</v>
      </c>
    </row>
    <row r="827" spans="3:9">
      <c r="C827" s="23">
        <v>820</v>
      </c>
      <c r="D827" s="23" t="s">
        <v>134</v>
      </c>
      <c r="E827" s="23" t="str">
        <f>Withdrawals_Data!A145</f>
        <v>DA-001</v>
      </c>
      <c r="F827" s="23" t="str">
        <f>Withdrawals_Data!B145</f>
        <v>DA-001-M0093</v>
      </c>
      <c r="G827" s="24">
        <f>Withdrawals_Data!C145</f>
        <v>45412</v>
      </c>
      <c r="H827" s="27">
        <v>0</v>
      </c>
      <c r="I827" s="27">
        <f>-Withdrawals_Data!D145</f>
        <v>-8738.2099999999991</v>
      </c>
    </row>
    <row r="828" spans="3:9">
      <c r="C828" s="23">
        <v>821</v>
      </c>
      <c r="D828" s="23" t="s">
        <v>134</v>
      </c>
      <c r="E828" s="23" t="str">
        <f>Withdrawals_Data!A554</f>
        <v>DA-002</v>
      </c>
      <c r="F828" s="23" t="str">
        <f>Withdrawals_Data!B554</f>
        <v>DA-002-M0027</v>
      </c>
      <c r="G828" s="24">
        <f>Withdrawals_Data!C554</f>
        <v>45412</v>
      </c>
      <c r="H828" s="27">
        <v>0</v>
      </c>
      <c r="I828" s="27">
        <f>-Withdrawals_Data!D554</f>
        <v>-10411</v>
      </c>
    </row>
    <row r="829" spans="3:9">
      <c r="C829" s="23">
        <v>822</v>
      </c>
      <c r="D829" s="23" t="s">
        <v>134</v>
      </c>
      <c r="E829" s="23" t="str">
        <f>Withdrawals_Data!A662</f>
        <v>DA-002</v>
      </c>
      <c r="F829" s="23" t="str">
        <f>Withdrawals_Data!B662</f>
        <v>DA-002-M0039</v>
      </c>
      <c r="G829" s="24">
        <f>Withdrawals_Data!C662</f>
        <v>45412</v>
      </c>
      <c r="H829" s="27">
        <v>0</v>
      </c>
      <c r="I829" s="27">
        <f>-Withdrawals_Data!D662</f>
        <v>-5359</v>
      </c>
    </row>
    <row r="830" spans="3:9">
      <c r="C830" s="23">
        <v>823</v>
      </c>
      <c r="D830" s="23" t="s">
        <v>132</v>
      </c>
      <c r="E830" s="23" t="str">
        <f>Contributions_Data!A241</f>
        <v>DA-002</v>
      </c>
      <c r="F830" s="23" t="str">
        <f>Contributions_Data!B241</f>
        <v>DA-002-M0020</v>
      </c>
      <c r="G830" s="24">
        <f>Contributions_Data!C241</f>
        <v>45413</v>
      </c>
      <c r="H830" s="27">
        <f>Contributions_Data!D241</f>
        <v>11039.3</v>
      </c>
      <c r="I830" s="27">
        <v>0</v>
      </c>
    </row>
    <row r="831" spans="3:9">
      <c r="C831" s="23">
        <v>824</v>
      </c>
      <c r="D831" s="23" t="s">
        <v>132</v>
      </c>
      <c r="E831" s="23" t="str">
        <f>Contributions_Data!A462</f>
        <v>DA-002</v>
      </c>
      <c r="F831" s="23" t="str">
        <f>Contributions_Data!B462</f>
        <v>DA-002-M0039</v>
      </c>
      <c r="G831" s="24">
        <f>Contributions_Data!C462</f>
        <v>45413</v>
      </c>
      <c r="H831" s="27">
        <f>Contributions_Data!D462</f>
        <v>12666.55</v>
      </c>
      <c r="I831" s="27">
        <v>0</v>
      </c>
    </row>
    <row r="832" spans="3:9">
      <c r="C832" s="23">
        <v>825</v>
      </c>
      <c r="D832" s="23" t="s">
        <v>134</v>
      </c>
      <c r="E832" s="23" t="str">
        <f>Withdrawals_Data!A470</f>
        <v>DA-002</v>
      </c>
      <c r="F832" s="23" t="str">
        <f>Withdrawals_Data!B470</f>
        <v>DA-002-M0017</v>
      </c>
      <c r="G832" s="24">
        <f>Withdrawals_Data!C470</f>
        <v>45413</v>
      </c>
      <c r="H832" s="27">
        <v>0</v>
      </c>
      <c r="I832" s="27">
        <f>-Withdrawals_Data!D470</f>
        <v>-6114</v>
      </c>
    </row>
    <row r="833" spans="3:9">
      <c r="C833" s="23">
        <v>826</v>
      </c>
      <c r="D833" s="23" t="s">
        <v>134</v>
      </c>
      <c r="E833" s="23" t="str">
        <f>Withdrawals_Data!A545</f>
        <v>DA-002</v>
      </c>
      <c r="F833" s="23" t="str">
        <f>Withdrawals_Data!B545</f>
        <v>DA-002-M0026</v>
      </c>
      <c r="G833" s="24">
        <f>Withdrawals_Data!C545</f>
        <v>45413</v>
      </c>
      <c r="H833" s="27">
        <v>0</v>
      </c>
      <c r="I833" s="27">
        <f>-Withdrawals_Data!D545</f>
        <v>-5553</v>
      </c>
    </row>
    <row r="834" spans="3:9">
      <c r="C834" s="23">
        <v>827</v>
      </c>
      <c r="D834" s="23" t="s">
        <v>134</v>
      </c>
      <c r="E834" s="23" t="str">
        <f>Withdrawals_Data!A681</f>
        <v>DA-002</v>
      </c>
      <c r="F834" s="23" t="str">
        <f>Withdrawals_Data!B681</f>
        <v>DA-002-M0041</v>
      </c>
      <c r="G834" s="24">
        <f>Withdrawals_Data!C681</f>
        <v>45413</v>
      </c>
      <c r="H834" s="27">
        <v>0</v>
      </c>
      <c r="I834" s="27">
        <f>-Withdrawals_Data!D681</f>
        <v>-16636</v>
      </c>
    </row>
    <row r="835" spans="3:9">
      <c r="C835" s="23">
        <v>828</v>
      </c>
      <c r="D835" s="23" t="s">
        <v>134</v>
      </c>
      <c r="E835" s="23" t="str">
        <f>Withdrawals_Data!A761</f>
        <v>DA-002</v>
      </c>
      <c r="F835" s="23" t="str">
        <f>Withdrawals_Data!B761</f>
        <v>DA-002-M0050</v>
      </c>
      <c r="G835" s="24">
        <f>Withdrawals_Data!C761</f>
        <v>45413</v>
      </c>
      <c r="H835" s="27">
        <v>0</v>
      </c>
      <c r="I835" s="27">
        <f>-Withdrawals_Data!D761</f>
        <v>-17413</v>
      </c>
    </row>
    <row r="836" spans="3:9">
      <c r="C836" s="23">
        <v>829</v>
      </c>
      <c r="D836" s="23" t="s">
        <v>134</v>
      </c>
      <c r="E836" s="23" t="str">
        <f>Withdrawals_Data!A800</f>
        <v>DA-002</v>
      </c>
      <c r="F836" s="23" t="str">
        <f>Withdrawals_Data!B800</f>
        <v>DA-002-M0054</v>
      </c>
      <c r="G836" s="24">
        <f>Withdrawals_Data!C800</f>
        <v>45413</v>
      </c>
      <c r="H836" s="27">
        <v>0</v>
      </c>
      <c r="I836" s="27">
        <f>-Withdrawals_Data!D800</f>
        <v>-7499</v>
      </c>
    </row>
    <row r="837" spans="3:9">
      <c r="C837" s="23">
        <v>830</v>
      </c>
      <c r="D837" s="23" t="s">
        <v>132</v>
      </c>
      <c r="E837" s="23" t="str">
        <f>Contributions_Data!A25</f>
        <v>DA-001</v>
      </c>
      <c r="F837" s="23" t="str">
        <f>Contributions_Data!B25</f>
        <v>DA-001-M0002</v>
      </c>
      <c r="G837" s="24">
        <f>Contributions_Data!C25</f>
        <v>45414</v>
      </c>
      <c r="H837" s="27">
        <f>Contributions_Data!D25</f>
        <v>14516.14</v>
      </c>
      <c r="I837" s="27">
        <v>0</v>
      </c>
    </row>
    <row r="838" spans="3:9">
      <c r="C838" s="23">
        <v>831</v>
      </c>
      <c r="D838" s="23" t="s">
        <v>132</v>
      </c>
      <c r="E838" s="23" t="str">
        <f>Contributions_Data!A238</f>
        <v>DA-002</v>
      </c>
      <c r="F838" s="23" t="str">
        <f>Contributions_Data!B238</f>
        <v>DA-002-M0020</v>
      </c>
      <c r="G838" s="24">
        <f>Contributions_Data!C238</f>
        <v>45414</v>
      </c>
      <c r="H838" s="27">
        <f>Contributions_Data!D238</f>
        <v>17851.27</v>
      </c>
      <c r="I838" s="27">
        <v>0</v>
      </c>
    </row>
    <row r="839" spans="3:9">
      <c r="C839" s="23">
        <v>832</v>
      </c>
      <c r="D839" s="23" t="s">
        <v>132</v>
      </c>
      <c r="E839" s="23" t="str">
        <f>Contributions_Data!A354</f>
        <v>DA-002</v>
      </c>
      <c r="F839" s="23" t="str">
        <f>Contributions_Data!B354</f>
        <v>DA-002-M0030</v>
      </c>
      <c r="G839" s="24">
        <f>Contributions_Data!C354</f>
        <v>45414</v>
      </c>
      <c r="H839" s="27">
        <f>Contributions_Data!D354</f>
        <v>18018.88</v>
      </c>
      <c r="I839" s="27">
        <v>0</v>
      </c>
    </row>
    <row r="840" spans="3:9">
      <c r="C840" s="23">
        <v>833</v>
      </c>
      <c r="D840" s="23" t="s">
        <v>132</v>
      </c>
      <c r="E840" s="23" t="str">
        <f>Contributions_Data!A954</f>
        <v>DA-003</v>
      </c>
      <c r="F840" s="23" t="str">
        <f>Contributions_Data!B954</f>
        <v>DA-003-M0080</v>
      </c>
      <c r="G840" s="24">
        <f>Contributions_Data!C954</f>
        <v>45414</v>
      </c>
      <c r="H840" s="27">
        <f>Contributions_Data!D954</f>
        <v>14475.12</v>
      </c>
      <c r="I840" s="27">
        <v>0</v>
      </c>
    </row>
    <row r="841" spans="3:9">
      <c r="C841" s="23">
        <v>834</v>
      </c>
      <c r="D841" s="23" t="s">
        <v>132</v>
      </c>
      <c r="E841" s="23" t="str">
        <f>Contributions_Data!A1049</f>
        <v>DA-002</v>
      </c>
      <c r="F841" s="23" t="str">
        <f>Contributions_Data!B1049</f>
        <v>DA-002-M0088</v>
      </c>
      <c r="G841" s="24">
        <f>Contributions_Data!C1049</f>
        <v>45415</v>
      </c>
      <c r="H841" s="27">
        <f>Contributions_Data!D1049</f>
        <v>17783.52</v>
      </c>
      <c r="I841" s="27">
        <v>0</v>
      </c>
    </row>
    <row r="842" spans="3:9">
      <c r="C842" s="23">
        <v>835</v>
      </c>
      <c r="D842" s="23" t="s">
        <v>134</v>
      </c>
      <c r="E842" s="23" t="str">
        <f>Withdrawals_Data!A245</f>
        <v>DA-003</v>
      </c>
      <c r="F842" s="23" t="str">
        <f>Withdrawals_Data!B245</f>
        <v>DA-003-M0028</v>
      </c>
      <c r="G842" s="24">
        <f>Withdrawals_Data!C245</f>
        <v>45415</v>
      </c>
      <c r="H842" s="27">
        <v>0</v>
      </c>
      <c r="I842" s="27">
        <f>-Withdrawals_Data!D245</f>
        <v>-5630.42</v>
      </c>
    </row>
    <row r="843" spans="3:9">
      <c r="C843" s="23">
        <v>836</v>
      </c>
      <c r="D843" s="23" t="s">
        <v>134</v>
      </c>
      <c r="E843" s="23" t="str">
        <f>Withdrawals_Data!A452</f>
        <v>DA-003</v>
      </c>
      <c r="F843" s="23" t="str">
        <f>Withdrawals_Data!B452</f>
        <v>DA-003-M0015</v>
      </c>
      <c r="G843" s="24">
        <f>Withdrawals_Data!C452</f>
        <v>45415</v>
      </c>
      <c r="H843" s="27">
        <v>0</v>
      </c>
      <c r="I843" s="27">
        <f>-Withdrawals_Data!D452</f>
        <v>-15370</v>
      </c>
    </row>
    <row r="844" spans="3:9">
      <c r="C844" s="23">
        <v>837</v>
      </c>
      <c r="D844" s="23" t="s">
        <v>134</v>
      </c>
      <c r="E844" s="23" t="str">
        <f>Withdrawals_Data!A484</f>
        <v>DA-001</v>
      </c>
      <c r="F844" s="23" t="str">
        <f>Withdrawals_Data!B484</f>
        <v>DA-001-M0019</v>
      </c>
      <c r="G844" s="24">
        <f>Withdrawals_Data!C484</f>
        <v>45415</v>
      </c>
      <c r="H844" s="27">
        <v>0</v>
      </c>
      <c r="I844" s="27">
        <f>-Withdrawals_Data!D484</f>
        <v>-11258</v>
      </c>
    </row>
    <row r="845" spans="3:9">
      <c r="C845" s="23">
        <v>838</v>
      </c>
      <c r="D845" s="23" t="s">
        <v>134</v>
      </c>
      <c r="E845" s="23" t="str">
        <f>Withdrawals_Data!A1057</f>
        <v>DA-003</v>
      </c>
      <c r="F845" s="23" t="str">
        <f>Withdrawals_Data!B1057</f>
        <v>DA-003-M0084</v>
      </c>
      <c r="G845" s="24">
        <f>Withdrawals_Data!C1057</f>
        <v>45415</v>
      </c>
      <c r="H845" s="27">
        <v>0</v>
      </c>
      <c r="I845" s="27">
        <f>-Withdrawals_Data!D1057</f>
        <v>-4771</v>
      </c>
    </row>
    <row r="846" spans="3:9">
      <c r="C846" s="23">
        <v>839</v>
      </c>
      <c r="D846" s="23" t="s">
        <v>132</v>
      </c>
      <c r="E846" s="23" t="str">
        <f>Contributions_Data!A698</f>
        <v>DA-003</v>
      </c>
      <c r="F846" s="23" t="str">
        <f>Contributions_Data!B698</f>
        <v>DA-003-M0059</v>
      </c>
      <c r="G846" s="24">
        <f>Contributions_Data!C698</f>
        <v>45416</v>
      </c>
      <c r="H846" s="27">
        <f>Contributions_Data!D698</f>
        <v>14879.53</v>
      </c>
      <c r="I846" s="27">
        <v>0</v>
      </c>
    </row>
    <row r="847" spans="3:9">
      <c r="C847" s="23">
        <v>840</v>
      </c>
      <c r="D847" s="23" t="s">
        <v>132</v>
      </c>
      <c r="E847" s="23" t="str">
        <f>Contributions_Data!A778</f>
        <v>DA-001</v>
      </c>
      <c r="F847" s="23" t="str">
        <f>Contributions_Data!B778</f>
        <v>DA-001-M0065</v>
      </c>
      <c r="G847" s="24">
        <f>Contributions_Data!C778</f>
        <v>45416</v>
      </c>
      <c r="H847" s="27">
        <f>Contributions_Data!D778</f>
        <v>18482.48</v>
      </c>
      <c r="I847" s="27">
        <v>0</v>
      </c>
    </row>
    <row r="848" spans="3:9">
      <c r="C848" s="23">
        <v>841</v>
      </c>
      <c r="D848" s="23" t="s">
        <v>132</v>
      </c>
      <c r="E848" s="23" t="str">
        <f>Contributions_Data!A1059</f>
        <v>DA-002</v>
      </c>
      <c r="F848" s="23" t="str">
        <f>Contributions_Data!B1059</f>
        <v>DA-002-M0089</v>
      </c>
      <c r="G848" s="24">
        <f>Contributions_Data!C1059</f>
        <v>45416</v>
      </c>
      <c r="H848" s="27">
        <f>Contributions_Data!D1059</f>
        <v>11690.37</v>
      </c>
      <c r="I848" s="27">
        <v>0</v>
      </c>
    </row>
    <row r="849" spans="3:9">
      <c r="C849" s="23">
        <v>842</v>
      </c>
      <c r="D849" s="23" t="s">
        <v>134</v>
      </c>
      <c r="E849" s="23" t="str">
        <f>Withdrawals_Data!A174</f>
        <v>DA-001</v>
      </c>
      <c r="F849" s="23" t="str">
        <f>Withdrawals_Data!B174</f>
        <v>DA-001-M0074</v>
      </c>
      <c r="G849" s="24">
        <f>Withdrawals_Data!C174</f>
        <v>45416</v>
      </c>
      <c r="H849" s="27">
        <v>0</v>
      </c>
      <c r="I849" s="27">
        <f>-Withdrawals_Data!D174</f>
        <v>-8162.37</v>
      </c>
    </row>
    <row r="850" spans="3:9">
      <c r="C850" s="23">
        <v>843</v>
      </c>
      <c r="D850" s="23" t="s">
        <v>134</v>
      </c>
      <c r="E850" s="23" t="str">
        <f>Withdrawals_Data!A704</f>
        <v>DA-002</v>
      </c>
      <c r="F850" s="23" t="str">
        <f>Withdrawals_Data!B704</f>
        <v>DA-002-M0044</v>
      </c>
      <c r="G850" s="24">
        <f>Withdrawals_Data!C704</f>
        <v>45416</v>
      </c>
      <c r="H850" s="27">
        <v>0</v>
      </c>
      <c r="I850" s="27">
        <f>-Withdrawals_Data!D704</f>
        <v>-1816</v>
      </c>
    </row>
    <row r="851" spans="3:9">
      <c r="C851" s="23">
        <v>844</v>
      </c>
      <c r="D851" s="23" t="s">
        <v>132</v>
      </c>
      <c r="E851" s="23" t="str">
        <f>Contributions_Data!A364</f>
        <v>DA-003</v>
      </c>
      <c r="F851" s="23" t="str">
        <f>Contributions_Data!B364</f>
        <v>DA-003-M0031</v>
      </c>
      <c r="G851" s="24">
        <f>Contributions_Data!C364</f>
        <v>45417</v>
      </c>
      <c r="H851" s="27">
        <f>Contributions_Data!D364</f>
        <v>14532.97</v>
      </c>
      <c r="I851" s="27">
        <v>0</v>
      </c>
    </row>
    <row r="852" spans="3:9">
      <c r="C852" s="23">
        <v>845</v>
      </c>
      <c r="D852" s="23" t="s">
        <v>132</v>
      </c>
      <c r="E852" s="23" t="str">
        <f>Contributions_Data!A1172</f>
        <v>DA-001</v>
      </c>
      <c r="F852" s="23" t="str">
        <f>Contributions_Data!B1172</f>
        <v>DA-001-M0098</v>
      </c>
      <c r="G852" s="24">
        <f>Contributions_Data!C1172</f>
        <v>45417</v>
      </c>
      <c r="H852" s="27">
        <f>Contributions_Data!D1172</f>
        <v>18494.22</v>
      </c>
      <c r="I852" s="27">
        <v>0</v>
      </c>
    </row>
    <row r="853" spans="3:9">
      <c r="C853" s="23">
        <v>846</v>
      </c>
      <c r="D853" s="23" t="s">
        <v>134</v>
      </c>
      <c r="E853" s="23" t="str">
        <f>Withdrawals_Data!A44</f>
        <v>DA-001</v>
      </c>
      <c r="F853" s="23" t="str">
        <f>Withdrawals_Data!B44</f>
        <v>DA-001-M0065</v>
      </c>
      <c r="G853" s="24">
        <f>Withdrawals_Data!C44</f>
        <v>45417</v>
      </c>
      <c r="H853" s="27">
        <v>0</v>
      </c>
      <c r="I853" s="27">
        <f>-Withdrawals_Data!D44</f>
        <v>-12595.06</v>
      </c>
    </row>
    <row r="854" spans="3:9">
      <c r="C854" s="23">
        <v>847</v>
      </c>
      <c r="D854" s="23" t="s">
        <v>134</v>
      </c>
      <c r="E854" s="23" t="str">
        <f>Withdrawals_Data!A121</f>
        <v>DA-001</v>
      </c>
      <c r="F854" s="23" t="str">
        <f>Withdrawals_Data!B121</f>
        <v>DA-001-M0075</v>
      </c>
      <c r="G854" s="24">
        <f>Withdrawals_Data!C121</f>
        <v>45417</v>
      </c>
      <c r="H854" s="27">
        <v>0</v>
      </c>
      <c r="I854" s="27">
        <f>-Withdrawals_Data!D121</f>
        <v>-9239.2800000000007</v>
      </c>
    </row>
    <row r="855" spans="3:9">
      <c r="C855" s="23">
        <v>848</v>
      </c>
      <c r="D855" s="23" t="s">
        <v>134</v>
      </c>
      <c r="E855" s="23" t="str">
        <f>Withdrawals_Data!A242</f>
        <v>DA-001</v>
      </c>
      <c r="F855" s="23" t="str">
        <f>Withdrawals_Data!B242</f>
        <v>DA-001-M0075</v>
      </c>
      <c r="G855" s="24">
        <f>Withdrawals_Data!C242</f>
        <v>45417</v>
      </c>
      <c r="H855" s="27">
        <v>0</v>
      </c>
      <c r="I855" s="27">
        <f>-Withdrawals_Data!D242</f>
        <v>-5770.03</v>
      </c>
    </row>
    <row r="856" spans="3:9">
      <c r="C856" s="23">
        <v>849</v>
      </c>
      <c r="D856" s="23" t="s">
        <v>134</v>
      </c>
      <c r="E856" s="23" t="str">
        <f>Withdrawals_Data!A355</f>
        <v>DA-001</v>
      </c>
      <c r="F856" s="23" t="str">
        <f>Withdrawals_Data!B355</f>
        <v>DA-001-M0002</v>
      </c>
      <c r="G856" s="24">
        <f>Withdrawals_Data!C355</f>
        <v>45417</v>
      </c>
      <c r="H856" s="27">
        <v>0</v>
      </c>
      <c r="I856" s="27">
        <f>-Withdrawals_Data!D355</f>
        <v>-8283</v>
      </c>
    </row>
    <row r="857" spans="3:9">
      <c r="C857" s="23">
        <v>850</v>
      </c>
      <c r="D857" s="23" t="s">
        <v>134</v>
      </c>
      <c r="E857" s="23" t="str">
        <f>Withdrawals_Data!A869</f>
        <v>DA-002</v>
      </c>
      <c r="F857" s="23" t="str">
        <f>Withdrawals_Data!B869</f>
        <v>DA-002-M0062</v>
      </c>
      <c r="G857" s="24">
        <f>Withdrawals_Data!C869</f>
        <v>45417</v>
      </c>
      <c r="H857" s="27">
        <v>0</v>
      </c>
      <c r="I857" s="27">
        <f>-Withdrawals_Data!D869</f>
        <v>-16757</v>
      </c>
    </row>
    <row r="858" spans="3:9">
      <c r="C858" s="23">
        <v>851</v>
      </c>
      <c r="D858" s="23" t="s">
        <v>132</v>
      </c>
      <c r="E858" s="23" t="str">
        <f>Contributions_Data!A268</f>
        <v>DA-002</v>
      </c>
      <c r="F858" s="23" t="str">
        <f>Contributions_Data!B268</f>
        <v>DA-002-M0023</v>
      </c>
      <c r="G858" s="24">
        <f>Contributions_Data!C268</f>
        <v>45418</v>
      </c>
      <c r="H858" s="27">
        <f>Contributions_Data!D268</f>
        <v>17058.150000000001</v>
      </c>
      <c r="I858" s="27">
        <v>0</v>
      </c>
    </row>
    <row r="859" spans="3:9">
      <c r="C859" s="23">
        <v>852</v>
      </c>
      <c r="D859" s="23" t="s">
        <v>132</v>
      </c>
      <c r="E859" s="23" t="str">
        <f>Contributions_Data!A332</f>
        <v>DA-003</v>
      </c>
      <c r="F859" s="23" t="str">
        <f>Contributions_Data!B332</f>
        <v>DA-003-M0028</v>
      </c>
      <c r="G859" s="24">
        <f>Contributions_Data!C332</f>
        <v>45418</v>
      </c>
      <c r="H859" s="27">
        <f>Contributions_Data!D332</f>
        <v>15145.56</v>
      </c>
      <c r="I859" s="27">
        <v>0</v>
      </c>
    </row>
    <row r="860" spans="3:9">
      <c r="C860" s="23">
        <v>853</v>
      </c>
      <c r="D860" s="23" t="s">
        <v>132</v>
      </c>
      <c r="E860" s="23" t="str">
        <f>Contributions_Data!A348</f>
        <v>DA-003</v>
      </c>
      <c r="F860" s="23" t="str">
        <f>Contributions_Data!B348</f>
        <v>DA-003-M0029</v>
      </c>
      <c r="G860" s="24">
        <f>Contributions_Data!C348</f>
        <v>45418</v>
      </c>
      <c r="H860" s="27">
        <f>Contributions_Data!D348</f>
        <v>12287.05</v>
      </c>
      <c r="I860" s="27">
        <v>0</v>
      </c>
    </row>
    <row r="861" spans="3:9">
      <c r="C861" s="23">
        <v>854</v>
      </c>
      <c r="D861" s="23" t="s">
        <v>132</v>
      </c>
      <c r="E861" s="23" t="str">
        <f>Contributions_Data!A815</f>
        <v>DA-003</v>
      </c>
      <c r="F861" s="23" t="str">
        <f>Contributions_Data!B815</f>
        <v>DA-003-M0068</v>
      </c>
      <c r="G861" s="24">
        <f>Contributions_Data!C815</f>
        <v>45418</v>
      </c>
      <c r="H861" s="27">
        <f>Contributions_Data!D815</f>
        <v>18316.580000000002</v>
      </c>
      <c r="I861" s="27">
        <v>0</v>
      </c>
    </row>
    <row r="862" spans="3:9">
      <c r="C862" s="23">
        <v>855</v>
      </c>
      <c r="D862" s="23" t="s">
        <v>132</v>
      </c>
      <c r="E862" s="23" t="str">
        <f>Contributions_Data!A833</f>
        <v>DA-002</v>
      </c>
      <c r="F862" s="23" t="str">
        <f>Contributions_Data!B833</f>
        <v>DA-002-M0070</v>
      </c>
      <c r="G862" s="24">
        <f>Contributions_Data!C833</f>
        <v>45418</v>
      </c>
      <c r="H862" s="27">
        <f>Contributions_Data!D833</f>
        <v>15376.73</v>
      </c>
      <c r="I862" s="27">
        <v>0</v>
      </c>
    </row>
    <row r="863" spans="3:9">
      <c r="C863" s="23">
        <v>856</v>
      </c>
      <c r="D863" s="23" t="s">
        <v>134</v>
      </c>
      <c r="E863" s="23" t="str">
        <f>Withdrawals_Data!A297</f>
        <v>DA-001</v>
      </c>
      <c r="F863" s="23" t="str">
        <f>Withdrawals_Data!B297</f>
        <v>DA-001-M0022</v>
      </c>
      <c r="G863" s="24">
        <f>Withdrawals_Data!C297</f>
        <v>45418</v>
      </c>
      <c r="H863" s="27">
        <v>0</v>
      </c>
      <c r="I863" s="27">
        <f>-Withdrawals_Data!D297</f>
        <v>-3501.43</v>
      </c>
    </row>
    <row r="864" spans="3:9">
      <c r="C864" s="23">
        <v>857</v>
      </c>
      <c r="D864" s="23" t="s">
        <v>134</v>
      </c>
      <c r="E864" s="23" t="str">
        <f>Withdrawals_Data!A306</f>
        <v>DA-002</v>
      </c>
      <c r="F864" s="23" t="str">
        <f>Withdrawals_Data!B306</f>
        <v>DA-002-M0039</v>
      </c>
      <c r="G864" s="24">
        <f>Withdrawals_Data!C306</f>
        <v>45418</v>
      </c>
      <c r="H864" s="27">
        <v>0</v>
      </c>
      <c r="I864" s="27">
        <f>-Withdrawals_Data!D306</f>
        <v>-3111.49</v>
      </c>
    </row>
    <row r="865" spans="3:9">
      <c r="C865" s="23">
        <v>858</v>
      </c>
      <c r="D865" s="23" t="s">
        <v>134</v>
      </c>
      <c r="E865" s="23" t="str">
        <f>Withdrawals_Data!A1109</f>
        <v>DA-002</v>
      </c>
      <c r="F865" s="23" t="str">
        <f>Withdrawals_Data!B1109</f>
        <v>DA-002-M0089</v>
      </c>
      <c r="G865" s="24">
        <f>Withdrawals_Data!C1109</f>
        <v>45418</v>
      </c>
      <c r="H865" s="27">
        <v>0</v>
      </c>
      <c r="I865" s="27">
        <f>-Withdrawals_Data!D1109</f>
        <v>-8132</v>
      </c>
    </row>
    <row r="866" spans="3:9">
      <c r="C866" s="23">
        <v>859</v>
      </c>
      <c r="D866" s="23" t="s">
        <v>132</v>
      </c>
      <c r="E866" s="23" t="str">
        <f>Contributions_Data!A29</f>
        <v>DA-002</v>
      </c>
      <c r="F866" s="23" t="str">
        <f>Contributions_Data!B29</f>
        <v>DA-002-M0003</v>
      </c>
      <c r="G866" s="24">
        <f>Contributions_Data!C29</f>
        <v>45419</v>
      </c>
      <c r="H866" s="27">
        <f>Contributions_Data!D29</f>
        <v>14776.66</v>
      </c>
      <c r="I866" s="27">
        <v>0</v>
      </c>
    </row>
    <row r="867" spans="3:9">
      <c r="C867" s="23">
        <v>860</v>
      </c>
      <c r="D867" s="23" t="s">
        <v>132</v>
      </c>
      <c r="E867" s="23" t="str">
        <f>Contributions_Data!A206</f>
        <v>DA-002</v>
      </c>
      <c r="F867" s="23" t="str">
        <f>Contributions_Data!B206</f>
        <v>DA-002-M0018</v>
      </c>
      <c r="G867" s="24">
        <f>Contributions_Data!C206</f>
        <v>45419</v>
      </c>
      <c r="H867" s="27">
        <f>Contributions_Data!D206</f>
        <v>14359.66</v>
      </c>
      <c r="I867" s="27">
        <v>0</v>
      </c>
    </row>
    <row r="868" spans="3:9">
      <c r="C868" s="23">
        <v>861</v>
      </c>
      <c r="D868" s="23" t="s">
        <v>132</v>
      </c>
      <c r="E868" s="23" t="str">
        <f>Contributions_Data!A439</f>
        <v>DA-002</v>
      </c>
      <c r="F868" s="23" t="str">
        <f>Contributions_Data!B439</f>
        <v>DA-002-M0037</v>
      </c>
      <c r="G868" s="24">
        <f>Contributions_Data!C439</f>
        <v>45419</v>
      </c>
      <c r="H868" s="27">
        <f>Contributions_Data!D439</f>
        <v>14262.77</v>
      </c>
      <c r="I868" s="27">
        <v>0</v>
      </c>
    </row>
    <row r="869" spans="3:9">
      <c r="C869" s="23">
        <v>862</v>
      </c>
      <c r="D869" s="23" t="s">
        <v>132</v>
      </c>
      <c r="E869" s="23" t="str">
        <f>Contributions_Data!A795</f>
        <v>DA-002</v>
      </c>
      <c r="F869" s="23" t="str">
        <f>Contributions_Data!B795</f>
        <v>DA-002-M0067</v>
      </c>
      <c r="G869" s="24">
        <f>Contributions_Data!C795</f>
        <v>45419</v>
      </c>
      <c r="H869" s="27">
        <f>Contributions_Data!D795</f>
        <v>17182.89</v>
      </c>
      <c r="I869" s="27">
        <v>0</v>
      </c>
    </row>
    <row r="870" spans="3:9">
      <c r="C870" s="23">
        <v>863</v>
      </c>
      <c r="D870" s="23" t="s">
        <v>132</v>
      </c>
      <c r="E870" s="23" t="str">
        <f>Contributions_Data!A1057</f>
        <v>DA-002</v>
      </c>
      <c r="F870" s="23" t="str">
        <f>Contributions_Data!B1057</f>
        <v>DA-002-M0088</v>
      </c>
      <c r="G870" s="24">
        <f>Contributions_Data!C1057</f>
        <v>45419</v>
      </c>
      <c r="H870" s="27">
        <f>Contributions_Data!D1057</f>
        <v>9100.93</v>
      </c>
      <c r="I870" s="27">
        <v>0</v>
      </c>
    </row>
    <row r="871" spans="3:9">
      <c r="C871" s="23">
        <v>864</v>
      </c>
      <c r="D871" s="23" t="s">
        <v>134</v>
      </c>
      <c r="E871" s="23" t="str">
        <f>Withdrawals_Data!A76</f>
        <v>DA-002</v>
      </c>
      <c r="F871" s="23" t="str">
        <f>Withdrawals_Data!B76</f>
        <v>DA-002-M0089</v>
      </c>
      <c r="G871" s="24">
        <f>Withdrawals_Data!C76</f>
        <v>45419</v>
      </c>
      <c r="H871" s="27">
        <v>0</v>
      </c>
      <c r="I871" s="27">
        <f>-Withdrawals_Data!D76</f>
        <v>-10651.53</v>
      </c>
    </row>
    <row r="872" spans="3:9">
      <c r="C872" s="23">
        <v>865</v>
      </c>
      <c r="D872" s="23" t="s">
        <v>134</v>
      </c>
      <c r="E872" s="23" t="str">
        <f>Withdrawals_Data!A821</f>
        <v>DA-002</v>
      </c>
      <c r="F872" s="23" t="str">
        <f>Withdrawals_Data!B821</f>
        <v>DA-002-M0057</v>
      </c>
      <c r="G872" s="24">
        <f>Withdrawals_Data!C821</f>
        <v>45419</v>
      </c>
      <c r="H872" s="27">
        <v>0</v>
      </c>
      <c r="I872" s="27">
        <f>-Withdrawals_Data!D821</f>
        <v>-11276</v>
      </c>
    </row>
    <row r="873" spans="3:9">
      <c r="C873" s="23">
        <v>866</v>
      </c>
      <c r="D873" s="23" t="s">
        <v>134</v>
      </c>
      <c r="E873" s="23" t="str">
        <f>Withdrawals_Data!A1023</f>
        <v>DA-003</v>
      </c>
      <c r="F873" s="23" t="str">
        <f>Withdrawals_Data!B1023</f>
        <v>DA-003-M0080</v>
      </c>
      <c r="G873" s="24">
        <f>Withdrawals_Data!C1023</f>
        <v>45419</v>
      </c>
      <c r="H873" s="27">
        <v>0</v>
      </c>
      <c r="I873" s="27">
        <f>-Withdrawals_Data!D1023</f>
        <v>-2195</v>
      </c>
    </row>
    <row r="874" spans="3:9">
      <c r="C874" s="23">
        <v>867</v>
      </c>
      <c r="D874" s="23" t="s">
        <v>134</v>
      </c>
      <c r="E874" s="23" t="str">
        <f>Withdrawals_Data!A1199</f>
        <v>DA-003</v>
      </c>
      <c r="F874" s="23" t="str">
        <f>Withdrawals_Data!B1199</f>
        <v>DA-003-M0100</v>
      </c>
      <c r="G874" s="24">
        <f>Withdrawals_Data!C1199</f>
        <v>45419</v>
      </c>
      <c r="H874" s="27">
        <v>0</v>
      </c>
      <c r="I874" s="27">
        <f>-Withdrawals_Data!D1199</f>
        <v>-14829</v>
      </c>
    </row>
    <row r="875" spans="3:9">
      <c r="C875" s="23">
        <v>868</v>
      </c>
      <c r="D875" s="23" t="s">
        <v>132</v>
      </c>
      <c r="E875" s="23" t="str">
        <f>Contributions_Data!A99</f>
        <v>DA-001</v>
      </c>
      <c r="F875" s="23" t="str">
        <f>Contributions_Data!B99</f>
        <v>DA-001-M0009</v>
      </c>
      <c r="G875" s="24">
        <f>Contributions_Data!C99</f>
        <v>45420</v>
      </c>
      <c r="H875" s="27">
        <f>Contributions_Data!D99</f>
        <v>16541.36</v>
      </c>
      <c r="I875" s="27">
        <v>0</v>
      </c>
    </row>
    <row r="876" spans="3:9">
      <c r="C876" s="23">
        <v>869</v>
      </c>
      <c r="D876" s="23" t="s">
        <v>132</v>
      </c>
      <c r="E876" s="23" t="str">
        <f>Contributions_Data!A1118</f>
        <v>DA-002</v>
      </c>
      <c r="F876" s="23" t="str">
        <f>Contributions_Data!B1118</f>
        <v>DA-002-M0094</v>
      </c>
      <c r="G876" s="24">
        <f>Contributions_Data!C1118</f>
        <v>45420</v>
      </c>
      <c r="H876" s="27">
        <f>Contributions_Data!D1118</f>
        <v>17865.919999999998</v>
      </c>
      <c r="I876" s="27">
        <v>0</v>
      </c>
    </row>
    <row r="877" spans="3:9">
      <c r="C877" s="23">
        <v>870</v>
      </c>
      <c r="D877" s="23" t="s">
        <v>134</v>
      </c>
      <c r="E877" s="23" t="str">
        <f>Withdrawals_Data!A46</f>
        <v>DA-001</v>
      </c>
      <c r="F877" s="23" t="str">
        <f>Withdrawals_Data!B46</f>
        <v>DA-001-M0009</v>
      </c>
      <c r="G877" s="24">
        <f>Withdrawals_Data!C46</f>
        <v>45420</v>
      </c>
      <c r="H877" s="27">
        <v>0</v>
      </c>
      <c r="I877" s="27">
        <f>-Withdrawals_Data!D46</f>
        <v>-12542.26</v>
      </c>
    </row>
    <row r="878" spans="3:9">
      <c r="C878" s="23">
        <v>871</v>
      </c>
      <c r="D878" s="23" t="s">
        <v>134</v>
      </c>
      <c r="E878" s="23" t="str">
        <f>Withdrawals_Data!A1118</f>
        <v>DA-002</v>
      </c>
      <c r="F878" s="23" t="str">
        <f>Withdrawals_Data!B1118</f>
        <v>DA-002-M0091</v>
      </c>
      <c r="G878" s="24">
        <f>Withdrawals_Data!C1118</f>
        <v>45420</v>
      </c>
      <c r="H878" s="27">
        <v>0</v>
      </c>
      <c r="I878" s="27">
        <f>-Withdrawals_Data!D1118</f>
        <v>-17079</v>
      </c>
    </row>
    <row r="879" spans="3:9">
      <c r="C879" s="23">
        <v>872</v>
      </c>
      <c r="D879" s="23" t="s">
        <v>132</v>
      </c>
      <c r="E879" s="23" t="str">
        <f>Contributions_Data!A208</f>
        <v>DA-002</v>
      </c>
      <c r="F879" s="23" t="str">
        <f>Contributions_Data!B208</f>
        <v>DA-002-M0018</v>
      </c>
      <c r="G879" s="24">
        <f>Contributions_Data!C208</f>
        <v>45421</v>
      </c>
      <c r="H879" s="27">
        <f>Contributions_Data!D208</f>
        <v>19426.07</v>
      </c>
      <c r="I879" s="27">
        <v>0</v>
      </c>
    </row>
    <row r="880" spans="3:9">
      <c r="C880" s="23">
        <v>873</v>
      </c>
      <c r="D880" s="23" t="s">
        <v>132</v>
      </c>
      <c r="E880" s="23" t="str">
        <f>Contributions_Data!A1026</f>
        <v>DA-003</v>
      </c>
      <c r="F880" s="23" t="str">
        <f>Contributions_Data!B1026</f>
        <v>DA-003-M0086</v>
      </c>
      <c r="G880" s="24">
        <f>Contributions_Data!C1026</f>
        <v>45421</v>
      </c>
      <c r="H880" s="27">
        <f>Contributions_Data!D1026</f>
        <v>15897.88</v>
      </c>
      <c r="I880" s="27">
        <v>0</v>
      </c>
    </row>
    <row r="881" spans="3:9">
      <c r="C881" s="23">
        <v>874</v>
      </c>
      <c r="D881" s="23" t="s">
        <v>132</v>
      </c>
      <c r="E881" s="23" t="str">
        <f>Contributions_Data!A1052</f>
        <v>DA-002</v>
      </c>
      <c r="F881" s="23" t="str">
        <f>Contributions_Data!B1052</f>
        <v>DA-002-M0088</v>
      </c>
      <c r="G881" s="24">
        <f>Contributions_Data!C1052</f>
        <v>45421</v>
      </c>
      <c r="H881" s="27">
        <f>Contributions_Data!D1052</f>
        <v>16523.509999999998</v>
      </c>
      <c r="I881" s="27">
        <v>0</v>
      </c>
    </row>
    <row r="882" spans="3:9">
      <c r="C882" s="23">
        <v>875</v>
      </c>
      <c r="D882" s="23" t="s">
        <v>132</v>
      </c>
      <c r="E882" s="23" t="str">
        <f>Contributions_Data!A1089</f>
        <v>DA-002</v>
      </c>
      <c r="F882" s="23" t="str">
        <f>Contributions_Data!B1089</f>
        <v>DA-002-M0091</v>
      </c>
      <c r="G882" s="24">
        <f>Contributions_Data!C1089</f>
        <v>45421</v>
      </c>
      <c r="H882" s="27">
        <f>Contributions_Data!D1089</f>
        <v>11412.35</v>
      </c>
      <c r="I882" s="27">
        <v>0</v>
      </c>
    </row>
    <row r="883" spans="3:9">
      <c r="C883" s="23">
        <v>876</v>
      </c>
      <c r="D883" s="23" t="s">
        <v>134</v>
      </c>
      <c r="E883" s="23" t="str">
        <f>Withdrawals_Data!A462</f>
        <v>DA-002</v>
      </c>
      <c r="F883" s="23" t="str">
        <f>Withdrawals_Data!B462</f>
        <v>DA-002-M0016</v>
      </c>
      <c r="G883" s="24">
        <f>Withdrawals_Data!C462</f>
        <v>45421</v>
      </c>
      <c r="H883" s="27">
        <v>0</v>
      </c>
      <c r="I883" s="27">
        <f>-Withdrawals_Data!D462</f>
        <v>-16280</v>
      </c>
    </row>
    <row r="884" spans="3:9">
      <c r="C884" s="23">
        <v>877</v>
      </c>
      <c r="D884" s="23" t="s">
        <v>134</v>
      </c>
      <c r="E884" s="23" t="str">
        <f>Withdrawals_Data!A553</f>
        <v>DA-002</v>
      </c>
      <c r="F884" s="23" t="str">
        <f>Withdrawals_Data!B553</f>
        <v>DA-002-M0027</v>
      </c>
      <c r="G884" s="24">
        <f>Withdrawals_Data!C553</f>
        <v>45421</v>
      </c>
      <c r="H884" s="27">
        <v>0</v>
      </c>
      <c r="I884" s="27">
        <f>-Withdrawals_Data!D553</f>
        <v>-8494</v>
      </c>
    </row>
    <row r="885" spans="3:9">
      <c r="C885" s="23">
        <v>878</v>
      </c>
      <c r="D885" s="23" t="s">
        <v>134</v>
      </c>
      <c r="E885" s="23" t="str">
        <f>Withdrawals_Data!A671</f>
        <v>DA-002</v>
      </c>
      <c r="F885" s="23" t="str">
        <f>Withdrawals_Data!B671</f>
        <v>DA-002-M0040</v>
      </c>
      <c r="G885" s="24">
        <f>Withdrawals_Data!C671</f>
        <v>45421</v>
      </c>
      <c r="H885" s="27">
        <v>0</v>
      </c>
      <c r="I885" s="27">
        <f>-Withdrawals_Data!D671</f>
        <v>-6395</v>
      </c>
    </row>
    <row r="886" spans="3:9">
      <c r="C886" s="23">
        <v>879</v>
      </c>
      <c r="D886" s="23" t="s">
        <v>134</v>
      </c>
      <c r="E886" s="23" t="str">
        <f>Withdrawals_Data!A1182</f>
        <v>DA-003</v>
      </c>
      <c r="F886" s="23" t="str">
        <f>Withdrawals_Data!B1182</f>
        <v>DA-003-M0099</v>
      </c>
      <c r="G886" s="24">
        <f>Withdrawals_Data!C1182</f>
        <v>45421</v>
      </c>
      <c r="H886" s="27">
        <v>0</v>
      </c>
      <c r="I886" s="27">
        <f>-Withdrawals_Data!D1182</f>
        <v>-10565</v>
      </c>
    </row>
    <row r="887" spans="3:9">
      <c r="C887" s="23">
        <v>880</v>
      </c>
      <c r="D887" s="23" t="s">
        <v>132</v>
      </c>
      <c r="E887" s="23" t="str">
        <f>Contributions_Data!A197</f>
        <v>DA-002</v>
      </c>
      <c r="F887" s="23" t="str">
        <f>Contributions_Data!B197</f>
        <v>DA-002-M0017</v>
      </c>
      <c r="G887" s="24">
        <f>Contributions_Data!C197</f>
        <v>45422</v>
      </c>
      <c r="H887" s="27">
        <f>Contributions_Data!D197</f>
        <v>13308.83</v>
      </c>
      <c r="I887" s="27">
        <v>0</v>
      </c>
    </row>
    <row r="888" spans="3:9">
      <c r="C888" s="23">
        <v>881</v>
      </c>
      <c r="D888" s="23" t="s">
        <v>132</v>
      </c>
      <c r="E888" s="23" t="str">
        <f>Contributions_Data!A509</f>
        <v>DA-001</v>
      </c>
      <c r="F888" s="23" t="str">
        <f>Contributions_Data!B509</f>
        <v>DA-001-M0043</v>
      </c>
      <c r="G888" s="24">
        <f>Contributions_Data!C509</f>
        <v>45422</v>
      </c>
      <c r="H888" s="27">
        <f>Contributions_Data!D509</f>
        <v>16224.76</v>
      </c>
      <c r="I888" s="27">
        <v>0</v>
      </c>
    </row>
    <row r="889" spans="3:9">
      <c r="C889" s="23">
        <v>882</v>
      </c>
      <c r="D889" s="23" t="s">
        <v>132</v>
      </c>
      <c r="E889" s="23" t="str">
        <f>Contributions_Data!A849</f>
        <v>DA-001</v>
      </c>
      <c r="F889" s="23" t="str">
        <f>Contributions_Data!B849</f>
        <v>DA-001-M0071</v>
      </c>
      <c r="G889" s="24">
        <f>Contributions_Data!C849</f>
        <v>45422</v>
      </c>
      <c r="H889" s="27">
        <f>Contributions_Data!D849</f>
        <v>18067.71</v>
      </c>
      <c r="I889" s="27">
        <v>0</v>
      </c>
    </row>
    <row r="890" spans="3:9">
      <c r="C890" s="23">
        <v>883</v>
      </c>
      <c r="D890" s="23" t="s">
        <v>134</v>
      </c>
      <c r="E890" s="23" t="str">
        <f>Withdrawals_Data!A3</f>
        <v>DA-001</v>
      </c>
      <c r="F890" s="23" t="str">
        <f>Withdrawals_Data!B3</f>
        <v>DA-001-M0053</v>
      </c>
      <c r="G890" s="24">
        <f>Withdrawals_Data!C3</f>
        <v>45422</v>
      </c>
      <c r="H890" s="27">
        <v>0</v>
      </c>
      <c r="I890" s="27">
        <f>-Withdrawals_Data!D3</f>
        <v>-18107.73</v>
      </c>
    </row>
    <row r="891" spans="3:9">
      <c r="C891" s="23">
        <v>884</v>
      </c>
      <c r="D891" s="23" t="s">
        <v>134</v>
      </c>
      <c r="E891" s="23" t="str">
        <f>Withdrawals_Data!A6</f>
        <v>DA-002</v>
      </c>
      <c r="F891" s="23" t="str">
        <f>Withdrawals_Data!B6</f>
        <v>DA-002-M0088</v>
      </c>
      <c r="G891" s="24">
        <f>Withdrawals_Data!C6</f>
        <v>45422</v>
      </c>
      <c r="H891" s="27">
        <v>0</v>
      </c>
      <c r="I891" s="27">
        <f>-Withdrawals_Data!D6</f>
        <v>-16660.009999999998</v>
      </c>
    </row>
    <row r="892" spans="3:9">
      <c r="C892" s="23">
        <v>885</v>
      </c>
      <c r="D892" s="23" t="s">
        <v>134</v>
      </c>
      <c r="E892" s="23" t="str">
        <f>Withdrawals_Data!A459</f>
        <v>DA-002</v>
      </c>
      <c r="F892" s="23" t="str">
        <f>Withdrawals_Data!B459</f>
        <v>DA-002-M0016</v>
      </c>
      <c r="G892" s="24">
        <f>Withdrawals_Data!C459</f>
        <v>45422</v>
      </c>
      <c r="H892" s="27">
        <v>0</v>
      </c>
      <c r="I892" s="27">
        <f>-Withdrawals_Data!D459</f>
        <v>-2269</v>
      </c>
    </row>
    <row r="893" spans="3:9">
      <c r="C893" s="23">
        <v>886</v>
      </c>
      <c r="D893" s="23" t="s">
        <v>134</v>
      </c>
      <c r="E893" s="23" t="str">
        <f>Withdrawals_Data!A665</f>
        <v>DA-002</v>
      </c>
      <c r="F893" s="23" t="str">
        <f>Withdrawals_Data!B665</f>
        <v>DA-002-M0039</v>
      </c>
      <c r="G893" s="24">
        <f>Withdrawals_Data!C665</f>
        <v>45422</v>
      </c>
      <c r="H893" s="27">
        <v>0</v>
      </c>
      <c r="I893" s="27">
        <f>-Withdrawals_Data!D665</f>
        <v>-14848</v>
      </c>
    </row>
    <row r="894" spans="3:9">
      <c r="C894" s="23">
        <v>887</v>
      </c>
      <c r="D894" s="23" t="s">
        <v>134</v>
      </c>
      <c r="E894" s="23" t="str">
        <f>Withdrawals_Data!A696</f>
        <v>DA-001</v>
      </c>
      <c r="F894" s="23" t="str">
        <f>Withdrawals_Data!B696</f>
        <v>DA-001-M0043</v>
      </c>
      <c r="G894" s="24">
        <f>Withdrawals_Data!C696</f>
        <v>45422</v>
      </c>
      <c r="H894" s="27">
        <v>0</v>
      </c>
      <c r="I894" s="27">
        <f>-Withdrawals_Data!D696</f>
        <v>-10000</v>
      </c>
    </row>
    <row r="895" spans="3:9">
      <c r="C895" s="23">
        <v>888</v>
      </c>
      <c r="D895" s="23" t="s">
        <v>134</v>
      </c>
      <c r="E895" s="23" t="str">
        <f>Withdrawals_Data!A959</f>
        <v>DA-002</v>
      </c>
      <c r="F895" s="23" t="str">
        <f>Withdrawals_Data!B959</f>
        <v>DA-002-M0072</v>
      </c>
      <c r="G895" s="24">
        <f>Withdrawals_Data!C959</f>
        <v>45422</v>
      </c>
      <c r="H895" s="27">
        <v>0</v>
      </c>
      <c r="I895" s="27">
        <f>-Withdrawals_Data!D959</f>
        <v>-16350</v>
      </c>
    </row>
    <row r="896" spans="3:9">
      <c r="C896" s="23">
        <v>889</v>
      </c>
      <c r="D896" s="23" t="s">
        <v>132</v>
      </c>
      <c r="E896" s="23" t="str">
        <f>Contributions_Data!A142</f>
        <v>DA-003</v>
      </c>
      <c r="F896" s="23" t="str">
        <f>Contributions_Data!B142</f>
        <v>DA-003-M0012</v>
      </c>
      <c r="G896" s="24">
        <f>Contributions_Data!C142</f>
        <v>45423</v>
      </c>
      <c r="H896" s="27">
        <f>Contributions_Data!D142</f>
        <v>11256.65</v>
      </c>
      <c r="I896" s="27">
        <v>0</v>
      </c>
    </row>
    <row r="897" spans="3:9">
      <c r="C897" s="23">
        <v>890</v>
      </c>
      <c r="D897" s="23" t="s">
        <v>132</v>
      </c>
      <c r="E897" s="23" t="str">
        <f>Contributions_Data!A325</f>
        <v>DA-002</v>
      </c>
      <c r="F897" s="23" t="str">
        <f>Contributions_Data!B325</f>
        <v>DA-002-M0027</v>
      </c>
      <c r="G897" s="24">
        <f>Contributions_Data!C325</f>
        <v>45423</v>
      </c>
      <c r="H897" s="27">
        <f>Contributions_Data!D325</f>
        <v>14428.98</v>
      </c>
      <c r="I897" s="27">
        <v>0</v>
      </c>
    </row>
    <row r="898" spans="3:9">
      <c r="C898" s="23">
        <v>891</v>
      </c>
      <c r="D898" s="23" t="s">
        <v>132</v>
      </c>
      <c r="E898" s="23" t="str">
        <f>Contributions_Data!A433</f>
        <v>DA-003</v>
      </c>
      <c r="F898" s="23" t="str">
        <f>Contributions_Data!B433</f>
        <v>DA-003-M0036</v>
      </c>
      <c r="G898" s="24">
        <f>Contributions_Data!C433</f>
        <v>45423</v>
      </c>
      <c r="H898" s="27">
        <f>Contributions_Data!D433</f>
        <v>17469.509999999998</v>
      </c>
      <c r="I898" s="27">
        <v>0</v>
      </c>
    </row>
    <row r="899" spans="3:9">
      <c r="C899" s="23">
        <v>892</v>
      </c>
      <c r="D899" s="23" t="s">
        <v>132</v>
      </c>
      <c r="E899" s="23" t="str">
        <f>Contributions_Data!A490</f>
        <v>DA-002</v>
      </c>
      <c r="F899" s="23" t="str">
        <f>Contributions_Data!B490</f>
        <v>DA-002-M0041</v>
      </c>
      <c r="G899" s="24">
        <f>Contributions_Data!C490</f>
        <v>45423</v>
      </c>
      <c r="H899" s="27">
        <f>Contributions_Data!D490</f>
        <v>14709.86</v>
      </c>
      <c r="I899" s="27">
        <v>0</v>
      </c>
    </row>
    <row r="900" spans="3:9">
      <c r="C900" s="23">
        <v>893</v>
      </c>
      <c r="D900" s="23" t="s">
        <v>134</v>
      </c>
      <c r="E900" s="23" t="str">
        <f>Withdrawals_Data!A244</f>
        <v>DA-003</v>
      </c>
      <c r="F900" s="23" t="str">
        <f>Withdrawals_Data!B244</f>
        <v>DA-003-M0015</v>
      </c>
      <c r="G900" s="24">
        <f>Withdrawals_Data!C244</f>
        <v>45423</v>
      </c>
      <c r="H900" s="27">
        <v>0</v>
      </c>
      <c r="I900" s="27">
        <f>-Withdrawals_Data!D244</f>
        <v>-5633.71</v>
      </c>
    </row>
    <row r="901" spans="3:9">
      <c r="C901" s="23">
        <v>894</v>
      </c>
      <c r="D901" s="23" t="s">
        <v>134</v>
      </c>
      <c r="E901" s="23" t="str">
        <f>Withdrawals_Data!A302</f>
        <v>DA-001</v>
      </c>
      <c r="F901" s="23" t="str">
        <f>Withdrawals_Data!B302</f>
        <v>DA-001-M0096</v>
      </c>
      <c r="G901" s="24">
        <f>Withdrawals_Data!C302</f>
        <v>45423</v>
      </c>
      <c r="H901" s="27">
        <v>0</v>
      </c>
      <c r="I901" s="27">
        <f>-Withdrawals_Data!D302</f>
        <v>-3320.33</v>
      </c>
    </row>
    <row r="902" spans="3:9">
      <c r="C902" s="23">
        <v>895</v>
      </c>
      <c r="D902" s="23" t="s">
        <v>134</v>
      </c>
      <c r="E902" s="23" t="str">
        <f>Withdrawals_Data!A668</f>
        <v>DA-002</v>
      </c>
      <c r="F902" s="23" t="str">
        <f>Withdrawals_Data!B668</f>
        <v>DA-002-M0040</v>
      </c>
      <c r="G902" s="24">
        <f>Withdrawals_Data!C668</f>
        <v>45423</v>
      </c>
      <c r="H902" s="27">
        <v>0</v>
      </c>
      <c r="I902" s="27">
        <f>-Withdrawals_Data!D668</f>
        <v>-2796</v>
      </c>
    </row>
    <row r="903" spans="3:9">
      <c r="C903" s="23">
        <v>896</v>
      </c>
      <c r="D903" s="23" t="s">
        <v>134</v>
      </c>
      <c r="E903" s="23" t="str">
        <f>Withdrawals_Data!A919</f>
        <v>DA-003</v>
      </c>
      <c r="F903" s="23" t="str">
        <f>Withdrawals_Data!B919</f>
        <v>DA-003-M0068</v>
      </c>
      <c r="G903" s="24">
        <f>Withdrawals_Data!C919</f>
        <v>45423</v>
      </c>
      <c r="H903" s="27">
        <v>0</v>
      </c>
      <c r="I903" s="27">
        <f>-Withdrawals_Data!D919</f>
        <v>-7552</v>
      </c>
    </row>
    <row r="904" spans="3:9">
      <c r="C904" s="23">
        <v>897</v>
      </c>
      <c r="D904" s="23" t="s">
        <v>134</v>
      </c>
      <c r="E904" s="23" t="str">
        <f>Withdrawals_Data!A1008</f>
        <v>DA-003</v>
      </c>
      <c r="F904" s="23" t="str">
        <f>Withdrawals_Data!B1008</f>
        <v>DA-003-M0079</v>
      </c>
      <c r="G904" s="24">
        <f>Withdrawals_Data!C1008</f>
        <v>45423</v>
      </c>
      <c r="H904" s="27">
        <v>0</v>
      </c>
      <c r="I904" s="27">
        <f>-Withdrawals_Data!D1008</f>
        <v>-17538</v>
      </c>
    </row>
    <row r="905" spans="3:9">
      <c r="C905" s="23">
        <v>898</v>
      </c>
      <c r="D905" s="23" t="s">
        <v>134</v>
      </c>
      <c r="E905" s="23" t="str">
        <f>Withdrawals_Data!A1093</f>
        <v>DA-001</v>
      </c>
      <c r="F905" s="23" t="str">
        <f>Withdrawals_Data!B1093</f>
        <v>DA-001-M0087</v>
      </c>
      <c r="G905" s="24">
        <f>Withdrawals_Data!C1093</f>
        <v>45423</v>
      </c>
      <c r="H905" s="27">
        <v>0</v>
      </c>
      <c r="I905" s="27">
        <f>-Withdrawals_Data!D1093</f>
        <v>-16541</v>
      </c>
    </row>
    <row r="906" spans="3:9">
      <c r="C906" s="23">
        <v>899</v>
      </c>
      <c r="D906" s="23" t="s">
        <v>132</v>
      </c>
      <c r="E906" s="23" t="str">
        <f>Contributions_Data!A136</f>
        <v>DA-003</v>
      </c>
      <c r="F906" s="23" t="str">
        <f>Contributions_Data!B136</f>
        <v>DA-003-M0012</v>
      </c>
      <c r="G906" s="24">
        <f>Contributions_Data!C136</f>
        <v>45424</v>
      </c>
      <c r="H906" s="27">
        <f>Contributions_Data!D136</f>
        <v>13547.3</v>
      </c>
      <c r="I906" s="27">
        <v>0</v>
      </c>
    </row>
    <row r="907" spans="3:9">
      <c r="C907" s="23">
        <v>900</v>
      </c>
      <c r="D907" s="23" t="s">
        <v>132</v>
      </c>
      <c r="E907" s="23" t="str">
        <f>Contributions_Data!A184</f>
        <v>DA-002</v>
      </c>
      <c r="F907" s="23" t="str">
        <f>Contributions_Data!B184</f>
        <v>DA-002-M0016</v>
      </c>
      <c r="G907" s="24">
        <f>Contributions_Data!C184</f>
        <v>45424</v>
      </c>
      <c r="H907" s="27">
        <f>Contributions_Data!D184</f>
        <v>14609.57</v>
      </c>
      <c r="I907" s="27">
        <v>0</v>
      </c>
    </row>
    <row r="908" spans="3:9">
      <c r="C908" s="23">
        <v>901</v>
      </c>
      <c r="D908" s="23" t="s">
        <v>132</v>
      </c>
      <c r="E908" s="23" t="str">
        <f>Contributions_Data!A288</f>
        <v>DA-001</v>
      </c>
      <c r="F908" s="23" t="str">
        <f>Contributions_Data!B288</f>
        <v>DA-001-M0024</v>
      </c>
      <c r="G908" s="24">
        <f>Contributions_Data!C288</f>
        <v>45424</v>
      </c>
      <c r="H908" s="27">
        <f>Contributions_Data!D288</f>
        <v>14811.96</v>
      </c>
      <c r="I908" s="27">
        <v>0</v>
      </c>
    </row>
    <row r="909" spans="3:9">
      <c r="C909" s="23">
        <v>902</v>
      </c>
      <c r="D909" s="23" t="s">
        <v>132</v>
      </c>
      <c r="E909" s="23" t="str">
        <f>Contributions_Data!A960</f>
        <v>DA-003</v>
      </c>
      <c r="F909" s="23" t="str">
        <f>Contributions_Data!B960</f>
        <v>DA-003-M0080</v>
      </c>
      <c r="G909" s="24">
        <f>Contributions_Data!C960</f>
        <v>45424</v>
      </c>
      <c r="H909" s="27">
        <f>Contributions_Data!D960</f>
        <v>18257.689999999999</v>
      </c>
      <c r="I909" s="27">
        <v>0</v>
      </c>
    </row>
    <row r="910" spans="3:9">
      <c r="C910" s="23">
        <v>903</v>
      </c>
      <c r="D910" s="23" t="s">
        <v>134</v>
      </c>
      <c r="E910" s="23" t="str">
        <f>Withdrawals_Data!A41</f>
        <v>DA-002</v>
      </c>
      <c r="F910" s="23" t="str">
        <f>Withdrawals_Data!B41</f>
        <v>DA-002-M0091</v>
      </c>
      <c r="G910" s="24">
        <f>Withdrawals_Data!C41</f>
        <v>45424</v>
      </c>
      <c r="H910" s="27">
        <v>0</v>
      </c>
      <c r="I910" s="27">
        <f>-Withdrawals_Data!D41</f>
        <v>-12786.53</v>
      </c>
    </row>
    <row r="911" spans="3:9">
      <c r="C911" s="23">
        <v>904</v>
      </c>
      <c r="D911" s="23" t="s">
        <v>134</v>
      </c>
      <c r="E911" s="23" t="str">
        <f>Withdrawals_Data!A129</f>
        <v>DA-003</v>
      </c>
      <c r="F911" s="23" t="str">
        <f>Withdrawals_Data!B129</f>
        <v>DA-003-M0028</v>
      </c>
      <c r="G911" s="24">
        <f>Withdrawals_Data!C129</f>
        <v>45424</v>
      </c>
      <c r="H911" s="27">
        <v>0</v>
      </c>
      <c r="I911" s="27">
        <f>-Withdrawals_Data!D129</f>
        <v>-9081.83</v>
      </c>
    </row>
    <row r="912" spans="3:9">
      <c r="C912" s="23">
        <v>905</v>
      </c>
      <c r="D912" s="23" t="s">
        <v>134</v>
      </c>
      <c r="E912" s="23" t="str">
        <f>Withdrawals_Data!A652</f>
        <v>DA-001</v>
      </c>
      <c r="F912" s="23" t="str">
        <f>Withdrawals_Data!B652</f>
        <v>DA-001-M0038</v>
      </c>
      <c r="G912" s="24">
        <f>Withdrawals_Data!C652</f>
        <v>45424</v>
      </c>
      <c r="H912" s="27">
        <v>0</v>
      </c>
      <c r="I912" s="27">
        <f>-Withdrawals_Data!D652</f>
        <v>-18948</v>
      </c>
    </row>
    <row r="913" spans="3:9">
      <c r="C913" s="23">
        <v>906</v>
      </c>
      <c r="D913" s="23" t="s">
        <v>134</v>
      </c>
      <c r="E913" s="23" t="str">
        <f>Withdrawals_Data!A760</f>
        <v>DA-002</v>
      </c>
      <c r="F913" s="23" t="str">
        <f>Withdrawals_Data!B760</f>
        <v>DA-002-M0050</v>
      </c>
      <c r="G913" s="24">
        <f>Withdrawals_Data!C760</f>
        <v>45424</v>
      </c>
      <c r="H913" s="27">
        <v>0</v>
      </c>
      <c r="I913" s="27">
        <f>-Withdrawals_Data!D760</f>
        <v>-12293</v>
      </c>
    </row>
    <row r="914" spans="3:9">
      <c r="C914" s="23">
        <v>907</v>
      </c>
      <c r="D914" s="23" t="s">
        <v>134</v>
      </c>
      <c r="E914" s="23" t="str">
        <f>Withdrawals_Data!A834</f>
        <v>DA-001</v>
      </c>
      <c r="F914" s="23" t="str">
        <f>Withdrawals_Data!B834</f>
        <v>DA-001-M0058</v>
      </c>
      <c r="G914" s="24">
        <f>Withdrawals_Data!C834</f>
        <v>45424</v>
      </c>
      <c r="H914" s="27">
        <v>0</v>
      </c>
      <c r="I914" s="27">
        <f>-Withdrawals_Data!D834</f>
        <v>-17527</v>
      </c>
    </row>
    <row r="915" spans="3:9">
      <c r="C915" s="23">
        <v>908</v>
      </c>
      <c r="D915" s="23" t="s">
        <v>134</v>
      </c>
      <c r="E915" s="23" t="str">
        <f>Withdrawals_Data!A996</f>
        <v>DA-002</v>
      </c>
      <c r="F915" s="23" t="str">
        <f>Withdrawals_Data!B996</f>
        <v>DA-002-M0078</v>
      </c>
      <c r="G915" s="24">
        <f>Withdrawals_Data!C996</f>
        <v>45424</v>
      </c>
      <c r="H915" s="27">
        <v>0</v>
      </c>
      <c r="I915" s="27">
        <f>-Withdrawals_Data!D996</f>
        <v>-4237</v>
      </c>
    </row>
    <row r="916" spans="3:9">
      <c r="C916" s="23">
        <v>909</v>
      </c>
      <c r="D916" s="23" t="s">
        <v>132</v>
      </c>
      <c r="E916" s="23" t="str">
        <f>Contributions_Data!A88</f>
        <v>DA-003</v>
      </c>
      <c r="F916" s="23" t="str">
        <f>Contributions_Data!B88</f>
        <v>DA-003-M0008</v>
      </c>
      <c r="G916" s="24">
        <f>Contributions_Data!C88</f>
        <v>45425</v>
      </c>
      <c r="H916" s="27">
        <f>Contributions_Data!D88</f>
        <v>17569.2</v>
      </c>
      <c r="I916" s="27">
        <v>0</v>
      </c>
    </row>
    <row r="917" spans="3:9">
      <c r="C917" s="23">
        <v>910</v>
      </c>
      <c r="D917" s="23" t="s">
        <v>132</v>
      </c>
      <c r="E917" s="23" t="str">
        <f>Contributions_Data!A653</f>
        <v>DA-001</v>
      </c>
      <c r="F917" s="23" t="str">
        <f>Contributions_Data!B653</f>
        <v>DA-001-M0055</v>
      </c>
      <c r="G917" s="24">
        <f>Contributions_Data!C653</f>
        <v>45425</v>
      </c>
      <c r="H917" s="27">
        <f>Contributions_Data!D653</f>
        <v>15837.06</v>
      </c>
      <c r="I917" s="27">
        <v>0</v>
      </c>
    </row>
    <row r="918" spans="3:9">
      <c r="C918" s="23">
        <v>911</v>
      </c>
      <c r="D918" s="23" t="s">
        <v>132</v>
      </c>
      <c r="E918" s="23" t="str">
        <f>Contributions_Data!A1143</f>
        <v>DA-001</v>
      </c>
      <c r="F918" s="23" t="str">
        <f>Contributions_Data!B1143</f>
        <v>DA-001-M0096</v>
      </c>
      <c r="G918" s="24">
        <f>Contributions_Data!C1143</f>
        <v>45425</v>
      </c>
      <c r="H918" s="27">
        <f>Contributions_Data!D1143</f>
        <v>6383.21</v>
      </c>
      <c r="I918" s="27">
        <v>0</v>
      </c>
    </row>
    <row r="919" spans="3:9">
      <c r="C919" s="23">
        <v>912</v>
      </c>
      <c r="D919" s="23" t="s">
        <v>134</v>
      </c>
      <c r="E919" s="23" t="str">
        <f>Withdrawals_Data!A184</f>
        <v>DA-001</v>
      </c>
      <c r="F919" s="23" t="str">
        <f>Withdrawals_Data!B184</f>
        <v>DA-001-M0024</v>
      </c>
      <c r="G919" s="24">
        <f>Withdrawals_Data!C184</f>
        <v>45425</v>
      </c>
      <c r="H919" s="27">
        <v>0</v>
      </c>
      <c r="I919" s="27">
        <f>-Withdrawals_Data!D184</f>
        <v>-7869.22</v>
      </c>
    </row>
    <row r="920" spans="3:9">
      <c r="C920" s="23">
        <v>913</v>
      </c>
      <c r="D920" s="23" t="s">
        <v>134</v>
      </c>
      <c r="E920" s="23" t="str">
        <f>Withdrawals_Data!A597</f>
        <v>DA-003</v>
      </c>
      <c r="F920" s="23" t="str">
        <f>Withdrawals_Data!B597</f>
        <v>DA-003-M0032</v>
      </c>
      <c r="G920" s="24">
        <f>Withdrawals_Data!C597</f>
        <v>45425</v>
      </c>
      <c r="H920" s="27">
        <v>0</v>
      </c>
      <c r="I920" s="27">
        <f>-Withdrawals_Data!D597</f>
        <v>-8169</v>
      </c>
    </row>
    <row r="921" spans="3:9">
      <c r="C921" s="23">
        <v>914</v>
      </c>
      <c r="D921" s="23" t="s">
        <v>134</v>
      </c>
      <c r="E921" s="23" t="str">
        <f>Withdrawals_Data!A1151</f>
        <v>DA-003</v>
      </c>
      <c r="F921" s="23" t="str">
        <f>Withdrawals_Data!B1151</f>
        <v>DA-003-M0095</v>
      </c>
      <c r="G921" s="24">
        <f>Withdrawals_Data!C1151</f>
        <v>45425</v>
      </c>
      <c r="H921" s="27">
        <v>0</v>
      </c>
      <c r="I921" s="27">
        <f>-Withdrawals_Data!D1151</f>
        <v>-10402</v>
      </c>
    </row>
    <row r="922" spans="3:9">
      <c r="C922" s="23">
        <v>915</v>
      </c>
      <c r="D922" s="23" t="s">
        <v>132</v>
      </c>
      <c r="E922" s="23" t="str">
        <f>Contributions_Data!A587</f>
        <v>DA-001</v>
      </c>
      <c r="F922" s="23" t="str">
        <f>Contributions_Data!B587</f>
        <v>DA-001-M0049</v>
      </c>
      <c r="G922" s="24">
        <f>Contributions_Data!C587</f>
        <v>45426</v>
      </c>
      <c r="H922" s="27">
        <f>Contributions_Data!D587</f>
        <v>12244.04</v>
      </c>
      <c r="I922" s="27">
        <v>0</v>
      </c>
    </row>
    <row r="923" spans="3:9">
      <c r="C923" s="23">
        <v>916</v>
      </c>
      <c r="D923" s="23" t="s">
        <v>134</v>
      </c>
      <c r="E923" s="23" t="str">
        <f>Withdrawals_Data!A200</f>
        <v>DA-001</v>
      </c>
      <c r="F923" s="23" t="str">
        <f>Withdrawals_Data!B200</f>
        <v>DA-001-M0075</v>
      </c>
      <c r="G923" s="24">
        <f>Withdrawals_Data!C200</f>
        <v>45426</v>
      </c>
      <c r="H923" s="27">
        <v>0</v>
      </c>
      <c r="I923" s="27">
        <f>-Withdrawals_Data!D200</f>
        <v>-7480.72</v>
      </c>
    </row>
    <row r="924" spans="3:9">
      <c r="C924" s="23">
        <v>917</v>
      </c>
      <c r="D924" s="23" t="s">
        <v>134</v>
      </c>
      <c r="E924" s="23" t="str">
        <f>Withdrawals_Data!A521</f>
        <v>DA-002</v>
      </c>
      <c r="F924" s="23" t="str">
        <f>Withdrawals_Data!B521</f>
        <v>DA-002-M0023</v>
      </c>
      <c r="G924" s="24">
        <f>Withdrawals_Data!C521</f>
        <v>45426</v>
      </c>
      <c r="H924" s="27">
        <v>0</v>
      </c>
      <c r="I924" s="27">
        <f>-Withdrawals_Data!D521</f>
        <v>-2548</v>
      </c>
    </row>
    <row r="925" spans="3:9">
      <c r="C925" s="23">
        <v>918</v>
      </c>
      <c r="D925" s="23" t="s">
        <v>132</v>
      </c>
      <c r="E925" s="23" t="str">
        <f>Contributions_Data!A214</f>
        <v>DA-002</v>
      </c>
      <c r="F925" s="23" t="str">
        <f>Contributions_Data!B214</f>
        <v>DA-002-M0018</v>
      </c>
      <c r="G925" s="24">
        <f>Contributions_Data!C214</f>
        <v>45427</v>
      </c>
      <c r="H925" s="27">
        <f>Contributions_Data!D214</f>
        <v>12518.31</v>
      </c>
      <c r="I925" s="27">
        <v>0</v>
      </c>
    </row>
    <row r="926" spans="3:9">
      <c r="C926" s="23">
        <v>919</v>
      </c>
      <c r="D926" s="23" t="s">
        <v>132</v>
      </c>
      <c r="E926" s="23" t="str">
        <f>Contributions_Data!A793</f>
        <v>DA-003</v>
      </c>
      <c r="F926" s="23" t="str">
        <f>Contributions_Data!B793</f>
        <v>DA-003-M0066</v>
      </c>
      <c r="G926" s="24">
        <f>Contributions_Data!C793</f>
        <v>45427</v>
      </c>
      <c r="H926" s="27">
        <f>Contributions_Data!D793</f>
        <v>14410.95</v>
      </c>
      <c r="I926" s="27">
        <v>0</v>
      </c>
    </row>
    <row r="927" spans="3:9">
      <c r="C927" s="23">
        <v>920</v>
      </c>
      <c r="D927" s="23" t="s">
        <v>132</v>
      </c>
      <c r="E927" s="23" t="str">
        <f>Contributions_Data!A900</f>
        <v>DA-001</v>
      </c>
      <c r="F927" s="23" t="str">
        <f>Contributions_Data!B900</f>
        <v>DA-001-M0075</v>
      </c>
      <c r="G927" s="24">
        <f>Contributions_Data!C900</f>
        <v>45427</v>
      </c>
      <c r="H927" s="27">
        <f>Contributions_Data!D900</f>
        <v>12588.98</v>
      </c>
      <c r="I927" s="27">
        <v>0</v>
      </c>
    </row>
    <row r="928" spans="3:9">
      <c r="C928" s="23">
        <v>921</v>
      </c>
      <c r="D928" s="23" t="s">
        <v>132</v>
      </c>
      <c r="E928" s="23" t="str">
        <f>Contributions_Data!A948</f>
        <v>DA-003</v>
      </c>
      <c r="F928" s="23" t="str">
        <f>Contributions_Data!B948</f>
        <v>DA-003-M0079</v>
      </c>
      <c r="G928" s="24">
        <f>Contributions_Data!C948</f>
        <v>45427</v>
      </c>
      <c r="H928" s="27">
        <f>Contributions_Data!D948</f>
        <v>17757.23</v>
      </c>
      <c r="I928" s="27">
        <v>0</v>
      </c>
    </row>
    <row r="929" spans="3:9">
      <c r="C929" s="23">
        <v>922</v>
      </c>
      <c r="D929" s="23" t="s">
        <v>132</v>
      </c>
      <c r="E929" s="23" t="str">
        <f>Contributions_Data!A989</f>
        <v>DA-001</v>
      </c>
      <c r="F929" s="23" t="str">
        <f>Contributions_Data!B989</f>
        <v>DA-001-M0083</v>
      </c>
      <c r="G929" s="24">
        <f>Contributions_Data!C989</f>
        <v>45427</v>
      </c>
      <c r="H929" s="27">
        <f>Contributions_Data!D989</f>
        <v>18571.939999999999</v>
      </c>
      <c r="I929" s="27">
        <v>0</v>
      </c>
    </row>
    <row r="930" spans="3:9">
      <c r="C930" s="23">
        <v>923</v>
      </c>
      <c r="D930" s="23" t="s">
        <v>134</v>
      </c>
      <c r="E930" s="23" t="str">
        <f>Withdrawals_Data!A418</f>
        <v>DA-001</v>
      </c>
      <c r="F930" s="23" t="str">
        <f>Withdrawals_Data!B418</f>
        <v>DA-001-M0011</v>
      </c>
      <c r="G930" s="24">
        <f>Withdrawals_Data!C418</f>
        <v>45427</v>
      </c>
      <c r="H930" s="27">
        <v>0</v>
      </c>
      <c r="I930" s="27">
        <f>-Withdrawals_Data!D418</f>
        <v>-4651</v>
      </c>
    </row>
    <row r="931" spans="3:9">
      <c r="C931" s="23">
        <v>924</v>
      </c>
      <c r="D931" s="23" t="s">
        <v>132</v>
      </c>
      <c r="E931" s="23" t="str">
        <f>Contributions_Data!A75</f>
        <v>DA-003</v>
      </c>
      <c r="F931" s="23" t="str">
        <f>Contributions_Data!B75</f>
        <v>DA-003-M0007</v>
      </c>
      <c r="G931" s="24">
        <f>Contributions_Data!C75</f>
        <v>45428</v>
      </c>
      <c r="H931" s="27">
        <f>Contributions_Data!D75</f>
        <v>15830.07</v>
      </c>
      <c r="I931" s="27">
        <v>0</v>
      </c>
    </row>
    <row r="932" spans="3:9">
      <c r="C932" s="23">
        <v>925</v>
      </c>
      <c r="D932" s="23" t="s">
        <v>132</v>
      </c>
      <c r="E932" s="23" t="str">
        <f>Contributions_Data!A339</f>
        <v>DA-003</v>
      </c>
      <c r="F932" s="23" t="str">
        <f>Contributions_Data!B339</f>
        <v>DA-003-M0029</v>
      </c>
      <c r="G932" s="24">
        <f>Contributions_Data!C339</f>
        <v>45428</v>
      </c>
      <c r="H932" s="27">
        <f>Contributions_Data!D339</f>
        <v>12067.33</v>
      </c>
      <c r="I932" s="27">
        <v>0</v>
      </c>
    </row>
    <row r="933" spans="3:9">
      <c r="C933" s="23">
        <v>926</v>
      </c>
      <c r="D933" s="23" t="s">
        <v>134</v>
      </c>
      <c r="E933" s="23" t="str">
        <f>Withdrawals_Data!A211</f>
        <v>DA-001</v>
      </c>
      <c r="F933" s="23" t="str">
        <f>Withdrawals_Data!B211</f>
        <v>DA-001-M0009</v>
      </c>
      <c r="G933" s="24">
        <f>Withdrawals_Data!C211</f>
        <v>45428</v>
      </c>
      <c r="H933" s="27">
        <v>0</v>
      </c>
      <c r="I933" s="27">
        <f>-Withdrawals_Data!D211</f>
        <v>-7052.73</v>
      </c>
    </row>
    <row r="934" spans="3:9">
      <c r="C934" s="23">
        <v>927</v>
      </c>
      <c r="D934" s="23" t="s">
        <v>132</v>
      </c>
      <c r="E934" s="23" t="str">
        <f>Contributions_Data!A36</f>
        <v>DA-002</v>
      </c>
      <c r="F934" s="23" t="str">
        <f>Contributions_Data!B36</f>
        <v>DA-002-M0003</v>
      </c>
      <c r="G934" s="24">
        <f>Contributions_Data!C36</f>
        <v>45429</v>
      </c>
      <c r="H934" s="27">
        <f>Contributions_Data!D36</f>
        <v>17255.8</v>
      </c>
      <c r="I934" s="27">
        <v>0</v>
      </c>
    </row>
    <row r="935" spans="3:9">
      <c r="C935" s="23">
        <v>928</v>
      </c>
      <c r="D935" s="23" t="s">
        <v>132</v>
      </c>
      <c r="E935" s="23" t="str">
        <f>Contributions_Data!A59</f>
        <v>DA-003</v>
      </c>
      <c r="F935" s="23" t="str">
        <f>Contributions_Data!B59</f>
        <v>DA-003-M0005</v>
      </c>
      <c r="G935" s="24">
        <f>Contributions_Data!C59</f>
        <v>45429</v>
      </c>
      <c r="H935" s="27">
        <f>Contributions_Data!D59</f>
        <v>15696.76</v>
      </c>
      <c r="I935" s="27">
        <v>0</v>
      </c>
    </row>
    <row r="936" spans="3:9">
      <c r="C936" s="23">
        <v>929</v>
      </c>
      <c r="D936" s="23" t="s">
        <v>132</v>
      </c>
      <c r="E936" s="23" t="str">
        <f>Contributions_Data!A730</f>
        <v>DA-003</v>
      </c>
      <c r="F936" s="23" t="str">
        <f>Contributions_Data!B730</f>
        <v>DA-003-M0061</v>
      </c>
      <c r="G936" s="24">
        <f>Contributions_Data!C730</f>
        <v>45429</v>
      </c>
      <c r="H936" s="27">
        <f>Contributions_Data!D730</f>
        <v>18148.66</v>
      </c>
      <c r="I936" s="27">
        <v>0</v>
      </c>
    </row>
    <row r="937" spans="3:9">
      <c r="C937" s="23">
        <v>930</v>
      </c>
      <c r="D937" s="23" t="s">
        <v>132</v>
      </c>
      <c r="E937" s="23" t="str">
        <f>Contributions_Data!A1007</f>
        <v>DA-003</v>
      </c>
      <c r="F937" s="23" t="str">
        <f>Contributions_Data!B1007</f>
        <v>DA-003-M0084</v>
      </c>
      <c r="G937" s="24">
        <f>Contributions_Data!C1007</f>
        <v>45429</v>
      </c>
      <c r="H937" s="27">
        <f>Contributions_Data!D1007</f>
        <v>18589.71</v>
      </c>
      <c r="I937" s="27">
        <v>0</v>
      </c>
    </row>
    <row r="938" spans="3:9">
      <c r="C938" s="23">
        <v>931</v>
      </c>
      <c r="D938" s="23" t="s">
        <v>134</v>
      </c>
      <c r="E938" s="23" t="str">
        <f>Withdrawals_Data!A4</f>
        <v>DA-001</v>
      </c>
      <c r="F938" s="23" t="str">
        <f>Withdrawals_Data!B4</f>
        <v>DA-001-M0071</v>
      </c>
      <c r="G938" s="24">
        <f>Withdrawals_Data!C4</f>
        <v>45429</v>
      </c>
      <c r="H938" s="27">
        <v>0</v>
      </c>
      <c r="I938" s="27">
        <f>-Withdrawals_Data!D4</f>
        <v>-17009.740000000002</v>
      </c>
    </row>
    <row r="939" spans="3:9">
      <c r="C939" s="23">
        <v>932</v>
      </c>
      <c r="D939" s="23" t="s">
        <v>134</v>
      </c>
      <c r="E939" s="23" t="str">
        <f>Withdrawals_Data!A233</f>
        <v>DA-001</v>
      </c>
      <c r="F939" s="23" t="str">
        <f>Withdrawals_Data!B233</f>
        <v>DA-001-M0004</v>
      </c>
      <c r="G939" s="24">
        <f>Withdrawals_Data!C233</f>
        <v>45429</v>
      </c>
      <c r="H939" s="27">
        <v>0</v>
      </c>
      <c r="I939" s="27">
        <f>-Withdrawals_Data!D233</f>
        <v>-5986.1</v>
      </c>
    </row>
    <row r="940" spans="3:9">
      <c r="C940" s="23">
        <v>933</v>
      </c>
      <c r="D940" s="23" t="s">
        <v>134</v>
      </c>
      <c r="E940" s="23" t="str">
        <f>Withdrawals_Data!A812</f>
        <v>DA-001</v>
      </c>
      <c r="F940" s="23" t="str">
        <f>Withdrawals_Data!B812</f>
        <v>DA-001-M0056</v>
      </c>
      <c r="G940" s="24">
        <f>Withdrawals_Data!C812</f>
        <v>45429</v>
      </c>
      <c r="H940" s="27">
        <v>0</v>
      </c>
      <c r="I940" s="27">
        <f>-Withdrawals_Data!D812</f>
        <v>-6496</v>
      </c>
    </row>
    <row r="941" spans="3:9">
      <c r="C941" s="23">
        <v>934</v>
      </c>
      <c r="D941" s="23" t="s">
        <v>134</v>
      </c>
      <c r="E941" s="23" t="str">
        <f>Withdrawals_Data!A895</f>
        <v>DA-002</v>
      </c>
      <c r="F941" s="23" t="str">
        <f>Withdrawals_Data!B895</f>
        <v>DA-002-M0064</v>
      </c>
      <c r="G941" s="24">
        <f>Withdrawals_Data!C895</f>
        <v>45429</v>
      </c>
      <c r="H941" s="27">
        <v>0</v>
      </c>
      <c r="I941" s="27">
        <f>-Withdrawals_Data!D895</f>
        <v>-15089</v>
      </c>
    </row>
    <row r="942" spans="3:9">
      <c r="C942" s="23">
        <v>935</v>
      </c>
      <c r="D942" s="23" t="s">
        <v>134</v>
      </c>
      <c r="E942" s="23" t="str">
        <f>Withdrawals_Data!A1064</f>
        <v>DA-002</v>
      </c>
      <c r="F942" s="23" t="str">
        <f>Withdrawals_Data!B1064</f>
        <v>DA-002-M0085</v>
      </c>
      <c r="G942" s="24">
        <f>Withdrawals_Data!C1064</f>
        <v>45429</v>
      </c>
      <c r="H942" s="27">
        <v>0</v>
      </c>
      <c r="I942" s="27">
        <f>-Withdrawals_Data!D1064</f>
        <v>-5035</v>
      </c>
    </row>
    <row r="943" spans="3:9">
      <c r="C943" s="23">
        <v>936</v>
      </c>
      <c r="D943" s="23" t="s">
        <v>134</v>
      </c>
      <c r="E943" s="23" t="str">
        <f>Withdrawals_Data!A1132</f>
        <v>DA-001</v>
      </c>
      <c r="F943" s="23" t="str">
        <f>Withdrawals_Data!B1132</f>
        <v>DA-001-M0092</v>
      </c>
      <c r="G943" s="24">
        <f>Withdrawals_Data!C1132</f>
        <v>45429</v>
      </c>
      <c r="H943" s="27">
        <v>0</v>
      </c>
      <c r="I943" s="27">
        <f>-Withdrawals_Data!D1132</f>
        <v>-18787</v>
      </c>
    </row>
    <row r="944" spans="3:9">
      <c r="C944" s="23">
        <v>937</v>
      </c>
      <c r="D944" s="23" t="s">
        <v>132</v>
      </c>
      <c r="E944" s="23" t="str">
        <f>Contributions_Data!A91</f>
        <v>DA-003</v>
      </c>
      <c r="F944" s="23" t="str">
        <f>Contributions_Data!B91</f>
        <v>DA-003-M0008</v>
      </c>
      <c r="G944" s="24">
        <f>Contributions_Data!C91</f>
        <v>45430</v>
      </c>
      <c r="H944" s="27">
        <f>Contributions_Data!D91</f>
        <v>12348.43</v>
      </c>
      <c r="I944" s="27">
        <v>0</v>
      </c>
    </row>
    <row r="945" spans="3:9">
      <c r="C945" s="23">
        <v>938</v>
      </c>
      <c r="D945" s="23" t="s">
        <v>132</v>
      </c>
      <c r="E945" s="23" t="str">
        <f>Contributions_Data!A201</f>
        <v>DA-002</v>
      </c>
      <c r="F945" s="23" t="str">
        <f>Contributions_Data!B201</f>
        <v>DA-002-M0017</v>
      </c>
      <c r="G945" s="24">
        <f>Contributions_Data!C201</f>
        <v>45430</v>
      </c>
      <c r="H945" s="27">
        <f>Contributions_Data!D201</f>
        <v>13479.17</v>
      </c>
      <c r="I945" s="27">
        <v>0</v>
      </c>
    </row>
    <row r="946" spans="3:9">
      <c r="C946" s="23">
        <v>939</v>
      </c>
      <c r="D946" s="23" t="s">
        <v>134</v>
      </c>
      <c r="E946" s="23" t="str">
        <f>Withdrawals_Data!A688</f>
        <v>DA-002</v>
      </c>
      <c r="F946" s="23" t="str">
        <f>Withdrawals_Data!B688</f>
        <v>DA-002-M0042</v>
      </c>
      <c r="G946" s="24">
        <f>Withdrawals_Data!C688</f>
        <v>45430</v>
      </c>
      <c r="H946" s="27">
        <v>0</v>
      </c>
      <c r="I946" s="27">
        <f>-Withdrawals_Data!D688</f>
        <v>-2654</v>
      </c>
    </row>
    <row r="947" spans="3:9">
      <c r="C947" s="23">
        <v>940</v>
      </c>
      <c r="D947" s="23" t="s">
        <v>134</v>
      </c>
      <c r="E947" s="23" t="str">
        <f>Withdrawals_Data!A886</f>
        <v>DA-002</v>
      </c>
      <c r="F947" s="23" t="str">
        <f>Withdrawals_Data!B886</f>
        <v>DA-002-M0063</v>
      </c>
      <c r="G947" s="24">
        <f>Withdrawals_Data!C886</f>
        <v>45430</v>
      </c>
      <c r="H947" s="27">
        <v>0</v>
      </c>
      <c r="I947" s="27">
        <f>-Withdrawals_Data!D886</f>
        <v>-3992</v>
      </c>
    </row>
    <row r="948" spans="3:9">
      <c r="C948" s="23">
        <v>941</v>
      </c>
      <c r="D948" s="23" t="s">
        <v>134</v>
      </c>
      <c r="E948" s="23" t="str">
        <f>Withdrawals_Data!A914</f>
        <v>DA-002</v>
      </c>
      <c r="F948" s="23" t="str">
        <f>Withdrawals_Data!B914</f>
        <v>DA-002-M0067</v>
      </c>
      <c r="G948" s="24">
        <f>Withdrawals_Data!C914</f>
        <v>45430</v>
      </c>
      <c r="H948" s="27">
        <v>0</v>
      </c>
      <c r="I948" s="27">
        <f>-Withdrawals_Data!D914</f>
        <v>-20543</v>
      </c>
    </row>
    <row r="949" spans="3:9">
      <c r="C949" s="23">
        <v>942</v>
      </c>
      <c r="D949" s="23" t="s">
        <v>134</v>
      </c>
      <c r="E949" s="23" t="str">
        <f>Withdrawals_Data!A216</f>
        <v>DA-002</v>
      </c>
      <c r="F949" s="23" t="str">
        <f>Withdrawals_Data!B216</f>
        <v>DA-002-M0037</v>
      </c>
      <c r="G949" s="24">
        <f>Withdrawals_Data!C216</f>
        <v>45431</v>
      </c>
      <c r="H949" s="27">
        <v>0</v>
      </c>
      <c r="I949" s="27">
        <f>-Withdrawals_Data!D216</f>
        <v>-6909.11</v>
      </c>
    </row>
    <row r="950" spans="3:9">
      <c r="C950" s="23">
        <v>943</v>
      </c>
      <c r="D950" s="23" t="s">
        <v>134</v>
      </c>
      <c r="E950" s="23" t="str">
        <f>Withdrawals_Data!A346</f>
        <v>DA-001</v>
      </c>
      <c r="F950" s="23" t="str">
        <f>Withdrawals_Data!B346</f>
        <v>DA-001-M0002</v>
      </c>
      <c r="G950" s="24">
        <f>Withdrawals_Data!C346</f>
        <v>45431</v>
      </c>
      <c r="H950" s="27">
        <v>0</v>
      </c>
      <c r="I950" s="27">
        <f>-Withdrawals_Data!D346</f>
        <v>-19552</v>
      </c>
    </row>
    <row r="951" spans="3:9">
      <c r="C951" s="23">
        <v>944</v>
      </c>
      <c r="D951" s="23" t="s">
        <v>132</v>
      </c>
      <c r="E951" s="23" t="str">
        <f>Contributions_Data!A368</f>
        <v>DA-003</v>
      </c>
      <c r="F951" s="23" t="str">
        <f>Contributions_Data!B368</f>
        <v>DA-003-M0031</v>
      </c>
      <c r="G951" s="24">
        <f>Contributions_Data!C368</f>
        <v>45432</v>
      </c>
      <c r="H951" s="27">
        <f>Contributions_Data!D368</f>
        <v>13537.18</v>
      </c>
      <c r="I951" s="27">
        <v>0</v>
      </c>
    </row>
    <row r="952" spans="3:9">
      <c r="C952" s="23">
        <v>945</v>
      </c>
      <c r="D952" s="23" t="s">
        <v>132</v>
      </c>
      <c r="E952" s="23" t="str">
        <f>Contributions_Data!A573</f>
        <v>DA-003</v>
      </c>
      <c r="F952" s="23" t="str">
        <f>Contributions_Data!B573</f>
        <v>DA-003-M0048</v>
      </c>
      <c r="G952" s="24">
        <f>Contributions_Data!C573</f>
        <v>45432</v>
      </c>
      <c r="H952" s="27">
        <f>Contributions_Data!D573</f>
        <v>18095.53</v>
      </c>
      <c r="I952" s="27">
        <v>0</v>
      </c>
    </row>
    <row r="953" spans="3:9">
      <c r="C953" s="23">
        <v>946</v>
      </c>
      <c r="D953" s="23" t="s">
        <v>134</v>
      </c>
      <c r="E953" s="23" t="str">
        <f>Withdrawals_Data!A285</f>
        <v>DA-003</v>
      </c>
      <c r="F953" s="23" t="str">
        <f>Withdrawals_Data!B285</f>
        <v>DA-003-M0036</v>
      </c>
      <c r="G953" s="24">
        <f>Withdrawals_Data!C285</f>
        <v>45432</v>
      </c>
      <c r="H953" s="27">
        <v>0</v>
      </c>
      <c r="I953" s="27">
        <f>-Withdrawals_Data!D285</f>
        <v>-3951.58</v>
      </c>
    </row>
    <row r="954" spans="3:9">
      <c r="C954" s="23">
        <v>947</v>
      </c>
      <c r="D954" s="23" t="s">
        <v>134</v>
      </c>
      <c r="E954" s="23" t="str">
        <f>Withdrawals_Data!A342</f>
        <v>DA-003</v>
      </c>
      <c r="F954" s="23" t="str">
        <f>Withdrawals_Data!B342</f>
        <v>DA-003-M0001</v>
      </c>
      <c r="G954" s="24">
        <f>Withdrawals_Data!C342</f>
        <v>45432</v>
      </c>
      <c r="H954" s="27">
        <v>0</v>
      </c>
      <c r="I954" s="27">
        <f>-Withdrawals_Data!D342</f>
        <v>-5691</v>
      </c>
    </row>
    <row r="955" spans="3:9">
      <c r="C955" s="23">
        <v>948</v>
      </c>
      <c r="D955" s="23" t="s">
        <v>134</v>
      </c>
      <c r="E955" s="23" t="str">
        <f>Withdrawals_Data!A490</f>
        <v>DA-002</v>
      </c>
      <c r="F955" s="23" t="str">
        <f>Withdrawals_Data!B490</f>
        <v>DA-002-M0020</v>
      </c>
      <c r="G955" s="24">
        <f>Withdrawals_Data!C490</f>
        <v>45432</v>
      </c>
      <c r="H955" s="27">
        <v>0</v>
      </c>
      <c r="I955" s="27">
        <f>-Withdrawals_Data!D490</f>
        <v>-21423</v>
      </c>
    </row>
    <row r="956" spans="3:9">
      <c r="C956" s="23">
        <v>949</v>
      </c>
      <c r="D956" s="23" t="s">
        <v>134</v>
      </c>
      <c r="E956" s="23" t="str">
        <f>Withdrawals_Data!A676</f>
        <v>DA-002</v>
      </c>
      <c r="F956" s="23" t="str">
        <f>Withdrawals_Data!B676</f>
        <v>DA-002-M0041</v>
      </c>
      <c r="G956" s="24">
        <f>Withdrawals_Data!C676</f>
        <v>45432</v>
      </c>
      <c r="H956" s="27">
        <v>0</v>
      </c>
      <c r="I956" s="27">
        <f>-Withdrawals_Data!D676</f>
        <v>-16997</v>
      </c>
    </row>
    <row r="957" spans="3:9">
      <c r="C957" s="23">
        <v>950</v>
      </c>
      <c r="D957" s="23" t="s">
        <v>132</v>
      </c>
      <c r="E957" s="23" t="str">
        <f>Contributions_Data!A257</f>
        <v>DA-001</v>
      </c>
      <c r="F957" s="23" t="str">
        <f>Contributions_Data!B257</f>
        <v>DA-001-M0022</v>
      </c>
      <c r="G957" s="24">
        <f>Contributions_Data!C257</f>
        <v>45433</v>
      </c>
      <c r="H957" s="27">
        <f>Contributions_Data!D257</f>
        <v>10397.66</v>
      </c>
      <c r="I957" s="27">
        <v>0</v>
      </c>
    </row>
    <row r="958" spans="3:9">
      <c r="C958" s="23">
        <v>951</v>
      </c>
      <c r="D958" s="23" t="s">
        <v>132</v>
      </c>
      <c r="E958" s="23" t="str">
        <f>Contributions_Data!A744</f>
        <v>DA-002</v>
      </c>
      <c r="F958" s="23" t="str">
        <f>Contributions_Data!B744</f>
        <v>DA-002-M0062</v>
      </c>
      <c r="G958" s="24">
        <f>Contributions_Data!C744</f>
        <v>45433</v>
      </c>
      <c r="H958" s="27">
        <f>Contributions_Data!D744</f>
        <v>16308.97</v>
      </c>
      <c r="I958" s="27">
        <v>0</v>
      </c>
    </row>
    <row r="959" spans="3:9">
      <c r="C959" s="23">
        <v>952</v>
      </c>
      <c r="D959" s="23" t="s">
        <v>134</v>
      </c>
      <c r="E959" s="23" t="str">
        <f>Withdrawals_Data!A762</f>
        <v>DA-002</v>
      </c>
      <c r="F959" s="23" t="str">
        <f>Withdrawals_Data!B762</f>
        <v>DA-002-M0050</v>
      </c>
      <c r="G959" s="24">
        <f>Withdrawals_Data!C762</f>
        <v>45433</v>
      </c>
      <c r="H959" s="27">
        <v>0</v>
      </c>
      <c r="I959" s="27">
        <f>-Withdrawals_Data!D762</f>
        <v>-19795</v>
      </c>
    </row>
    <row r="960" spans="3:9">
      <c r="C960" s="23">
        <v>953</v>
      </c>
      <c r="D960" s="23" t="s">
        <v>132</v>
      </c>
      <c r="E960" s="23" t="str">
        <f>Contributions_Data!A149</f>
        <v>DA-003</v>
      </c>
      <c r="F960" s="23" t="str">
        <f>Contributions_Data!B149</f>
        <v>DA-003-M0013</v>
      </c>
      <c r="G960" s="24">
        <f>Contributions_Data!C149</f>
        <v>45434</v>
      </c>
      <c r="H960" s="27">
        <f>Contributions_Data!D149</f>
        <v>16386.310000000001</v>
      </c>
      <c r="I960" s="27">
        <v>0</v>
      </c>
    </row>
    <row r="961" spans="3:9">
      <c r="C961" s="23">
        <v>954</v>
      </c>
      <c r="D961" s="23" t="s">
        <v>132</v>
      </c>
      <c r="E961" s="23" t="str">
        <f>Contributions_Data!A967</f>
        <v>DA-003</v>
      </c>
      <c r="F961" s="23" t="str">
        <f>Contributions_Data!B967</f>
        <v>DA-003-M0081</v>
      </c>
      <c r="G961" s="24">
        <f>Contributions_Data!C967</f>
        <v>45434</v>
      </c>
      <c r="H961" s="27">
        <f>Contributions_Data!D967</f>
        <v>11804.66</v>
      </c>
      <c r="I961" s="27">
        <v>0</v>
      </c>
    </row>
    <row r="962" spans="3:9">
      <c r="C962" s="23">
        <v>955</v>
      </c>
      <c r="D962" s="23" t="s">
        <v>132</v>
      </c>
      <c r="E962" s="23" t="str">
        <f>Contributions_Data!A1042</f>
        <v>DA-001</v>
      </c>
      <c r="F962" s="23" t="str">
        <f>Contributions_Data!B1042</f>
        <v>DA-001-M0087</v>
      </c>
      <c r="G962" s="24">
        <f>Contributions_Data!C1042</f>
        <v>45434</v>
      </c>
      <c r="H962" s="27">
        <f>Contributions_Data!D1042</f>
        <v>12729.61</v>
      </c>
      <c r="I962" s="27">
        <v>0</v>
      </c>
    </row>
    <row r="963" spans="3:9">
      <c r="C963" s="23">
        <v>956</v>
      </c>
      <c r="D963" s="23" t="s">
        <v>134</v>
      </c>
      <c r="E963" s="23" t="str">
        <f>Withdrawals_Data!A441</f>
        <v>DA-003</v>
      </c>
      <c r="F963" s="23" t="str">
        <f>Withdrawals_Data!B441</f>
        <v>DA-003-M0014</v>
      </c>
      <c r="G963" s="24">
        <f>Withdrawals_Data!C441</f>
        <v>45434</v>
      </c>
      <c r="H963" s="27">
        <v>0</v>
      </c>
      <c r="I963" s="27">
        <f>-Withdrawals_Data!D441</f>
        <v>-16448</v>
      </c>
    </row>
    <row r="964" spans="3:9">
      <c r="C964" s="23">
        <v>957</v>
      </c>
      <c r="D964" s="23" t="s">
        <v>134</v>
      </c>
      <c r="E964" s="23" t="str">
        <f>Withdrawals_Data!A720</f>
        <v>DA-003</v>
      </c>
      <c r="F964" s="23" t="str">
        <f>Withdrawals_Data!B720</f>
        <v>DA-003-M0045</v>
      </c>
      <c r="G964" s="24">
        <f>Withdrawals_Data!C720</f>
        <v>45434</v>
      </c>
      <c r="H964" s="27">
        <v>0</v>
      </c>
      <c r="I964" s="27">
        <f>-Withdrawals_Data!D720</f>
        <v>-3494</v>
      </c>
    </row>
    <row r="965" spans="3:9">
      <c r="C965" s="23">
        <v>958</v>
      </c>
      <c r="D965" s="23" t="s">
        <v>134</v>
      </c>
      <c r="E965" s="23" t="str">
        <f>Withdrawals_Data!A913</f>
        <v>DA-002</v>
      </c>
      <c r="F965" s="23" t="str">
        <f>Withdrawals_Data!B913</f>
        <v>DA-002-M0067</v>
      </c>
      <c r="G965" s="24">
        <f>Withdrawals_Data!C913</f>
        <v>45434</v>
      </c>
      <c r="H965" s="27">
        <v>0</v>
      </c>
      <c r="I965" s="27">
        <f>-Withdrawals_Data!D913</f>
        <v>-19268</v>
      </c>
    </row>
    <row r="966" spans="3:9">
      <c r="C966" s="23">
        <v>959</v>
      </c>
      <c r="D966" s="23" t="s">
        <v>132</v>
      </c>
      <c r="E966" s="23" t="str">
        <f>Contributions_Data!A569</f>
        <v>DA-003</v>
      </c>
      <c r="F966" s="23" t="str">
        <f>Contributions_Data!B569</f>
        <v>DA-003-M0048</v>
      </c>
      <c r="G966" s="24">
        <f>Contributions_Data!C569</f>
        <v>45435</v>
      </c>
      <c r="H966" s="27">
        <f>Contributions_Data!D569</f>
        <v>12316.18</v>
      </c>
      <c r="I966" s="27">
        <v>0</v>
      </c>
    </row>
    <row r="967" spans="3:9">
      <c r="C967" s="23">
        <v>960</v>
      </c>
      <c r="D967" s="23" t="s">
        <v>132</v>
      </c>
      <c r="E967" s="23" t="str">
        <f>Contributions_Data!A745</f>
        <v>DA-002</v>
      </c>
      <c r="F967" s="23" t="str">
        <f>Contributions_Data!B745</f>
        <v>DA-002-M0062</v>
      </c>
      <c r="G967" s="24">
        <f>Contributions_Data!C745</f>
        <v>45435</v>
      </c>
      <c r="H967" s="27">
        <f>Contributions_Data!D745</f>
        <v>15114.01</v>
      </c>
      <c r="I967" s="27">
        <v>0</v>
      </c>
    </row>
    <row r="968" spans="3:9">
      <c r="C968" s="23">
        <v>961</v>
      </c>
      <c r="D968" s="23" t="s">
        <v>132</v>
      </c>
      <c r="E968" s="23" t="str">
        <f>Contributions_Data!A796</f>
        <v>DA-002</v>
      </c>
      <c r="F968" s="23" t="str">
        <f>Contributions_Data!B796</f>
        <v>DA-002-M0067</v>
      </c>
      <c r="G968" s="24">
        <f>Contributions_Data!C796</f>
        <v>45435</v>
      </c>
      <c r="H968" s="27">
        <f>Contributions_Data!D796</f>
        <v>15155.84</v>
      </c>
      <c r="I968" s="27">
        <v>0</v>
      </c>
    </row>
    <row r="969" spans="3:9">
      <c r="C969" s="23">
        <v>962</v>
      </c>
      <c r="D969" s="23" t="s">
        <v>132</v>
      </c>
      <c r="E969" s="23" t="str">
        <f>Contributions_Data!A970</f>
        <v>DA-003</v>
      </c>
      <c r="F969" s="23" t="str">
        <f>Contributions_Data!B970</f>
        <v>DA-003-M0081</v>
      </c>
      <c r="G969" s="24">
        <f>Contributions_Data!C970</f>
        <v>45435</v>
      </c>
      <c r="H969" s="27">
        <f>Contributions_Data!D970</f>
        <v>16589.080000000002</v>
      </c>
      <c r="I969" s="27">
        <v>0</v>
      </c>
    </row>
    <row r="970" spans="3:9">
      <c r="C970" s="23">
        <v>963</v>
      </c>
      <c r="D970" s="23" t="s">
        <v>132</v>
      </c>
      <c r="E970" s="23" t="str">
        <f>Contributions_Data!A1003</f>
        <v>DA-003</v>
      </c>
      <c r="F970" s="23" t="str">
        <f>Contributions_Data!B1003</f>
        <v>DA-003-M0084</v>
      </c>
      <c r="G970" s="24">
        <f>Contributions_Data!C1003</f>
        <v>45435</v>
      </c>
      <c r="H970" s="27">
        <f>Contributions_Data!D1003</f>
        <v>15550.08</v>
      </c>
      <c r="I970" s="27">
        <v>0</v>
      </c>
    </row>
    <row r="971" spans="3:9">
      <c r="C971" s="23">
        <v>964</v>
      </c>
      <c r="D971" s="23" t="s">
        <v>134</v>
      </c>
      <c r="E971" s="23" t="str">
        <f>Withdrawals_Data!A820</f>
        <v>DA-002</v>
      </c>
      <c r="F971" s="23" t="str">
        <f>Withdrawals_Data!B820</f>
        <v>DA-002-M0057</v>
      </c>
      <c r="G971" s="24">
        <f>Withdrawals_Data!C820</f>
        <v>45435</v>
      </c>
      <c r="H971" s="27">
        <v>0</v>
      </c>
      <c r="I971" s="27">
        <f>-Withdrawals_Data!D820</f>
        <v>-15026</v>
      </c>
    </row>
    <row r="972" spans="3:9">
      <c r="C972" s="23">
        <v>965</v>
      </c>
      <c r="D972" s="23" t="s">
        <v>132</v>
      </c>
      <c r="E972" s="23" t="str">
        <f>Contributions_Data!A283</f>
        <v>DA-001</v>
      </c>
      <c r="F972" s="23" t="str">
        <f>Contributions_Data!B283</f>
        <v>DA-001-M0024</v>
      </c>
      <c r="G972" s="24">
        <f>Contributions_Data!C283</f>
        <v>45436</v>
      </c>
      <c r="H972" s="27">
        <f>Contributions_Data!D283</f>
        <v>14732.64</v>
      </c>
      <c r="I972" s="27">
        <v>0</v>
      </c>
    </row>
    <row r="973" spans="3:9">
      <c r="C973" s="23">
        <v>966</v>
      </c>
      <c r="D973" s="23" t="s">
        <v>132</v>
      </c>
      <c r="E973" s="23" t="str">
        <f>Contributions_Data!A428</f>
        <v>DA-003</v>
      </c>
      <c r="F973" s="23" t="str">
        <f>Contributions_Data!B428</f>
        <v>DA-003-M0036</v>
      </c>
      <c r="G973" s="24">
        <f>Contributions_Data!C428</f>
        <v>45436</v>
      </c>
      <c r="H973" s="27">
        <f>Contributions_Data!D428</f>
        <v>9922.61</v>
      </c>
      <c r="I973" s="27">
        <v>0</v>
      </c>
    </row>
    <row r="974" spans="3:9">
      <c r="C974" s="23">
        <v>967</v>
      </c>
      <c r="D974" s="23" t="s">
        <v>132</v>
      </c>
      <c r="E974" s="23" t="str">
        <f>Contributions_Data!A485</f>
        <v>DA-002</v>
      </c>
      <c r="F974" s="23" t="str">
        <f>Contributions_Data!B485</f>
        <v>DA-002-M0041</v>
      </c>
      <c r="G974" s="24">
        <f>Contributions_Data!C485</f>
        <v>45436</v>
      </c>
      <c r="H974" s="27">
        <f>Contributions_Data!D485</f>
        <v>11158.71</v>
      </c>
      <c r="I974" s="27">
        <v>0</v>
      </c>
    </row>
    <row r="975" spans="3:9">
      <c r="C975" s="23">
        <v>968</v>
      </c>
      <c r="D975" s="23" t="s">
        <v>132</v>
      </c>
      <c r="E975" s="23" t="str">
        <f>Contributions_Data!A616</f>
        <v>DA-003</v>
      </c>
      <c r="F975" s="23" t="str">
        <f>Contributions_Data!B616</f>
        <v>DA-003-M0052</v>
      </c>
      <c r="G975" s="24">
        <f>Contributions_Data!C616</f>
        <v>45436</v>
      </c>
      <c r="H975" s="27">
        <f>Contributions_Data!D616</f>
        <v>15857.6</v>
      </c>
      <c r="I975" s="27">
        <v>0</v>
      </c>
    </row>
    <row r="976" spans="3:9">
      <c r="C976" s="23">
        <v>969</v>
      </c>
      <c r="D976" s="23" t="s">
        <v>132</v>
      </c>
      <c r="E976" s="23" t="str">
        <f>Contributions_Data!A1191</f>
        <v>DA-003</v>
      </c>
      <c r="F976" s="23" t="str">
        <f>Contributions_Data!B1191</f>
        <v>DA-003-M0100</v>
      </c>
      <c r="G976" s="24">
        <f>Contributions_Data!C1191</f>
        <v>45436</v>
      </c>
      <c r="H976" s="27">
        <f>Contributions_Data!D1191</f>
        <v>19124.63</v>
      </c>
      <c r="I976" s="27">
        <v>0</v>
      </c>
    </row>
    <row r="977" spans="3:9">
      <c r="C977" s="23">
        <v>970</v>
      </c>
      <c r="D977" s="23" t="s">
        <v>134</v>
      </c>
      <c r="E977" s="23" t="str">
        <f>Withdrawals_Data!A693</f>
        <v>DA-002</v>
      </c>
      <c r="F977" s="23" t="str">
        <f>Withdrawals_Data!B693</f>
        <v>DA-002-M0042</v>
      </c>
      <c r="G977" s="24">
        <f>Withdrawals_Data!C693</f>
        <v>45436</v>
      </c>
      <c r="H977" s="27">
        <v>0</v>
      </c>
      <c r="I977" s="27">
        <f>-Withdrawals_Data!D693</f>
        <v>-9377</v>
      </c>
    </row>
    <row r="978" spans="3:9">
      <c r="C978" s="23">
        <v>971</v>
      </c>
      <c r="D978" s="23" t="s">
        <v>132</v>
      </c>
      <c r="E978" s="23" t="str">
        <f>Contributions_Data!A275</f>
        <v>DA-002</v>
      </c>
      <c r="F978" s="23" t="str">
        <f>Contributions_Data!B275</f>
        <v>DA-002-M0023</v>
      </c>
      <c r="G978" s="24">
        <f>Contributions_Data!C275</f>
        <v>45437</v>
      </c>
      <c r="H978" s="27">
        <f>Contributions_Data!D275</f>
        <v>19507.07</v>
      </c>
      <c r="I978" s="27">
        <v>0</v>
      </c>
    </row>
    <row r="979" spans="3:9">
      <c r="C979" s="23">
        <v>972</v>
      </c>
      <c r="D979" s="23" t="s">
        <v>132</v>
      </c>
      <c r="E979" s="23" t="str">
        <f>Contributions_Data!A380</f>
        <v>DA-003</v>
      </c>
      <c r="F979" s="23" t="str">
        <f>Contributions_Data!B380</f>
        <v>DA-003-M0032</v>
      </c>
      <c r="G979" s="24">
        <f>Contributions_Data!C380</f>
        <v>45437</v>
      </c>
      <c r="H979" s="27">
        <f>Contributions_Data!D380</f>
        <v>15055.26</v>
      </c>
      <c r="I979" s="27">
        <v>0</v>
      </c>
    </row>
    <row r="980" spans="3:9">
      <c r="C980" s="23">
        <v>973</v>
      </c>
      <c r="D980" s="23" t="s">
        <v>132</v>
      </c>
      <c r="E980" s="23" t="str">
        <f>Contributions_Data!A389</f>
        <v>DA-002</v>
      </c>
      <c r="F980" s="23" t="str">
        <f>Contributions_Data!B389</f>
        <v>DA-002-M0033</v>
      </c>
      <c r="G980" s="24">
        <f>Contributions_Data!C389</f>
        <v>45437</v>
      </c>
      <c r="H980" s="27">
        <f>Contributions_Data!D389</f>
        <v>16015.49</v>
      </c>
      <c r="I980" s="27">
        <v>0</v>
      </c>
    </row>
    <row r="981" spans="3:9">
      <c r="C981" s="23">
        <v>974</v>
      </c>
      <c r="D981" s="23" t="s">
        <v>134</v>
      </c>
      <c r="E981" s="23" t="str">
        <f>Withdrawals_Data!A312</f>
        <v>DA-001</v>
      </c>
      <c r="F981" s="23" t="str">
        <f>Withdrawals_Data!B312</f>
        <v>DA-001-M0024</v>
      </c>
      <c r="G981" s="24">
        <f>Withdrawals_Data!C312</f>
        <v>45437</v>
      </c>
      <c r="H981" s="27">
        <v>0</v>
      </c>
      <c r="I981" s="27">
        <f>-Withdrawals_Data!D312</f>
        <v>-2782.12</v>
      </c>
    </row>
    <row r="982" spans="3:9">
      <c r="C982" s="23">
        <v>975</v>
      </c>
      <c r="D982" s="23" t="s">
        <v>134</v>
      </c>
      <c r="E982" s="23" t="str">
        <f>Withdrawals_Data!A481</f>
        <v>DA-001</v>
      </c>
      <c r="F982" s="23" t="str">
        <f>Withdrawals_Data!B481</f>
        <v>DA-001-M0019</v>
      </c>
      <c r="G982" s="24">
        <f>Withdrawals_Data!C481</f>
        <v>45437</v>
      </c>
      <c r="H982" s="27">
        <v>0</v>
      </c>
      <c r="I982" s="27">
        <f>-Withdrawals_Data!D481</f>
        <v>-11074</v>
      </c>
    </row>
    <row r="983" spans="3:9">
      <c r="C983" s="23">
        <v>976</v>
      </c>
      <c r="D983" s="23" t="s">
        <v>134</v>
      </c>
      <c r="E983" s="23" t="str">
        <f>Withdrawals_Data!A950</f>
        <v>DA-002</v>
      </c>
      <c r="F983" s="23" t="str">
        <f>Withdrawals_Data!B950</f>
        <v>DA-002-M0072</v>
      </c>
      <c r="G983" s="24">
        <f>Withdrawals_Data!C950</f>
        <v>45437</v>
      </c>
      <c r="H983" s="27">
        <v>0</v>
      </c>
      <c r="I983" s="27">
        <f>-Withdrawals_Data!D950</f>
        <v>-7639</v>
      </c>
    </row>
    <row r="984" spans="3:9">
      <c r="C984" s="23">
        <v>977</v>
      </c>
      <c r="D984" s="23" t="s">
        <v>134</v>
      </c>
      <c r="E984" s="23" t="str">
        <f>Withdrawals_Data!A1148</f>
        <v>DA-003</v>
      </c>
      <c r="F984" s="23" t="str">
        <f>Withdrawals_Data!B1148</f>
        <v>DA-003-M0095</v>
      </c>
      <c r="G984" s="24">
        <f>Withdrawals_Data!C1148</f>
        <v>45437</v>
      </c>
      <c r="H984" s="27">
        <v>0</v>
      </c>
      <c r="I984" s="27">
        <f>-Withdrawals_Data!D1148</f>
        <v>-7151</v>
      </c>
    </row>
    <row r="985" spans="3:9">
      <c r="C985" s="23">
        <v>978</v>
      </c>
      <c r="D985" s="23" t="s">
        <v>132</v>
      </c>
      <c r="E985" s="23" t="str">
        <f>Contributions_Data!A775</f>
        <v>DA-001</v>
      </c>
      <c r="F985" s="23" t="str">
        <f>Contributions_Data!B775</f>
        <v>DA-001-M0065</v>
      </c>
      <c r="G985" s="24">
        <f>Contributions_Data!C775</f>
        <v>45438</v>
      </c>
      <c r="H985" s="27">
        <f>Contributions_Data!D775</f>
        <v>9780.86</v>
      </c>
      <c r="I985" s="27">
        <v>0</v>
      </c>
    </row>
    <row r="986" spans="3:9">
      <c r="C986" s="23">
        <v>979</v>
      </c>
      <c r="D986" s="23" t="s">
        <v>134</v>
      </c>
      <c r="E986" s="23" t="str">
        <f>Withdrawals_Data!A75</f>
        <v>DA-001</v>
      </c>
      <c r="F986" s="23" t="str">
        <f>Withdrawals_Data!B75</f>
        <v>DA-001-M0093</v>
      </c>
      <c r="G986" s="24">
        <f>Withdrawals_Data!C75</f>
        <v>45438</v>
      </c>
      <c r="H986" s="27">
        <v>0</v>
      </c>
      <c r="I986" s="27">
        <f>-Withdrawals_Data!D75</f>
        <v>-10785.55</v>
      </c>
    </row>
    <row r="987" spans="3:9">
      <c r="C987" s="23">
        <v>980</v>
      </c>
      <c r="D987" s="23" t="s">
        <v>134</v>
      </c>
      <c r="E987" s="23" t="str">
        <f>Withdrawals_Data!A1060</f>
        <v>DA-003</v>
      </c>
      <c r="F987" s="23" t="str">
        <f>Withdrawals_Data!B1060</f>
        <v>DA-003-M0084</v>
      </c>
      <c r="G987" s="24">
        <f>Withdrawals_Data!C1060</f>
        <v>45438</v>
      </c>
      <c r="H987" s="27">
        <v>0</v>
      </c>
      <c r="I987" s="27">
        <f>-Withdrawals_Data!D1060</f>
        <v>-16290</v>
      </c>
    </row>
    <row r="988" spans="3:9">
      <c r="C988" s="23">
        <v>981</v>
      </c>
      <c r="D988" s="23" t="s">
        <v>134</v>
      </c>
      <c r="E988" s="23" t="str">
        <f>Withdrawals_Data!A1110</f>
        <v>DA-003</v>
      </c>
      <c r="F988" s="23" t="str">
        <f>Withdrawals_Data!B1110</f>
        <v>DA-003-M0090</v>
      </c>
      <c r="G988" s="24">
        <f>Withdrawals_Data!C1110</f>
        <v>45438</v>
      </c>
      <c r="H988" s="27">
        <v>0</v>
      </c>
      <c r="I988" s="27">
        <f>-Withdrawals_Data!D1110</f>
        <v>-1719</v>
      </c>
    </row>
    <row r="989" spans="3:9">
      <c r="C989" s="23">
        <v>982</v>
      </c>
      <c r="D989" s="23" t="s">
        <v>132</v>
      </c>
      <c r="E989" s="23" t="str">
        <f>Contributions_Data!A539</f>
        <v>DA-003</v>
      </c>
      <c r="F989" s="23" t="str">
        <f>Contributions_Data!B539</f>
        <v>DA-003-M0045</v>
      </c>
      <c r="G989" s="24">
        <f>Contributions_Data!C539</f>
        <v>45439</v>
      </c>
      <c r="H989" s="27">
        <f>Contributions_Data!D539</f>
        <v>20437.349999999999</v>
      </c>
      <c r="I989" s="27">
        <v>0</v>
      </c>
    </row>
    <row r="990" spans="3:9">
      <c r="C990" s="23">
        <v>983</v>
      </c>
      <c r="D990" s="23" t="s">
        <v>132</v>
      </c>
      <c r="E990" s="23" t="str">
        <f>Contributions_Data!A554</f>
        <v>DA-003</v>
      </c>
      <c r="F990" s="23" t="str">
        <f>Contributions_Data!B554</f>
        <v>DA-003-M0047</v>
      </c>
      <c r="G990" s="24">
        <f>Contributions_Data!C554</f>
        <v>45439</v>
      </c>
      <c r="H990" s="27">
        <f>Contributions_Data!D554</f>
        <v>17501.77</v>
      </c>
      <c r="I990" s="27">
        <v>0</v>
      </c>
    </row>
    <row r="991" spans="3:9">
      <c r="C991" s="23">
        <v>984</v>
      </c>
      <c r="D991" s="23" t="s">
        <v>134</v>
      </c>
      <c r="E991" s="23" t="str">
        <f>Withdrawals_Data!A109</f>
        <v>DA-001</v>
      </c>
      <c r="F991" s="23" t="str">
        <f>Withdrawals_Data!B109</f>
        <v>DA-001-M0034</v>
      </c>
      <c r="G991" s="24">
        <f>Withdrawals_Data!C109</f>
        <v>45439</v>
      </c>
      <c r="H991" s="27">
        <v>0</v>
      </c>
      <c r="I991" s="27">
        <f>-Withdrawals_Data!D109</f>
        <v>-9653.74</v>
      </c>
    </row>
    <row r="992" spans="3:9">
      <c r="C992" s="23">
        <v>985</v>
      </c>
      <c r="D992" s="23" t="s">
        <v>134</v>
      </c>
      <c r="E992" s="23" t="str">
        <f>Withdrawals_Data!A1100</f>
        <v>DA-002</v>
      </c>
      <c r="F992" s="23" t="str">
        <f>Withdrawals_Data!B1100</f>
        <v>DA-002-M0088</v>
      </c>
      <c r="G992" s="24">
        <f>Withdrawals_Data!C1100</f>
        <v>45439</v>
      </c>
      <c r="H992" s="27">
        <v>0</v>
      </c>
      <c r="I992" s="27">
        <f>-Withdrawals_Data!D1100</f>
        <v>-20041</v>
      </c>
    </row>
    <row r="993" spans="3:9">
      <c r="C993" s="23">
        <v>986</v>
      </c>
      <c r="D993" s="23" t="s">
        <v>134</v>
      </c>
      <c r="E993" s="23" t="str">
        <f>Withdrawals_Data!A1169</f>
        <v>DA-002</v>
      </c>
      <c r="F993" s="23" t="str">
        <f>Withdrawals_Data!B1169</f>
        <v>DA-002-M0097</v>
      </c>
      <c r="G993" s="24">
        <f>Withdrawals_Data!C1169</f>
        <v>45439</v>
      </c>
      <c r="H993" s="27">
        <v>0</v>
      </c>
      <c r="I993" s="27">
        <f>-Withdrawals_Data!D1169</f>
        <v>-14160</v>
      </c>
    </row>
    <row r="994" spans="3:9">
      <c r="C994" s="23">
        <v>987</v>
      </c>
      <c r="D994" s="23" t="s">
        <v>132</v>
      </c>
      <c r="E994" s="23" t="str">
        <f>Contributions_Data!A8</f>
        <v>DA-003</v>
      </c>
      <c r="F994" s="23" t="str">
        <f>Contributions_Data!B8</f>
        <v>DA-003-M0001</v>
      </c>
      <c r="G994" s="24">
        <f>Contributions_Data!C8</f>
        <v>45440</v>
      </c>
      <c r="H994" s="27">
        <f>Contributions_Data!D8</f>
        <v>12574.52</v>
      </c>
      <c r="I994" s="27">
        <v>0</v>
      </c>
    </row>
    <row r="995" spans="3:9">
      <c r="C995" s="23">
        <v>988</v>
      </c>
      <c r="D995" s="23" t="s">
        <v>132</v>
      </c>
      <c r="E995" s="23" t="str">
        <f>Contributions_Data!A92</f>
        <v>DA-003</v>
      </c>
      <c r="F995" s="23" t="str">
        <f>Contributions_Data!B92</f>
        <v>DA-003-M0008</v>
      </c>
      <c r="G995" s="24">
        <f>Contributions_Data!C92</f>
        <v>45440</v>
      </c>
      <c r="H995" s="27">
        <f>Contributions_Data!D92</f>
        <v>15174.63</v>
      </c>
      <c r="I995" s="27">
        <v>0</v>
      </c>
    </row>
    <row r="996" spans="3:9">
      <c r="C996" s="23">
        <v>989</v>
      </c>
      <c r="D996" s="23" t="s">
        <v>132</v>
      </c>
      <c r="E996" s="23" t="str">
        <f>Contributions_Data!A133</f>
        <v>DA-001</v>
      </c>
      <c r="F996" s="23" t="str">
        <f>Contributions_Data!B133</f>
        <v>DA-001-M0011</v>
      </c>
      <c r="G996" s="24">
        <f>Contributions_Data!C133</f>
        <v>45440</v>
      </c>
      <c r="H996" s="27">
        <f>Contributions_Data!D133</f>
        <v>17753.59</v>
      </c>
      <c r="I996" s="27">
        <v>0</v>
      </c>
    </row>
    <row r="997" spans="3:9">
      <c r="C997" s="23">
        <v>990</v>
      </c>
      <c r="D997" s="23" t="s">
        <v>132</v>
      </c>
      <c r="E997" s="23" t="str">
        <f>Contributions_Data!A399</f>
        <v>DA-001</v>
      </c>
      <c r="F997" s="23" t="str">
        <f>Contributions_Data!B399</f>
        <v>DA-001-M0034</v>
      </c>
      <c r="G997" s="24">
        <f>Contributions_Data!C399</f>
        <v>45440</v>
      </c>
      <c r="H997" s="27">
        <f>Contributions_Data!D399</f>
        <v>16000.99</v>
      </c>
      <c r="I997" s="27">
        <v>0</v>
      </c>
    </row>
    <row r="998" spans="3:9">
      <c r="C998" s="23">
        <v>991</v>
      </c>
      <c r="D998" s="23" t="s">
        <v>132</v>
      </c>
      <c r="E998" s="23" t="str">
        <f>Contributions_Data!A984</f>
        <v>DA-003</v>
      </c>
      <c r="F998" s="23" t="str">
        <f>Contributions_Data!B984</f>
        <v>DA-003-M0082</v>
      </c>
      <c r="G998" s="24">
        <f>Contributions_Data!C984</f>
        <v>45440</v>
      </c>
      <c r="H998" s="27">
        <f>Contributions_Data!D984</f>
        <v>13159.79</v>
      </c>
      <c r="I998" s="27">
        <v>0</v>
      </c>
    </row>
    <row r="999" spans="3:9">
      <c r="C999" s="23">
        <v>992</v>
      </c>
      <c r="D999" s="23" t="s">
        <v>134</v>
      </c>
      <c r="E999" s="23" t="str">
        <f>Withdrawals_Data!A1119</f>
        <v>DA-002</v>
      </c>
      <c r="F999" s="23" t="str">
        <f>Withdrawals_Data!B1119</f>
        <v>DA-002-M0091</v>
      </c>
      <c r="G999" s="24">
        <f>Withdrawals_Data!C1119</f>
        <v>45440</v>
      </c>
      <c r="H999" s="27">
        <v>0</v>
      </c>
      <c r="I999" s="27">
        <f>-Withdrawals_Data!D1119</f>
        <v>-3650</v>
      </c>
    </row>
    <row r="1000" spans="3:9">
      <c r="C1000" s="23">
        <v>993</v>
      </c>
      <c r="D1000" s="23" t="s">
        <v>132</v>
      </c>
      <c r="E1000" s="23" t="str">
        <f>Contributions_Data!A252</f>
        <v>DA-002</v>
      </c>
      <c r="F1000" s="23" t="str">
        <f>Contributions_Data!B252</f>
        <v>DA-002-M0021</v>
      </c>
      <c r="G1000" s="24">
        <f>Contributions_Data!C252</f>
        <v>45441</v>
      </c>
      <c r="H1000" s="27">
        <f>Contributions_Data!D252</f>
        <v>11797.14</v>
      </c>
      <c r="I1000" s="27">
        <v>0</v>
      </c>
    </row>
    <row r="1001" spans="3:9">
      <c r="C1001" s="23">
        <v>994</v>
      </c>
      <c r="D1001" s="23" t="s">
        <v>132</v>
      </c>
      <c r="E1001" s="23" t="str">
        <f>Contributions_Data!A408</f>
        <v>DA-001</v>
      </c>
      <c r="F1001" s="23" t="str">
        <f>Contributions_Data!B408</f>
        <v>DA-001-M0034</v>
      </c>
      <c r="G1001" s="24">
        <f>Contributions_Data!C408</f>
        <v>45441</v>
      </c>
      <c r="H1001" s="27">
        <f>Contributions_Data!D408</f>
        <v>20630.39</v>
      </c>
      <c r="I1001" s="27">
        <v>0</v>
      </c>
    </row>
    <row r="1002" spans="3:9">
      <c r="C1002" s="23">
        <v>995</v>
      </c>
      <c r="D1002" s="23" t="s">
        <v>132</v>
      </c>
      <c r="E1002" s="23" t="str">
        <f>Contributions_Data!A766</f>
        <v>DA-002</v>
      </c>
      <c r="F1002" s="23" t="str">
        <f>Contributions_Data!B766</f>
        <v>DA-002-M0064</v>
      </c>
      <c r="G1002" s="24">
        <f>Contributions_Data!C766</f>
        <v>45441</v>
      </c>
      <c r="H1002" s="27">
        <f>Contributions_Data!D766</f>
        <v>16187.41</v>
      </c>
      <c r="I1002" s="27">
        <v>0</v>
      </c>
    </row>
    <row r="1003" spans="3:9">
      <c r="C1003" s="23">
        <v>996</v>
      </c>
      <c r="D1003" s="23" t="s">
        <v>134</v>
      </c>
      <c r="E1003" s="23" t="str">
        <f>Withdrawals_Data!A18</f>
        <v>DA-003</v>
      </c>
      <c r="F1003" s="23" t="str">
        <f>Withdrawals_Data!B18</f>
        <v>DA-003-M0100</v>
      </c>
      <c r="G1003" s="24">
        <f>Withdrawals_Data!C18</f>
        <v>45441</v>
      </c>
      <c r="H1003" s="27">
        <v>0</v>
      </c>
      <c r="I1003" s="27">
        <f>-Withdrawals_Data!D18</f>
        <v>-14498.71</v>
      </c>
    </row>
    <row r="1004" spans="3:9">
      <c r="C1004" s="23">
        <v>997</v>
      </c>
      <c r="D1004" s="23" t="s">
        <v>134</v>
      </c>
      <c r="E1004" s="23" t="str">
        <f>Withdrawals_Data!A458</f>
        <v>DA-002</v>
      </c>
      <c r="F1004" s="23" t="str">
        <f>Withdrawals_Data!B458</f>
        <v>DA-002-M0016</v>
      </c>
      <c r="G1004" s="24">
        <f>Withdrawals_Data!C458</f>
        <v>45441</v>
      </c>
      <c r="H1004" s="27">
        <v>0</v>
      </c>
      <c r="I1004" s="27">
        <f>-Withdrawals_Data!D458</f>
        <v>-20621</v>
      </c>
    </row>
    <row r="1005" spans="3:9">
      <c r="C1005" s="23">
        <v>998</v>
      </c>
      <c r="D1005" s="23" t="s">
        <v>134</v>
      </c>
      <c r="E1005" s="23" t="str">
        <f>Withdrawals_Data!A633</f>
        <v>DA-003</v>
      </c>
      <c r="F1005" s="23" t="str">
        <f>Withdrawals_Data!B633</f>
        <v>DA-003-M0036</v>
      </c>
      <c r="G1005" s="24">
        <f>Withdrawals_Data!C633</f>
        <v>45441</v>
      </c>
      <c r="H1005" s="27">
        <v>0</v>
      </c>
      <c r="I1005" s="27">
        <f>-Withdrawals_Data!D633</f>
        <v>-3432</v>
      </c>
    </row>
    <row r="1006" spans="3:9">
      <c r="C1006" s="23">
        <v>999</v>
      </c>
      <c r="D1006" s="23" t="s">
        <v>134</v>
      </c>
      <c r="E1006" s="23" t="str">
        <f>Withdrawals_Data!A896</f>
        <v>DA-001</v>
      </c>
      <c r="F1006" s="23" t="str">
        <f>Withdrawals_Data!B896</f>
        <v>DA-001-M0065</v>
      </c>
      <c r="G1006" s="24">
        <f>Withdrawals_Data!C896</f>
        <v>45441</v>
      </c>
      <c r="H1006" s="27">
        <v>0</v>
      </c>
      <c r="I1006" s="27">
        <f>-Withdrawals_Data!D896</f>
        <v>-14252</v>
      </c>
    </row>
    <row r="1007" spans="3:9">
      <c r="C1007" s="23">
        <v>1000</v>
      </c>
      <c r="D1007" s="23" t="s">
        <v>132</v>
      </c>
      <c r="E1007" s="23" t="str">
        <f>Contributions_Data!A66</f>
        <v>DA-003</v>
      </c>
      <c r="F1007" s="23" t="str">
        <f>Contributions_Data!B66</f>
        <v>DA-003-M0006</v>
      </c>
      <c r="G1007" s="24">
        <f>Contributions_Data!C66</f>
        <v>45442</v>
      </c>
      <c r="H1007" s="27">
        <f>Contributions_Data!D66</f>
        <v>18475.79</v>
      </c>
      <c r="I1007" s="27">
        <v>0</v>
      </c>
    </row>
    <row r="1008" spans="3:9">
      <c r="C1008" s="23">
        <v>1001</v>
      </c>
      <c r="D1008" s="23" t="s">
        <v>132</v>
      </c>
      <c r="E1008" s="23" t="str">
        <f>Contributions_Data!A151</f>
        <v>DA-003</v>
      </c>
      <c r="F1008" s="23" t="str">
        <f>Contributions_Data!B151</f>
        <v>DA-003-M0013</v>
      </c>
      <c r="G1008" s="24">
        <f>Contributions_Data!C151</f>
        <v>45442</v>
      </c>
      <c r="H1008" s="27">
        <f>Contributions_Data!D151</f>
        <v>13199.35</v>
      </c>
      <c r="I1008" s="27">
        <v>0</v>
      </c>
    </row>
    <row r="1009" spans="3:9">
      <c r="C1009" s="23">
        <v>1002</v>
      </c>
      <c r="D1009" s="23" t="s">
        <v>132</v>
      </c>
      <c r="E1009" s="23" t="str">
        <f>Contributions_Data!A210</f>
        <v>DA-002</v>
      </c>
      <c r="F1009" s="23" t="str">
        <f>Contributions_Data!B210</f>
        <v>DA-002-M0018</v>
      </c>
      <c r="G1009" s="24">
        <f>Contributions_Data!C210</f>
        <v>45442</v>
      </c>
      <c r="H1009" s="27">
        <f>Contributions_Data!D210</f>
        <v>14520.18</v>
      </c>
      <c r="I1009" s="27">
        <v>0</v>
      </c>
    </row>
    <row r="1010" spans="3:9">
      <c r="C1010" s="23">
        <v>1003</v>
      </c>
      <c r="D1010" s="23" t="s">
        <v>134</v>
      </c>
      <c r="E1010" s="23" t="str">
        <f>Withdrawals_Data!A510</f>
        <v>DA-001</v>
      </c>
      <c r="F1010" s="23" t="str">
        <f>Withdrawals_Data!B510</f>
        <v>DA-001-M0022</v>
      </c>
      <c r="G1010" s="24">
        <f>Withdrawals_Data!C510</f>
        <v>45442</v>
      </c>
      <c r="H1010" s="27">
        <v>0</v>
      </c>
      <c r="I1010" s="27">
        <f>-Withdrawals_Data!D510</f>
        <v>-4010</v>
      </c>
    </row>
    <row r="1011" spans="3:9">
      <c r="C1011" s="23">
        <v>1004</v>
      </c>
      <c r="D1011" s="23" t="s">
        <v>134</v>
      </c>
      <c r="E1011" s="23" t="str">
        <f>Withdrawals_Data!A847</f>
        <v>DA-003</v>
      </c>
      <c r="F1011" s="23" t="str">
        <f>Withdrawals_Data!B847</f>
        <v>DA-003-M0059</v>
      </c>
      <c r="G1011" s="24">
        <f>Withdrawals_Data!C847</f>
        <v>45442</v>
      </c>
      <c r="H1011" s="27">
        <v>0</v>
      </c>
      <c r="I1011" s="27">
        <f>-Withdrawals_Data!D847</f>
        <v>-7533</v>
      </c>
    </row>
    <row r="1012" spans="3:9">
      <c r="C1012" s="23">
        <v>1005</v>
      </c>
      <c r="D1012" s="23" t="s">
        <v>134</v>
      </c>
      <c r="E1012" s="23" t="str">
        <f>Withdrawals_Data!A852</f>
        <v>DA-002</v>
      </c>
      <c r="F1012" s="23" t="str">
        <f>Withdrawals_Data!B852</f>
        <v>DA-002-M0060</v>
      </c>
      <c r="G1012" s="24">
        <f>Withdrawals_Data!C852</f>
        <v>45442</v>
      </c>
      <c r="H1012" s="27">
        <v>0</v>
      </c>
      <c r="I1012" s="27">
        <f>-Withdrawals_Data!D852</f>
        <v>-20980</v>
      </c>
    </row>
    <row r="1013" spans="3:9">
      <c r="C1013" s="23">
        <v>1006</v>
      </c>
      <c r="D1013" s="23" t="s">
        <v>132</v>
      </c>
      <c r="E1013" s="23" t="str">
        <f>Contributions_Data!A98</f>
        <v>DA-001</v>
      </c>
      <c r="F1013" s="23" t="str">
        <f>Contributions_Data!B98</f>
        <v>DA-001-M0009</v>
      </c>
      <c r="G1013" s="24">
        <f>Contributions_Data!C98</f>
        <v>45443</v>
      </c>
      <c r="H1013" s="27">
        <f>Contributions_Data!D98</f>
        <v>16545.11</v>
      </c>
      <c r="I1013" s="27">
        <v>0</v>
      </c>
    </row>
    <row r="1014" spans="3:9">
      <c r="C1014" s="23">
        <v>1007</v>
      </c>
      <c r="D1014" s="23" t="s">
        <v>132</v>
      </c>
      <c r="E1014" s="23" t="str">
        <f>Contributions_Data!A385</f>
        <v>DA-003</v>
      </c>
      <c r="F1014" s="23" t="str">
        <f>Contributions_Data!B385</f>
        <v>DA-003-M0032</v>
      </c>
      <c r="G1014" s="24">
        <f>Contributions_Data!C385</f>
        <v>45443</v>
      </c>
      <c r="H1014" s="27">
        <f>Contributions_Data!D385</f>
        <v>8366.59</v>
      </c>
      <c r="I1014" s="27">
        <v>0</v>
      </c>
    </row>
    <row r="1015" spans="3:9">
      <c r="C1015" s="23">
        <v>1008</v>
      </c>
      <c r="D1015" s="23" t="s">
        <v>132</v>
      </c>
      <c r="E1015" s="23" t="str">
        <f>Contributions_Data!A425</f>
        <v>DA-003</v>
      </c>
      <c r="F1015" s="23" t="str">
        <f>Contributions_Data!B425</f>
        <v>DA-003-M0036</v>
      </c>
      <c r="G1015" s="24">
        <f>Contributions_Data!C425</f>
        <v>45443</v>
      </c>
      <c r="H1015" s="27">
        <f>Contributions_Data!D425</f>
        <v>19779.560000000001</v>
      </c>
      <c r="I1015" s="27">
        <v>0</v>
      </c>
    </row>
    <row r="1016" spans="3:9">
      <c r="C1016" s="23">
        <v>1009</v>
      </c>
      <c r="D1016" s="23" t="s">
        <v>132</v>
      </c>
      <c r="E1016" s="23" t="str">
        <f>Contributions_Data!A503</f>
        <v>DA-002</v>
      </c>
      <c r="F1016" s="23" t="str">
        <f>Contributions_Data!B503</f>
        <v>DA-002-M0042</v>
      </c>
      <c r="G1016" s="24">
        <f>Contributions_Data!C503</f>
        <v>45443</v>
      </c>
      <c r="H1016" s="27">
        <f>Contributions_Data!D503</f>
        <v>14448.05</v>
      </c>
      <c r="I1016" s="27">
        <v>0</v>
      </c>
    </row>
    <row r="1017" spans="3:9">
      <c r="C1017" s="23">
        <v>1010</v>
      </c>
      <c r="D1017" s="23" t="s">
        <v>132</v>
      </c>
      <c r="E1017" s="23" t="str">
        <f>Contributions_Data!A534</f>
        <v>DA-003</v>
      </c>
      <c r="F1017" s="23" t="str">
        <f>Contributions_Data!B534</f>
        <v>DA-003-M0045</v>
      </c>
      <c r="G1017" s="24">
        <f>Contributions_Data!C534</f>
        <v>45443</v>
      </c>
      <c r="H1017" s="27">
        <f>Contributions_Data!D534</f>
        <v>14711.82</v>
      </c>
      <c r="I1017" s="27">
        <v>0</v>
      </c>
    </row>
    <row r="1018" spans="3:9">
      <c r="C1018" s="23">
        <v>1011</v>
      </c>
      <c r="D1018" s="23" t="s">
        <v>132</v>
      </c>
      <c r="E1018" s="23" t="str">
        <f>Contributions_Data!A581</f>
        <v>DA-001</v>
      </c>
      <c r="F1018" s="23" t="str">
        <f>Contributions_Data!B581</f>
        <v>DA-001-M0049</v>
      </c>
      <c r="G1018" s="24">
        <f>Contributions_Data!C581</f>
        <v>45443</v>
      </c>
      <c r="H1018" s="27">
        <f>Contributions_Data!D581</f>
        <v>13911.48</v>
      </c>
      <c r="I1018" s="27">
        <v>0</v>
      </c>
    </row>
    <row r="1019" spans="3:9">
      <c r="C1019" s="23">
        <v>1012</v>
      </c>
      <c r="D1019" s="23" t="s">
        <v>132</v>
      </c>
      <c r="E1019" s="23" t="str">
        <f>Contributions_Data!A614</f>
        <v>DA-003</v>
      </c>
      <c r="F1019" s="23" t="str">
        <f>Contributions_Data!B614</f>
        <v>DA-003-M0052</v>
      </c>
      <c r="G1019" s="24">
        <f>Contributions_Data!C614</f>
        <v>45443</v>
      </c>
      <c r="H1019" s="27">
        <f>Contributions_Data!D614</f>
        <v>20387.63</v>
      </c>
      <c r="I1019" s="27">
        <v>0</v>
      </c>
    </row>
    <row r="1020" spans="3:9">
      <c r="C1020" s="23">
        <v>1013</v>
      </c>
      <c r="D1020" s="23" t="s">
        <v>132</v>
      </c>
      <c r="E1020" s="23" t="str">
        <f>Contributions_Data!A1087</f>
        <v>DA-002</v>
      </c>
      <c r="F1020" s="23" t="str">
        <f>Contributions_Data!B1087</f>
        <v>DA-002-M0091</v>
      </c>
      <c r="G1020" s="24">
        <f>Contributions_Data!C1087</f>
        <v>45443</v>
      </c>
      <c r="H1020" s="27">
        <f>Contributions_Data!D1087</f>
        <v>20009.71</v>
      </c>
      <c r="I1020" s="27">
        <v>0</v>
      </c>
    </row>
    <row r="1021" spans="3:9">
      <c r="C1021" s="23">
        <v>1014</v>
      </c>
      <c r="D1021" s="23" t="s">
        <v>134</v>
      </c>
      <c r="E1021" s="23" t="str">
        <f>Withdrawals_Data!A525</f>
        <v>DA-002</v>
      </c>
      <c r="F1021" s="23" t="str">
        <f>Withdrawals_Data!B525</f>
        <v>DA-002-M0023</v>
      </c>
      <c r="G1021" s="24">
        <f>Withdrawals_Data!C525</f>
        <v>45443</v>
      </c>
      <c r="H1021" s="27">
        <v>0</v>
      </c>
      <c r="I1021" s="27">
        <f>-Withdrawals_Data!D525</f>
        <v>-10563</v>
      </c>
    </row>
    <row r="1022" spans="3:9">
      <c r="C1022" s="23">
        <v>1015</v>
      </c>
      <c r="D1022" s="23" t="s">
        <v>134</v>
      </c>
      <c r="E1022" s="23" t="str">
        <f>Withdrawals_Data!A1101</f>
        <v>DA-002</v>
      </c>
      <c r="F1022" s="23" t="str">
        <f>Withdrawals_Data!B1101</f>
        <v>DA-002-M0088</v>
      </c>
      <c r="G1022" s="24">
        <f>Withdrawals_Data!C1101</f>
        <v>45443</v>
      </c>
      <c r="H1022" s="27">
        <v>0</v>
      </c>
      <c r="I1022" s="27">
        <f>-Withdrawals_Data!D1101</f>
        <v>-12508</v>
      </c>
    </row>
    <row r="1023" spans="3:9">
      <c r="C1023" s="23">
        <v>1016</v>
      </c>
      <c r="D1023" s="23" t="s">
        <v>132</v>
      </c>
      <c r="E1023" s="23" t="str">
        <f>Contributions_Data!A442</f>
        <v>DA-002</v>
      </c>
      <c r="F1023" s="23" t="str">
        <f>Contributions_Data!B442</f>
        <v>DA-002-M0037</v>
      </c>
      <c r="G1023" s="24">
        <f>Contributions_Data!C442</f>
        <v>45444</v>
      </c>
      <c r="H1023" s="27">
        <f>Contributions_Data!D442</f>
        <v>17088.62</v>
      </c>
      <c r="I1023" s="27">
        <v>0</v>
      </c>
    </row>
    <row r="1024" spans="3:9">
      <c r="C1024" s="23">
        <v>1017</v>
      </c>
      <c r="D1024" s="23" t="s">
        <v>134</v>
      </c>
      <c r="E1024" s="23" t="str">
        <f>Withdrawals_Data!A288</f>
        <v>DA-001</v>
      </c>
      <c r="F1024" s="23" t="str">
        <f>Withdrawals_Data!B288</f>
        <v>DA-001-M0004</v>
      </c>
      <c r="G1024" s="24">
        <f>Withdrawals_Data!C288</f>
        <v>45444</v>
      </c>
      <c r="H1024" s="27">
        <v>0</v>
      </c>
      <c r="I1024" s="27">
        <f>-Withdrawals_Data!D288</f>
        <v>-3750.79</v>
      </c>
    </row>
    <row r="1025" spans="3:9">
      <c r="C1025" s="23">
        <v>1018</v>
      </c>
      <c r="D1025" s="23" t="s">
        <v>134</v>
      </c>
      <c r="E1025" s="23" t="str">
        <f>Withdrawals_Data!A299</f>
        <v>DA-002</v>
      </c>
      <c r="F1025" s="23" t="str">
        <f>Withdrawals_Data!B299</f>
        <v>DA-002-M0094</v>
      </c>
      <c r="G1025" s="24">
        <f>Withdrawals_Data!C299</f>
        <v>45444</v>
      </c>
      <c r="H1025" s="27">
        <v>0</v>
      </c>
      <c r="I1025" s="27">
        <f>-Withdrawals_Data!D299</f>
        <v>-3433.24</v>
      </c>
    </row>
    <row r="1026" spans="3:9">
      <c r="C1026" s="23">
        <v>1019</v>
      </c>
      <c r="D1026" s="23" t="s">
        <v>134</v>
      </c>
      <c r="E1026" s="23" t="str">
        <f>Withdrawals_Data!A380</f>
        <v>DA-003</v>
      </c>
      <c r="F1026" s="23" t="str">
        <f>Withdrawals_Data!B380</f>
        <v>DA-003-M0006</v>
      </c>
      <c r="G1026" s="24">
        <f>Withdrawals_Data!C380</f>
        <v>45444</v>
      </c>
      <c r="H1026" s="27">
        <v>0</v>
      </c>
      <c r="I1026" s="27">
        <f>-Withdrawals_Data!D380</f>
        <v>-1374</v>
      </c>
    </row>
    <row r="1027" spans="3:9">
      <c r="C1027" s="23">
        <v>1020</v>
      </c>
      <c r="D1027" s="23" t="s">
        <v>132</v>
      </c>
      <c r="E1027" s="23" t="str">
        <f>Contributions_Data!A528</f>
        <v>DA-002</v>
      </c>
      <c r="F1027" s="23" t="str">
        <f>Contributions_Data!B528</f>
        <v>DA-002-M0044</v>
      </c>
      <c r="G1027" s="24">
        <f>Contributions_Data!C528</f>
        <v>45445</v>
      </c>
      <c r="H1027" s="27">
        <f>Contributions_Data!D528</f>
        <v>16479.95</v>
      </c>
      <c r="I1027" s="27">
        <v>0</v>
      </c>
    </row>
    <row r="1028" spans="3:9">
      <c r="C1028" s="23">
        <v>1021</v>
      </c>
      <c r="D1028" s="23" t="s">
        <v>132</v>
      </c>
      <c r="E1028" s="23" t="str">
        <f>Contributions_Data!A853</f>
        <v>DA-001</v>
      </c>
      <c r="F1028" s="23" t="str">
        <f>Contributions_Data!B853</f>
        <v>DA-001-M0071</v>
      </c>
      <c r="G1028" s="24">
        <f>Contributions_Data!C853</f>
        <v>45445</v>
      </c>
      <c r="H1028" s="27">
        <f>Contributions_Data!D853</f>
        <v>17560.25</v>
      </c>
      <c r="I1028" s="27">
        <v>0</v>
      </c>
    </row>
    <row r="1029" spans="3:9">
      <c r="C1029" s="23">
        <v>1022</v>
      </c>
      <c r="D1029" s="23" t="s">
        <v>132</v>
      </c>
      <c r="E1029" s="23" t="str">
        <f>Contributions_Data!A1077</f>
        <v>DA-003</v>
      </c>
      <c r="F1029" s="23" t="str">
        <f>Contributions_Data!B1077</f>
        <v>DA-003-M0090</v>
      </c>
      <c r="G1029" s="24">
        <f>Contributions_Data!C1077</f>
        <v>45445</v>
      </c>
      <c r="H1029" s="27">
        <f>Contributions_Data!D1077</f>
        <v>22805.05</v>
      </c>
      <c r="I1029" s="27">
        <v>0</v>
      </c>
    </row>
    <row r="1030" spans="3:9">
      <c r="C1030" s="23">
        <v>1023</v>
      </c>
      <c r="D1030" s="23" t="s">
        <v>134</v>
      </c>
      <c r="E1030" s="23" t="str">
        <f>Withdrawals_Data!A412</f>
        <v>DA-001</v>
      </c>
      <c r="F1030" s="23" t="str">
        <f>Withdrawals_Data!B412</f>
        <v>DA-001-M0010</v>
      </c>
      <c r="G1030" s="24">
        <f>Withdrawals_Data!C412</f>
        <v>45445</v>
      </c>
      <c r="H1030" s="27">
        <v>0</v>
      </c>
      <c r="I1030" s="27">
        <f>-Withdrawals_Data!D412</f>
        <v>-4487</v>
      </c>
    </row>
    <row r="1031" spans="3:9">
      <c r="C1031" s="23">
        <v>1024</v>
      </c>
      <c r="D1031" s="23" t="s">
        <v>134</v>
      </c>
      <c r="E1031" s="23" t="str">
        <f>Withdrawals_Data!A700</f>
        <v>DA-001</v>
      </c>
      <c r="F1031" s="23" t="str">
        <f>Withdrawals_Data!B700</f>
        <v>DA-001-M0043</v>
      </c>
      <c r="G1031" s="24">
        <f>Withdrawals_Data!C700</f>
        <v>45445</v>
      </c>
      <c r="H1031" s="27">
        <v>0</v>
      </c>
      <c r="I1031" s="27">
        <f>-Withdrawals_Data!D700</f>
        <v>-15410</v>
      </c>
    </row>
    <row r="1032" spans="3:9">
      <c r="C1032" s="23">
        <v>1025</v>
      </c>
      <c r="D1032" s="23" t="s">
        <v>134</v>
      </c>
      <c r="E1032" s="23" t="str">
        <f>Withdrawals_Data!A926</f>
        <v>DA-003</v>
      </c>
      <c r="F1032" s="23" t="str">
        <f>Withdrawals_Data!B926</f>
        <v>DA-003-M0069</v>
      </c>
      <c r="G1032" s="24">
        <f>Withdrawals_Data!C926</f>
        <v>45445</v>
      </c>
      <c r="H1032" s="27">
        <v>0</v>
      </c>
      <c r="I1032" s="27">
        <f>-Withdrawals_Data!D926</f>
        <v>-3642</v>
      </c>
    </row>
    <row r="1033" spans="3:9">
      <c r="C1033" s="23">
        <v>1026</v>
      </c>
      <c r="D1033" s="23" t="s">
        <v>134</v>
      </c>
      <c r="E1033" s="23" t="str">
        <f>Withdrawals_Data!A991</f>
        <v>DA-003</v>
      </c>
      <c r="F1033" s="23" t="str">
        <f>Withdrawals_Data!B991</f>
        <v>DA-003-M0077</v>
      </c>
      <c r="G1033" s="24">
        <f>Withdrawals_Data!C991</f>
        <v>45445</v>
      </c>
      <c r="H1033" s="27">
        <v>0</v>
      </c>
      <c r="I1033" s="27">
        <f>-Withdrawals_Data!D991</f>
        <v>-3294</v>
      </c>
    </row>
    <row r="1034" spans="3:9">
      <c r="C1034" s="23">
        <v>1027</v>
      </c>
      <c r="D1034" s="23" t="s">
        <v>132</v>
      </c>
      <c r="E1034" s="23" t="str">
        <f>Contributions_Data!A431</f>
        <v>DA-003</v>
      </c>
      <c r="F1034" s="23" t="str">
        <f>Contributions_Data!B431</f>
        <v>DA-003-M0036</v>
      </c>
      <c r="G1034" s="24">
        <f>Contributions_Data!C431</f>
        <v>45446</v>
      </c>
      <c r="H1034" s="27">
        <f>Contributions_Data!D431</f>
        <v>13719.36</v>
      </c>
      <c r="I1034" s="27">
        <v>0</v>
      </c>
    </row>
    <row r="1035" spans="3:9">
      <c r="C1035" s="23">
        <v>1028</v>
      </c>
      <c r="D1035" s="23" t="s">
        <v>134</v>
      </c>
      <c r="E1035" s="23" t="str">
        <f>Withdrawals_Data!A241</f>
        <v>DA-001</v>
      </c>
      <c r="F1035" s="23" t="str">
        <f>Withdrawals_Data!B241</f>
        <v>DA-001-M0025</v>
      </c>
      <c r="G1035" s="24">
        <f>Withdrawals_Data!C241</f>
        <v>45446</v>
      </c>
      <c r="H1035" s="27">
        <v>0</v>
      </c>
      <c r="I1035" s="27">
        <f>-Withdrawals_Data!D241</f>
        <v>-5785.4</v>
      </c>
    </row>
    <row r="1036" spans="3:9">
      <c r="C1036" s="23">
        <v>1029</v>
      </c>
      <c r="D1036" s="23" t="s">
        <v>134</v>
      </c>
      <c r="E1036" s="23" t="str">
        <f>Withdrawals_Data!A528</f>
        <v>DA-001</v>
      </c>
      <c r="F1036" s="23" t="str">
        <f>Withdrawals_Data!B528</f>
        <v>DA-001-M0024</v>
      </c>
      <c r="G1036" s="24">
        <f>Withdrawals_Data!C528</f>
        <v>45446</v>
      </c>
      <c r="H1036" s="27">
        <v>0</v>
      </c>
      <c r="I1036" s="27">
        <f>-Withdrawals_Data!D528</f>
        <v>-7472</v>
      </c>
    </row>
    <row r="1037" spans="3:9">
      <c r="C1037" s="23">
        <v>1030</v>
      </c>
      <c r="D1037" s="23" t="s">
        <v>134</v>
      </c>
      <c r="E1037" s="23" t="str">
        <f>Withdrawals_Data!A588</f>
        <v>DA-003</v>
      </c>
      <c r="F1037" s="23" t="str">
        <f>Withdrawals_Data!B588</f>
        <v>DA-003-M0031</v>
      </c>
      <c r="G1037" s="24">
        <f>Withdrawals_Data!C588</f>
        <v>45446</v>
      </c>
      <c r="H1037" s="27">
        <v>0</v>
      </c>
      <c r="I1037" s="27">
        <f>-Withdrawals_Data!D588</f>
        <v>-2187</v>
      </c>
    </row>
    <row r="1038" spans="3:9">
      <c r="C1038" s="23">
        <v>1031</v>
      </c>
      <c r="D1038" s="23" t="s">
        <v>134</v>
      </c>
      <c r="E1038" s="23" t="str">
        <f>Withdrawals_Data!A841</f>
        <v>DA-003</v>
      </c>
      <c r="F1038" s="23" t="str">
        <f>Withdrawals_Data!B841</f>
        <v>DA-003-M0059</v>
      </c>
      <c r="G1038" s="24">
        <f>Withdrawals_Data!C841</f>
        <v>45446</v>
      </c>
      <c r="H1038" s="27">
        <v>0</v>
      </c>
      <c r="I1038" s="27">
        <f>-Withdrawals_Data!D841</f>
        <v>-4076</v>
      </c>
    </row>
    <row r="1039" spans="3:9">
      <c r="C1039" s="23">
        <v>1032</v>
      </c>
      <c r="D1039" s="23" t="s">
        <v>132</v>
      </c>
      <c r="E1039" s="23" t="str">
        <f>Contributions_Data!A420</f>
        <v>DA-001</v>
      </c>
      <c r="F1039" s="23" t="str">
        <f>Contributions_Data!B420</f>
        <v>DA-001-M0035</v>
      </c>
      <c r="G1039" s="24">
        <f>Contributions_Data!C420</f>
        <v>45447</v>
      </c>
      <c r="H1039" s="27">
        <f>Contributions_Data!D420</f>
        <v>15671.65</v>
      </c>
      <c r="I1039" s="27">
        <v>0</v>
      </c>
    </row>
    <row r="1040" spans="3:9">
      <c r="C1040" s="23">
        <v>1033</v>
      </c>
      <c r="D1040" s="23" t="s">
        <v>132</v>
      </c>
      <c r="E1040" s="23" t="str">
        <f>Contributions_Data!A492</f>
        <v>DA-002</v>
      </c>
      <c r="F1040" s="23" t="str">
        <f>Contributions_Data!B492</f>
        <v>DA-002-M0041</v>
      </c>
      <c r="G1040" s="24">
        <f>Contributions_Data!C492</f>
        <v>45447</v>
      </c>
      <c r="H1040" s="27">
        <f>Contributions_Data!D492</f>
        <v>16197.41</v>
      </c>
      <c r="I1040" s="27">
        <v>0</v>
      </c>
    </row>
    <row r="1041" spans="3:9">
      <c r="C1041" s="23">
        <v>1034</v>
      </c>
      <c r="D1041" s="23" t="s">
        <v>132</v>
      </c>
      <c r="E1041" s="23" t="str">
        <f>Contributions_Data!A952</f>
        <v>DA-003</v>
      </c>
      <c r="F1041" s="23" t="str">
        <f>Contributions_Data!B952</f>
        <v>DA-003-M0080</v>
      </c>
      <c r="G1041" s="24">
        <f>Contributions_Data!C952</f>
        <v>45447</v>
      </c>
      <c r="H1041" s="27">
        <f>Contributions_Data!D952</f>
        <v>12995.73</v>
      </c>
      <c r="I1041" s="27">
        <v>0</v>
      </c>
    </row>
    <row r="1042" spans="3:9">
      <c r="C1042" s="23">
        <v>1035</v>
      </c>
      <c r="D1042" s="23" t="s">
        <v>134</v>
      </c>
      <c r="E1042" s="23" t="str">
        <f>Withdrawals_Data!A316</f>
        <v>DA-003</v>
      </c>
      <c r="F1042" s="23" t="str">
        <f>Withdrawals_Data!B316</f>
        <v>DA-003-M0028</v>
      </c>
      <c r="G1042" s="24">
        <f>Withdrawals_Data!C316</f>
        <v>45447</v>
      </c>
      <c r="H1042" s="27">
        <v>0</v>
      </c>
      <c r="I1042" s="27">
        <f>-Withdrawals_Data!D316</f>
        <v>-2468.8000000000002</v>
      </c>
    </row>
    <row r="1043" spans="3:9">
      <c r="C1043" s="23">
        <v>1036</v>
      </c>
      <c r="D1043" s="23" t="s">
        <v>134</v>
      </c>
      <c r="E1043" s="23" t="str">
        <f>Withdrawals_Data!A733</f>
        <v>DA-003</v>
      </c>
      <c r="F1043" s="23" t="str">
        <f>Withdrawals_Data!B733</f>
        <v>DA-003-M0047</v>
      </c>
      <c r="G1043" s="24">
        <f>Withdrawals_Data!C733</f>
        <v>45447</v>
      </c>
      <c r="H1043" s="27">
        <v>0</v>
      </c>
      <c r="I1043" s="27">
        <f>-Withdrawals_Data!D733</f>
        <v>-16053</v>
      </c>
    </row>
    <row r="1044" spans="3:9">
      <c r="C1044" s="23">
        <v>1037</v>
      </c>
      <c r="D1044" s="23" t="s">
        <v>134</v>
      </c>
      <c r="E1044" s="23" t="str">
        <f>Withdrawals_Data!A1026</f>
        <v>DA-003</v>
      </c>
      <c r="F1044" s="23" t="str">
        <f>Withdrawals_Data!B1026</f>
        <v>DA-003-M0081</v>
      </c>
      <c r="G1044" s="24">
        <f>Withdrawals_Data!C1026</f>
        <v>45447</v>
      </c>
      <c r="H1044" s="27">
        <v>0</v>
      </c>
      <c r="I1044" s="27">
        <f>-Withdrawals_Data!D1026</f>
        <v>-15574</v>
      </c>
    </row>
    <row r="1045" spans="3:9">
      <c r="C1045" s="23">
        <v>1038</v>
      </c>
      <c r="D1045" s="23" t="s">
        <v>132</v>
      </c>
      <c r="E1045" s="23" t="str">
        <f>Contributions_Data!A290</f>
        <v>DA-001</v>
      </c>
      <c r="F1045" s="23" t="str">
        <f>Contributions_Data!B290</f>
        <v>DA-001-M0025</v>
      </c>
      <c r="G1045" s="24">
        <f>Contributions_Data!C290</f>
        <v>45448</v>
      </c>
      <c r="H1045" s="27">
        <f>Contributions_Data!D290</f>
        <v>16512.14</v>
      </c>
      <c r="I1045" s="27">
        <v>0</v>
      </c>
    </row>
    <row r="1046" spans="3:9">
      <c r="C1046" s="23">
        <v>1039</v>
      </c>
      <c r="D1046" s="23" t="s">
        <v>132</v>
      </c>
      <c r="E1046" s="23" t="str">
        <f>Contributions_Data!A742</f>
        <v>DA-002</v>
      </c>
      <c r="F1046" s="23" t="str">
        <f>Contributions_Data!B742</f>
        <v>DA-002-M0062</v>
      </c>
      <c r="G1046" s="24">
        <f>Contributions_Data!C742</f>
        <v>45448</v>
      </c>
      <c r="H1046" s="27">
        <f>Contributions_Data!D742</f>
        <v>14926.94</v>
      </c>
      <c r="I1046" s="27">
        <v>0</v>
      </c>
    </row>
    <row r="1047" spans="3:9">
      <c r="C1047" s="23">
        <v>1040</v>
      </c>
      <c r="D1047" s="23" t="s">
        <v>132</v>
      </c>
      <c r="E1047" s="23" t="str">
        <f>Contributions_Data!A988</f>
        <v>DA-001</v>
      </c>
      <c r="F1047" s="23" t="str">
        <f>Contributions_Data!B988</f>
        <v>DA-001-M0083</v>
      </c>
      <c r="G1047" s="24">
        <f>Contributions_Data!C988</f>
        <v>45448</v>
      </c>
      <c r="H1047" s="27">
        <f>Contributions_Data!D988</f>
        <v>15009.14</v>
      </c>
      <c r="I1047" s="27">
        <v>0</v>
      </c>
    </row>
    <row r="1048" spans="3:9">
      <c r="C1048" s="23">
        <v>1041</v>
      </c>
      <c r="D1048" s="23" t="s">
        <v>132</v>
      </c>
      <c r="E1048" s="23" t="str">
        <f>Contributions_Data!A1050</f>
        <v>DA-002</v>
      </c>
      <c r="F1048" s="23" t="str">
        <f>Contributions_Data!B1050</f>
        <v>DA-002-M0088</v>
      </c>
      <c r="G1048" s="24">
        <f>Contributions_Data!C1050</f>
        <v>45448</v>
      </c>
      <c r="H1048" s="27">
        <f>Contributions_Data!D1050</f>
        <v>15805.78</v>
      </c>
      <c r="I1048" s="27">
        <v>0</v>
      </c>
    </row>
    <row r="1049" spans="3:9">
      <c r="C1049" s="23">
        <v>1042</v>
      </c>
      <c r="D1049" s="23" t="s">
        <v>132</v>
      </c>
      <c r="E1049" s="23" t="str">
        <f>Contributions_Data!A1064</f>
        <v>DA-002</v>
      </c>
      <c r="F1049" s="23" t="str">
        <f>Contributions_Data!B1064</f>
        <v>DA-002-M0089</v>
      </c>
      <c r="G1049" s="24">
        <f>Contributions_Data!C1064</f>
        <v>45448</v>
      </c>
      <c r="H1049" s="27">
        <f>Contributions_Data!D1064</f>
        <v>13250.77</v>
      </c>
      <c r="I1049" s="27">
        <v>0</v>
      </c>
    </row>
    <row r="1050" spans="3:9">
      <c r="C1050" s="23">
        <v>1043</v>
      </c>
      <c r="D1050" s="23" t="s">
        <v>134</v>
      </c>
      <c r="E1050" s="23" t="str">
        <f>Withdrawals_Data!A367</f>
        <v>DA-001</v>
      </c>
      <c r="F1050" s="23" t="str">
        <f>Withdrawals_Data!B367</f>
        <v>DA-001-M0004</v>
      </c>
      <c r="G1050" s="24">
        <f>Withdrawals_Data!C367</f>
        <v>45448</v>
      </c>
      <c r="H1050" s="27">
        <v>0</v>
      </c>
      <c r="I1050" s="27">
        <f>-Withdrawals_Data!D367</f>
        <v>-3620</v>
      </c>
    </row>
    <row r="1051" spans="3:9">
      <c r="C1051" s="23">
        <v>1044</v>
      </c>
      <c r="D1051" s="23" t="s">
        <v>134</v>
      </c>
      <c r="E1051" s="23" t="str">
        <f>Withdrawals_Data!A461</f>
        <v>DA-002</v>
      </c>
      <c r="F1051" s="23" t="str">
        <f>Withdrawals_Data!B461</f>
        <v>DA-002-M0016</v>
      </c>
      <c r="G1051" s="24">
        <f>Withdrawals_Data!C461</f>
        <v>45448</v>
      </c>
      <c r="H1051" s="27">
        <v>0</v>
      </c>
      <c r="I1051" s="27">
        <f>-Withdrawals_Data!D461</f>
        <v>-19256</v>
      </c>
    </row>
    <row r="1052" spans="3:9">
      <c r="C1052" s="23">
        <v>1045</v>
      </c>
      <c r="D1052" s="23" t="s">
        <v>134</v>
      </c>
      <c r="E1052" s="23" t="str">
        <f>Withdrawals_Data!A659</f>
        <v>DA-002</v>
      </c>
      <c r="F1052" s="23" t="str">
        <f>Withdrawals_Data!B659</f>
        <v>DA-002-M0039</v>
      </c>
      <c r="G1052" s="24">
        <f>Withdrawals_Data!C659</f>
        <v>45448</v>
      </c>
      <c r="H1052" s="27">
        <v>0</v>
      </c>
      <c r="I1052" s="27">
        <f>-Withdrawals_Data!D659</f>
        <v>-14351</v>
      </c>
    </row>
    <row r="1053" spans="3:9">
      <c r="C1053" s="23">
        <v>1046</v>
      </c>
      <c r="D1053" s="23" t="s">
        <v>132</v>
      </c>
      <c r="E1053" s="23" t="str">
        <f>Contributions_Data!A23</f>
        <v>DA-001</v>
      </c>
      <c r="F1053" s="23" t="str">
        <f>Contributions_Data!B23</f>
        <v>DA-001-M0002</v>
      </c>
      <c r="G1053" s="24">
        <f>Contributions_Data!C23</f>
        <v>45449</v>
      </c>
      <c r="H1053" s="27">
        <f>Contributions_Data!D23</f>
        <v>13971.86</v>
      </c>
      <c r="I1053" s="27">
        <v>0</v>
      </c>
    </row>
    <row r="1054" spans="3:9">
      <c r="C1054" s="23">
        <v>1047</v>
      </c>
      <c r="D1054" s="23" t="s">
        <v>132</v>
      </c>
      <c r="E1054" s="23" t="str">
        <f>Contributions_Data!A406</f>
        <v>DA-001</v>
      </c>
      <c r="F1054" s="23" t="str">
        <f>Contributions_Data!B406</f>
        <v>DA-001-M0034</v>
      </c>
      <c r="G1054" s="24">
        <f>Contributions_Data!C406</f>
        <v>45449</v>
      </c>
      <c r="H1054" s="27">
        <f>Contributions_Data!D406</f>
        <v>17608.82</v>
      </c>
      <c r="I1054" s="27">
        <v>0</v>
      </c>
    </row>
    <row r="1055" spans="3:9">
      <c r="C1055" s="23">
        <v>1048</v>
      </c>
      <c r="D1055" s="23" t="s">
        <v>132</v>
      </c>
      <c r="E1055" s="23" t="str">
        <f>Contributions_Data!A671</f>
        <v>DA-001</v>
      </c>
      <c r="F1055" s="23" t="str">
        <f>Contributions_Data!B671</f>
        <v>DA-001-M0056</v>
      </c>
      <c r="G1055" s="24">
        <f>Contributions_Data!C671</f>
        <v>45449</v>
      </c>
      <c r="H1055" s="27">
        <f>Contributions_Data!D671</f>
        <v>15731.4</v>
      </c>
      <c r="I1055" s="27">
        <v>0</v>
      </c>
    </row>
    <row r="1056" spans="3:9">
      <c r="C1056" s="23">
        <v>1049</v>
      </c>
      <c r="D1056" s="23" t="s">
        <v>132</v>
      </c>
      <c r="E1056" s="23" t="str">
        <f>Contributions_Data!A841</f>
        <v>DA-002</v>
      </c>
      <c r="F1056" s="23" t="str">
        <f>Contributions_Data!B841</f>
        <v>DA-002-M0070</v>
      </c>
      <c r="G1056" s="24">
        <f>Contributions_Data!C841</f>
        <v>45449</v>
      </c>
      <c r="H1056" s="27">
        <f>Contributions_Data!D841</f>
        <v>19926.05</v>
      </c>
      <c r="I1056" s="27">
        <v>0</v>
      </c>
    </row>
    <row r="1057" spans="3:9">
      <c r="C1057" s="23">
        <v>1050</v>
      </c>
      <c r="D1057" s="23" t="s">
        <v>134</v>
      </c>
      <c r="E1057" s="23" t="str">
        <f>Withdrawals_Data!A197</f>
        <v>DA-001</v>
      </c>
      <c r="F1057" s="23" t="str">
        <f>Withdrawals_Data!B197</f>
        <v>DA-001-M0025</v>
      </c>
      <c r="G1057" s="24">
        <f>Withdrawals_Data!C197</f>
        <v>45449</v>
      </c>
      <c r="H1057" s="27">
        <v>0</v>
      </c>
      <c r="I1057" s="27">
        <f>-Withdrawals_Data!D197</f>
        <v>-7550.69</v>
      </c>
    </row>
    <row r="1058" spans="3:9">
      <c r="C1058" s="23">
        <v>1051</v>
      </c>
      <c r="D1058" s="23" t="s">
        <v>134</v>
      </c>
      <c r="E1058" s="23" t="str">
        <f>Withdrawals_Data!A219</f>
        <v>DA-001</v>
      </c>
      <c r="F1058" s="23" t="str">
        <f>Withdrawals_Data!B219</f>
        <v>DA-001-M0009</v>
      </c>
      <c r="G1058" s="24">
        <f>Withdrawals_Data!C219</f>
        <v>45449</v>
      </c>
      <c r="H1058" s="27">
        <v>0</v>
      </c>
      <c r="I1058" s="27">
        <f>-Withdrawals_Data!D219</f>
        <v>-6738.92</v>
      </c>
    </row>
    <row r="1059" spans="3:9">
      <c r="C1059" s="23">
        <v>1052</v>
      </c>
      <c r="D1059" s="23" t="s">
        <v>134</v>
      </c>
      <c r="E1059" s="23" t="str">
        <f>Withdrawals_Data!A373</f>
        <v>DA-003</v>
      </c>
      <c r="F1059" s="23" t="str">
        <f>Withdrawals_Data!B373</f>
        <v>DA-003-M0005</v>
      </c>
      <c r="G1059" s="24">
        <f>Withdrawals_Data!C373</f>
        <v>45449</v>
      </c>
      <c r="H1059" s="27">
        <v>0</v>
      </c>
      <c r="I1059" s="27">
        <f>-Withdrawals_Data!D373</f>
        <v>-9432</v>
      </c>
    </row>
    <row r="1060" spans="3:9">
      <c r="C1060" s="23">
        <v>1053</v>
      </c>
      <c r="D1060" s="23" t="s">
        <v>134</v>
      </c>
      <c r="E1060" s="23" t="str">
        <f>Withdrawals_Data!A557</f>
        <v>DA-002</v>
      </c>
      <c r="F1060" s="23" t="str">
        <f>Withdrawals_Data!B557</f>
        <v>DA-002-M0027</v>
      </c>
      <c r="G1060" s="24">
        <f>Withdrawals_Data!C557</f>
        <v>45449</v>
      </c>
      <c r="H1060" s="27">
        <v>0</v>
      </c>
      <c r="I1060" s="27">
        <f>-Withdrawals_Data!D557</f>
        <v>-3554</v>
      </c>
    </row>
    <row r="1061" spans="3:9">
      <c r="C1061" s="23">
        <v>1054</v>
      </c>
      <c r="D1061" s="23" t="s">
        <v>134</v>
      </c>
      <c r="E1061" s="23" t="str">
        <f>Withdrawals_Data!A767</f>
        <v>DA-002</v>
      </c>
      <c r="F1061" s="23" t="str">
        <f>Withdrawals_Data!B767</f>
        <v>DA-002-M0051</v>
      </c>
      <c r="G1061" s="24">
        <f>Withdrawals_Data!C767</f>
        <v>45449</v>
      </c>
      <c r="H1061" s="27">
        <v>0</v>
      </c>
      <c r="I1061" s="27">
        <f>-Withdrawals_Data!D767</f>
        <v>-16323</v>
      </c>
    </row>
    <row r="1062" spans="3:9">
      <c r="C1062" s="23">
        <v>1055</v>
      </c>
      <c r="D1062" s="23" t="s">
        <v>134</v>
      </c>
      <c r="E1062" s="23" t="str">
        <f>Withdrawals_Data!A826</f>
        <v>DA-002</v>
      </c>
      <c r="F1062" s="23" t="str">
        <f>Withdrawals_Data!B826</f>
        <v>DA-002-M0057</v>
      </c>
      <c r="G1062" s="24">
        <f>Withdrawals_Data!C826</f>
        <v>45449</v>
      </c>
      <c r="H1062" s="27">
        <v>0</v>
      </c>
      <c r="I1062" s="27">
        <f>-Withdrawals_Data!D826</f>
        <v>-14722</v>
      </c>
    </row>
    <row r="1063" spans="3:9">
      <c r="C1063" s="23">
        <v>1056</v>
      </c>
      <c r="D1063" s="23" t="s">
        <v>132</v>
      </c>
      <c r="E1063" s="23" t="str">
        <f>Contributions_Data!A43</f>
        <v>DA-001</v>
      </c>
      <c r="F1063" s="23" t="str">
        <f>Contributions_Data!B43</f>
        <v>DA-001-M0004</v>
      </c>
      <c r="G1063" s="24">
        <f>Contributions_Data!C43</f>
        <v>45450</v>
      </c>
      <c r="H1063" s="27">
        <f>Contributions_Data!D43</f>
        <v>10348.01</v>
      </c>
      <c r="I1063" s="27">
        <v>0</v>
      </c>
    </row>
    <row r="1064" spans="3:9">
      <c r="C1064" s="23">
        <v>1057</v>
      </c>
      <c r="D1064" s="23" t="s">
        <v>132</v>
      </c>
      <c r="E1064" s="23" t="str">
        <f>Contributions_Data!A213</f>
        <v>DA-002</v>
      </c>
      <c r="F1064" s="23" t="str">
        <f>Contributions_Data!B213</f>
        <v>DA-002-M0018</v>
      </c>
      <c r="G1064" s="24">
        <f>Contributions_Data!C213</f>
        <v>45450</v>
      </c>
      <c r="H1064" s="27">
        <f>Contributions_Data!D213</f>
        <v>15968.16</v>
      </c>
      <c r="I1064" s="27">
        <v>0</v>
      </c>
    </row>
    <row r="1065" spans="3:9">
      <c r="C1065" s="23">
        <v>1058</v>
      </c>
      <c r="D1065" s="23" t="s">
        <v>132</v>
      </c>
      <c r="E1065" s="23" t="str">
        <f>Contributions_Data!A251</f>
        <v>DA-002</v>
      </c>
      <c r="F1065" s="23" t="str">
        <f>Contributions_Data!B251</f>
        <v>DA-002-M0021</v>
      </c>
      <c r="G1065" s="24">
        <f>Contributions_Data!C251</f>
        <v>45450</v>
      </c>
      <c r="H1065" s="27">
        <f>Contributions_Data!D251</f>
        <v>16868.55</v>
      </c>
      <c r="I1065" s="27">
        <v>0</v>
      </c>
    </row>
    <row r="1066" spans="3:9">
      <c r="C1066" s="23">
        <v>1059</v>
      </c>
      <c r="D1066" s="23" t="s">
        <v>132</v>
      </c>
      <c r="E1066" s="23" t="str">
        <f>Contributions_Data!A807</f>
        <v>DA-003</v>
      </c>
      <c r="F1066" s="23" t="str">
        <f>Contributions_Data!B807</f>
        <v>DA-003-M0068</v>
      </c>
      <c r="G1066" s="24">
        <f>Contributions_Data!C807</f>
        <v>45450</v>
      </c>
      <c r="H1066" s="27">
        <f>Contributions_Data!D807</f>
        <v>13128.69</v>
      </c>
      <c r="I1066" s="27">
        <v>0</v>
      </c>
    </row>
    <row r="1067" spans="3:9">
      <c r="C1067" s="23">
        <v>1060</v>
      </c>
      <c r="D1067" s="23" t="s">
        <v>132</v>
      </c>
      <c r="E1067" s="23" t="str">
        <f>Contributions_Data!A836</f>
        <v>DA-002</v>
      </c>
      <c r="F1067" s="23" t="str">
        <f>Contributions_Data!B836</f>
        <v>DA-002-M0070</v>
      </c>
      <c r="G1067" s="24">
        <f>Contributions_Data!C836</f>
        <v>45450</v>
      </c>
      <c r="H1067" s="27">
        <f>Contributions_Data!D836</f>
        <v>10679.85</v>
      </c>
      <c r="I1067" s="27">
        <v>0</v>
      </c>
    </row>
    <row r="1068" spans="3:9">
      <c r="C1068" s="23">
        <v>1061</v>
      </c>
      <c r="D1068" s="23" t="s">
        <v>132</v>
      </c>
      <c r="E1068" s="23" t="str">
        <f>Contributions_Data!A1091</f>
        <v>DA-002</v>
      </c>
      <c r="F1068" s="23" t="str">
        <f>Contributions_Data!B1091</f>
        <v>DA-002-M0091</v>
      </c>
      <c r="G1068" s="24">
        <f>Contributions_Data!C1091</f>
        <v>45450</v>
      </c>
      <c r="H1068" s="27">
        <f>Contributions_Data!D1091</f>
        <v>13170.65</v>
      </c>
      <c r="I1068" s="27">
        <v>0</v>
      </c>
    </row>
    <row r="1069" spans="3:9">
      <c r="C1069" s="23">
        <v>1062</v>
      </c>
      <c r="D1069" s="23" t="s">
        <v>132</v>
      </c>
      <c r="E1069" s="23" t="str">
        <f>Contributions_Data!A1123</f>
        <v>DA-002</v>
      </c>
      <c r="F1069" s="23" t="str">
        <f>Contributions_Data!B1123</f>
        <v>DA-002-M0094</v>
      </c>
      <c r="G1069" s="24">
        <f>Contributions_Data!C1123</f>
        <v>45450</v>
      </c>
      <c r="H1069" s="27">
        <f>Contributions_Data!D1123</f>
        <v>14751.96</v>
      </c>
      <c r="I1069" s="27">
        <v>0</v>
      </c>
    </row>
    <row r="1070" spans="3:9">
      <c r="C1070" s="23">
        <v>1063</v>
      </c>
      <c r="D1070" s="23" t="s">
        <v>134</v>
      </c>
      <c r="E1070" s="23" t="str">
        <f>Withdrawals_Data!A347</f>
        <v>DA-001</v>
      </c>
      <c r="F1070" s="23" t="str">
        <f>Withdrawals_Data!B347</f>
        <v>DA-001-M0002</v>
      </c>
      <c r="G1070" s="24">
        <f>Withdrawals_Data!C347</f>
        <v>45450</v>
      </c>
      <c r="H1070" s="27">
        <v>0</v>
      </c>
      <c r="I1070" s="27">
        <f>-Withdrawals_Data!D347</f>
        <v>-14324</v>
      </c>
    </row>
    <row r="1071" spans="3:9">
      <c r="C1071" s="23">
        <v>1064</v>
      </c>
      <c r="D1071" s="23" t="s">
        <v>134</v>
      </c>
      <c r="E1071" s="23" t="str">
        <f>Withdrawals_Data!A804</f>
        <v>DA-001</v>
      </c>
      <c r="F1071" s="23" t="str">
        <f>Withdrawals_Data!B804</f>
        <v>DA-001-M0055</v>
      </c>
      <c r="G1071" s="24">
        <f>Withdrawals_Data!C804</f>
        <v>45450</v>
      </c>
      <c r="H1071" s="27">
        <v>0</v>
      </c>
      <c r="I1071" s="27">
        <f>-Withdrawals_Data!D804</f>
        <v>-4150</v>
      </c>
    </row>
    <row r="1072" spans="3:9">
      <c r="C1072" s="23">
        <v>1065</v>
      </c>
      <c r="D1072" s="23" t="s">
        <v>132</v>
      </c>
      <c r="E1072" s="23" t="str">
        <f>Contributions_Data!A188</f>
        <v>DA-002</v>
      </c>
      <c r="F1072" s="23" t="str">
        <f>Contributions_Data!B188</f>
        <v>DA-002-M0016</v>
      </c>
      <c r="G1072" s="24">
        <f>Contributions_Data!C188</f>
        <v>45451</v>
      </c>
      <c r="H1072" s="27">
        <f>Contributions_Data!D188</f>
        <v>18474.330000000002</v>
      </c>
      <c r="I1072" s="27">
        <v>0</v>
      </c>
    </row>
    <row r="1073" spans="3:9">
      <c r="C1073" s="23">
        <v>1066</v>
      </c>
      <c r="D1073" s="23" t="s">
        <v>132</v>
      </c>
      <c r="E1073" s="23" t="str">
        <f>Contributions_Data!A1159</f>
        <v>DA-002</v>
      </c>
      <c r="F1073" s="23" t="str">
        <f>Contributions_Data!B1159</f>
        <v>DA-002-M0097</v>
      </c>
      <c r="G1073" s="24">
        <f>Contributions_Data!C1159</f>
        <v>45451</v>
      </c>
      <c r="H1073" s="27">
        <f>Contributions_Data!D1159</f>
        <v>7727.28</v>
      </c>
      <c r="I1073" s="27">
        <v>0</v>
      </c>
    </row>
    <row r="1074" spans="3:9">
      <c r="C1074" s="23">
        <v>1067</v>
      </c>
      <c r="D1074" s="23" t="s">
        <v>134</v>
      </c>
      <c r="E1074" s="23" t="str">
        <f>Withdrawals_Data!A40</f>
        <v>DA-001</v>
      </c>
      <c r="F1074" s="23" t="str">
        <f>Withdrawals_Data!B40</f>
        <v>DA-001-M0093</v>
      </c>
      <c r="G1074" s="24">
        <f>Withdrawals_Data!C40</f>
        <v>45451</v>
      </c>
      <c r="H1074" s="27">
        <v>0</v>
      </c>
      <c r="I1074" s="27">
        <f>-Withdrawals_Data!D40</f>
        <v>-12833.46</v>
      </c>
    </row>
    <row r="1075" spans="3:9">
      <c r="C1075" s="23">
        <v>1068</v>
      </c>
      <c r="D1075" s="23" t="s">
        <v>134</v>
      </c>
      <c r="E1075" s="23" t="str">
        <f>Withdrawals_Data!A340</f>
        <v>DA-003</v>
      </c>
      <c r="F1075" s="23" t="str">
        <f>Withdrawals_Data!B340</f>
        <v>DA-003-M0001</v>
      </c>
      <c r="G1075" s="24">
        <f>Withdrawals_Data!C340</f>
        <v>45451</v>
      </c>
      <c r="H1075" s="27">
        <v>0</v>
      </c>
      <c r="I1075" s="27">
        <f>-Withdrawals_Data!D340</f>
        <v>-1692</v>
      </c>
    </row>
    <row r="1076" spans="3:9">
      <c r="C1076" s="23">
        <v>1069</v>
      </c>
      <c r="D1076" s="23" t="s">
        <v>134</v>
      </c>
      <c r="E1076" s="23" t="str">
        <f>Withdrawals_Data!A377</f>
        <v>DA-003</v>
      </c>
      <c r="F1076" s="23" t="str">
        <f>Withdrawals_Data!B377</f>
        <v>DA-003-M0006</v>
      </c>
      <c r="G1076" s="24">
        <f>Withdrawals_Data!C377</f>
        <v>45451</v>
      </c>
      <c r="H1076" s="27">
        <v>0</v>
      </c>
      <c r="I1076" s="27">
        <f>-Withdrawals_Data!D377</f>
        <v>-21480</v>
      </c>
    </row>
    <row r="1077" spans="3:9">
      <c r="C1077" s="23">
        <v>1070</v>
      </c>
      <c r="D1077" s="23" t="s">
        <v>134</v>
      </c>
      <c r="E1077" s="23" t="str">
        <f>Withdrawals_Data!A475</f>
        <v>DA-002</v>
      </c>
      <c r="F1077" s="23" t="str">
        <f>Withdrawals_Data!B475</f>
        <v>DA-002-M0018</v>
      </c>
      <c r="G1077" s="24">
        <f>Withdrawals_Data!C475</f>
        <v>45451</v>
      </c>
      <c r="H1077" s="27">
        <v>0</v>
      </c>
      <c r="I1077" s="27">
        <f>-Withdrawals_Data!D475</f>
        <v>-8255</v>
      </c>
    </row>
    <row r="1078" spans="3:9">
      <c r="C1078" s="23">
        <v>1071</v>
      </c>
      <c r="D1078" s="23" t="s">
        <v>134</v>
      </c>
      <c r="E1078" s="23" t="str">
        <f>Withdrawals_Data!A751</f>
        <v>DA-001</v>
      </c>
      <c r="F1078" s="23" t="str">
        <f>Withdrawals_Data!B751</f>
        <v>DA-001-M0049</v>
      </c>
      <c r="G1078" s="24">
        <f>Withdrawals_Data!C751</f>
        <v>45451</v>
      </c>
      <c r="H1078" s="27">
        <v>0</v>
      </c>
      <c r="I1078" s="27">
        <f>-Withdrawals_Data!D751</f>
        <v>-11971</v>
      </c>
    </row>
    <row r="1079" spans="3:9">
      <c r="C1079" s="23">
        <v>1072</v>
      </c>
      <c r="D1079" s="23" t="s">
        <v>132</v>
      </c>
      <c r="E1079" s="23" t="str">
        <f>Contributions_Data!A250</f>
        <v>DA-002</v>
      </c>
      <c r="F1079" s="23" t="str">
        <f>Contributions_Data!B250</f>
        <v>DA-002-M0021</v>
      </c>
      <c r="G1079" s="24">
        <f>Contributions_Data!C250</f>
        <v>45452</v>
      </c>
      <c r="H1079" s="27">
        <f>Contributions_Data!D250</f>
        <v>13649.8</v>
      </c>
      <c r="I1079" s="27">
        <v>0</v>
      </c>
    </row>
    <row r="1080" spans="3:9">
      <c r="C1080" s="23">
        <v>1073</v>
      </c>
      <c r="D1080" s="23" t="s">
        <v>132</v>
      </c>
      <c r="E1080" s="23" t="str">
        <f>Contributions_Data!A669</f>
        <v>DA-001</v>
      </c>
      <c r="F1080" s="23" t="str">
        <f>Contributions_Data!B669</f>
        <v>DA-001-M0056</v>
      </c>
      <c r="G1080" s="24">
        <f>Contributions_Data!C669</f>
        <v>45452</v>
      </c>
      <c r="H1080" s="27">
        <f>Contributions_Data!D669</f>
        <v>13493.84</v>
      </c>
      <c r="I1080" s="27">
        <v>0</v>
      </c>
    </row>
    <row r="1081" spans="3:9">
      <c r="C1081" s="23">
        <v>1074</v>
      </c>
      <c r="D1081" s="23" t="s">
        <v>134</v>
      </c>
      <c r="E1081" s="23" t="str">
        <f>Withdrawals_Data!A641</f>
        <v>DA-002</v>
      </c>
      <c r="F1081" s="23" t="str">
        <f>Withdrawals_Data!B641</f>
        <v>DA-002-M0037</v>
      </c>
      <c r="G1081" s="24">
        <f>Withdrawals_Data!C641</f>
        <v>45452</v>
      </c>
      <c r="H1081" s="27">
        <v>0</v>
      </c>
      <c r="I1081" s="27">
        <f>-Withdrawals_Data!D641</f>
        <v>-13379</v>
      </c>
    </row>
    <row r="1082" spans="3:9">
      <c r="C1082" s="23">
        <v>1075</v>
      </c>
      <c r="D1082" s="23" t="s">
        <v>132</v>
      </c>
      <c r="E1082" s="23" t="str">
        <f>Contributions_Data!A234</f>
        <v>DA-002</v>
      </c>
      <c r="F1082" s="23" t="str">
        <f>Contributions_Data!B234</f>
        <v>DA-002-M0020</v>
      </c>
      <c r="G1082" s="24">
        <f>Contributions_Data!C234</f>
        <v>45453</v>
      </c>
      <c r="H1082" s="27">
        <f>Contributions_Data!D234</f>
        <v>13422.73</v>
      </c>
      <c r="I1082" s="27">
        <v>0</v>
      </c>
    </row>
    <row r="1083" spans="3:9">
      <c r="C1083" s="23">
        <v>1076</v>
      </c>
      <c r="D1083" s="23" t="s">
        <v>132</v>
      </c>
      <c r="E1083" s="23" t="str">
        <f>Contributions_Data!A338</f>
        <v>DA-003</v>
      </c>
      <c r="F1083" s="23" t="str">
        <f>Contributions_Data!B338</f>
        <v>DA-003-M0029</v>
      </c>
      <c r="G1083" s="24">
        <f>Contributions_Data!C338</f>
        <v>45453</v>
      </c>
      <c r="H1083" s="27">
        <f>Contributions_Data!D338</f>
        <v>17266.169999999998</v>
      </c>
      <c r="I1083" s="27">
        <v>0</v>
      </c>
    </row>
    <row r="1084" spans="3:9">
      <c r="C1084" s="23">
        <v>1077</v>
      </c>
      <c r="D1084" s="23" t="s">
        <v>132</v>
      </c>
      <c r="E1084" s="23" t="str">
        <f>Contributions_Data!A844</f>
        <v>DA-001</v>
      </c>
      <c r="F1084" s="23" t="str">
        <f>Contributions_Data!B844</f>
        <v>DA-001-M0071</v>
      </c>
      <c r="G1084" s="24">
        <f>Contributions_Data!C844</f>
        <v>45453</v>
      </c>
      <c r="H1084" s="27">
        <f>Contributions_Data!D844</f>
        <v>17945.3</v>
      </c>
      <c r="I1084" s="27">
        <v>0</v>
      </c>
    </row>
    <row r="1085" spans="3:9">
      <c r="C1085" s="23">
        <v>1078</v>
      </c>
      <c r="D1085" s="23" t="s">
        <v>132</v>
      </c>
      <c r="E1085" s="23" t="str">
        <f>Contributions_Data!A866</f>
        <v>DA-001</v>
      </c>
      <c r="F1085" s="23" t="str">
        <f>Contributions_Data!B866</f>
        <v>DA-001-M0073</v>
      </c>
      <c r="G1085" s="24">
        <f>Contributions_Data!C866</f>
        <v>45453</v>
      </c>
      <c r="H1085" s="27">
        <f>Contributions_Data!D866</f>
        <v>12031.12</v>
      </c>
      <c r="I1085" s="27">
        <v>0</v>
      </c>
    </row>
    <row r="1086" spans="3:9">
      <c r="C1086" s="23">
        <v>1079</v>
      </c>
      <c r="D1086" s="23" t="s">
        <v>134</v>
      </c>
      <c r="E1086" s="23" t="str">
        <f>Withdrawals_Data!A126</f>
        <v>DA-003</v>
      </c>
      <c r="F1086" s="23" t="str">
        <f>Withdrawals_Data!B126</f>
        <v>DA-003-M0005</v>
      </c>
      <c r="G1086" s="24">
        <f>Withdrawals_Data!C126</f>
        <v>45453</v>
      </c>
      <c r="H1086" s="27">
        <v>0</v>
      </c>
      <c r="I1086" s="27">
        <f>-Withdrawals_Data!D126</f>
        <v>-9172.2900000000009</v>
      </c>
    </row>
    <row r="1087" spans="3:9">
      <c r="C1087" s="23">
        <v>1080</v>
      </c>
      <c r="D1087" s="23" t="s">
        <v>134</v>
      </c>
      <c r="E1087" s="23" t="str">
        <f>Withdrawals_Data!A236</f>
        <v>DA-003</v>
      </c>
      <c r="F1087" s="23" t="str">
        <f>Withdrawals_Data!B236</f>
        <v>DA-003-M0001</v>
      </c>
      <c r="G1087" s="24">
        <f>Withdrawals_Data!C236</f>
        <v>45453</v>
      </c>
      <c r="H1087" s="27">
        <v>0</v>
      </c>
      <c r="I1087" s="27">
        <f>-Withdrawals_Data!D236</f>
        <v>-5926.92</v>
      </c>
    </row>
    <row r="1088" spans="3:9">
      <c r="C1088" s="23">
        <v>1081</v>
      </c>
      <c r="D1088" s="23" t="s">
        <v>134</v>
      </c>
      <c r="E1088" s="23" t="str">
        <f>Withdrawals_Data!A444</f>
        <v>DA-003</v>
      </c>
      <c r="F1088" s="23" t="str">
        <f>Withdrawals_Data!B444</f>
        <v>DA-003-M0014</v>
      </c>
      <c r="G1088" s="24">
        <f>Withdrawals_Data!C444</f>
        <v>45453</v>
      </c>
      <c r="H1088" s="27">
        <v>0</v>
      </c>
      <c r="I1088" s="27">
        <f>-Withdrawals_Data!D444</f>
        <v>-16185</v>
      </c>
    </row>
    <row r="1089" spans="3:9">
      <c r="C1089" s="23">
        <v>1082</v>
      </c>
      <c r="D1089" s="23" t="s">
        <v>134</v>
      </c>
      <c r="E1089" s="23" t="str">
        <f>Withdrawals_Data!A844</f>
        <v>DA-003</v>
      </c>
      <c r="F1089" s="23" t="str">
        <f>Withdrawals_Data!B844</f>
        <v>DA-003-M0059</v>
      </c>
      <c r="G1089" s="24">
        <f>Withdrawals_Data!C844</f>
        <v>45453</v>
      </c>
      <c r="H1089" s="27">
        <v>0</v>
      </c>
      <c r="I1089" s="27">
        <f>-Withdrawals_Data!D844</f>
        <v>-9732</v>
      </c>
    </row>
    <row r="1090" spans="3:9">
      <c r="C1090" s="23">
        <v>1083</v>
      </c>
      <c r="D1090" s="23" t="s">
        <v>134</v>
      </c>
      <c r="E1090" s="23" t="str">
        <f>Withdrawals_Data!A1161</f>
        <v>DA-001</v>
      </c>
      <c r="F1090" s="23" t="str">
        <f>Withdrawals_Data!B1161</f>
        <v>DA-001-M0096</v>
      </c>
      <c r="G1090" s="24">
        <f>Withdrawals_Data!C1161</f>
        <v>45453</v>
      </c>
      <c r="H1090" s="27">
        <v>0</v>
      </c>
      <c r="I1090" s="27">
        <f>-Withdrawals_Data!D1161</f>
        <v>-13865</v>
      </c>
    </row>
    <row r="1091" spans="3:9">
      <c r="C1091" s="23">
        <v>1084</v>
      </c>
      <c r="D1091" s="23" t="s">
        <v>134</v>
      </c>
      <c r="E1091" s="23" t="str">
        <f>Withdrawals_Data!A1201</f>
        <v>DA-003</v>
      </c>
      <c r="F1091" s="23" t="str">
        <f>Withdrawals_Data!B1201</f>
        <v>DA-003-M0100</v>
      </c>
      <c r="G1091" s="24">
        <f>Withdrawals_Data!C1201</f>
        <v>45453</v>
      </c>
      <c r="H1091" s="27">
        <v>0</v>
      </c>
      <c r="I1091" s="27">
        <f>-Withdrawals_Data!D1201</f>
        <v>-3757</v>
      </c>
    </row>
    <row r="1092" spans="3:9">
      <c r="C1092" s="23">
        <v>1085</v>
      </c>
      <c r="D1092" s="23" t="s">
        <v>132</v>
      </c>
      <c r="E1092" s="23" t="str">
        <f>Contributions_Data!A467</f>
        <v>DA-002</v>
      </c>
      <c r="F1092" s="23" t="str">
        <f>Contributions_Data!B467</f>
        <v>DA-002-M0039</v>
      </c>
      <c r="G1092" s="24">
        <f>Contributions_Data!C467</f>
        <v>45454</v>
      </c>
      <c r="H1092" s="27">
        <f>Contributions_Data!D467</f>
        <v>11612.84</v>
      </c>
      <c r="I1092" s="27">
        <v>0</v>
      </c>
    </row>
    <row r="1093" spans="3:9">
      <c r="C1093" s="23">
        <v>1086</v>
      </c>
      <c r="D1093" s="23" t="s">
        <v>132</v>
      </c>
      <c r="E1093" s="23" t="str">
        <f>Contributions_Data!A1149</f>
        <v>DA-001</v>
      </c>
      <c r="F1093" s="23" t="str">
        <f>Contributions_Data!B1149</f>
        <v>DA-001-M0096</v>
      </c>
      <c r="G1093" s="24">
        <f>Contributions_Data!C1149</f>
        <v>45454</v>
      </c>
      <c r="H1093" s="27">
        <f>Contributions_Data!D1149</f>
        <v>17298.240000000002</v>
      </c>
      <c r="I1093" s="27">
        <v>0</v>
      </c>
    </row>
    <row r="1094" spans="3:9">
      <c r="C1094" s="23">
        <v>1087</v>
      </c>
      <c r="D1094" s="23" t="s">
        <v>134</v>
      </c>
      <c r="E1094" s="23" t="str">
        <f>Withdrawals_Data!A199</f>
        <v>DA-003</v>
      </c>
      <c r="F1094" s="23" t="str">
        <f>Withdrawals_Data!B199</f>
        <v>DA-003-M0036</v>
      </c>
      <c r="G1094" s="24">
        <f>Withdrawals_Data!C199</f>
        <v>45454</v>
      </c>
      <c r="H1094" s="27">
        <v>0</v>
      </c>
      <c r="I1094" s="27">
        <f>-Withdrawals_Data!D199</f>
        <v>-7496.85</v>
      </c>
    </row>
    <row r="1095" spans="3:9">
      <c r="C1095" s="23">
        <v>1088</v>
      </c>
      <c r="D1095" s="23" t="s">
        <v>134</v>
      </c>
      <c r="E1095" s="23" t="str">
        <f>Withdrawals_Data!A745</f>
        <v>DA-003</v>
      </c>
      <c r="F1095" s="23" t="str">
        <f>Withdrawals_Data!B745</f>
        <v>DA-003-M0048</v>
      </c>
      <c r="G1095" s="24">
        <f>Withdrawals_Data!C745</f>
        <v>45454</v>
      </c>
      <c r="H1095" s="27">
        <v>0</v>
      </c>
      <c r="I1095" s="27">
        <f>-Withdrawals_Data!D745</f>
        <v>-4021</v>
      </c>
    </row>
    <row r="1096" spans="3:9">
      <c r="C1096" s="23">
        <v>1089</v>
      </c>
      <c r="D1096" s="23" t="s">
        <v>132</v>
      </c>
      <c r="E1096" s="23" t="str">
        <f>Contributions_Data!A115</f>
        <v>DA-001</v>
      </c>
      <c r="F1096" s="23" t="str">
        <f>Contributions_Data!B115</f>
        <v>DA-001-M0010</v>
      </c>
      <c r="G1096" s="24">
        <f>Contributions_Data!C115</f>
        <v>45455</v>
      </c>
      <c r="H1096" s="27">
        <f>Contributions_Data!D115</f>
        <v>17038.79</v>
      </c>
      <c r="I1096" s="27">
        <v>0</v>
      </c>
    </row>
    <row r="1097" spans="3:9">
      <c r="C1097" s="23">
        <v>1090</v>
      </c>
      <c r="D1097" s="23" t="s">
        <v>132</v>
      </c>
      <c r="E1097" s="23" t="str">
        <f>Contributions_Data!A231</f>
        <v>DA-002</v>
      </c>
      <c r="F1097" s="23" t="str">
        <f>Contributions_Data!B231</f>
        <v>DA-002-M0020</v>
      </c>
      <c r="G1097" s="24">
        <f>Contributions_Data!C231</f>
        <v>45455</v>
      </c>
      <c r="H1097" s="27">
        <f>Contributions_Data!D231</f>
        <v>12480.83</v>
      </c>
      <c r="I1097" s="27">
        <v>0</v>
      </c>
    </row>
    <row r="1098" spans="3:9">
      <c r="C1098" s="23">
        <v>1091</v>
      </c>
      <c r="D1098" s="23" t="s">
        <v>132</v>
      </c>
      <c r="E1098" s="23" t="str">
        <f>Contributions_Data!A333</f>
        <v>DA-003</v>
      </c>
      <c r="F1098" s="23" t="str">
        <f>Contributions_Data!B333</f>
        <v>DA-003-M0028</v>
      </c>
      <c r="G1098" s="24">
        <f>Contributions_Data!C333</f>
        <v>45455</v>
      </c>
      <c r="H1098" s="27">
        <f>Contributions_Data!D333</f>
        <v>12507.15</v>
      </c>
      <c r="I1098" s="27">
        <v>0</v>
      </c>
    </row>
    <row r="1099" spans="3:9">
      <c r="C1099" s="23">
        <v>1092</v>
      </c>
      <c r="D1099" s="23" t="s">
        <v>132</v>
      </c>
      <c r="E1099" s="23" t="str">
        <f>Contributions_Data!A911</f>
        <v>DA-003</v>
      </c>
      <c r="F1099" s="23" t="str">
        <f>Contributions_Data!B911</f>
        <v>DA-003-M0076</v>
      </c>
      <c r="G1099" s="24">
        <f>Contributions_Data!C911</f>
        <v>45455</v>
      </c>
      <c r="H1099" s="27">
        <f>Contributions_Data!D911</f>
        <v>10332.31</v>
      </c>
      <c r="I1099" s="27">
        <v>0</v>
      </c>
    </row>
    <row r="1100" spans="3:9">
      <c r="C1100" s="23">
        <v>1093</v>
      </c>
      <c r="D1100" s="23" t="s">
        <v>132</v>
      </c>
      <c r="E1100" s="23" t="str">
        <f>Contributions_Data!A1097</f>
        <v>DA-001</v>
      </c>
      <c r="F1100" s="23" t="str">
        <f>Contributions_Data!B1097</f>
        <v>DA-001-M0092</v>
      </c>
      <c r="G1100" s="24">
        <f>Contributions_Data!C1097</f>
        <v>45455</v>
      </c>
      <c r="H1100" s="27">
        <f>Contributions_Data!D1097</f>
        <v>16258.6</v>
      </c>
      <c r="I1100" s="27">
        <v>0</v>
      </c>
    </row>
    <row r="1101" spans="3:9">
      <c r="C1101" s="23">
        <v>1094</v>
      </c>
      <c r="D1101" s="23" t="s">
        <v>132</v>
      </c>
      <c r="E1101" s="23" t="str">
        <f>Contributions_Data!A1145</f>
        <v>DA-001</v>
      </c>
      <c r="F1101" s="23" t="str">
        <f>Contributions_Data!B1145</f>
        <v>DA-001-M0096</v>
      </c>
      <c r="G1101" s="24">
        <f>Contributions_Data!C1145</f>
        <v>45455</v>
      </c>
      <c r="H1101" s="27">
        <f>Contributions_Data!D1145</f>
        <v>19983.78</v>
      </c>
      <c r="I1101" s="27">
        <v>0</v>
      </c>
    </row>
    <row r="1102" spans="3:9">
      <c r="C1102" s="23">
        <v>1095</v>
      </c>
      <c r="D1102" s="23" t="s">
        <v>134</v>
      </c>
      <c r="E1102" s="23" t="str">
        <f>Withdrawals_Data!A626</f>
        <v>DA-001</v>
      </c>
      <c r="F1102" s="23" t="str">
        <f>Withdrawals_Data!B626</f>
        <v>DA-001-M0035</v>
      </c>
      <c r="G1102" s="24">
        <f>Withdrawals_Data!C626</f>
        <v>45455</v>
      </c>
      <c r="H1102" s="27">
        <v>0</v>
      </c>
      <c r="I1102" s="27">
        <f>-Withdrawals_Data!D626</f>
        <v>-11619</v>
      </c>
    </row>
    <row r="1103" spans="3:9">
      <c r="C1103" s="23">
        <v>1096</v>
      </c>
      <c r="D1103" s="23" t="s">
        <v>134</v>
      </c>
      <c r="E1103" s="23" t="str">
        <f>Withdrawals_Data!A817</f>
        <v>DA-002</v>
      </c>
      <c r="F1103" s="23" t="str">
        <f>Withdrawals_Data!B817</f>
        <v>DA-002-M0057</v>
      </c>
      <c r="G1103" s="24">
        <f>Withdrawals_Data!C817</f>
        <v>45455</v>
      </c>
      <c r="H1103" s="27">
        <v>0</v>
      </c>
      <c r="I1103" s="27">
        <f>-Withdrawals_Data!D817</f>
        <v>-7455</v>
      </c>
    </row>
    <row r="1104" spans="3:9">
      <c r="C1104" s="23">
        <v>1097</v>
      </c>
      <c r="D1104" s="23" t="s">
        <v>134</v>
      </c>
      <c r="E1104" s="23" t="str">
        <f>Withdrawals_Data!A1103</f>
        <v>DA-002</v>
      </c>
      <c r="F1104" s="23" t="str">
        <f>Withdrawals_Data!B1103</f>
        <v>DA-002-M0089</v>
      </c>
      <c r="G1104" s="24">
        <f>Withdrawals_Data!C1103</f>
        <v>45455</v>
      </c>
      <c r="H1104" s="27">
        <v>0</v>
      </c>
      <c r="I1104" s="27">
        <f>-Withdrawals_Data!D1103</f>
        <v>-5667</v>
      </c>
    </row>
    <row r="1105" spans="3:9">
      <c r="C1105" s="23">
        <v>1098</v>
      </c>
      <c r="D1105" s="23" t="s">
        <v>132</v>
      </c>
      <c r="E1105" s="23" t="str">
        <f>Contributions_Data!A2</f>
        <v>DA-003</v>
      </c>
      <c r="F1105" s="23" t="str">
        <f>Contributions_Data!B2</f>
        <v>DA-003-M0001</v>
      </c>
      <c r="G1105" s="24">
        <f>Contributions_Data!C2</f>
        <v>45456</v>
      </c>
      <c r="H1105" s="27">
        <f>Contributions_Data!D2</f>
        <v>15261.14</v>
      </c>
      <c r="I1105" s="27">
        <v>0</v>
      </c>
    </row>
    <row r="1106" spans="3:9">
      <c r="C1106" s="23">
        <v>1099</v>
      </c>
      <c r="D1106" s="23" t="s">
        <v>132</v>
      </c>
      <c r="E1106" s="23" t="str">
        <f>Contributions_Data!A271</f>
        <v>DA-002</v>
      </c>
      <c r="F1106" s="23" t="str">
        <f>Contributions_Data!B271</f>
        <v>DA-002-M0023</v>
      </c>
      <c r="G1106" s="24">
        <f>Contributions_Data!C271</f>
        <v>45456</v>
      </c>
      <c r="H1106" s="27">
        <f>Contributions_Data!D271</f>
        <v>11450.22</v>
      </c>
      <c r="I1106" s="27">
        <v>0</v>
      </c>
    </row>
    <row r="1107" spans="3:9">
      <c r="C1107" s="23">
        <v>1100</v>
      </c>
      <c r="D1107" s="23" t="s">
        <v>132</v>
      </c>
      <c r="E1107" s="23" t="str">
        <f>Contributions_Data!A330</f>
        <v>DA-003</v>
      </c>
      <c r="F1107" s="23" t="str">
        <f>Contributions_Data!B330</f>
        <v>DA-003-M0028</v>
      </c>
      <c r="G1107" s="24">
        <f>Contributions_Data!C330</f>
        <v>45456</v>
      </c>
      <c r="H1107" s="27">
        <f>Contributions_Data!D330</f>
        <v>13538.62</v>
      </c>
      <c r="I1107" s="27">
        <v>0</v>
      </c>
    </row>
    <row r="1108" spans="3:9">
      <c r="C1108" s="23">
        <v>1101</v>
      </c>
      <c r="D1108" s="23" t="s">
        <v>132</v>
      </c>
      <c r="E1108" s="23" t="str">
        <f>Contributions_Data!A480</f>
        <v>DA-002</v>
      </c>
      <c r="F1108" s="23" t="str">
        <f>Contributions_Data!B480</f>
        <v>DA-002-M0040</v>
      </c>
      <c r="G1108" s="24">
        <f>Contributions_Data!C480</f>
        <v>45456</v>
      </c>
      <c r="H1108" s="27">
        <f>Contributions_Data!D480</f>
        <v>17772.080000000002</v>
      </c>
      <c r="I1108" s="27">
        <v>0</v>
      </c>
    </row>
    <row r="1109" spans="3:9">
      <c r="C1109" s="23">
        <v>1102</v>
      </c>
      <c r="D1109" s="23" t="s">
        <v>132</v>
      </c>
      <c r="E1109" s="23" t="str">
        <f>Contributions_Data!A507</f>
        <v>DA-001</v>
      </c>
      <c r="F1109" s="23" t="str">
        <f>Contributions_Data!B507</f>
        <v>DA-001-M0043</v>
      </c>
      <c r="G1109" s="24">
        <f>Contributions_Data!C507</f>
        <v>45456</v>
      </c>
      <c r="H1109" s="27">
        <f>Contributions_Data!D507</f>
        <v>12665.09</v>
      </c>
      <c r="I1109" s="27">
        <v>0</v>
      </c>
    </row>
    <row r="1110" spans="3:9">
      <c r="C1110" s="23">
        <v>1103</v>
      </c>
      <c r="D1110" s="23" t="s">
        <v>132</v>
      </c>
      <c r="E1110" s="23" t="str">
        <f>Contributions_Data!A604</f>
        <v>DA-002</v>
      </c>
      <c r="F1110" s="23" t="str">
        <f>Contributions_Data!B604</f>
        <v>DA-002-M0051</v>
      </c>
      <c r="G1110" s="24">
        <f>Contributions_Data!C604</f>
        <v>45456</v>
      </c>
      <c r="H1110" s="27">
        <f>Contributions_Data!D604</f>
        <v>13130.58</v>
      </c>
      <c r="I1110" s="27">
        <v>0</v>
      </c>
    </row>
    <row r="1111" spans="3:9">
      <c r="C1111" s="23">
        <v>1104</v>
      </c>
      <c r="D1111" s="23" t="s">
        <v>132</v>
      </c>
      <c r="E1111" s="23" t="str">
        <f>Contributions_Data!A1135</f>
        <v>DA-003</v>
      </c>
      <c r="F1111" s="23" t="str">
        <f>Contributions_Data!B1135</f>
        <v>DA-003-M0095</v>
      </c>
      <c r="G1111" s="24">
        <f>Contributions_Data!C1135</f>
        <v>45456</v>
      </c>
      <c r="H1111" s="27">
        <f>Contributions_Data!D1135</f>
        <v>11641.15</v>
      </c>
      <c r="I1111" s="27">
        <v>0</v>
      </c>
    </row>
    <row r="1112" spans="3:9">
      <c r="C1112" s="23">
        <v>1105</v>
      </c>
      <c r="D1112" s="23" t="s">
        <v>134</v>
      </c>
      <c r="E1112" s="23" t="str">
        <f>Withdrawals_Data!A415</f>
        <v>DA-001</v>
      </c>
      <c r="F1112" s="23" t="str">
        <f>Withdrawals_Data!B415</f>
        <v>DA-001-M0010</v>
      </c>
      <c r="G1112" s="24">
        <f>Withdrawals_Data!C415</f>
        <v>45456</v>
      </c>
      <c r="H1112" s="27">
        <v>0</v>
      </c>
      <c r="I1112" s="27">
        <f>-Withdrawals_Data!D415</f>
        <v>-3290</v>
      </c>
    </row>
    <row r="1113" spans="3:9">
      <c r="C1113" s="23">
        <v>1106</v>
      </c>
      <c r="D1113" s="23" t="s">
        <v>134</v>
      </c>
      <c r="E1113" s="23" t="str">
        <f>Withdrawals_Data!A1111</f>
        <v>DA-003</v>
      </c>
      <c r="F1113" s="23" t="str">
        <f>Withdrawals_Data!B1111</f>
        <v>DA-003-M0090</v>
      </c>
      <c r="G1113" s="24">
        <f>Withdrawals_Data!C1111</f>
        <v>45456</v>
      </c>
      <c r="H1113" s="27">
        <v>0</v>
      </c>
      <c r="I1113" s="27">
        <f>-Withdrawals_Data!D1111</f>
        <v>-21079</v>
      </c>
    </row>
    <row r="1114" spans="3:9">
      <c r="C1114" s="23">
        <v>1107</v>
      </c>
      <c r="D1114" s="23" t="s">
        <v>132</v>
      </c>
      <c r="E1114" s="23" t="str">
        <f>Contributions_Data!A541</f>
        <v>DA-003</v>
      </c>
      <c r="F1114" s="23" t="str">
        <f>Contributions_Data!B541</f>
        <v>DA-003-M0045</v>
      </c>
      <c r="G1114" s="24">
        <f>Contributions_Data!C541</f>
        <v>45457</v>
      </c>
      <c r="H1114" s="27">
        <f>Contributions_Data!D541</f>
        <v>13312.6</v>
      </c>
      <c r="I1114" s="27">
        <v>0</v>
      </c>
    </row>
    <row r="1115" spans="3:9">
      <c r="C1115" s="23">
        <v>1108</v>
      </c>
      <c r="D1115" s="23" t="s">
        <v>132</v>
      </c>
      <c r="E1115" s="23" t="str">
        <f>Contributions_Data!A788</f>
        <v>DA-003</v>
      </c>
      <c r="F1115" s="23" t="str">
        <f>Contributions_Data!B788</f>
        <v>DA-003-M0066</v>
      </c>
      <c r="G1115" s="24">
        <f>Contributions_Data!C788</f>
        <v>45457</v>
      </c>
      <c r="H1115" s="27">
        <f>Contributions_Data!D788</f>
        <v>14035.09</v>
      </c>
      <c r="I1115" s="27">
        <v>0</v>
      </c>
    </row>
    <row r="1116" spans="3:9">
      <c r="C1116" s="23">
        <v>1109</v>
      </c>
      <c r="D1116" s="23" t="s">
        <v>132</v>
      </c>
      <c r="E1116" s="23" t="str">
        <f>Contributions_Data!A921</f>
        <v>DA-003</v>
      </c>
      <c r="F1116" s="23" t="str">
        <f>Contributions_Data!B921</f>
        <v>DA-003-M0077</v>
      </c>
      <c r="G1116" s="24">
        <f>Contributions_Data!C921</f>
        <v>45457</v>
      </c>
      <c r="H1116" s="27">
        <f>Contributions_Data!D921</f>
        <v>16616.27</v>
      </c>
      <c r="I1116" s="27">
        <v>0</v>
      </c>
    </row>
    <row r="1117" spans="3:9">
      <c r="C1117" s="23">
        <v>1110</v>
      </c>
      <c r="D1117" s="23" t="s">
        <v>134</v>
      </c>
      <c r="E1117" s="23" t="str">
        <f>Withdrawals_Data!A20</f>
        <v>DA-001</v>
      </c>
      <c r="F1117" s="23" t="str">
        <f>Withdrawals_Data!B20</f>
        <v>DA-001-M0049</v>
      </c>
      <c r="G1117" s="24">
        <f>Withdrawals_Data!C20</f>
        <v>45457</v>
      </c>
      <c r="H1117" s="27">
        <v>0</v>
      </c>
      <c r="I1117" s="27">
        <f>-Withdrawals_Data!D20</f>
        <v>-14318.29</v>
      </c>
    </row>
    <row r="1118" spans="3:9">
      <c r="C1118" s="23">
        <v>1111</v>
      </c>
      <c r="D1118" s="23" t="s">
        <v>134</v>
      </c>
      <c r="E1118" s="23" t="str">
        <f>Withdrawals_Data!A34</f>
        <v>DA-001</v>
      </c>
      <c r="F1118" s="23" t="str">
        <f>Withdrawals_Data!B34</f>
        <v>DA-001-M0022</v>
      </c>
      <c r="G1118" s="24">
        <f>Withdrawals_Data!C34</f>
        <v>45458</v>
      </c>
      <c r="H1118" s="27">
        <v>0</v>
      </c>
      <c r="I1118" s="27">
        <f>-Withdrawals_Data!D34</f>
        <v>-13110.71</v>
      </c>
    </row>
    <row r="1119" spans="3:9">
      <c r="C1119" s="23">
        <v>1112</v>
      </c>
      <c r="D1119" s="23" t="s">
        <v>134</v>
      </c>
      <c r="E1119" s="23" t="str">
        <f>Withdrawals_Data!A131</f>
        <v>DA-002</v>
      </c>
      <c r="F1119" s="23" t="str">
        <f>Withdrawals_Data!B131</f>
        <v>DA-002-M0003</v>
      </c>
      <c r="G1119" s="24">
        <f>Withdrawals_Data!C131</f>
        <v>45458</v>
      </c>
      <c r="H1119" s="27">
        <v>0</v>
      </c>
      <c r="I1119" s="27">
        <f>-Withdrawals_Data!D131</f>
        <v>-9030.2000000000007</v>
      </c>
    </row>
    <row r="1120" spans="3:9">
      <c r="C1120" s="23">
        <v>1113</v>
      </c>
      <c r="D1120" s="23" t="s">
        <v>134</v>
      </c>
      <c r="E1120" s="23" t="str">
        <f>Withdrawals_Data!A517</f>
        <v>DA-002</v>
      </c>
      <c r="F1120" s="23" t="str">
        <f>Withdrawals_Data!B517</f>
        <v>DA-002-M0023</v>
      </c>
      <c r="G1120" s="24">
        <f>Withdrawals_Data!C517</f>
        <v>45458</v>
      </c>
      <c r="H1120" s="27">
        <v>0</v>
      </c>
      <c r="I1120" s="27">
        <f>-Withdrawals_Data!D517</f>
        <v>-18337</v>
      </c>
    </row>
    <row r="1121" spans="3:9">
      <c r="C1121" s="23">
        <v>1114</v>
      </c>
      <c r="D1121" s="23" t="s">
        <v>132</v>
      </c>
      <c r="E1121" s="23" t="str">
        <f>Contributions_Data!A94</f>
        <v>DA-003</v>
      </c>
      <c r="F1121" s="23" t="str">
        <f>Contributions_Data!B94</f>
        <v>DA-003-M0008</v>
      </c>
      <c r="G1121" s="24">
        <f>Contributions_Data!C94</f>
        <v>45459</v>
      </c>
      <c r="H1121" s="27">
        <f>Contributions_Data!D94</f>
        <v>16682.349999999999</v>
      </c>
      <c r="I1121" s="27">
        <v>0</v>
      </c>
    </row>
    <row r="1122" spans="3:9">
      <c r="C1122" s="23">
        <v>1115</v>
      </c>
      <c r="D1122" s="23" t="s">
        <v>132</v>
      </c>
      <c r="E1122" s="23" t="str">
        <f>Contributions_Data!A1104</f>
        <v>DA-001</v>
      </c>
      <c r="F1122" s="23" t="str">
        <f>Contributions_Data!B1104</f>
        <v>DA-001-M0092</v>
      </c>
      <c r="G1122" s="24">
        <f>Contributions_Data!C1104</f>
        <v>45459</v>
      </c>
      <c r="H1122" s="27">
        <f>Contributions_Data!D1104</f>
        <v>10744.9</v>
      </c>
      <c r="I1122" s="27">
        <v>0</v>
      </c>
    </row>
    <row r="1123" spans="3:9">
      <c r="C1123" s="23">
        <v>1116</v>
      </c>
      <c r="D1123" s="23" t="s">
        <v>134</v>
      </c>
      <c r="E1123" s="23" t="str">
        <f>Withdrawals_Data!A60</f>
        <v>DA-003</v>
      </c>
      <c r="F1123" s="23" t="str">
        <f>Withdrawals_Data!B60</f>
        <v>DA-003-M0068</v>
      </c>
      <c r="G1123" s="24">
        <f>Withdrawals_Data!C60</f>
        <v>45459</v>
      </c>
      <c r="H1123" s="27">
        <v>0</v>
      </c>
      <c r="I1123" s="27">
        <f>-Withdrawals_Data!D60</f>
        <v>-11480.27</v>
      </c>
    </row>
    <row r="1124" spans="3:9">
      <c r="C1124" s="23">
        <v>1117</v>
      </c>
      <c r="D1124" s="23" t="s">
        <v>134</v>
      </c>
      <c r="E1124" s="23" t="str">
        <f>Withdrawals_Data!A438</f>
        <v>DA-003</v>
      </c>
      <c r="F1124" s="23" t="str">
        <f>Withdrawals_Data!B438</f>
        <v>DA-003-M0014</v>
      </c>
      <c r="G1124" s="24">
        <f>Withdrawals_Data!C438</f>
        <v>45459</v>
      </c>
      <c r="H1124" s="27">
        <v>0</v>
      </c>
      <c r="I1124" s="27">
        <f>-Withdrawals_Data!D438</f>
        <v>-3788</v>
      </c>
    </row>
    <row r="1125" spans="3:9">
      <c r="C1125" s="23">
        <v>1118</v>
      </c>
      <c r="D1125" s="23" t="s">
        <v>134</v>
      </c>
      <c r="E1125" s="23" t="str">
        <f>Withdrawals_Data!A538</f>
        <v>DA-001</v>
      </c>
      <c r="F1125" s="23" t="str">
        <f>Withdrawals_Data!B538</f>
        <v>DA-001-M0025</v>
      </c>
      <c r="G1125" s="24">
        <f>Withdrawals_Data!C538</f>
        <v>45459</v>
      </c>
      <c r="H1125" s="27">
        <v>0</v>
      </c>
      <c r="I1125" s="27">
        <f>-Withdrawals_Data!D538</f>
        <v>-1456</v>
      </c>
    </row>
    <row r="1126" spans="3:9">
      <c r="C1126" s="23">
        <v>1119</v>
      </c>
      <c r="D1126" s="23" t="s">
        <v>134</v>
      </c>
      <c r="E1126" s="23" t="str">
        <f>Withdrawals_Data!A596</f>
        <v>DA-003</v>
      </c>
      <c r="F1126" s="23" t="str">
        <f>Withdrawals_Data!B596</f>
        <v>DA-003-M0032</v>
      </c>
      <c r="G1126" s="24">
        <f>Withdrawals_Data!C596</f>
        <v>45459</v>
      </c>
      <c r="H1126" s="27">
        <v>0</v>
      </c>
      <c r="I1126" s="27">
        <f>-Withdrawals_Data!D596</f>
        <v>-9792</v>
      </c>
    </row>
    <row r="1127" spans="3:9">
      <c r="C1127" s="23">
        <v>1120</v>
      </c>
      <c r="D1127" s="23" t="s">
        <v>132</v>
      </c>
      <c r="E1127" s="23" t="str">
        <f>Contributions_Data!A416</f>
        <v>DA-001</v>
      </c>
      <c r="F1127" s="23" t="str">
        <f>Contributions_Data!B416</f>
        <v>DA-001-M0035</v>
      </c>
      <c r="G1127" s="24">
        <f>Contributions_Data!C416</f>
        <v>45460</v>
      </c>
      <c r="H1127" s="27">
        <f>Contributions_Data!D416</f>
        <v>22337.26</v>
      </c>
      <c r="I1127" s="27">
        <v>0</v>
      </c>
    </row>
    <row r="1128" spans="3:9">
      <c r="C1128" s="23">
        <v>1121</v>
      </c>
      <c r="D1128" s="23" t="s">
        <v>132</v>
      </c>
      <c r="E1128" s="23" t="str">
        <f>Contributions_Data!A696</f>
        <v>DA-001</v>
      </c>
      <c r="F1128" s="23" t="str">
        <f>Contributions_Data!B696</f>
        <v>DA-001-M0058</v>
      </c>
      <c r="G1128" s="24">
        <f>Contributions_Data!C696</f>
        <v>45460</v>
      </c>
      <c r="H1128" s="27">
        <f>Contributions_Data!D696</f>
        <v>19320.349999999999</v>
      </c>
      <c r="I1128" s="27">
        <v>0</v>
      </c>
    </row>
    <row r="1129" spans="3:9">
      <c r="C1129" s="23">
        <v>1122</v>
      </c>
      <c r="D1129" s="23" t="s">
        <v>132</v>
      </c>
      <c r="E1129" s="23" t="str">
        <f>Contributions_Data!A968</f>
        <v>DA-003</v>
      </c>
      <c r="F1129" s="23" t="str">
        <f>Contributions_Data!B968</f>
        <v>DA-003-M0081</v>
      </c>
      <c r="G1129" s="24">
        <f>Contributions_Data!C968</f>
        <v>45460</v>
      </c>
      <c r="H1129" s="27">
        <f>Contributions_Data!D968</f>
        <v>13171.46</v>
      </c>
      <c r="I1129" s="27">
        <v>0</v>
      </c>
    </row>
    <row r="1130" spans="3:9">
      <c r="C1130" s="23">
        <v>1123</v>
      </c>
      <c r="D1130" s="23" t="s">
        <v>132</v>
      </c>
      <c r="E1130" s="23" t="str">
        <f>Contributions_Data!A664</f>
        <v>DA-001</v>
      </c>
      <c r="F1130" s="23" t="str">
        <f>Contributions_Data!B664</f>
        <v>DA-001-M0056</v>
      </c>
      <c r="G1130" s="24">
        <f>Contributions_Data!C664</f>
        <v>45461</v>
      </c>
      <c r="H1130" s="27">
        <f>Contributions_Data!D664</f>
        <v>14802.75</v>
      </c>
      <c r="I1130" s="27">
        <v>0</v>
      </c>
    </row>
    <row r="1131" spans="3:9">
      <c r="C1131" s="23">
        <v>1124</v>
      </c>
      <c r="D1131" s="23" t="s">
        <v>132</v>
      </c>
      <c r="E1131" s="23" t="str">
        <f>Contributions_Data!A972</f>
        <v>DA-003</v>
      </c>
      <c r="F1131" s="23" t="str">
        <f>Contributions_Data!B972</f>
        <v>DA-003-M0081</v>
      </c>
      <c r="G1131" s="24">
        <f>Contributions_Data!C972</f>
        <v>45461</v>
      </c>
      <c r="H1131" s="27">
        <f>Contributions_Data!D972</f>
        <v>16459.5</v>
      </c>
      <c r="I1131" s="27">
        <v>0</v>
      </c>
    </row>
    <row r="1132" spans="3:9">
      <c r="C1132" s="23">
        <v>1125</v>
      </c>
      <c r="D1132" s="23" t="s">
        <v>132</v>
      </c>
      <c r="E1132" s="23" t="str">
        <f>Contributions_Data!A994</f>
        <v>DA-001</v>
      </c>
      <c r="F1132" s="23" t="str">
        <f>Contributions_Data!B994</f>
        <v>DA-001-M0083</v>
      </c>
      <c r="G1132" s="24">
        <f>Contributions_Data!C994</f>
        <v>45461</v>
      </c>
      <c r="H1132" s="27">
        <f>Contributions_Data!D994</f>
        <v>10899.36</v>
      </c>
      <c r="I1132" s="27">
        <v>0</v>
      </c>
    </row>
    <row r="1133" spans="3:9">
      <c r="C1133" s="23">
        <v>1126</v>
      </c>
      <c r="D1133" s="23" t="s">
        <v>132</v>
      </c>
      <c r="E1133" s="23" t="str">
        <f>Contributions_Data!A1108</f>
        <v>DA-001</v>
      </c>
      <c r="F1133" s="23" t="str">
        <f>Contributions_Data!B1108</f>
        <v>DA-001-M0093</v>
      </c>
      <c r="G1133" s="24">
        <f>Contributions_Data!C1108</f>
        <v>45461</v>
      </c>
      <c r="H1133" s="27">
        <f>Contributions_Data!D1108</f>
        <v>13307.26</v>
      </c>
      <c r="I1133" s="27">
        <v>0</v>
      </c>
    </row>
    <row r="1134" spans="3:9">
      <c r="C1134" s="23">
        <v>1127</v>
      </c>
      <c r="D1134" s="23" t="s">
        <v>134</v>
      </c>
      <c r="E1134" s="23" t="str">
        <f>Withdrawals_Data!A10</f>
        <v>DA-001</v>
      </c>
      <c r="F1134" s="23" t="str">
        <f>Withdrawals_Data!B10</f>
        <v>DA-001-M0025</v>
      </c>
      <c r="G1134" s="24">
        <f>Withdrawals_Data!C10</f>
        <v>45461</v>
      </c>
      <c r="H1134" s="27">
        <v>0</v>
      </c>
      <c r="I1134" s="27">
        <f>-Withdrawals_Data!D10</f>
        <v>-15858.9</v>
      </c>
    </row>
    <row r="1135" spans="3:9">
      <c r="C1135" s="23">
        <v>1128</v>
      </c>
      <c r="D1135" s="23" t="s">
        <v>134</v>
      </c>
      <c r="E1135" s="23" t="str">
        <f>Withdrawals_Data!A152</f>
        <v>DA-003</v>
      </c>
      <c r="F1135" s="23" t="str">
        <f>Withdrawals_Data!B152</f>
        <v>DA-003-M0095</v>
      </c>
      <c r="G1135" s="24">
        <f>Withdrawals_Data!C152</f>
        <v>45461</v>
      </c>
      <c r="H1135" s="27">
        <v>0</v>
      </c>
      <c r="I1135" s="27">
        <f>-Withdrawals_Data!D152</f>
        <v>-8563.5400000000009</v>
      </c>
    </row>
    <row r="1136" spans="3:9">
      <c r="C1136" s="23">
        <v>1129</v>
      </c>
      <c r="D1136" s="23" t="s">
        <v>134</v>
      </c>
      <c r="E1136" s="23" t="str">
        <f>Withdrawals_Data!A494</f>
        <v>DA-002</v>
      </c>
      <c r="F1136" s="23" t="str">
        <f>Withdrawals_Data!B494</f>
        <v>DA-002-M0020</v>
      </c>
      <c r="G1136" s="24">
        <f>Withdrawals_Data!C494</f>
        <v>45461</v>
      </c>
      <c r="H1136" s="27">
        <v>0</v>
      </c>
      <c r="I1136" s="27">
        <f>-Withdrawals_Data!D494</f>
        <v>-19587</v>
      </c>
    </row>
    <row r="1137" spans="3:9">
      <c r="C1137" s="23">
        <v>1130</v>
      </c>
      <c r="D1137" s="23" t="s">
        <v>134</v>
      </c>
      <c r="E1137" s="23" t="str">
        <f>Withdrawals_Data!A512</f>
        <v>DA-001</v>
      </c>
      <c r="F1137" s="23" t="str">
        <f>Withdrawals_Data!B512</f>
        <v>DA-001-M0022</v>
      </c>
      <c r="G1137" s="24">
        <f>Withdrawals_Data!C512</f>
        <v>45461</v>
      </c>
      <c r="H1137" s="27">
        <v>0</v>
      </c>
      <c r="I1137" s="27">
        <f>-Withdrawals_Data!D512</f>
        <v>-12540</v>
      </c>
    </row>
    <row r="1138" spans="3:9">
      <c r="C1138" s="23">
        <v>1131</v>
      </c>
      <c r="D1138" s="23" t="s">
        <v>134</v>
      </c>
      <c r="E1138" s="23" t="str">
        <f>Withdrawals_Data!A646</f>
        <v>DA-002</v>
      </c>
      <c r="F1138" s="23" t="str">
        <f>Withdrawals_Data!B646</f>
        <v>DA-002-M0037</v>
      </c>
      <c r="G1138" s="24">
        <f>Withdrawals_Data!C646</f>
        <v>45461</v>
      </c>
      <c r="H1138" s="27">
        <v>0</v>
      </c>
      <c r="I1138" s="27">
        <f>-Withdrawals_Data!D646</f>
        <v>-16835</v>
      </c>
    </row>
    <row r="1139" spans="3:9">
      <c r="C1139" s="23">
        <v>1132</v>
      </c>
      <c r="D1139" s="23" t="s">
        <v>134</v>
      </c>
      <c r="E1139" s="23" t="str">
        <f>Withdrawals_Data!A1005</f>
        <v>DA-003</v>
      </c>
      <c r="F1139" s="23" t="str">
        <f>Withdrawals_Data!B1005</f>
        <v>DA-003-M0079</v>
      </c>
      <c r="G1139" s="24">
        <f>Withdrawals_Data!C1005</f>
        <v>45461</v>
      </c>
      <c r="H1139" s="27">
        <v>0</v>
      </c>
      <c r="I1139" s="27">
        <f>-Withdrawals_Data!D1005</f>
        <v>-9358</v>
      </c>
    </row>
    <row r="1140" spans="3:9">
      <c r="C1140" s="23">
        <v>1133</v>
      </c>
      <c r="D1140" s="23" t="s">
        <v>134</v>
      </c>
      <c r="E1140" s="23" t="str">
        <f>Withdrawals_Data!A111</f>
        <v>DA-003</v>
      </c>
      <c r="F1140" s="23" t="str">
        <f>Withdrawals_Data!B111</f>
        <v>DA-003-M0079</v>
      </c>
      <c r="G1140" s="24">
        <f>Withdrawals_Data!C111</f>
        <v>45462</v>
      </c>
      <c r="H1140" s="27">
        <v>0</v>
      </c>
      <c r="I1140" s="27">
        <f>-Withdrawals_Data!D111</f>
        <v>-9554.31</v>
      </c>
    </row>
    <row r="1141" spans="3:9">
      <c r="C1141" s="23">
        <v>1134</v>
      </c>
      <c r="D1141" s="23" t="s">
        <v>134</v>
      </c>
      <c r="E1141" s="23" t="str">
        <f>Withdrawals_Data!A341</f>
        <v>DA-003</v>
      </c>
      <c r="F1141" s="23" t="str">
        <f>Withdrawals_Data!B341</f>
        <v>DA-003-M0001</v>
      </c>
      <c r="G1141" s="24">
        <f>Withdrawals_Data!C341</f>
        <v>45462</v>
      </c>
      <c r="H1141" s="27">
        <v>0</v>
      </c>
      <c r="I1141" s="27">
        <f>-Withdrawals_Data!D341</f>
        <v>-4878</v>
      </c>
    </row>
    <row r="1142" spans="3:9">
      <c r="C1142" s="23">
        <v>1135</v>
      </c>
      <c r="D1142" s="23" t="s">
        <v>134</v>
      </c>
      <c r="E1142" s="23" t="str">
        <f>Withdrawals_Data!A1067</f>
        <v>DA-002</v>
      </c>
      <c r="F1142" s="23" t="str">
        <f>Withdrawals_Data!B1067</f>
        <v>DA-002-M0085</v>
      </c>
      <c r="G1142" s="24">
        <f>Withdrawals_Data!C1067</f>
        <v>45462</v>
      </c>
      <c r="H1142" s="27">
        <v>0</v>
      </c>
      <c r="I1142" s="27">
        <f>-Withdrawals_Data!D1067</f>
        <v>-2251</v>
      </c>
    </row>
    <row r="1143" spans="3:9">
      <c r="C1143" s="23">
        <v>1136</v>
      </c>
      <c r="D1143" s="23" t="s">
        <v>134</v>
      </c>
      <c r="E1143" s="23" t="str">
        <f>Withdrawals_Data!A1153</f>
        <v>DA-003</v>
      </c>
      <c r="F1143" s="23" t="str">
        <f>Withdrawals_Data!B1153</f>
        <v>DA-003-M0095</v>
      </c>
      <c r="G1143" s="24">
        <f>Withdrawals_Data!C1153</f>
        <v>45462</v>
      </c>
      <c r="H1143" s="27">
        <v>0</v>
      </c>
      <c r="I1143" s="27">
        <f>-Withdrawals_Data!D1153</f>
        <v>-16055</v>
      </c>
    </row>
    <row r="1144" spans="3:9">
      <c r="C1144" s="23">
        <v>1137</v>
      </c>
      <c r="D1144" s="23" t="s">
        <v>134</v>
      </c>
      <c r="E1144" s="23" t="str">
        <f>Withdrawals_Data!A1183</f>
        <v>DA-003</v>
      </c>
      <c r="F1144" s="23" t="str">
        <f>Withdrawals_Data!B1183</f>
        <v>DA-003-M0099</v>
      </c>
      <c r="G1144" s="24">
        <f>Withdrawals_Data!C1183</f>
        <v>45462</v>
      </c>
      <c r="H1144" s="27">
        <v>0</v>
      </c>
      <c r="I1144" s="27">
        <f>-Withdrawals_Data!D1183</f>
        <v>-16849</v>
      </c>
    </row>
    <row r="1145" spans="3:9">
      <c r="C1145" s="23">
        <v>1138</v>
      </c>
      <c r="D1145" s="23" t="s">
        <v>132</v>
      </c>
      <c r="E1145" s="23" t="str">
        <f>Contributions_Data!A13</f>
        <v>DA-003</v>
      </c>
      <c r="F1145" s="23" t="str">
        <f>Contributions_Data!B13</f>
        <v>DA-003-M0001</v>
      </c>
      <c r="G1145" s="24">
        <f>Contributions_Data!C13</f>
        <v>45463</v>
      </c>
      <c r="H1145" s="27">
        <f>Contributions_Data!D13</f>
        <v>15291.23</v>
      </c>
      <c r="I1145" s="27">
        <v>0</v>
      </c>
    </row>
    <row r="1146" spans="3:9">
      <c r="C1146" s="23">
        <v>1139</v>
      </c>
      <c r="D1146" s="23" t="s">
        <v>132</v>
      </c>
      <c r="E1146" s="23" t="str">
        <f>Contributions_Data!A652</f>
        <v>DA-001</v>
      </c>
      <c r="F1146" s="23" t="str">
        <f>Contributions_Data!B652</f>
        <v>DA-001-M0055</v>
      </c>
      <c r="G1146" s="24">
        <f>Contributions_Data!C652</f>
        <v>45463</v>
      </c>
      <c r="H1146" s="27">
        <f>Contributions_Data!D652</f>
        <v>19732.36</v>
      </c>
      <c r="I1146" s="27">
        <v>0</v>
      </c>
    </row>
    <row r="1147" spans="3:9">
      <c r="C1147" s="23">
        <v>1140</v>
      </c>
      <c r="D1147" s="23" t="s">
        <v>132</v>
      </c>
      <c r="E1147" s="23" t="str">
        <f>Contributions_Data!A656</f>
        <v>DA-001</v>
      </c>
      <c r="F1147" s="23" t="str">
        <f>Contributions_Data!B656</f>
        <v>DA-001-M0055</v>
      </c>
      <c r="G1147" s="24">
        <f>Contributions_Data!C656</f>
        <v>45463</v>
      </c>
      <c r="H1147" s="27">
        <f>Contributions_Data!D656</f>
        <v>13660.7</v>
      </c>
      <c r="I1147" s="27">
        <v>0</v>
      </c>
    </row>
    <row r="1148" spans="3:9">
      <c r="C1148" s="23">
        <v>1141</v>
      </c>
      <c r="D1148" s="23" t="s">
        <v>134</v>
      </c>
      <c r="E1148" s="23" t="str">
        <f>Withdrawals_Data!A102</f>
        <v>DA-003</v>
      </c>
      <c r="F1148" s="23" t="str">
        <f>Withdrawals_Data!B102</f>
        <v>DA-003-M0069</v>
      </c>
      <c r="G1148" s="24">
        <f>Withdrawals_Data!C102</f>
        <v>45463</v>
      </c>
      <c r="H1148" s="27">
        <v>0</v>
      </c>
      <c r="I1148" s="27">
        <f>-Withdrawals_Data!D102</f>
        <v>-9814.14</v>
      </c>
    </row>
    <row r="1149" spans="3:9">
      <c r="C1149" s="23">
        <v>1142</v>
      </c>
      <c r="D1149" s="23" t="s">
        <v>134</v>
      </c>
      <c r="E1149" s="23" t="str">
        <f>Withdrawals_Data!A717</f>
        <v>DA-003</v>
      </c>
      <c r="F1149" s="23" t="str">
        <f>Withdrawals_Data!B717</f>
        <v>DA-003-M0045</v>
      </c>
      <c r="G1149" s="24">
        <f>Withdrawals_Data!C717</f>
        <v>45463</v>
      </c>
      <c r="H1149" s="27">
        <v>0</v>
      </c>
      <c r="I1149" s="27">
        <f>-Withdrawals_Data!D717</f>
        <v>-12105</v>
      </c>
    </row>
    <row r="1150" spans="3:9">
      <c r="C1150" s="23">
        <v>1143</v>
      </c>
      <c r="D1150" s="23" t="s">
        <v>134</v>
      </c>
      <c r="E1150" s="23" t="str">
        <f>Withdrawals_Data!A728</f>
        <v>DA-001</v>
      </c>
      <c r="F1150" s="23" t="str">
        <f>Withdrawals_Data!B728</f>
        <v>DA-001-M0046</v>
      </c>
      <c r="G1150" s="24">
        <f>Withdrawals_Data!C728</f>
        <v>45463</v>
      </c>
      <c r="H1150" s="27">
        <v>0</v>
      </c>
      <c r="I1150" s="27">
        <f>-Withdrawals_Data!D728</f>
        <v>-9516</v>
      </c>
    </row>
    <row r="1151" spans="3:9">
      <c r="C1151" s="23">
        <v>1144</v>
      </c>
      <c r="D1151" s="23" t="s">
        <v>134</v>
      </c>
      <c r="E1151" s="23" t="str">
        <f>Withdrawals_Data!A899</f>
        <v>DA-001</v>
      </c>
      <c r="F1151" s="23" t="str">
        <f>Withdrawals_Data!B899</f>
        <v>DA-001-M0065</v>
      </c>
      <c r="G1151" s="24">
        <f>Withdrawals_Data!C899</f>
        <v>45463</v>
      </c>
      <c r="H1151" s="27">
        <v>0</v>
      </c>
      <c r="I1151" s="27">
        <f>-Withdrawals_Data!D899</f>
        <v>-11080</v>
      </c>
    </row>
    <row r="1152" spans="3:9">
      <c r="C1152" s="23">
        <v>1145</v>
      </c>
      <c r="D1152" s="23" t="s">
        <v>132</v>
      </c>
      <c r="E1152" s="23" t="str">
        <f>Contributions_Data!A260</f>
        <v>DA-001</v>
      </c>
      <c r="F1152" s="23" t="str">
        <f>Contributions_Data!B260</f>
        <v>DA-001-M0022</v>
      </c>
      <c r="G1152" s="24">
        <f>Contributions_Data!C260</f>
        <v>45464</v>
      </c>
      <c r="H1152" s="27">
        <f>Contributions_Data!D260</f>
        <v>19653.46</v>
      </c>
      <c r="I1152" s="27">
        <v>0</v>
      </c>
    </row>
    <row r="1153" spans="3:9">
      <c r="C1153" s="23">
        <v>1146</v>
      </c>
      <c r="D1153" s="23" t="s">
        <v>132</v>
      </c>
      <c r="E1153" s="23" t="str">
        <f>Contributions_Data!A1121</f>
        <v>DA-002</v>
      </c>
      <c r="F1153" s="23" t="str">
        <f>Contributions_Data!B1121</f>
        <v>DA-002-M0094</v>
      </c>
      <c r="G1153" s="24">
        <f>Contributions_Data!C1121</f>
        <v>45464</v>
      </c>
      <c r="H1153" s="27">
        <f>Contributions_Data!D1121</f>
        <v>12849.53</v>
      </c>
      <c r="I1153" s="27">
        <v>0</v>
      </c>
    </row>
    <row r="1154" spans="3:9">
      <c r="C1154" s="23">
        <v>1147</v>
      </c>
      <c r="D1154" s="23" t="s">
        <v>134</v>
      </c>
      <c r="E1154" s="23" t="str">
        <f>Withdrawals_Data!A27</f>
        <v>DA-002</v>
      </c>
      <c r="F1154" s="23" t="str">
        <f>Withdrawals_Data!B27</f>
        <v>DA-002-M0003</v>
      </c>
      <c r="G1154" s="24">
        <f>Withdrawals_Data!C27</f>
        <v>45464</v>
      </c>
      <c r="H1154" s="27">
        <v>0</v>
      </c>
      <c r="I1154" s="27">
        <f>-Withdrawals_Data!D27</f>
        <v>-13611.18</v>
      </c>
    </row>
    <row r="1155" spans="3:9">
      <c r="C1155" s="23">
        <v>1148</v>
      </c>
      <c r="D1155" s="23" t="s">
        <v>134</v>
      </c>
      <c r="E1155" s="23" t="str">
        <f>Withdrawals_Data!A828</f>
        <v>DA-001</v>
      </c>
      <c r="F1155" s="23" t="str">
        <f>Withdrawals_Data!B828</f>
        <v>DA-001-M0058</v>
      </c>
      <c r="G1155" s="24">
        <f>Withdrawals_Data!C828</f>
        <v>45464</v>
      </c>
      <c r="H1155" s="27">
        <v>0</v>
      </c>
      <c r="I1155" s="27">
        <f>-Withdrawals_Data!D828</f>
        <v>-21489</v>
      </c>
    </row>
    <row r="1156" spans="3:9">
      <c r="C1156" s="23">
        <v>1149</v>
      </c>
      <c r="D1156" s="23" t="s">
        <v>134</v>
      </c>
      <c r="E1156" s="23" t="str">
        <f>Withdrawals_Data!A845</f>
        <v>DA-003</v>
      </c>
      <c r="F1156" s="23" t="str">
        <f>Withdrawals_Data!B845</f>
        <v>DA-003-M0059</v>
      </c>
      <c r="G1156" s="24">
        <f>Withdrawals_Data!C845</f>
        <v>45464</v>
      </c>
      <c r="H1156" s="27">
        <v>0</v>
      </c>
      <c r="I1156" s="27">
        <f>-Withdrawals_Data!D845</f>
        <v>-21036</v>
      </c>
    </row>
    <row r="1157" spans="3:9">
      <c r="C1157" s="23">
        <v>1150</v>
      </c>
      <c r="D1157" s="23" t="s">
        <v>134</v>
      </c>
      <c r="E1157" s="23" t="str">
        <f>Withdrawals_Data!A909</f>
        <v>DA-002</v>
      </c>
      <c r="F1157" s="23" t="str">
        <f>Withdrawals_Data!B909</f>
        <v>DA-002-M0067</v>
      </c>
      <c r="G1157" s="24">
        <f>Withdrawals_Data!C909</f>
        <v>45464</v>
      </c>
      <c r="H1157" s="27">
        <v>0</v>
      </c>
      <c r="I1157" s="27">
        <f>-Withdrawals_Data!D909</f>
        <v>-15554</v>
      </c>
    </row>
    <row r="1158" spans="3:9">
      <c r="C1158" s="23">
        <v>1151</v>
      </c>
      <c r="D1158" s="23" t="s">
        <v>132</v>
      </c>
      <c r="E1158" s="23" t="str">
        <f>Contributions_Data!A129</f>
        <v>DA-001</v>
      </c>
      <c r="F1158" s="23" t="str">
        <f>Contributions_Data!B129</f>
        <v>DA-001-M0011</v>
      </c>
      <c r="G1158" s="24">
        <f>Contributions_Data!C129</f>
        <v>45465</v>
      </c>
      <c r="H1158" s="27">
        <f>Contributions_Data!D129</f>
        <v>13575.16</v>
      </c>
      <c r="I1158" s="27">
        <v>0</v>
      </c>
    </row>
    <row r="1159" spans="3:9">
      <c r="C1159" s="23">
        <v>1152</v>
      </c>
      <c r="D1159" s="23" t="s">
        <v>132</v>
      </c>
      <c r="E1159" s="23" t="str">
        <f>Contributions_Data!A352</f>
        <v>DA-002</v>
      </c>
      <c r="F1159" s="23" t="str">
        <f>Contributions_Data!B352</f>
        <v>DA-002-M0030</v>
      </c>
      <c r="G1159" s="24">
        <f>Contributions_Data!C352</f>
        <v>45465</v>
      </c>
      <c r="H1159" s="27">
        <f>Contributions_Data!D352</f>
        <v>12418.76</v>
      </c>
      <c r="I1159" s="27">
        <v>0</v>
      </c>
    </row>
    <row r="1160" spans="3:9">
      <c r="C1160" s="23">
        <v>1153</v>
      </c>
      <c r="D1160" s="23" t="s">
        <v>132</v>
      </c>
      <c r="E1160" s="23" t="str">
        <f>Contributions_Data!A377</f>
        <v>DA-003</v>
      </c>
      <c r="F1160" s="23" t="str">
        <f>Contributions_Data!B377</f>
        <v>DA-003-M0032</v>
      </c>
      <c r="G1160" s="24">
        <f>Contributions_Data!C377</f>
        <v>45465</v>
      </c>
      <c r="H1160" s="27">
        <f>Contributions_Data!D377</f>
        <v>8885.6299999999992</v>
      </c>
      <c r="I1160" s="27">
        <v>0</v>
      </c>
    </row>
    <row r="1161" spans="3:9">
      <c r="C1161" s="23">
        <v>1154</v>
      </c>
      <c r="D1161" s="23" t="s">
        <v>134</v>
      </c>
      <c r="E1161" s="23" t="str">
        <f>Withdrawals_Data!A173</f>
        <v>DA-002</v>
      </c>
      <c r="F1161" s="23" t="str">
        <f>Withdrawals_Data!B173</f>
        <v>DA-002-M0030</v>
      </c>
      <c r="G1161" s="24">
        <f>Withdrawals_Data!C173</f>
        <v>45465</v>
      </c>
      <c r="H1161" s="27">
        <v>0</v>
      </c>
      <c r="I1161" s="27">
        <f>-Withdrawals_Data!D173</f>
        <v>-8189.59</v>
      </c>
    </row>
    <row r="1162" spans="3:9">
      <c r="C1162" s="23">
        <v>1155</v>
      </c>
      <c r="D1162" s="23" t="s">
        <v>134</v>
      </c>
      <c r="E1162" s="23" t="str">
        <f>Withdrawals_Data!A1085</f>
        <v>DA-001</v>
      </c>
      <c r="F1162" s="23" t="str">
        <f>Withdrawals_Data!B1085</f>
        <v>DA-001-M0087</v>
      </c>
      <c r="G1162" s="24">
        <f>Withdrawals_Data!C1085</f>
        <v>45465</v>
      </c>
      <c r="H1162" s="27">
        <v>0</v>
      </c>
      <c r="I1162" s="27">
        <f>-Withdrawals_Data!D1085</f>
        <v>-19593</v>
      </c>
    </row>
    <row r="1163" spans="3:9">
      <c r="C1163" s="23">
        <v>1156</v>
      </c>
      <c r="D1163" s="23" t="s">
        <v>132</v>
      </c>
      <c r="E1163" s="23" t="str">
        <f>Contributions_Data!A450</f>
        <v>DA-001</v>
      </c>
      <c r="F1163" s="23" t="str">
        <f>Contributions_Data!B450</f>
        <v>DA-001-M0038</v>
      </c>
      <c r="G1163" s="24">
        <f>Contributions_Data!C450</f>
        <v>45466</v>
      </c>
      <c r="H1163" s="27">
        <f>Contributions_Data!D450</f>
        <v>14566.92</v>
      </c>
      <c r="I1163" s="27">
        <v>0</v>
      </c>
    </row>
    <row r="1164" spans="3:9">
      <c r="C1164" s="23">
        <v>1157</v>
      </c>
      <c r="D1164" s="23" t="s">
        <v>132</v>
      </c>
      <c r="E1164" s="23" t="str">
        <f>Contributions_Data!A540</f>
        <v>DA-003</v>
      </c>
      <c r="F1164" s="23" t="str">
        <f>Contributions_Data!B540</f>
        <v>DA-003-M0045</v>
      </c>
      <c r="G1164" s="24">
        <f>Contributions_Data!C540</f>
        <v>45466</v>
      </c>
      <c r="H1164" s="27">
        <f>Contributions_Data!D540</f>
        <v>17123.259999999998</v>
      </c>
      <c r="I1164" s="27">
        <v>0</v>
      </c>
    </row>
    <row r="1165" spans="3:9">
      <c r="C1165" s="23">
        <v>1158</v>
      </c>
      <c r="D1165" s="23" t="s">
        <v>134</v>
      </c>
      <c r="E1165" s="23" t="str">
        <f>Withdrawals_Data!A98</f>
        <v>DA-002</v>
      </c>
      <c r="F1165" s="23" t="str">
        <f>Withdrawals_Data!B98</f>
        <v>DA-002-M0089</v>
      </c>
      <c r="G1165" s="24">
        <f>Withdrawals_Data!C98</f>
        <v>45466</v>
      </c>
      <c r="H1165" s="27">
        <v>0</v>
      </c>
      <c r="I1165" s="27">
        <f>-Withdrawals_Data!D98</f>
        <v>-9963.9</v>
      </c>
    </row>
    <row r="1166" spans="3:9">
      <c r="C1166" s="23">
        <v>1159</v>
      </c>
      <c r="D1166" s="23" t="s">
        <v>134</v>
      </c>
      <c r="E1166" s="23" t="str">
        <f>Withdrawals_Data!A155</f>
        <v>DA-001</v>
      </c>
      <c r="F1166" s="23" t="str">
        <f>Withdrawals_Data!B155</f>
        <v>DA-001-M0073</v>
      </c>
      <c r="G1166" s="24">
        <f>Withdrawals_Data!C155</f>
        <v>45466</v>
      </c>
      <c r="H1166" s="27">
        <v>0</v>
      </c>
      <c r="I1166" s="27">
        <f>-Withdrawals_Data!D155</f>
        <v>-8489.19</v>
      </c>
    </row>
    <row r="1167" spans="3:9">
      <c r="C1167" s="23">
        <v>1160</v>
      </c>
      <c r="D1167" s="23" t="s">
        <v>134</v>
      </c>
      <c r="E1167" s="23" t="str">
        <f>Withdrawals_Data!A334</f>
        <v>DA-001</v>
      </c>
      <c r="F1167" s="23" t="str">
        <f>Withdrawals_Data!B334</f>
        <v>DA-001-M0009</v>
      </c>
      <c r="G1167" s="24">
        <f>Withdrawals_Data!C334</f>
        <v>45466</v>
      </c>
      <c r="H1167" s="27">
        <v>0</v>
      </c>
      <c r="I1167" s="27">
        <f>-Withdrawals_Data!D334</f>
        <v>-530.94000000000005</v>
      </c>
    </row>
    <row r="1168" spans="3:9">
      <c r="C1168" s="23">
        <v>1161</v>
      </c>
      <c r="D1168" s="23" t="s">
        <v>134</v>
      </c>
      <c r="E1168" s="23" t="str">
        <f>Withdrawals_Data!A644</f>
        <v>DA-002</v>
      </c>
      <c r="F1168" s="23" t="str">
        <f>Withdrawals_Data!B644</f>
        <v>DA-002-M0037</v>
      </c>
      <c r="G1168" s="24">
        <f>Withdrawals_Data!C644</f>
        <v>45466</v>
      </c>
      <c r="H1168" s="27">
        <v>0</v>
      </c>
      <c r="I1168" s="27">
        <f>-Withdrawals_Data!D644</f>
        <v>-5511</v>
      </c>
    </row>
    <row r="1169" spans="3:9">
      <c r="C1169" s="23">
        <v>1162</v>
      </c>
      <c r="D1169" s="23" t="s">
        <v>134</v>
      </c>
      <c r="E1169" s="23" t="str">
        <f>Withdrawals_Data!A699</f>
        <v>DA-001</v>
      </c>
      <c r="F1169" s="23" t="str">
        <f>Withdrawals_Data!B699</f>
        <v>DA-001-M0043</v>
      </c>
      <c r="G1169" s="24">
        <f>Withdrawals_Data!C699</f>
        <v>45466</v>
      </c>
      <c r="H1169" s="27">
        <v>0</v>
      </c>
      <c r="I1169" s="27">
        <f>-Withdrawals_Data!D699</f>
        <v>-6231</v>
      </c>
    </row>
    <row r="1170" spans="3:9">
      <c r="C1170" s="23">
        <v>1163</v>
      </c>
      <c r="D1170" s="23" t="s">
        <v>132</v>
      </c>
      <c r="E1170" s="23" t="str">
        <f>Contributions_Data!A525</f>
        <v>DA-002</v>
      </c>
      <c r="F1170" s="23" t="str">
        <f>Contributions_Data!B525</f>
        <v>DA-002-M0044</v>
      </c>
      <c r="G1170" s="24">
        <f>Contributions_Data!C525</f>
        <v>45467</v>
      </c>
      <c r="H1170" s="27">
        <f>Contributions_Data!D525</f>
        <v>12072.38</v>
      </c>
      <c r="I1170" s="27">
        <v>0</v>
      </c>
    </row>
    <row r="1171" spans="3:9">
      <c r="C1171" s="23">
        <v>1164</v>
      </c>
      <c r="D1171" s="23" t="s">
        <v>134</v>
      </c>
      <c r="E1171" s="23" t="str">
        <f>Withdrawals_Data!A144</f>
        <v>DA-002</v>
      </c>
      <c r="F1171" s="23" t="str">
        <f>Withdrawals_Data!B144</f>
        <v>DA-002-M0044</v>
      </c>
      <c r="G1171" s="24">
        <f>Withdrawals_Data!C144</f>
        <v>45467</v>
      </c>
      <c r="H1171" s="27">
        <v>0</v>
      </c>
      <c r="I1171" s="27">
        <f>-Withdrawals_Data!D144</f>
        <v>-8747.07</v>
      </c>
    </row>
    <row r="1172" spans="3:9">
      <c r="C1172" s="23">
        <v>1165</v>
      </c>
      <c r="D1172" s="23" t="s">
        <v>134</v>
      </c>
      <c r="E1172" s="23" t="str">
        <f>Withdrawals_Data!A572</f>
        <v>DA-003</v>
      </c>
      <c r="F1172" s="23" t="str">
        <f>Withdrawals_Data!B572</f>
        <v>DA-003-M0029</v>
      </c>
      <c r="G1172" s="24">
        <f>Withdrawals_Data!C572</f>
        <v>45467</v>
      </c>
      <c r="H1172" s="27">
        <v>0</v>
      </c>
      <c r="I1172" s="27">
        <f>-Withdrawals_Data!D572</f>
        <v>-7668</v>
      </c>
    </row>
    <row r="1173" spans="3:9">
      <c r="C1173" s="23">
        <v>1166</v>
      </c>
      <c r="D1173" s="23" t="s">
        <v>134</v>
      </c>
      <c r="E1173" s="23" t="str">
        <f>Withdrawals_Data!A839</f>
        <v>DA-003</v>
      </c>
      <c r="F1173" s="23" t="str">
        <f>Withdrawals_Data!B839</f>
        <v>DA-003-M0059</v>
      </c>
      <c r="G1173" s="24">
        <f>Withdrawals_Data!C839</f>
        <v>45467</v>
      </c>
      <c r="H1173" s="27">
        <v>0</v>
      </c>
      <c r="I1173" s="27">
        <f>-Withdrawals_Data!D839</f>
        <v>-7900</v>
      </c>
    </row>
    <row r="1174" spans="3:9">
      <c r="C1174" s="23">
        <v>1167</v>
      </c>
      <c r="D1174" s="23" t="s">
        <v>132</v>
      </c>
      <c r="E1174" s="23" t="str">
        <f>Contributions_Data!A259</f>
        <v>DA-001</v>
      </c>
      <c r="F1174" s="23" t="str">
        <f>Contributions_Data!B259</f>
        <v>DA-001-M0022</v>
      </c>
      <c r="G1174" s="24">
        <f>Contributions_Data!C259</f>
        <v>45468</v>
      </c>
      <c r="H1174" s="27">
        <f>Contributions_Data!D259</f>
        <v>12754.54</v>
      </c>
      <c r="I1174" s="27">
        <v>0</v>
      </c>
    </row>
    <row r="1175" spans="3:9">
      <c r="C1175" s="23">
        <v>1168</v>
      </c>
      <c r="D1175" s="23" t="s">
        <v>132</v>
      </c>
      <c r="E1175" s="23" t="str">
        <f>Contributions_Data!A726</f>
        <v>DA-003</v>
      </c>
      <c r="F1175" s="23" t="str">
        <f>Contributions_Data!B726</f>
        <v>DA-003-M0061</v>
      </c>
      <c r="G1175" s="24">
        <f>Contributions_Data!C726</f>
        <v>45468</v>
      </c>
      <c r="H1175" s="27">
        <f>Contributions_Data!D726</f>
        <v>13059.19</v>
      </c>
      <c r="I1175" s="27">
        <v>0</v>
      </c>
    </row>
    <row r="1176" spans="3:9">
      <c r="C1176" s="23">
        <v>1169</v>
      </c>
      <c r="D1176" s="23" t="s">
        <v>134</v>
      </c>
      <c r="E1176" s="23" t="str">
        <f>Withdrawals_Data!A838</f>
        <v>DA-001</v>
      </c>
      <c r="F1176" s="23" t="str">
        <f>Withdrawals_Data!B838</f>
        <v>DA-001-M0058</v>
      </c>
      <c r="G1176" s="24">
        <f>Withdrawals_Data!C838</f>
        <v>45468</v>
      </c>
      <c r="H1176" s="27">
        <v>0</v>
      </c>
      <c r="I1176" s="27">
        <f>-Withdrawals_Data!D838</f>
        <v>-6998</v>
      </c>
    </row>
    <row r="1177" spans="3:9">
      <c r="C1177" s="23">
        <v>1170</v>
      </c>
      <c r="D1177" s="23" t="s">
        <v>134</v>
      </c>
      <c r="E1177" s="23" t="str">
        <f>Withdrawals_Data!A863</f>
        <v>DA-003</v>
      </c>
      <c r="F1177" s="23" t="str">
        <f>Withdrawals_Data!B863</f>
        <v>DA-003-M0061</v>
      </c>
      <c r="G1177" s="24">
        <f>Withdrawals_Data!C863</f>
        <v>45468</v>
      </c>
      <c r="H1177" s="27">
        <v>0</v>
      </c>
      <c r="I1177" s="27">
        <f>-Withdrawals_Data!D863</f>
        <v>-17217</v>
      </c>
    </row>
    <row r="1178" spans="3:9">
      <c r="C1178" s="23">
        <v>1171</v>
      </c>
      <c r="D1178" s="23" t="s">
        <v>132</v>
      </c>
      <c r="E1178" s="23" t="str">
        <f>Contributions_Data!A310</f>
        <v>DA-002</v>
      </c>
      <c r="F1178" s="23" t="str">
        <f>Contributions_Data!B310</f>
        <v>DA-002-M0026</v>
      </c>
      <c r="G1178" s="24">
        <f>Contributions_Data!C310</f>
        <v>45469</v>
      </c>
      <c r="H1178" s="27">
        <f>Contributions_Data!D310</f>
        <v>18358.72</v>
      </c>
      <c r="I1178" s="27">
        <v>0</v>
      </c>
    </row>
    <row r="1179" spans="3:9">
      <c r="C1179" s="23">
        <v>1172</v>
      </c>
      <c r="D1179" s="23" t="s">
        <v>132</v>
      </c>
      <c r="E1179" s="23" t="str">
        <f>Contributions_Data!A978</f>
        <v>DA-003</v>
      </c>
      <c r="F1179" s="23" t="str">
        <f>Contributions_Data!B978</f>
        <v>DA-003-M0082</v>
      </c>
      <c r="G1179" s="24">
        <f>Contributions_Data!C978</f>
        <v>45469</v>
      </c>
      <c r="H1179" s="27">
        <f>Contributions_Data!D978</f>
        <v>16799.79</v>
      </c>
      <c r="I1179" s="27">
        <v>0</v>
      </c>
    </row>
    <row r="1180" spans="3:9">
      <c r="C1180" s="23">
        <v>1173</v>
      </c>
      <c r="D1180" s="23" t="s">
        <v>134</v>
      </c>
      <c r="E1180" s="23" t="str">
        <f>Withdrawals_Data!A264</f>
        <v>DA-002</v>
      </c>
      <c r="F1180" s="23" t="str">
        <f>Withdrawals_Data!B264</f>
        <v>DA-002-M0072</v>
      </c>
      <c r="G1180" s="24">
        <f>Withdrawals_Data!C264</f>
        <v>45469</v>
      </c>
      <c r="H1180" s="27">
        <v>0</v>
      </c>
      <c r="I1180" s="27">
        <f>-Withdrawals_Data!D264</f>
        <v>-4984.1400000000003</v>
      </c>
    </row>
    <row r="1181" spans="3:9">
      <c r="C1181" s="23">
        <v>1174</v>
      </c>
      <c r="D1181" s="23" t="s">
        <v>134</v>
      </c>
      <c r="E1181" s="23" t="str">
        <f>Withdrawals_Data!A331</f>
        <v>DA-003</v>
      </c>
      <c r="F1181" s="23" t="str">
        <f>Withdrawals_Data!B331</f>
        <v>DA-003-M0029</v>
      </c>
      <c r="G1181" s="24">
        <f>Withdrawals_Data!C331</f>
        <v>45469</v>
      </c>
      <c r="H1181" s="27">
        <v>0</v>
      </c>
      <c r="I1181" s="27">
        <f>-Withdrawals_Data!D331</f>
        <v>-1353.92</v>
      </c>
    </row>
    <row r="1182" spans="3:9">
      <c r="C1182" s="23">
        <v>1175</v>
      </c>
      <c r="D1182" s="23" t="s">
        <v>134</v>
      </c>
      <c r="E1182" s="23" t="str">
        <f>Withdrawals_Data!A621</f>
        <v>DA-001</v>
      </c>
      <c r="F1182" s="23" t="str">
        <f>Withdrawals_Data!B621</f>
        <v>DA-001-M0034</v>
      </c>
      <c r="G1182" s="24">
        <f>Withdrawals_Data!C621</f>
        <v>45469</v>
      </c>
      <c r="H1182" s="27">
        <v>0</v>
      </c>
      <c r="I1182" s="27">
        <f>-Withdrawals_Data!D621</f>
        <v>-2284</v>
      </c>
    </row>
    <row r="1183" spans="3:9">
      <c r="C1183" s="23">
        <v>1176</v>
      </c>
      <c r="D1183" s="23" t="s">
        <v>134</v>
      </c>
      <c r="E1183" s="23" t="str">
        <f>Withdrawals_Data!A797</f>
        <v>DA-002</v>
      </c>
      <c r="F1183" s="23" t="str">
        <f>Withdrawals_Data!B797</f>
        <v>DA-002-M0054</v>
      </c>
      <c r="G1183" s="24">
        <f>Withdrawals_Data!C797</f>
        <v>45469</v>
      </c>
      <c r="H1183" s="27">
        <v>0</v>
      </c>
      <c r="I1183" s="27">
        <f>-Withdrawals_Data!D797</f>
        <v>-7142</v>
      </c>
    </row>
    <row r="1184" spans="3:9">
      <c r="C1184" s="23">
        <v>1177</v>
      </c>
      <c r="D1184" s="23" t="s">
        <v>134</v>
      </c>
      <c r="E1184" s="23" t="str">
        <f>Withdrawals_Data!A967</f>
        <v>DA-001</v>
      </c>
      <c r="F1184" s="23" t="str">
        <f>Withdrawals_Data!B967</f>
        <v>DA-001-M0074</v>
      </c>
      <c r="G1184" s="24">
        <f>Withdrawals_Data!C967</f>
        <v>45469</v>
      </c>
      <c r="H1184" s="27">
        <v>0</v>
      </c>
      <c r="I1184" s="27">
        <f>-Withdrawals_Data!D967</f>
        <v>-8733</v>
      </c>
    </row>
    <row r="1185" spans="3:9">
      <c r="C1185" s="23">
        <v>1178</v>
      </c>
      <c r="D1185" s="23" t="s">
        <v>134</v>
      </c>
      <c r="E1185" s="23" t="str">
        <f>Withdrawals_Data!A1144</f>
        <v>DA-002</v>
      </c>
      <c r="F1185" s="23" t="str">
        <f>Withdrawals_Data!B1144</f>
        <v>DA-002-M0094</v>
      </c>
      <c r="G1185" s="24">
        <f>Withdrawals_Data!C1144</f>
        <v>45469</v>
      </c>
      <c r="H1185" s="27">
        <v>0</v>
      </c>
      <c r="I1185" s="27">
        <f>-Withdrawals_Data!D1144</f>
        <v>-13178</v>
      </c>
    </row>
    <row r="1186" spans="3:9">
      <c r="C1186" s="23">
        <v>1179</v>
      </c>
      <c r="D1186" s="23" t="s">
        <v>132</v>
      </c>
      <c r="E1186" s="23" t="str">
        <f>Contributions_Data!A282</f>
        <v>DA-001</v>
      </c>
      <c r="F1186" s="23" t="str">
        <f>Contributions_Data!B282</f>
        <v>DA-001-M0024</v>
      </c>
      <c r="G1186" s="24">
        <f>Contributions_Data!C282</f>
        <v>45470</v>
      </c>
      <c r="H1186" s="27">
        <f>Contributions_Data!D282</f>
        <v>8797.67</v>
      </c>
      <c r="I1186" s="27">
        <v>0</v>
      </c>
    </row>
    <row r="1187" spans="3:9">
      <c r="C1187" s="23">
        <v>1180</v>
      </c>
      <c r="D1187" s="23" t="s">
        <v>132</v>
      </c>
      <c r="E1187" s="23" t="str">
        <f>Contributions_Data!A689</f>
        <v>DA-001</v>
      </c>
      <c r="F1187" s="23" t="str">
        <f>Contributions_Data!B689</f>
        <v>DA-001-M0058</v>
      </c>
      <c r="G1187" s="24">
        <f>Contributions_Data!C689</f>
        <v>45470</v>
      </c>
      <c r="H1187" s="27">
        <f>Contributions_Data!D689</f>
        <v>16709.3</v>
      </c>
      <c r="I1187" s="27">
        <v>0</v>
      </c>
    </row>
    <row r="1188" spans="3:9">
      <c r="C1188" s="23">
        <v>1181</v>
      </c>
      <c r="D1188" s="23" t="s">
        <v>132</v>
      </c>
      <c r="E1188" s="23" t="str">
        <f>Contributions_Data!A828</f>
        <v>DA-003</v>
      </c>
      <c r="F1188" s="23" t="str">
        <f>Contributions_Data!B828</f>
        <v>DA-003-M0069</v>
      </c>
      <c r="G1188" s="24">
        <f>Contributions_Data!C828</f>
        <v>45470</v>
      </c>
      <c r="H1188" s="27">
        <f>Contributions_Data!D828</f>
        <v>11317.18</v>
      </c>
      <c r="I1188" s="27">
        <v>0</v>
      </c>
    </row>
    <row r="1189" spans="3:9">
      <c r="C1189" s="23">
        <v>1182</v>
      </c>
      <c r="D1189" s="23" t="s">
        <v>132</v>
      </c>
      <c r="E1189" s="23" t="str">
        <f>Contributions_Data!A1103</f>
        <v>DA-001</v>
      </c>
      <c r="F1189" s="23" t="str">
        <f>Contributions_Data!B1103</f>
        <v>DA-001-M0092</v>
      </c>
      <c r="G1189" s="24">
        <f>Contributions_Data!C1103</f>
        <v>45470</v>
      </c>
      <c r="H1189" s="27">
        <f>Contributions_Data!D1103</f>
        <v>15674.05</v>
      </c>
      <c r="I1189" s="27">
        <v>0</v>
      </c>
    </row>
    <row r="1190" spans="3:9">
      <c r="C1190" s="23">
        <v>1183</v>
      </c>
      <c r="D1190" s="23" t="s">
        <v>132</v>
      </c>
      <c r="E1190" s="23" t="str">
        <f>Contributions_Data!A458</f>
        <v>DA-002</v>
      </c>
      <c r="F1190" s="23" t="str">
        <f>Contributions_Data!B458</f>
        <v>DA-002-M0039</v>
      </c>
      <c r="G1190" s="24">
        <f>Contributions_Data!C458</f>
        <v>45471</v>
      </c>
      <c r="H1190" s="27">
        <f>Contributions_Data!D458</f>
        <v>18738.259999999998</v>
      </c>
      <c r="I1190" s="27">
        <v>0</v>
      </c>
    </row>
    <row r="1191" spans="3:9">
      <c r="C1191" s="23">
        <v>1184</v>
      </c>
      <c r="D1191" s="23" t="s">
        <v>132</v>
      </c>
      <c r="E1191" s="23" t="str">
        <f>Contributions_Data!A1010</f>
        <v>DA-002</v>
      </c>
      <c r="F1191" s="23" t="str">
        <f>Contributions_Data!B1010</f>
        <v>DA-002-M0085</v>
      </c>
      <c r="G1191" s="24">
        <f>Contributions_Data!C1010</f>
        <v>45471</v>
      </c>
      <c r="H1191" s="27">
        <f>Contributions_Data!D1010</f>
        <v>13670.15</v>
      </c>
      <c r="I1191" s="27">
        <v>0</v>
      </c>
    </row>
    <row r="1192" spans="3:9">
      <c r="C1192" s="23">
        <v>1185</v>
      </c>
      <c r="D1192" s="23" t="s">
        <v>132</v>
      </c>
      <c r="E1192" s="23" t="str">
        <f>Contributions_Data!A1141</f>
        <v>DA-003</v>
      </c>
      <c r="F1192" s="23" t="str">
        <f>Contributions_Data!B1141</f>
        <v>DA-003-M0095</v>
      </c>
      <c r="G1192" s="24">
        <f>Contributions_Data!C1141</f>
        <v>45471</v>
      </c>
      <c r="H1192" s="27">
        <f>Contributions_Data!D1141</f>
        <v>16540.8</v>
      </c>
      <c r="I1192" s="27">
        <v>0</v>
      </c>
    </row>
    <row r="1193" spans="3:9">
      <c r="C1193" s="23">
        <v>1186</v>
      </c>
      <c r="D1193" s="23" t="s">
        <v>134</v>
      </c>
      <c r="E1193" s="23" t="str">
        <f>Withdrawals_Data!A32</f>
        <v>DA-003</v>
      </c>
      <c r="F1193" s="23" t="str">
        <f>Withdrawals_Data!B32</f>
        <v>DA-003-M0005</v>
      </c>
      <c r="G1193" s="24">
        <f>Withdrawals_Data!C32</f>
        <v>45471</v>
      </c>
      <c r="H1193" s="27">
        <v>0</v>
      </c>
      <c r="I1193" s="27">
        <f>-Withdrawals_Data!D32</f>
        <v>-13228.57</v>
      </c>
    </row>
    <row r="1194" spans="3:9">
      <c r="C1194" s="23">
        <v>1187</v>
      </c>
      <c r="D1194" s="23" t="s">
        <v>134</v>
      </c>
      <c r="E1194" s="23" t="str">
        <f>Withdrawals_Data!A726</f>
        <v>DA-001</v>
      </c>
      <c r="F1194" s="23" t="str">
        <f>Withdrawals_Data!B726</f>
        <v>DA-001-M0046</v>
      </c>
      <c r="G1194" s="24">
        <f>Withdrawals_Data!C726</f>
        <v>45471</v>
      </c>
      <c r="H1194" s="27">
        <v>0</v>
      </c>
      <c r="I1194" s="27">
        <f>-Withdrawals_Data!D726</f>
        <v>-16277</v>
      </c>
    </row>
    <row r="1195" spans="3:9">
      <c r="C1195" s="23">
        <v>1188</v>
      </c>
      <c r="D1195" s="23" t="s">
        <v>134</v>
      </c>
      <c r="E1195" s="23" t="str">
        <f>Withdrawals_Data!A990</f>
        <v>DA-003</v>
      </c>
      <c r="F1195" s="23" t="str">
        <f>Withdrawals_Data!B990</f>
        <v>DA-003-M0077</v>
      </c>
      <c r="G1195" s="24">
        <f>Withdrawals_Data!C990</f>
        <v>45471</v>
      </c>
      <c r="H1195" s="27">
        <v>0</v>
      </c>
      <c r="I1195" s="27">
        <f>-Withdrawals_Data!D990</f>
        <v>-21351</v>
      </c>
    </row>
    <row r="1196" spans="3:9">
      <c r="C1196" s="23">
        <v>1189</v>
      </c>
      <c r="D1196" s="23" t="s">
        <v>132</v>
      </c>
      <c r="E1196" s="23" t="str">
        <f>Contributions_Data!A453</f>
        <v>DA-001</v>
      </c>
      <c r="F1196" s="23" t="str">
        <f>Contributions_Data!B453</f>
        <v>DA-001-M0038</v>
      </c>
      <c r="G1196" s="24">
        <f>Contributions_Data!C453</f>
        <v>45472</v>
      </c>
      <c r="H1196" s="27">
        <f>Contributions_Data!D453</f>
        <v>12861.46</v>
      </c>
      <c r="I1196" s="27">
        <v>0</v>
      </c>
    </row>
    <row r="1197" spans="3:9">
      <c r="C1197" s="23">
        <v>1190</v>
      </c>
      <c r="D1197" s="23" t="s">
        <v>132</v>
      </c>
      <c r="E1197" s="23" t="str">
        <f>Contributions_Data!A731</f>
        <v>DA-003</v>
      </c>
      <c r="F1197" s="23" t="str">
        <f>Contributions_Data!B731</f>
        <v>DA-003-M0061</v>
      </c>
      <c r="G1197" s="24">
        <f>Contributions_Data!C731</f>
        <v>45472</v>
      </c>
      <c r="H1197" s="27">
        <f>Contributions_Data!D731</f>
        <v>13394.29</v>
      </c>
      <c r="I1197" s="27">
        <v>0</v>
      </c>
    </row>
    <row r="1198" spans="3:9">
      <c r="C1198" s="23">
        <v>1191</v>
      </c>
      <c r="D1198" s="23" t="s">
        <v>132</v>
      </c>
      <c r="E1198" s="23" t="str">
        <f>Contributions_Data!A941</f>
        <v>DA-003</v>
      </c>
      <c r="F1198" s="23" t="str">
        <f>Contributions_Data!B941</f>
        <v>DA-003-M0079</v>
      </c>
      <c r="G1198" s="24">
        <f>Contributions_Data!C941</f>
        <v>45472</v>
      </c>
      <c r="H1198" s="27">
        <f>Contributions_Data!D941</f>
        <v>9491.3799999999992</v>
      </c>
      <c r="I1198" s="27">
        <v>0</v>
      </c>
    </row>
    <row r="1199" spans="3:9">
      <c r="C1199" s="23">
        <v>1192</v>
      </c>
      <c r="D1199" s="23" t="s">
        <v>132</v>
      </c>
      <c r="E1199" s="23" t="str">
        <f>Contributions_Data!A1177</f>
        <v>DA-001</v>
      </c>
      <c r="F1199" s="23" t="str">
        <f>Contributions_Data!B1177</f>
        <v>DA-001-M0098</v>
      </c>
      <c r="G1199" s="24">
        <f>Contributions_Data!C1177</f>
        <v>45472</v>
      </c>
      <c r="H1199" s="27">
        <f>Contributions_Data!D1177</f>
        <v>17079.32</v>
      </c>
      <c r="I1199" s="27">
        <v>0</v>
      </c>
    </row>
    <row r="1200" spans="3:9">
      <c r="C1200" s="23">
        <v>1193</v>
      </c>
      <c r="D1200" s="23" t="s">
        <v>134</v>
      </c>
      <c r="E1200" s="23" t="str">
        <f>Withdrawals_Data!A19</f>
        <v>DA-002</v>
      </c>
      <c r="F1200" s="23" t="str">
        <f>Withdrawals_Data!B19</f>
        <v>DA-002-M0070</v>
      </c>
      <c r="G1200" s="24">
        <f>Withdrawals_Data!C19</f>
        <v>45472</v>
      </c>
      <c r="H1200" s="27">
        <v>0</v>
      </c>
      <c r="I1200" s="27">
        <f>-Withdrawals_Data!D19</f>
        <v>-14378.02</v>
      </c>
    </row>
    <row r="1201" spans="2:9">
      <c r="C1201" s="23">
        <v>1194</v>
      </c>
      <c r="D1201" s="23" t="s">
        <v>134</v>
      </c>
      <c r="E1201" s="23" t="str">
        <f>Withdrawals_Data!A229</f>
        <v>DA-001</v>
      </c>
      <c r="F1201" s="23" t="str">
        <f>Withdrawals_Data!B229</f>
        <v>DA-001-M0096</v>
      </c>
      <c r="G1201" s="24">
        <f>Withdrawals_Data!C229</f>
        <v>45472</v>
      </c>
      <c r="H1201" s="27">
        <v>0</v>
      </c>
      <c r="I1201" s="27">
        <f>-Withdrawals_Data!D229</f>
        <v>-6171.61</v>
      </c>
    </row>
    <row r="1202" spans="2:9">
      <c r="C1202" s="23">
        <v>1195</v>
      </c>
      <c r="D1202" s="23" t="s">
        <v>134</v>
      </c>
      <c r="E1202" s="23" t="str">
        <f>Withdrawals_Data!A290</f>
        <v>DA-002</v>
      </c>
      <c r="F1202" s="23" t="str">
        <f>Withdrawals_Data!B290</f>
        <v>DA-002-M0027</v>
      </c>
      <c r="G1202" s="24">
        <f>Withdrawals_Data!C290</f>
        <v>45472</v>
      </c>
      <c r="H1202" s="27">
        <v>0</v>
      </c>
      <c r="I1202" s="27">
        <f>-Withdrawals_Data!D290</f>
        <v>-3673.81</v>
      </c>
    </row>
    <row r="1203" spans="2:9">
      <c r="C1203" s="23">
        <v>1196</v>
      </c>
      <c r="D1203" s="23" t="s">
        <v>134</v>
      </c>
      <c r="E1203" s="23" t="str">
        <f>Withdrawals_Data!A724</f>
        <v>DA-001</v>
      </c>
      <c r="F1203" s="23" t="str">
        <f>Withdrawals_Data!B724</f>
        <v>DA-001-M0046</v>
      </c>
      <c r="G1203" s="24">
        <f>Withdrawals_Data!C724</f>
        <v>45472</v>
      </c>
      <c r="H1203" s="27">
        <v>0</v>
      </c>
      <c r="I1203" s="27">
        <f>-Withdrawals_Data!D724</f>
        <v>-3320</v>
      </c>
    </row>
    <row r="1204" spans="2:9">
      <c r="C1204" s="23">
        <v>1197</v>
      </c>
      <c r="D1204" s="23" t="s">
        <v>134</v>
      </c>
      <c r="E1204" s="23" t="str">
        <f>Withdrawals_Data!A806</f>
        <v>DA-001</v>
      </c>
      <c r="F1204" s="23" t="str">
        <f>Withdrawals_Data!B806</f>
        <v>DA-001-M0055</v>
      </c>
      <c r="G1204" s="24">
        <f>Withdrawals_Data!C806</f>
        <v>45472</v>
      </c>
      <c r="H1204" s="27">
        <v>0</v>
      </c>
      <c r="I1204" s="27">
        <f>-Withdrawals_Data!D806</f>
        <v>-11898</v>
      </c>
    </row>
    <row r="1205" spans="2:9">
      <c r="C1205" s="23">
        <v>1198</v>
      </c>
      <c r="D1205" s="23" t="s">
        <v>134</v>
      </c>
      <c r="E1205" s="23" t="str">
        <f>Withdrawals_Data!A1076</f>
        <v>DA-003</v>
      </c>
      <c r="F1205" s="23" t="str">
        <f>Withdrawals_Data!B1076</f>
        <v>DA-003-M0086</v>
      </c>
      <c r="G1205" s="24">
        <f>Withdrawals_Data!C1076</f>
        <v>45472</v>
      </c>
      <c r="H1205" s="27">
        <v>0</v>
      </c>
      <c r="I1205" s="27">
        <f>-Withdrawals_Data!D1076</f>
        <v>-10442</v>
      </c>
    </row>
    <row r="1206" spans="2:9">
      <c r="C1206" s="23">
        <v>1199</v>
      </c>
      <c r="D1206" s="23" t="s">
        <v>132</v>
      </c>
      <c r="E1206" s="23" t="str">
        <f>Contributions_Data!A733</f>
        <v>DA-003</v>
      </c>
      <c r="F1206" s="23" t="str">
        <f>Contributions_Data!B733</f>
        <v>DA-003-M0061</v>
      </c>
      <c r="G1206" s="24">
        <f>Contributions_Data!C733</f>
        <v>45473</v>
      </c>
      <c r="H1206" s="27">
        <f>Contributions_Data!D733</f>
        <v>15592.8</v>
      </c>
      <c r="I1206" s="27">
        <v>0</v>
      </c>
    </row>
    <row r="1207" spans="2:9">
      <c r="C1207" s="23">
        <v>1200</v>
      </c>
      <c r="D1207" s="23" t="s">
        <v>132</v>
      </c>
      <c r="E1207" s="23" t="str">
        <f>Contributions_Data!A792</f>
        <v>DA-003</v>
      </c>
      <c r="F1207" s="23" t="str">
        <f>Contributions_Data!B792</f>
        <v>DA-003-M0066</v>
      </c>
      <c r="G1207" s="24">
        <f>Contributions_Data!C792</f>
        <v>45473</v>
      </c>
      <c r="H1207" s="27">
        <f>Contributions_Data!D792</f>
        <v>14222.87</v>
      </c>
      <c r="I1207" s="27">
        <v>0</v>
      </c>
    </row>
    <row r="1208" spans="2:9">
      <c r="B1208" s="23" t="s">
        <v>133</v>
      </c>
      <c r="C1208" s="23" cm="1">
        <f t="array" ref="C1208:C2407">_xlfn.SEQUENCE(COUNTA(Withdrawals_Data!A2:A1201))</f>
        <v>1</v>
      </c>
      <c r="D1208" s="23" t="s">
        <v>134</v>
      </c>
      <c r="E1208" s="23" t="str">
        <f>Withdrawals_Data!A39</f>
        <v>DA-002</v>
      </c>
      <c r="F1208" s="23" t="str">
        <f>Withdrawals_Data!B39</f>
        <v>DA-002-M0094</v>
      </c>
      <c r="G1208" s="24">
        <f>Withdrawals_Data!C39</f>
        <v>45473</v>
      </c>
      <c r="H1208" s="27">
        <v>0</v>
      </c>
      <c r="I1208" s="27">
        <f>-Withdrawals_Data!D39</f>
        <v>-12884.13</v>
      </c>
    </row>
    <row r="1209" spans="2:9">
      <c r="C1209" s="23">
        <v>2</v>
      </c>
      <c r="D1209" s="23" t="s">
        <v>134</v>
      </c>
      <c r="E1209" s="23" t="str">
        <f>Withdrawals_Data!A405</f>
        <v>DA-001</v>
      </c>
      <c r="F1209" s="23" t="str">
        <f>Withdrawals_Data!B405</f>
        <v>DA-001-M0009</v>
      </c>
      <c r="G1209" s="24">
        <f>Withdrawals_Data!C405</f>
        <v>45473</v>
      </c>
      <c r="H1209" s="27">
        <v>0</v>
      </c>
      <c r="I1209" s="27">
        <f>-Withdrawals_Data!D405</f>
        <v>-5998</v>
      </c>
    </row>
    <row r="1210" spans="2:9">
      <c r="C1210" s="23">
        <v>3</v>
      </c>
      <c r="D1210" s="23" t="s">
        <v>134</v>
      </c>
      <c r="E1210" s="23" t="str">
        <f>Withdrawals_Data!A656</f>
        <v>DA-002</v>
      </c>
      <c r="F1210" s="23" t="str">
        <f>Withdrawals_Data!B656</f>
        <v>DA-002-M0039</v>
      </c>
      <c r="G1210" s="24">
        <f>Withdrawals_Data!C656</f>
        <v>45473</v>
      </c>
      <c r="H1210" s="27">
        <v>0</v>
      </c>
      <c r="I1210" s="27">
        <f>-Withdrawals_Data!D656</f>
        <v>-19108</v>
      </c>
    </row>
    <row r="1211" spans="2:9">
      <c r="C1211" s="23">
        <v>4</v>
      </c>
      <c r="D1211" s="23" t="s">
        <v>134</v>
      </c>
      <c r="E1211" s="23" t="str">
        <f>Withdrawals_Data!A1006</f>
        <v>DA-003</v>
      </c>
      <c r="F1211" s="23" t="str">
        <f>Withdrawals_Data!B1006</f>
        <v>DA-003-M0079</v>
      </c>
      <c r="G1211" s="24">
        <f>Withdrawals_Data!C1006</f>
        <v>45473</v>
      </c>
      <c r="H1211" s="27">
        <v>0</v>
      </c>
      <c r="I1211" s="27">
        <f>-Withdrawals_Data!D1006</f>
        <v>-3827</v>
      </c>
    </row>
    <row r="1212" spans="2:9">
      <c r="C1212" s="23">
        <v>5</v>
      </c>
      <c r="D1212" s="23" t="s">
        <v>132</v>
      </c>
      <c r="E1212" s="23" t="str">
        <f>Contributions_Data!A690</f>
        <v>DA-001</v>
      </c>
      <c r="F1212" s="23" t="str">
        <f>Contributions_Data!B690</f>
        <v>DA-001-M0058</v>
      </c>
      <c r="G1212" s="24">
        <f>Contributions_Data!C690</f>
        <v>45474</v>
      </c>
      <c r="H1212" s="27">
        <f>Contributions_Data!D690</f>
        <v>16343.13</v>
      </c>
      <c r="I1212" s="27">
        <v>0</v>
      </c>
    </row>
    <row r="1213" spans="2:9">
      <c r="C1213" s="23">
        <v>6</v>
      </c>
      <c r="D1213" s="23" t="s">
        <v>134</v>
      </c>
      <c r="E1213" s="23" t="str">
        <f>Withdrawals_Data!A247</f>
        <v>DA-001</v>
      </c>
      <c r="F1213" s="23" t="str">
        <f>Withdrawals_Data!B247</f>
        <v>DA-001-M0073</v>
      </c>
      <c r="G1213" s="24">
        <f>Withdrawals_Data!C247</f>
        <v>45474</v>
      </c>
      <c r="H1213" s="27">
        <v>0</v>
      </c>
      <c r="I1213" s="27">
        <f>-Withdrawals_Data!D247</f>
        <v>-5594.53</v>
      </c>
    </row>
    <row r="1214" spans="2:9">
      <c r="C1214" s="23">
        <v>7</v>
      </c>
      <c r="D1214" s="23" t="s">
        <v>134</v>
      </c>
      <c r="E1214" s="23" t="str">
        <f>Withdrawals_Data!A401</f>
        <v>DA-001</v>
      </c>
      <c r="F1214" s="23" t="str">
        <f>Withdrawals_Data!B401</f>
        <v>DA-001-M0009</v>
      </c>
      <c r="G1214" s="24">
        <f>Withdrawals_Data!C401</f>
        <v>45474</v>
      </c>
      <c r="H1214" s="27">
        <v>0</v>
      </c>
      <c r="I1214" s="27">
        <f>-Withdrawals_Data!D401</f>
        <v>-9975</v>
      </c>
    </row>
    <row r="1215" spans="2:9">
      <c r="C1215" s="23">
        <v>8</v>
      </c>
      <c r="D1215" s="23" t="s">
        <v>134</v>
      </c>
      <c r="E1215" s="23" t="str">
        <f>Withdrawals_Data!A673</f>
        <v>DA-002</v>
      </c>
      <c r="F1215" s="23" t="str">
        <f>Withdrawals_Data!B673</f>
        <v>DA-002-M0040</v>
      </c>
      <c r="G1215" s="24">
        <f>Withdrawals_Data!C673</f>
        <v>45474</v>
      </c>
      <c r="H1215" s="27">
        <v>0</v>
      </c>
      <c r="I1215" s="27">
        <f>-Withdrawals_Data!D673</f>
        <v>-21258</v>
      </c>
    </row>
    <row r="1216" spans="2:9">
      <c r="C1216" s="23">
        <v>9</v>
      </c>
      <c r="D1216" s="23" t="s">
        <v>134</v>
      </c>
      <c r="E1216" s="23" t="str">
        <f>Withdrawals_Data!A687</f>
        <v>DA-002</v>
      </c>
      <c r="F1216" s="23" t="str">
        <f>Withdrawals_Data!B687</f>
        <v>DA-002-M0042</v>
      </c>
      <c r="G1216" s="24">
        <f>Withdrawals_Data!C687</f>
        <v>45474</v>
      </c>
      <c r="H1216" s="27">
        <v>0</v>
      </c>
      <c r="I1216" s="27">
        <f>-Withdrawals_Data!D687</f>
        <v>-5730</v>
      </c>
    </row>
    <row r="1217" spans="3:9">
      <c r="C1217" s="23">
        <v>10</v>
      </c>
      <c r="D1217" s="23" t="s">
        <v>132</v>
      </c>
      <c r="E1217" s="23" t="str">
        <f>Contributions_Data!A240</f>
        <v>DA-002</v>
      </c>
      <c r="F1217" s="23" t="str">
        <f>Contributions_Data!B240</f>
        <v>DA-002-M0020</v>
      </c>
      <c r="G1217" s="24">
        <f>Contributions_Data!C240</f>
        <v>45475</v>
      </c>
      <c r="H1217" s="27">
        <f>Contributions_Data!D240</f>
        <v>16475.759999999998</v>
      </c>
      <c r="I1217" s="27">
        <v>0</v>
      </c>
    </row>
    <row r="1218" spans="3:9">
      <c r="C1218" s="23">
        <v>11</v>
      </c>
      <c r="D1218" s="23" t="s">
        <v>132</v>
      </c>
      <c r="E1218" s="23" t="str">
        <f>Contributions_Data!A676</f>
        <v>DA-002</v>
      </c>
      <c r="F1218" s="23" t="str">
        <f>Contributions_Data!B676</f>
        <v>DA-002-M0057</v>
      </c>
      <c r="G1218" s="24">
        <f>Contributions_Data!C676</f>
        <v>45475</v>
      </c>
      <c r="H1218" s="27">
        <f>Contributions_Data!D676</f>
        <v>20539.91</v>
      </c>
      <c r="I1218" s="27">
        <v>0</v>
      </c>
    </row>
    <row r="1219" spans="3:9">
      <c r="C1219" s="23">
        <v>12</v>
      </c>
      <c r="D1219" s="23" t="s">
        <v>132</v>
      </c>
      <c r="E1219" s="23" t="str">
        <f>Contributions_Data!A934</f>
        <v>DA-002</v>
      </c>
      <c r="F1219" s="23" t="str">
        <f>Contributions_Data!B934</f>
        <v>DA-002-M0078</v>
      </c>
      <c r="G1219" s="24">
        <f>Contributions_Data!C934</f>
        <v>45475</v>
      </c>
      <c r="H1219" s="27">
        <f>Contributions_Data!D934</f>
        <v>16179.95</v>
      </c>
      <c r="I1219" s="27">
        <v>0</v>
      </c>
    </row>
    <row r="1220" spans="3:9">
      <c r="C1220" s="23">
        <v>13</v>
      </c>
      <c r="D1220" s="23" t="s">
        <v>134</v>
      </c>
      <c r="E1220" s="23" t="str">
        <f>Withdrawals_Data!A457</f>
        <v>DA-002</v>
      </c>
      <c r="F1220" s="23" t="str">
        <f>Withdrawals_Data!B457</f>
        <v>DA-002-M0016</v>
      </c>
      <c r="G1220" s="24">
        <f>Withdrawals_Data!C457</f>
        <v>45475</v>
      </c>
      <c r="H1220" s="27">
        <v>0</v>
      </c>
      <c r="I1220" s="27">
        <f>-Withdrawals_Data!D457</f>
        <v>-13668</v>
      </c>
    </row>
    <row r="1221" spans="3:9">
      <c r="C1221" s="23">
        <v>14</v>
      </c>
      <c r="D1221" s="23" t="s">
        <v>134</v>
      </c>
      <c r="E1221" s="23" t="str">
        <f>Withdrawals_Data!A500</f>
        <v>DA-002</v>
      </c>
      <c r="F1221" s="23" t="str">
        <f>Withdrawals_Data!B500</f>
        <v>DA-002-M0021</v>
      </c>
      <c r="G1221" s="24">
        <f>Withdrawals_Data!C500</f>
        <v>45475</v>
      </c>
      <c r="H1221" s="27">
        <v>0</v>
      </c>
      <c r="I1221" s="27">
        <f>-Withdrawals_Data!D500</f>
        <v>-9295</v>
      </c>
    </row>
    <row r="1222" spans="3:9">
      <c r="C1222" s="23">
        <v>15</v>
      </c>
      <c r="D1222" s="23" t="s">
        <v>134</v>
      </c>
      <c r="E1222" s="23" t="str">
        <f>Withdrawals_Data!A792</f>
        <v>DA-001</v>
      </c>
      <c r="F1222" s="23" t="str">
        <f>Withdrawals_Data!B792</f>
        <v>DA-001-M0053</v>
      </c>
      <c r="G1222" s="24">
        <f>Withdrawals_Data!C792</f>
        <v>45475</v>
      </c>
      <c r="H1222" s="27">
        <v>0</v>
      </c>
      <c r="I1222" s="27">
        <f>-Withdrawals_Data!D792</f>
        <v>-9375</v>
      </c>
    </row>
    <row r="1223" spans="3:9">
      <c r="C1223" s="23">
        <v>16</v>
      </c>
      <c r="D1223" s="23" t="s">
        <v>134</v>
      </c>
      <c r="E1223" s="23" t="str">
        <f>Withdrawals_Data!A1123</f>
        <v>DA-002</v>
      </c>
      <c r="F1223" s="23" t="str">
        <f>Withdrawals_Data!B1123</f>
        <v>DA-002-M0091</v>
      </c>
      <c r="G1223" s="24">
        <f>Withdrawals_Data!C1123</f>
        <v>45475</v>
      </c>
      <c r="H1223" s="27">
        <v>0</v>
      </c>
      <c r="I1223" s="27">
        <f>-Withdrawals_Data!D1123</f>
        <v>-3292</v>
      </c>
    </row>
    <row r="1224" spans="3:9">
      <c r="C1224" s="23">
        <v>17</v>
      </c>
      <c r="D1224" s="23" t="s">
        <v>132</v>
      </c>
      <c r="E1224" s="23" t="str">
        <f>Contributions_Data!A82</f>
        <v>DA-003</v>
      </c>
      <c r="F1224" s="23" t="str">
        <f>Contributions_Data!B82</f>
        <v>DA-003-M0007</v>
      </c>
      <c r="G1224" s="24">
        <f>Contributions_Data!C82</f>
        <v>45476</v>
      </c>
      <c r="H1224" s="27">
        <f>Contributions_Data!D82</f>
        <v>14329.61</v>
      </c>
      <c r="I1224" s="27">
        <v>0</v>
      </c>
    </row>
    <row r="1225" spans="3:9">
      <c r="C1225" s="23">
        <v>18</v>
      </c>
      <c r="D1225" s="23" t="s">
        <v>132</v>
      </c>
      <c r="E1225" s="23" t="str">
        <f>Contributions_Data!A244</f>
        <v>DA-002</v>
      </c>
      <c r="F1225" s="23" t="str">
        <f>Contributions_Data!B244</f>
        <v>DA-002-M0021</v>
      </c>
      <c r="G1225" s="24">
        <f>Contributions_Data!C244</f>
        <v>45476</v>
      </c>
      <c r="H1225" s="27">
        <f>Contributions_Data!D244</f>
        <v>13592.47</v>
      </c>
      <c r="I1225" s="27">
        <v>0</v>
      </c>
    </row>
    <row r="1226" spans="3:9">
      <c r="C1226" s="23">
        <v>19</v>
      </c>
      <c r="D1226" s="23" t="s">
        <v>132</v>
      </c>
      <c r="E1226" s="23" t="str">
        <f>Contributions_Data!A291</f>
        <v>DA-001</v>
      </c>
      <c r="F1226" s="23" t="str">
        <f>Contributions_Data!B291</f>
        <v>DA-001-M0025</v>
      </c>
      <c r="G1226" s="24">
        <f>Contributions_Data!C291</f>
        <v>45476</v>
      </c>
      <c r="H1226" s="27">
        <f>Contributions_Data!D291</f>
        <v>13409.23</v>
      </c>
      <c r="I1226" s="27">
        <v>0</v>
      </c>
    </row>
    <row r="1227" spans="3:9">
      <c r="C1227" s="23">
        <v>20</v>
      </c>
      <c r="D1227" s="23" t="s">
        <v>132</v>
      </c>
      <c r="E1227" s="23" t="str">
        <f>Contributions_Data!A572</f>
        <v>DA-003</v>
      </c>
      <c r="F1227" s="23" t="str">
        <f>Contributions_Data!B572</f>
        <v>DA-003-M0048</v>
      </c>
      <c r="G1227" s="24">
        <f>Contributions_Data!C572</f>
        <v>45476</v>
      </c>
      <c r="H1227" s="27">
        <f>Contributions_Data!D572</f>
        <v>19340.93</v>
      </c>
      <c r="I1227" s="27">
        <v>0</v>
      </c>
    </row>
    <row r="1228" spans="3:9">
      <c r="C1228" s="23">
        <v>21</v>
      </c>
      <c r="D1228" s="23" t="s">
        <v>132</v>
      </c>
      <c r="E1228" s="23" t="str">
        <f>Contributions_Data!A764</f>
        <v>DA-002</v>
      </c>
      <c r="F1228" s="23" t="str">
        <f>Contributions_Data!B764</f>
        <v>DA-002-M0064</v>
      </c>
      <c r="G1228" s="24">
        <f>Contributions_Data!C764</f>
        <v>45476</v>
      </c>
      <c r="H1228" s="27">
        <f>Contributions_Data!D764</f>
        <v>19429.62</v>
      </c>
      <c r="I1228" s="27">
        <v>0</v>
      </c>
    </row>
    <row r="1229" spans="3:9">
      <c r="C1229" s="23">
        <v>22</v>
      </c>
      <c r="D1229" s="23" t="s">
        <v>132</v>
      </c>
      <c r="E1229" s="23" t="str">
        <f>Contributions_Data!A803</f>
        <v>DA-002</v>
      </c>
      <c r="F1229" s="23" t="str">
        <f>Contributions_Data!B803</f>
        <v>DA-002-M0067</v>
      </c>
      <c r="G1229" s="24">
        <f>Contributions_Data!C803</f>
        <v>45476</v>
      </c>
      <c r="H1229" s="27">
        <f>Contributions_Data!D803</f>
        <v>14581.23</v>
      </c>
      <c r="I1229" s="27">
        <v>0</v>
      </c>
    </row>
    <row r="1230" spans="3:9">
      <c r="C1230" s="23">
        <v>23</v>
      </c>
      <c r="D1230" s="23" t="s">
        <v>132</v>
      </c>
      <c r="E1230" s="23" t="str">
        <f>Contributions_Data!A856</f>
        <v>DA-002</v>
      </c>
      <c r="F1230" s="23" t="str">
        <f>Contributions_Data!B856</f>
        <v>DA-002-M0072</v>
      </c>
      <c r="G1230" s="24">
        <f>Contributions_Data!C856</f>
        <v>45476</v>
      </c>
      <c r="H1230" s="27">
        <f>Contributions_Data!D856</f>
        <v>15312.6</v>
      </c>
      <c r="I1230" s="27">
        <v>0</v>
      </c>
    </row>
    <row r="1231" spans="3:9">
      <c r="C1231" s="23">
        <v>24</v>
      </c>
      <c r="D1231" s="23" t="s">
        <v>132</v>
      </c>
      <c r="E1231" s="23" t="str">
        <f>Contributions_Data!A904</f>
        <v>DA-003</v>
      </c>
      <c r="F1231" s="23" t="str">
        <f>Contributions_Data!B904</f>
        <v>DA-003-M0076</v>
      </c>
      <c r="G1231" s="24">
        <f>Contributions_Data!C904</f>
        <v>45476</v>
      </c>
      <c r="H1231" s="27">
        <f>Contributions_Data!D904</f>
        <v>13862.62</v>
      </c>
      <c r="I1231" s="27">
        <v>0</v>
      </c>
    </row>
    <row r="1232" spans="3:9">
      <c r="C1232" s="23">
        <v>25</v>
      </c>
      <c r="D1232" s="23" t="s">
        <v>132</v>
      </c>
      <c r="E1232" s="23" t="str">
        <f>Contributions_Data!A930</f>
        <v>DA-002</v>
      </c>
      <c r="F1232" s="23" t="str">
        <f>Contributions_Data!B930</f>
        <v>DA-002-M0078</v>
      </c>
      <c r="G1232" s="24">
        <f>Contributions_Data!C930</f>
        <v>45476</v>
      </c>
      <c r="H1232" s="27">
        <f>Contributions_Data!D930</f>
        <v>14050.77</v>
      </c>
      <c r="I1232" s="27">
        <v>0</v>
      </c>
    </row>
    <row r="1233" spans="3:9">
      <c r="C1233" s="23">
        <v>26</v>
      </c>
      <c r="D1233" s="23" t="s">
        <v>132</v>
      </c>
      <c r="E1233" s="23" t="str">
        <f>Contributions_Data!A1147</f>
        <v>DA-001</v>
      </c>
      <c r="F1233" s="23" t="str">
        <f>Contributions_Data!B1147</f>
        <v>DA-001-M0096</v>
      </c>
      <c r="G1233" s="24">
        <f>Contributions_Data!C1147</f>
        <v>45476</v>
      </c>
      <c r="H1233" s="27">
        <f>Contributions_Data!D1147</f>
        <v>12004.84</v>
      </c>
      <c r="I1233" s="27">
        <v>0</v>
      </c>
    </row>
    <row r="1234" spans="3:9">
      <c r="C1234" s="23">
        <v>27</v>
      </c>
      <c r="D1234" s="23" t="s">
        <v>134</v>
      </c>
      <c r="E1234" s="23" t="str">
        <f>Withdrawals_Data!A31</f>
        <v>DA-002</v>
      </c>
      <c r="F1234" s="23" t="str">
        <f>Withdrawals_Data!B31</f>
        <v>DA-002-M0021</v>
      </c>
      <c r="G1234" s="24">
        <f>Withdrawals_Data!C31</f>
        <v>45476</v>
      </c>
      <c r="H1234" s="27">
        <v>0</v>
      </c>
      <c r="I1234" s="27">
        <f>-Withdrawals_Data!D31</f>
        <v>-13415.49</v>
      </c>
    </row>
    <row r="1235" spans="3:9">
      <c r="C1235" s="23">
        <v>28</v>
      </c>
      <c r="D1235" s="23" t="s">
        <v>134</v>
      </c>
      <c r="E1235" s="23" t="str">
        <f>Withdrawals_Data!A740</f>
        <v>DA-003</v>
      </c>
      <c r="F1235" s="23" t="str">
        <f>Withdrawals_Data!B740</f>
        <v>DA-003-M0048</v>
      </c>
      <c r="G1235" s="24">
        <f>Withdrawals_Data!C740</f>
        <v>45476</v>
      </c>
      <c r="H1235" s="27">
        <v>0</v>
      </c>
      <c r="I1235" s="27">
        <f>-Withdrawals_Data!D740</f>
        <v>-17954</v>
      </c>
    </row>
    <row r="1236" spans="3:9">
      <c r="C1236" s="23">
        <v>29</v>
      </c>
      <c r="D1236" s="23" t="s">
        <v>134</v>
      </c>
      <c r="E1236" s="23" t="str">
        <f>Withdrawals_Data!A825</f>
        <v>DA-002</v>
      </c>
      <c r="F1236" s="23" t="str">
        <f>Withdrawals_Data!B825</f>
        <v>DA-002-M0057</v>
      </c>
      <c r="G1236" s="24">
        <f>Withdrawals_Data!C825</f>
        <v>45476</v>
      </c>
      <c r="H1236" s="27">
        <v>0</v>
      </c>
      <c r="I1236" s="27">
        <f>-Withdrawals_Data!D825</f>
        <v>-12784</v>
      </c>
    </row>
    <row r="1237" spans="3:9">
      <c r="C1237" s="23">
        <v>30</v>
      </c>
      <c r="D1237" s="23" t="s">
        <v>134</v>
      </c>
      <c r="E1237" s="23" t="str">
        <f>Withdrawals_Data!A1112</f>
        <v>DA-003</v>
      </c>
      <c r="F1237" s="23" t="str">
        <f>Withdrawals_Data!B1112</f>
        <v>DA-003-M0090</v>
      </c>
      <c r="G1237" s="24">
        <f>Withdrawals_Data!C1112</f>
        <v>45476</v>
      </c>
      <c r="H1237" s="27">
        <v>0</v>
      </c>
      <c r="I1237" s="27">
        <f>-Withdrawals_Data!D1112</f>
        <v>-2637</v>
      </c>
    </row>
    <row r="1238" spans="3:9">
      <c r="C1238" s="23">
        <v>31</v>
      </c>
      <c r="D1238" s="23" t="s">
        <v>132</v>
      </c>
      <c r="E1238" s="23" t="str">
        <f>Contributions_Data!A437</f>
        <v>DA-002</v>
      </c>
      <c r="F1238" s="23" t="str">
        <f>Contributions_Data!B437</f>
        <v>DA-002-M0037</v>
      </c>
      <c r="G1238" s="24">
        <f>Contributions_Data!C437</f>
        <v>45477</v>
      </c>
      <c r="H1238" s="27">
        <f>Contributions_Data!D437</f>
        <v>20007.060000000001</v>
      </c>
      <c r="I1238" s="27">
        <v>0</v>
      </c>
    </row>
    <row r="1239" spans="3:9">
      <c r="C1239" s="23">
        <v>32</v>
      </c>
      <c r="D1239" s="23" t="s">
        <v>134</v>
      </c>
      <c r="E1239" s="23" t="str">
        <f>Withdrawals_Data!A2</f>
        <v>DA-001</v>
      </c>
      <c r="F1239" s="23" t="str">
        <f>Withdrawals_Data!B2</f>
        <v>DA-001-M0075</v>
      </c>
      <c r="G1239" s="24">
        <f>Withdrawals_Data!C2</f>
        <v>45477</v>
      </c>
      <c r="H1239" s="27">
        <v>0</v>
      </c>
      <c r="I1239" s="27">
        <f>-Withdrawals_Data!D2</f>
        <v>-18318.84</v>
      </c>
    </row>
    <row r="1240" spans="3:9">
      <c r="C1240" s="23">
        <v>33</v>
      </c>
      <c r="D1240" s="23" t="s">
        <v>134</v>
      </c>
      <c r="E1240" s="23" t="str">
        <f>Withdrawals_Data!A221</f>
        <v>DA-001</v>
      </c>
      <c r="F1240" s="23" t="str">
        <f>Withdrawals_Data!B221</f>
        <v>DA-001-M0011</v>
      </c>
      <c r="G1240" s="24">
        <f>Withdrawals_Data!C221</f>
        <v>45477</v>
      </c>
      <c r="H1240" s="27">
        <v>0</v>
      </c>
      <c r="I1240" s="27">
        <f>-Withdrawals_Data!D221</f>
        <v>-6662</v>
      </c>
    </row>
    <row r="1241" spans="3:9">
      <c r="C1241" s="23">
        <v>34</v>
      </c>
      <c r="D1241" s="23" t="s">
        <v>134</v>
      </c>
      <c r="E1241" s="23" t="str">
        <f>Withdrawals_Data!A674</f>
        <v>DA-002</v>
      </c>
      <c r="F1241" s="23" t="str">
        <f>Withdrawals_Data!B674</f>
        <v>DA-002-M0041</v>
      </c>
      <c r="G1241" s="24">
        <f>Withdrawals_Data!C674</f>
        <v>45477</v>
      </c>
      <c r="H1241" s="27">
        <v>0</v>
      </c>
      <c r="I1241" s="27">
        <f>-Withdrawals_Data!D674</f>
        <v>-9290</v>
      </c>
    </row>
    <row r="1242" spans="3:9">
      <c r="C1242" s="23">
        <v>35</v>
      </c>
      <c r="D1242" s="23" t="s">
        <v>134</v>
      </c>
      <c r="E1242" s="23" t="str">
        <f>Withdrawals_Data!A1074</f>
        <v>DA-002</v>
      </c>
      <c r="F1242" s="23" t="str">
        <f>Withdrawals_Data!B1074</f>
        <v>DA-002-M0085</v>
      </c>
      <c r="G1242" s="24">
        <f>Withdrawals_Data!C1074</f>
        <v>45477</v>
      </c>
      <c r="H1242" s="27">
        <v>0</v>
      </c>
      <c r="I1242" s="27">
        <f>-Withdrawals_Data!D1074</f>
        <v>-4075</v>
      </c>
    </row>
    <row r="1243" spans="3:9">
      <c r="C1243" s="23">
        <v>36</v>
      </c>
      <c r="D1243" s="23" t="s">
        <v>134</v>
      </c>
      <c r="E1243" s="23" t="str">
        <f>Withdrawals_Data!A435</f>
        <v>DA-003</v>
      </c>
      <c r="F1243" s="23" t="str">
        <f>Withdrawals_Data!B435</f>
        <v>DA-003-M0013</v>
      </c>
      <c r="G1243" s="24">
        <f>Withdrawals_Data!C435</f>
        <v>45478</v>
      </c>
      <c r="H1243" s="27">
        <v>0</v>
      </c>
      <c r="I1243" s="27">
        <f>-Withdrawals_Data!D435</f>
        <v>-4954</v>
      </c>
    </row>
    <row r="1244" spans="3:9">
      <c r="C1244" s="23">
        <v>37</v>
      </c>
      <c r="D1244" s="23" t="s">
        <v>134</v>
      </c>
      <c r="E1244" s="23" t="str">
        <f>Withdrawals_Data!A437</f>
        <v>DA-003</v>
      </c>
      <c r="F1244" s="23" t="str">
        <f>Withdrawals_Data!B437</f>
        <v>DA-003-M0013</v>
      </c>
      <c r="G1244" s="24">
        <f>Withdrawals_Data!C437</f>
        <v>45478</v>
      </c>
      <c r="H1244" s="27">
        <v>0</v>
      </c>
      <c r="I1244" s="27">
        <f>-Withdrawals_Data!D437</f>
        <v>-16224</v>
      </c>
    </row>
    <row r="1245" spans="3:9">
      <c r="C1245" s="23">
        <v>38</v>
      </c>
      <c r="D1245" s="23" t="s">
        <v>134</v>
      </c>
      <c r="E1245" s="23" t="str">
        <f>Withdrawals_Data!A577</f>
        <v>DA-002</v>
      </c>
      <c r="F1245" s="23" t="str">
        <f>Withdrawals_Data!B577</f>
        <v>DA-002-M0030</v>
      </c>
      <c r="G1245" s="24">
        <f>Withdrawals_Data!C577</f>
        <v>45478</v>
      </c>
      <c r="H1245" s="27">
        <v>0</v>
      </c>
      <c r="I1245" s="27">
        <f>-Withdrawals_Data!D577</f>
        <v>-3207</v>
      </c>
    </row>
    <row r="1246" spans="3:9">
      <c r="C1246" s="23">
        <v>39</v>
      </c>
      <c r="D1246" s="23" t="s">
        <v>132</v>
      </c>
      <c r="E1246" s="23" t="str">
        <f>Contributions_Data!A366</f>
        <v>DA-003</v>
      </c>
      <c r="F1246" s="23" t="str">
        <f>Contributions_Data!B366</f>
        <v>DA-003-M0031</v>
      </c>
      <c r="G1246" s="24">
        <f>Contributions_Data!C366</f>
        <v>45479</v>
      </c>
      <c r="H1246" s="27">
        <f>Contributions_Data!D366</f>
        <v>16012.81</v>
      </c>
      <c r="I1246" s="27">
        <v>0</v>
      </c>
    </row>
    <row r="1247" spans="3:9">
      <c r="C1247" s="23">
        <v>40</v>
      </c>
      <c r="D1247" s="23" t="s">
        <v>134</v>
      </c>
      <c r="E1247" s="23" t="str">
        <f>Withdrawals_Data!A260</f>
        <v>DA-001</v>
      </c>
      <c r="F1247" s="23" t="str">
        <f>Withdrawals_Data!B260</f>
        <v>DA-001-M0074</v>
      </c>
      <c r="G1247" s="24">
        <f>Withdrawals_Data!C260</f>
        <v>45479</v>
      </c>
      <c r="H1247" s="27">
        <v>0</v>
      </c>
      <c r="I1247" s="27">
        <f>-Withdrawals_Data!D260</f>
        <v>-5126.37</v>
      </c>
    </row>
    <row r="1248" spans="3:9">
      <c r="C1248" s="23">
        <v>41</v>
      </c>
      <c r="D1248" s="23" t="s">
        <v>134</v>
      </c>
      <c r="E1248" s="23" t="str">
        <f>Withdrawals_Data!A702</f>
        <v>DA-001</v>
      </c>
      <c r="F1248" s="23" t="str">
        <f>Withdrawals_Data!B702</f>
        <v>DA-001-M0043</v>
      </c>
      <c r="G1248" s="24">
        <f>Withdrawals_Data!C702</f>
        <v>45479</v>
      </c>
      <c r="H1248" s="27">
        <v>0</v>
      </c>
      <c r="I1248" s="27">
        <f>-Withdrawals_Data!D702</f>
        <v>-10219</v>
      </c>
    </row>
    <row r="1249" spans="3:9">
      <c r="C1249" s="23">
        <v>42</v>
      </c>
      <c r="D1249" s="23" t="s">
        <v>132</v>
      </c>
      <c r="E1249" s="23" t="str">
        <f>Contributions_Data!A344</f>
        <v>DA-003</v>
      </c>
      <c r="F1249" s="23" t="str">
        <f>Contributions_Data!B344</f>
        <v>DA-003-M0029</v>
      </c>
      <c r="G1249" s="24">
        <f>Contributions_Data!C344</f>
        <v>45480</v>
      </c>
      <c r="H1249" s="27">
        <f>Contributions_Data!D344</f>
        <v>16711.8</v>
      </c>
      <c r="I1249" s="27">
        <v>0</v>
      </c>
    </row>
    <row r="1250" spans="3:9">
      <c r="C1250" s="23">
        <v>43</v>
      </c>
      <c r="D1250" s="23" t="s">
        <v>134</v>
      </c>
      <c r="E1250" s="23" t="str">
        <f>Withdrawals_Data!A552</f>
        <v>DA-002</v>
      </c>
      <c r="F1250" s="23" t="str">
        <f>Withdrawals_Data!B552</f>
        <v>DA-002-M0026</v>
      </c>
      <c r="G1250" s="24">
        <f>Withdrawals_Data!C552</f>
        <v>45480</v>
      </c>
      <c r="H1250" s="27">
        <v>0</v>
      </c>
      <c r="I1250" s="27">
        <f>-Withdrawals_Data!D552</f>
        <v>-7047</v>
      </c>
    </row>
    <row r="1251" spans="3:9">
      <c r="C1251" s="23">
        <v>44</v>
      </c>
      <c r="D1251" s="23" t="s">
        <v>134</v>
      </c>
      <c r="E1251" s="23" t="str">
        <f>Withdrawals_Data!A1019</f>
        <v>DA-003</v>
      </c>
      <c r="F1251" s="23" t="str">
        <f>Withdrawals_Data!B1019</f>
        <v>DA-003-M0080</v>
      </c>
      <c r="G1251" s="24">
        <f>Withdrawals_Data!C1019</f>
        <v>45480</v>
      </c>
      <c r="H1251" s="27">
        <v>0</v>
      </c>
      <c r="I1251" s="27">
        <f>-Withdrawals_Data!D1019</f>
        <v>-2014</v>
      </c>
    </row>
    <row r="1252" spans="3:9">
      <c r="C1252" s="23">
        <v>45</v>
      </c>
      <c r="D1252" s="23" t="s">
        <v>134</v>
      </c>
      <c r="E1252" s="23" t="str">
        <f>Withdrawals_Data!A1059</f>
        <v>DA-003</v>
      </c>
      <c r="F1252" s="23" t="str">
        <f>Withdrawals_Data!B1059</f>
        <v>DA-003-M0084</v>
      </c>
      <c r="G1252" s="24">
        <f>Withdrawals_Data!C1059</f>
        <v>45480</v>
      </c>
      <c r="H1252" s="27">
        <v>0</v>
      </c>
      <c r="I1252" s="27">
        <f>-Withdrawals_Data!D1059</f>
        <v>-8120</v>
      </c>
    </row>
    <row r="1253" spans="3:9">
      <c r="C1253" s="23">
        <v>46</v>
      </c>
      <c r="D1253" s="23" t="s">
        <v>134</v>
      </c>
      <c r="E1253" s="23" t="str">
        <f>Withdrawals_Data!A1122</f>
        <v>DA-002</v>
      </c>
      <c r="F1253" s="23" t="str">
        <f>Withdrawals_Data!B1122</f>
        <v>DA-002-M0091</v>
      </c>
      <c r="G1253" s="24">
        <f>Withdrawals_Data!C1122</f>
        <v>45480</v>
      </c>
      <c r="H1253" s="27">
        <v>0</v>
      </c>
      <c r="I1253" s="27">
        <f>-Withdrawals_Data!D1122</f>
        <v>-10685</v>
      </c>
    </row>
    <row r="1254" spans="3:9">
      <c r="C1254" s="23">
        <v>47</v>
      </c>
      <c r="D1254" s="23" t="s">
        <v>132</v>
      </c>
      <c r="E1254" s="23" t="str">
        <f>Contributions_Data!A476</f>
        <v>DA-002</v>
      </c>
      <c r="F1254" s="23" t="str">
        <f>Contributions_Data!B476</f>
        <v>DA-002-M0040</v>
      </c>
      <c r="G1254" s="24">
        <f>Contributions_Data!C476</f>
        <v>45481</v>
      </c>
      <c r="H1254" s="27">
        <f>Contributions_Data!D476</f>
        <v>18477.990000000002</v>
      </c>
      <c r="I1254" s="27">
        <v>0</v>
      </c>
    </row>
    <row r="1255" spans="3:9">
      <c r="C1255" s="23">
        <v>48</v>
      </c>
      <c r="D1255" s="23" t="s">
        <v>132</v>
      </c>
      <c r="E1255" s="23" t="str">
        <f>Contributions_Data!A679</f>
        <v>DA-002</v>
      </c>
      <c r="F1255" s="23" t="str">
        <f>Contributions_Data!B679</f>
        <v>DA-002-M0057</v>
      </c>
      <c r="G1255" s="24">
        <f>Contributions_Data!C679</f>
        <v>45481</v>
      </c>
      <c r="H1255" s="27">
        <f>Contributions_Data!D679</f>
        <v>12924.28</v>
      </c>
      <c r="I1255" s="27">
        <v>0</v>
      </c>
    </row>
    <row r="1256" spans="3:9">
      <c r="C1256" s="23">
        <v>49</v>
      </c>
      <c r="D1256" s="23" t="s">
        <v>132</v>
      </c>
      <c r="E1256" s="23" t="str">
        <f>Contributions_Data!A748</f>
        <v>DA-002</v>
      </c>
      <c r="F1256" s="23" t="str">
        <f>Contributions_Data!B748</f>
        <v>DA-002-M0063</v>
      </c>
      <c r="G1256" s="24">
        <f>Contributions_Data!C748</f>
        <v>45481</v>
      </c>
      <c r="H1256" s="27">
        <f>Contributions_Data!D748</f>
        <v>11931.62</v>
      </c>
      <c r="I1256" s="27">
        <v>0</v>
      </c>
    </row>
    <row r="1257" spans="3:9">
      <c r="C1257" s="23">
        <v>50</v>
      </c>
      <c r="D1257" s="23" t="s">
        <v>132</v>
      </c>
      <c r="E1257" s="23" t="str">
        <f>Contributions_Data!A805</f>
        <v>DA-002</v>
      </c>
      <c r="F1257" s="23" t="str">
        <f>Contributions_Data!B805</f>
        <v>DA-002-M0067</v>
      </c>
      <c r="G1257" s="24">
        <f>Contributions_Data!C805</f>
        <v>45481</v>
      </c>
      <c r="H1257" s="27">
        <f>Contributions_Data!D805</f>
        <v>16838.32</v>
      </c>
      <c r="I1257" s="27">
        <v>0</v>
      </c>
    </row>
    <row r="1258" spans="3:9">
      <c r="C1258" s="23">
        <v>51</v>
      </c>
      <c r="D1258" s="23" t="s">
        <v>134</v>
      </c>
      <c r="E1258" s="23" t="str">
        <f>Withdrawals_Data!A563</f>
        <v>DA-003</v>
      </c>
      <c r="F1258" s="23" t="str">
        <f>Withdrawals_Data!B563</f>
        <v>DA-003-M0028</v>
      </c>
      <c r="G1258" s="24">
        <f>Withdrawals_Data!C563</f>
        <v>45481</v>
      </c>
      <c r="H1258" s="27">
        <v>0</v>
      </c>
      <c r="I1258" s="27">
        <f>-Withdrawals_Data!D563</f>
        <v>-19140</v>
      </c>
    </row>
    <row r="1259" spans="3:9">
      <c r="C1259" s="23">
        <v>52</v>
      </c>
      <c r="D1259" s="23" t="s">
        <v>134</v>
      </c>
      <c r="E1259" s="23" t="str">
        <f>Withdrawals_Data!A966</f>
        <v>DA-001</v>
      </c>
      <c r="F1259" s="23" t="str">
        <f>Withdrawals_Data!B966</f>
        <v>DA-001-M0074</v>
      </c>
      <c r="G1259" s="24">
        <f>Withdrawals_Data!C966</f>
        <v>45481</v>
      </c>
      <c r="H1259" s="27">
        <v>0</v>
      </c>
      <c r="I1259" s="27">
        <f>-Withdrawals_Data!D966</f>
        <v>-6616</v>
      </c>
    </row>
    <row r="1260" spans="3:9">
      <c r="C1260" s="23">
        <v>53</v>
      </c>
      <c r="D1260" s="23" t="s">
        <v>134</v>
      </c>
      <c r="E1260" s="23" t="str">
        <f>Withdrawals_Data!A1198</f>
        <v>DA-003</v>
      </c>
      <c r="F1260" s="23" t="str">
        <f>Withdrawals_Data!B1198</f>
        <v>DA-003-M0100</v>
      </c>
      <c r="G1260" s="24">
        <f>Withdrawals_Data!C1198</f>
        <v>45481</v>
      </c>
      <c r="H1260" s="27">
        <v>0</v>
      </c>
      <c r="I1260" s="27">
        <f>-Withdrawals_Data!D1198</f>
        <v>-13277</v>
      </c>
    </row>
    <row r="1261" spans="3:9">
      <c r="C1261" s="23">
        <v>54</v>
      </c>
      <c r="D1261" s="23" t="s">
        <v>132</v>
      </c>
      <c r="E1261" s="23" t="str">
        <f>Contributions_Data!A824</f>
        <v>DA-003</v>
      </c>
      <c r="F1261" s="23" t="str">
        <f>Contributions_Data!B824</f>
        <v>DA-003-M0069</v>
      </c>
      <c r="G1261" s="24">
        <f>Contributions_Data!C824</f>
        <v>45482</v>
      </c>
      <c r="H1261" s="27">
        <f>Contributions_Data!D824</f>
        <v>19841.13</v>
      </c>
      <c r="I1261" s="27">
        <v>0</v>
      </c>
    </row>
    <row r="1262" spans="3:9">
      <c r="C1262" s="23">
        <v>55</v>
      </c>
      <c r="D1262" s="23" t="s">
        <v>132</v>
      </c>
      <c r="E1262" s="23" t="str">
        <f>Contributions_Data!A1002</f>
        <v>DA-003</v>
      </c>
      <c r="F1262" s="23" t="str">
        <f>Contributions_Data!B1002</f>
        <v>DA-003-M0084</v>
      </c>
      <c r="G1262" s="24">
        <f>Contributions_Data!C1002</f>
        <v>45482</v>
      </c>
      <c r="H1262" s="27">
        <f>Contributions_Data!D1002</f>
        <v>10563.27</v>
      </c>
      <c r="I1262" s="27">
        <v>0</v>
      </c>
    </row>
    <row r="1263" spans="3:9">
      <c r="C1263" s="23">
        <v>56</v>
      </c>
      <c r="D1263" s="23" t="s">
        <v>132</v>
      </c>
      <c r="E1263" s="23" t="str">
        <f>Contributions_Data!A1095</f>
        <v>DA-001</v>
      </c>
      <c r="F1263" s="23" t="str">
        <f>Contributions_Data!B1095</f>
        <v>DA-001-M0092</v>
      </c>
      <c r="G1263" s="24">
        <f>Contributions_Data!C1095</f>
        <v>45482</v>
      </c>
      <c r="H1263" s="27">
        <f>Contributions_Data!D1095</f>
        <v>16944.84</v>
      </c>
      <c r="I1263" s="27">
        <v>0</v>
      </c>
    </row>
    <row r="1264" spans="3:9">
      <c r="C1264" s="23">
        <v>57</v>
      </c>
      <c r="D1264" s="23" t="s">
        <v>134</v>
      </c>
      <c r="E1264" s="23" t="str">
        <f>Withdrawals_Data!A187</f>
        <v>DA-001</v>
      </c>
      <c r="F1264" s="23" t="str">
        <f>Withdrawals_Data!B187</f>
        <v>DA-001-M0065</v>
      </c>
      <c r="G1264" s="24">
        <f>Withdrawals_Data!C187</f>
        <v>45482</v>
      </c>
      <c r="H1264" s="27">
        <v>0</v>
      </c>
      <c r="I1264" s="27">
        <f>-Withdrawals_Data!D187</f>
        <v>-7812.32</v>
      </c>
    </row>
    <row r="1265" spans="3:9">
      <c r="C1265" s="23">
        <v>58</v>
      </c>
      <c r="D1265" s="23" t="s">
        <v>134</v>
      </c>
      <c r="E1265" s="23" t="str">
        <f>Withdrawals_Data!A254</f>
        <v>DA-001</v>
      </c>
      <c r="F1265" s="23" t="str">
        <f>Withdrawals_Data!B254</f>
        <v>DA-001-M0074</v>
      </c>
      <c r="G1265" s="24">
        <f>Withdrawals_Data!C254</f>
        <v>45482</v>
      </c>
      <c r="H1265" s="27">
        <v>0</v>
      </c>
      <c r="I1265" s="27">
        <f>-Withdrawals_Data!D254</f>
        <v>-5306.04</v>
      </c>
    </row>
    <row r="1266" spans="3:9">
      <c r="C1266" s="23">
        <v>59</v>
      </c>
      <c r="D1266" s="23" t="s">
        <v>134</v>
      </c>
      <c r="E1266" s="23" t="str">
        <f>Withdrawals_Data!A256</f>
        <v>DA-002</v>
      </c>
      <c r="F1266" s="23" t="str">
        <f>Withdrawals_Data!B256</f>
        <v>DA-002-M0016</v>
      </c>
      <c r="G1266" s="24">
        <f>Withdrawals_Data!C256</f>
        <v>45482</v>
      </c>
      <c r="H1266" s="27">
        <v>0</v>
      </c>
      <c r="I1266" s="27">
        <f>-Withdrawals_Data!D256</f>
        <v>-5291.35</v>
      </c>
    </row>
    <row r="1267" spans="3:9">
      <c r="C1267" s="23">
        <v>60</v>
      </c>
      <c r="D1267" s="23" t="s">
        <v>132</v>
      </c>
      <c r="E1267" s="23" t="str">
        <f>Contributions_Data!A58</f>
        <v>DA-003</v>
      </c>
      <c r="F1267" s="23" t="str">
        <f>Contributions_Data!B58</f>
        <v>DA-003-M0005</v>
      </c>
      <c r="G1267" s="24">
        <f>Contributions_Data!C58</f>
        <v>45483</v>
      </c>
      <c r="H1267" s="27">
        <f>Contributions_Data!D58</f>
        <v>12959.93</v>
      </c>
      <c r="I1267" s="27">
        <v>0</v>
      </c>
    </row>
    <row r="1268" spans="3:9">
      <c r="C1268" s="23">
        <v>61</v>
      </c>
      <c r="D1268" s="23" t="s">
        <v>132</v>
      </c>
      <c r="E1268" s="23" t="str">
        <f>Contributions_Data!A284</f>
        <v>DA-001</v>
      </c>
      <c r="F1268" s="23" t="str">
        <f>Contributions_Data!B284</f>
        <v>DA-001-M0024</v>
      </c>
      <c r="G1268" s="24">
        <f>Contributions_Data!C284</f>
        <v>45483</v>
      </c>
      <c r="H1268" s="27">
        <f>Contributions_Data!D284</f>
        <v>17009.02</v>
      </c>
      <c r="I1268" s="27">
        <v>0</v>
      </c>
    </row>
    <row r="1269" spans="3:9">
      <c r="C1269" s="23">
        <v>62</v>
      </c>
      <c r="D1269" s="23" t="s">
        <v>132</v>
      </c>
      <c r="E1269" s="23" t="str">
        <f>Contributions_Data!A709</f>
        <v>DA-003</v>
      </c>
      <c r="F1269" s="23" t="str">
        <f>Contributions_Data!B709</f>
        <v>DA-003-M0059</v>
      </c>
      <c r="G1269" s="24">
        <f>Contributions_Data!C709</f>
        <v>45483</v>
      </c>
      <c r="H1269" s="27">
        <f>Contributions_Data!D709</f>
        <v>12099.07</v>
      </c>
      <c r="I1269" s="27">
        <v>0</v>
      </c>
    </row>
    <row r="1270" spans="3:9">
      <c r="C1270" s="23">
        <v>63</v>
      </c>
      <c r="D1270" s="23" t="s">
        <v>134</v>
      </c>
      <c r="E1270" s="23" t="str">
        <f>Withdrawals_Data!A853</f>
        <v>DA-002</v>
      </c>
      <c r="F1270" s="23" t="str">
        <f>Withdrawals_Data!B853</f>
        <v>DA-002-M0060</v>
      </c>
      <c r="G1270" s="24">
        <f>Withdrawals_Data!C853</f>
        <v>45483</v>
      </c>
      <c r="H1270" s="27">
        <v>0</v>
      </c>
      <c r="I1270" s="27">
        <f>-Withdrawals_Data!D853</f>
        <v>-15252</v>
      </c>
    </row>
    <row r="1271" spans="3:9">
      <c r="C1271" s="23">
        <v>64</v>
      </c>
      <c r="D1271" s="23" t="s">
        <v>132</v>
      </c>
      <c r="E1271" s="23" t="str">
        <f>Contributions_Data!A78</f>
        <v>DA-003</v>
      </c>
      <c r="F1271" s="23" t="str">
        <f>Contributions_Data!B78</f>
        <v>DA-003-M0007</v>
      </c>
      <c r="G1271" s="24">
        <f>Contributions_Data!C78</f>
        <v>45484</v>
      </c>
      <c r="H1271" s="27">
        <f>Contributions_Data!D78</f>
        <v>14206.03</v>
      </c>
      <c r="I1271" s="27">
        <v>0</v>
      </c>
    </row>
    <row r="1272" spans="3:9">
      <c r="C1272" s="23">
        <v>65</v>
      </c>
      <c r="D1272" s="23" t="s">
        <v>132</v>
      </c>
      <c r="E1272" s="23" t="str">
        <f>Contributions_Data!A227</f>
        <v>DA-001</v>
      </c>
      <c r="F1272" s="23" t="str">
        <f>Contributions_Data!B227</f>
        <v>DA-001-M0019</v>
      </c>
      <c r="G1272" s="24">
        <f>Contributions_Data!C227</f>
        <v>45484</v>
      </c>
      <c r="H1272" s="27">
        <f>Contributions_Data!D227</f>
        <v>21459.55</v>
      </c>
      <c r="I1272" s="27">
        <v>0</v>
      </c>
    </row>
    <row r="1273" spans="3:9">
      <c r="C1273" s="23">
        <v>66</v>
      </c>
      <c r="D1273" s="23" t="s">
        <v>132</v>
      </c>
      <c r="E1273" s="23" t="str">
        <f>Contributions_Data!A920</f>
        <v>DA-003</v>
      </c>
      <c r="F1273" s="23" t="str">
        <f>Contributions_Data!B920</f>
        <v>DA-003-M0077</v>
      </c>
      <c r="G1273" s="24">
        <f>Contributions_Data!C920</f>
        <v>45484</v>
      </c>
      <c r="H1273" s="27">
        <f>Contributions_Data!D920</f>
        <v>16674.98</v>
      </c>
      <c r="I1273" s="27">
        <v>0</v>
      </c>
    </row>
    <row r="1274" spans="3:9">
      <c r="C1274" s="23">
        <v>67</v>
      </c>
      <c r="D1274" s="23" t="s">
        <v>132</v>
      </c>
      <c r="E1274" s="23" t="str">
        <f>Contributions_Data!A929</f>
        <v>DA-002</v>
      </c>
      <c r="F1274" s="23" t="str">
        <f>Contributions_Data!B929</f>
        <v>DA-002-M0078</v>
      </c>
      <c r="G1274" s="24">
        <f>Contributions_Data!C929</f>
        <v>45484</v>
      </c>
      <c r="H1274" s="27">
        <f>Contributions_Data!D929</f>
        <v>11723.06</v>
      </c>
      <c r="I1274" s="27">
        <v>0</v>
      </c>
    </row>
    <row r="1275" spans="3:9">
      <c r="C1275" s="23">
        <v>68</v>
      </c>
      <c r="D1275" s="23" t="s">
        <v>132</v>
      </c>
      <c r="E1275" s="23" t="str">
        <f>Contributions_Data!A1079</f>
        <v>DA-003</v>
      </c>
      <c r="F1275" s="23" t="str">
        <f>Contributions_Data!B1079</f>
        <v>DA-003-M0090</v>
      </c>
      <c r="G1275" s="24">
        <f>Contributions_Data!C1079</f>
        <v>45484</v>
      </c>
      <c r="H1275" s="27">
        <f>Contributions_Data!D1079</f>
        <v>17260.02</v>
      </c>
      <c r="I1275" s="27">
        <v>0</v>
      </c>
    </row>
    <row r="1276" spans="3:9">
      <c r="C1276" s="23">
        <v>69</v>
      </c>
      <c r="D1276" s="23" t="s">
        <v>134</v>
      </c>
      <c r="E1276" s="23" t="str">
        <f>Withdrawals_Data!A112</f>
        <v>DA-003</v>
      </c>
      <c r="F1276" s="23" t="str">
        <f>Withdrawals_Data!B112</f>
        <v>DA-003-M0008</v>
      </c>
      <c r="G1276" s="24">
        <f>Withdrawals_Data!C112</f>
        <v>45484</v>
      </c>
      <c r="H1276" s="27">
        <v>0</v>
      </c>
      <c r="I1276" s="27">
        <f>-Withdrawals_Data!D112</f>
        <v>-9541.27</v>
      </c>
    </row>
    <row r="1277" spans="3:9">
      <c r="C1277" s="23">
        <v>70</v>
      </c>
      <c r="D1277" s="23" t="s">
        <v>134</v>
      </c>
      <c r="E1277" s="23" t="str">
        <f>Withdrawals_Data!A625</f>
        <v>DA-001</v>
      </c>
      <c r="F1277" s="23" t="str">
        <f>Withdrawals_Data!B625</f>
        <v>DA-001-M0035</v>
      </c>
      <c r="G1277" s="24">
        <f>Withdrawals_Data!C625</f>
        <v>45484</v>
      </c>
      <c r="H1277" s="27">
        <v>0</v>
      </c>
      <c r="I1277" s="27">
        <f>-Withdrawals_Data!D625</f>
        <v>-3598</v>
      </c>
    </row>
    <row r="1278" spans="3:9">
      <c r="C1278" s="23">
        <v>71</v>
      </c>
      <c r="D1278" s="23" t="s">
        <v>134</v>
      </c>
      <c r="E1278" s="23" t="str">
        <f>Withdrawals_Data!A657</f>
        <v>DA-002</v>
      </c>
      <c r="F1278" s="23" t="str">
        <f>Withdrawals_Data!B657</f>
        <v>DA-002-M0039</v>
      </c>
      <c r="G1278" s="24">
        <f>Withdrawals_Data!C657</f>
        <v>45484</v>
      </c>
      <c r="H1278" s="27">
        <v>0</v>
      </c>
      <c r="I1278" s="27">
        <f>-Withdrawals_Data!D657</f>
        <v>-16771</v>
      </c>
    </row>
    <row r="1279" spans="3:9">
      <c r="C1279" s="23">
        <v>72</v>
      </c>
      <c r="D1279" s="23" t="s">
        <v>134</v>
      </c>
      <c r="E1279" s="23" t="str">
        <f>Withdrawals_Data!A983</f>
        <v>DA-003</v>
      </c>
      <c r="F1279" s="23" t="str">
        <f>Withdrawals_Data!B983</f>
        <v>DA-003-M0076</v>
      </c>
      <c r="G1279" s="24">
        <f>Withdrawals_Data!C983</f>
        <v>45484</v>
      </c>
      <c r="H1279" s="27">
        <v>0</v>
      </c>
      <c r="I1279" s="27">
        <f>-Withdrawals_Data!D983</f>
        <v>-12436</v>
      </c>
    </row>
    <row r="1280" spans="3:9">
      <c r="C1280" s="23">
        <v>73</v>
      </c>
      <c r="D1280" s="23" t="s">
        <v>132</v>
      </c>
      <c r="E1280" s="23" t="str">
        <f>Contributions_Data!A303</f>
        <v>DA-002</v>
      </c>
      <c r="F1280" s="23" t="str">
        <f>Contributions_Data!B303</f>
        <v>DA-002-M0026</v>
      </c>
      <c r="G1280" s="24">
        <f>Contributions_Data!C303</f>
        <v>45485</v>
      </c>
      <c r="H1280" s="27">
        <f>Contributions_Data!D303</f>
        <v>14174.84</v>
      </c>
      <c r="I1280" s="27">
        <v>0</v>
      </c>
    </row>
    <row r="1281" spans="3:9">
      <c r="C1281" s="23">
        <v>74</v>
      </c>
      <c r="D1281" s="23" t="s">
        <v>134</v>
      </c>
      <c r="E1281" s="23" t="str">
        <f>Withdrawals_Data!A175</f>
        <v>DA-003</v>
      </c>
      <c r="F1281" s="23" t="str">
        <f>Withdrawals_Data!B175</f>
        <v>DA-003-M0086</v>
      </c>
      <c r="G1281" s="24">
        <f>Withdrawals_Data!C175</f>
        <v>45485</v>
      </c>
      <c r="H1281" s="27">
        <v>0</v>
      </c>
      <c r="I1281" s="27">
        <f>-Withdrawals_Data!D175</f>
        <v>-8128.02</v>
      </c>
    </row>
    <row r="1282" spans="3:9">
      <c r="C1282" s="23">
        <v>75</v>
      </c>
      <c r="D1282" s="23" t="s">
        <v>134</v>
      </c>
      <c r="E1282" s="23" t="str">
        <f>Withdrawals_Data!A708</f>
        <v>DA-002</v>
      </c>
      <c r="F1282" s="23" t="str">
        <f>Withdrawals_Data!B708</f>
        <v>DA-002-M0044</v>
      </c>
      <c r="G1282" s="24">
        <f>Withdrawals_Data!C708</f>
        <v>45485</v>
      </c>
      <c r="H1282" s="27">
        <v>0</v>
      </c>
      <c r="I1282" s="27">
        <f>-Withdrawals_Data!D708</f>
        <v>-11253</v>
      </c>
    </row>
    <row r="1283" spans="3:9">
      <c r="C1283" s="23">
        <v>76</v>
      </c>
      <c r="D1283" s="23" t="s">
        <v>134</v>
      </c>
      <c r="E1283" s="23" t="str">
        <f>Withdrawals_Data!A824</f>
        <v>DA-002</v>
      </c>
      <c r="F1283" s="23" t="str">
        <f>Withdrawals_Data!B824</f>
        <v>DA-002-M0057</v>
      </c>
      <c r="G1283" s="24">
        <f>Withdrawals_Data!C824</f>
        <v>45485</v>
      </c>
      <c r="H1283" s="27">
        <v>0</v>
      </c>
      <c r="I1283" s="27">
        <f>-Withdrawals_Data!D824</f>
        <v>-12481</v>
      </c>
    </row>
    <row r="1284" spans="3:9">
      <c r="C1284" s="23">
        <v>77</v>
      </c>
      <c r="D1284" s="23" t="s">
        <v>134</v>
      </c>
      <c r="E1284" s="23" t="str">
        <f>Withdrawals_Data!A857</f>
        <v>DA-003</v>
      </c>
      <c r="F1284" s="23" t="str">
        <f>Withdrawals_Data!B857</f>
        <v>DA-003-M0061</v>
      </c>
      <c r="G1284" s="24">
        <f>Withdrawals_Data!C857</f>
        <v>45485</v>
      </c>
      <c r="H1284" s="27">
        <v>0</v>
      </c>
      <c r="I1284" s="27">
        <f>-Withdrawals_Data!D857</f>
        <v>-20126</v>
      </c>
    </row>
    <row r="1285" spans="3:9">
      <c r="C1285" s="23">
        <v>78</v>
      </c>
      <c r="D1285" s="23" t="s">
        <v>132</v>
      </c>
      <c r="E1285" s="23" t="str">
        <f>Contributions_Data!A87</f>
        <v>DA-003</v>
      </c>
      <c r="F1285" s="23" t="str">
        <f>Contributions_Data!B87</f>
        <v>DA-003-M0008</v>
      </c>
      <c r="G1285" s="24">
        <f>Contributions_Data!C87</f>
        <v>45486</v>
      </c>
      <c r="H1285" s="27">
        <f>Contributions_Data!D87</f>
        <v>13660.46</v>
      </c>
      <c r="I1285" s="27">
        <v>0</v>
      </c>
    </row>
    <row r="1286" spans="3:9">
      <c r="C1286" s="23">
        <v>79</v>
      </c>
      <c r="D1286" s="23" t="s">
        <v>132</v>
      </c>
      <c r="E1286" s="23" t="str">
        <f>Contributions_Data!A157</f>
        <v>DA-003</v>
      </c>
      <c r="F1286" s="23" t="str">
        <f>Contributions_Data!B157</f>
        <v>DA-003-M0013</v>
      </c>
      <c r="G1286" s="24">
        <f>Contributions_Data!C157</f>
        <v>45486</v>
      </c>
      <c r="H1286" s="27">
        <f>Contributions_Data!D157</f>
        <v>9143.74</v>
      </c>
      <c r="I1286" s="27">
        <v>0</v>
      </c>
    </row>
    <row r="1287" spans="3:9">
      <c r="C1287" s="23">
        <v>80</v>
      </c>
      <c r="D1287" s="23" t="s">
        <v>132</v>
      </c>
      <c r="E1287" s="23" t="str">
        <f>Contributions_Data!A200</f>
        <v>DA-002</v>
      </c>
      <c r="F1287" s="23" t="str">
        <f>Contributions_Data!B200</f>
        <v>DA-002-M0017</v>
      </c>
      <c r="G1287" s="24">
        <f>Contributions_Data!C200</f>
        <v>45486</v>
      </c>
      <c r="H1287" s="27">
        <f>Contributions_Data!D200</f>
        <v>15734.9</v>
      </c>
      <c r="I1287" s="27">
        <v>0</v>
      </c>
    </row>
    <row r="1288" spans="3:9">
      <c r="C1288" s="23">
        <v>81</v>
      </c>
      <c r="D1288" s="23" t="s">
        <v>132</v>
      </c>
      <c r="E1288" s="23" t="str">
        <f>Contributions_Data!A544</f>
        <v>DA-001</v>
      </c>
      <c r="F1288" s="23" t="str">
        <f>Contributions_Data!B544</f>
        <v>DA-001-M0046</v>
      </c>
      <c r="G1288" s="24">
        <f>Contributions_Data!C544</f>
        <v>45486</v>
      </c>
      <c r="H1288" s="27">
        <f>Contributions_Data!D544</f>
        <v>16865.43</v>
      </c>
      <c r="I1288" s="27">
        <v>0</v>
      </c>
    </row>
    <row r="1289" spans="3:9">
      <c r="C1289" s="23">
        <v>82</v>
      </c>
      <c r="D1289" s="23" t="s">
        <v>132</v>
      </c>
      <c r="E1289" s="23" t="str">
        <f>Contributions_Data!A808</f>
        <v>DA-003</v>
      </c>
      <c r="F1289" s="23" t="str">
        <f>Contributions_Data!B808</f>
        <v>DA-003-M0068</v>
      </c>
      <c r="G1289" s="24">
        <f>Contributions_Data!C808</f>
        <v>45486</v>
      </c>
      <c r="H1289" s="27">
        <f>Contributions_Data!D808</f>
        <v>14427.95</v>
      </c>
      <c r="I1289" s="27">
        <v>0</v>
      </c>
    </row>
    <row r="1290" spans="3:9">
      <c r="C1290" s="23">
        <v>83</v>
      </c>
      <c r="D1290" s="23" t="s">
        <v>132</v>
      </c>
      <c r="E1290" s="23" t="str">
        <f>Contributions_Data!A827</f>
        <v>DA-003</v>
      </c>
      <c r="F1290" s="23" t="str">
        <f>Contributions_Data!B827</f>
        <v>DA-003-M0069</v>
      </c>
      <c r="G1290" s="24">
        <f>Contributions_Data!C827</f>
        <v>45486</v>
      </c>
      <c r="H1290" s="27">
        <f>Contributions_Data!D827</f>
        <v>18568.41</v>
      </c>
      <c r="I1290" s="27">
        <v>0</v>
      </c>
    </row>
    <row r="1291" spans="3:9">
      <c r="C1291" s="23">
        <v>84</v>
      </c>
      <c r="D1291" s="23" t="s">
        <v>132</v>
      </c>
      <c r="E1291" s="23" t="str">
        <f>Contributions_Data!A834</f>
        <v>DA-002</v>
      </c>
      <c r="F1291" s="23" t="str">
        <f>Contributions_Data!B834</f>
        <v>DA-002-M0070</v>
      </c>
      <c r="G1291" s="24">
        <f>Contributions_Data!C834</f>
        <v>45486</v>
      </c>
      <c r="H1291" s="27">
        <f>Contributions_Data!D834</f>
        <v>14480.78</v>
      </c>
      <c r="I1291" s="27">
        <v>0</v>
      </c>
    </row>
    <row r="1292" spans="3:9">
      <c r="C1292" s="23">
        <v>85</v>
      </c>
      <c r="D1292" s="23" t="s">
        <v>132</v>
      </c>
      <c r="E1292" s="23" t="str">
        <f>Contributions_Data!A888</f>
        <v>DA-001</v>
      </c>
      <c r="F1292" s="23" t="str">
        <f>Contributions_Data!B888</f>
        <v>DA-001-M0074</v>
      </c>
      <c r="G1292" s="24">
        <f>Contributions_Data!C888</f>
        <v>45486</v>
      </c>
      <c r="H1292" s="27">
        <f>Contributions_Data!D888</f>
        <v>15836.98</v>
      </c>
      <c r="I1292" s="27">
        <v>0</v>
      </c>
    </row>
    <row r="1293" spans="3:9">
      <c r="C1293" s="23">
        <v>86</v>
      </c>
      <c r="D1293" s="23" t="s">
        <v>134</v>
      </c>
      <c r="E1293" s="23" t="str">
        <f>Withdrawals_Data!A139</f>
        <v>DA-003</v>
      </c>
      <c r="F1293" s="23" t="str">
        <f>Withdrawals_Data!B139</f>
        <v>DA-003-M0048</v>
      </c>
      <c r="G1293" s="24">
        <f>Withdrawals_Data!C139</f>
        <v>45486</v>
      </c>
      <c r="H1293" s="27">
        <v>0</v>
      </c>
      <c r="I1293" s="27">
        <f>-Withdrawals_Data!D139</f>
        <v>-8786.2199999999993</v>
      </c>
    </row>
    <row r="1294" spans="3:9">
      <c r="C1294" s="23">
        <v>87</v>
      </c>
      <c r="D1294" s="23" t="s">
        <v>134</v>
      </c>
      <c r="E1294" s="23" t="str">
        <f>Withdrawals_Data!A140</f>
        <v>DA-001</v>
      </c>
      <c r="F1294" s="23" t="str">
        <f>Withdrawals_Data!B140</f>
        <v>DA-001-M0043</v>
      </c>
      <c r="G1294" s="24">
        <f>Withdrawals_Data!C140</f>
        <v>45486</v>
      </c>
      <c r="H1294" s="27">
        <v>0</v>
      </c>
      <c r="I1294" s="27">
        <f>-Withdrawals_Data!D140</f>
        <v>-8783.3799999999992</v>
      </c>
    </row>
    <row r="1295" spans="3:9">
      <c r="C1295" s="23">
        <v>88</v>
      </c>
      <c r="D1295" s="23" t="s">
        <v>134</v>
      </c>
      <c r="E1295" s="23" t="str">
        <f>Withdrawals_Data!A283</f>
        <v>DA-001</v>
      </c>
      <c r="F1295" s="23" t="str">
        <f>Withdrawals_Data!B283</f>
        <v>DA-001-M0073</v>
      </c>
      <c r="G1295" s="24">
        <f>Withdrawals_Data!C283</f>
        <v>45486</v>
      </c>
      <c r="H1295" s="27">
        <v>0</v>
      </c>
      <c r="I1295" s="27">
        <f>-Withdrawals_Data!D283</f>
        <v>-4070.05</v>
      </c>
    </row>
    <row r="1296" spans="3:9">
      <c r="C1296" s="23">
        <v>89</v>
      </c>
      <c r="D1296" s="23" t="s">
        <v>134</v>
      </c>
      <c r="E1296" s="23" t="str">
        <f>Withdrawals_Data!A451</f>
        <v>DA-003</v>
      </c>
      <c r="F1296" s="23" t="str">
        <f>Withdrawals_Data!B451</f>
        <v>DA-003-M0015</v>
      </c>
      <c r="G1296" s="24">
        <f>Withdrawals_Data!C451</f>
        <v>45486</v>
      </c>
      <c r="H1296" s="27">
        <v>0</v>
      </c>
      <c r="I1296" s="27">
        <f>-Withdrawals_Data!D451</f>
        <v>-18437</v>
      </c>
    </row>
    <row r="1297" spans="3:9">
      <c r="C1297" s="23">
        <v>90</v>
      </c>
      <c r="D1297" s="23" t="s">
        <v>134</v>
      </c>
      <c r="E1297" s="23" t="str">
        <f>Withdrawals_Data!A777</f>
        <v>DA-003</v>
      </c>
      <c r="F1297" s="23" t="str">
        <f>Withdrawals_Data!B777</f>
        <v>DA-003-M0052</v>
      </c>
      <c r="G1297" s="24">
        <f>Withdrawals_Data!C777</f>
        <v>45486</v>
      </c>
      <c r="H1297" s="27">
        <v>0</v>
      </c>
      <c r="I1297" s="27">
        <f>-Withdrawals_Data!D777</f>
        <v>-9276</v>
      </c>
    </row>
    <row r="1298" spans="3:9">
      <c r="C1298" s="23">
        <v>91</v>
      </c>
      <c r="D1298" s="23" t="s">
        <v>134</v>
      </c>
      <c r="E1298" s="23" t="str">
        <f>Withdrawals_Data!A867</f>
        <v>DA-003</v>
      </c>
      <c r="F1298" s="23" t="str">
        <f>Withdrawals_Data!B867</f>
        <v>DA-003-M0061</v>
      </c>
      <c r="G1298" s="24">
        <f>Withdrawals_Data!C867</f>
        <v>45486</v>
      </c>
      <c r="H1298" s="27">
        <v>0</v>
      </c>
      <c r="I1298" s="27">
        <f>-Withdrawals_Data!D867</f>
        <v>-20120</v>
      </c>
    </row>
    <row r="1299" spans="3:9">
      <c r="C1299" s="23">
        <v>92</v>
      </c>
      <c r="D1299" s="23" t="s">
        <v>134</v>
      </c>
      <c r="E1299" s="23" t="str">
        <f>Withdrawals_Data!A962</f>
        <v>DA-001</v>
      </c>
      <c r="F1299" s="23" t="str">
        <f>Withdrawals_Data!B962</f>
        <v>DA-001-M0073</v>
      </c>
      <c r="G1299" s="24">
        <f>Withdrawals_Data!C962</f>
        <v>45486</v>
      </c>
      <c r="H1299" s="27">
        <v>0</v>
      </c>
      <c r="I1299" s="27">
        <f>-Withdrawals_Data!D962</f>
        <v>-4545</v>
      </c>
    </row>
    <row r="1300" spans="3:9">
      <c r="C1300" s="23">
        <v>93</v>
      </c>
      <c r="D1300" s="23" t="s">
        <v>134</v>
      </c>
      <c r="E1300" s="23" t="str">
        <f>Withdrawals_Data!A1154</f>
        <v>DA-003</v>
      </c>
      <c r="F1300" s="23" t="str">
        <f>Withdrawals_Data!B1154</f>
        <v>DA-003-M0095</v>
      </c>
      <c r="G1300" s="24">
        <f>Withdrawals_Data!C1154</f>
        <v>45486</v>
      </c>
      <c r="H1300" s="27">
        <v>0</v>
      </c>
      <c r="I1300" s="27">
        <f>-Withdrawals_Data!D1154</f>
        <v>-6152</v>
      </c>
    </row>
    <row r="1301" spans="3:9">
      <c r="C1301" s="23">
        <v>94</v>
      </c>
      <c r="D1301" s="23" t="s">
        <v>132</v>
      </c>
      <c r="E1301" s="23" t="str">
        <f>Contributions_Data!A571</f>
        <v>DA-003</v>
      </c>
      <c r="F1301" s="23" t="str">
        <f>Contributions_Data!B571</f>
        <v>DA-003-M0048</v>
      </c>
      <c r="G1301" s="24">
        <f>Contributions_Data!C571</f>
        <v>45487</v>
      </c>
      <c r="H1301" s="27">
        <f>Contributions_Data!D571</f>
        <v>13680.81</v>
      </c>
      <c r="I1301" s="27">
        <v>0</v>
      </c>
    </row>
    <row r="1302" spans="3:9">
      <c r="C1302" s="23">
        <v>95</v>
      </c>
      <c r="D1302" s="23" t="s">
        <v>132</v>
      </c>
      <c r="E1302" s="23" t="str">
        <f>Contributions_Data!A759</f>
        <v>DA-002</v>
      </c>
      <c r="F1302" s="23" t="str">
        <f>Contributions_Data!B759</f>
        <v>DA-002-M0064</v>
      </c>
      <c r="G1302" s="24">
        <f>Contributions_Data!C759</f>
        <v>45487</v>
      </c>
      <c r="H1302" s="27">
        <f>Contributions_Data!D759</f>
        <v>13623.35</v>
      </c>
      <c r="I1302" s="27">
        <v>0</v>
      </c>
    </row>
    <row r="1303" spans="3:9">
      <c r="C1303" s="23">
        <v>96</v>
      </c>
      <c r="D1303" s="23" t="s">
        <v>134</v>
      </c>
      <c r="E1303" s="23" t="str">
        <f>Withdrawals_Data!A469</f>
        <v>DA-002</v>
      </c>
      <c r="F1303" s="23" t="str">
        <f>Withdrawals_Data!B469</f>
        <v>DA-002-M0017</v>
      </c>
      <c r="G1303" s="24">
        <f>Withdrawals_Data!C469</f>
        <v>45487</v>
      </c>
      <c r="H1303" s="27">
        <v>0</v>
      </c>
      <c r="I1303" s="27">
        <f>-Withdrawals_Data!D469</f>
        <v>-7719</v>
      </c>
    </row>
    <row r="1304" spans="3:9">
      <c r="C1304" s="23">
        <v>97</v>
      </c>
      <c r="D1304" s="23" t="s">
        <v>134</v>
      </c>
      <c r="E1304" s="23" t="str">
        <f>Withdrawals_Data!A524</f>
        <v>DA-002</v>
      </c>
      <c r="F1304" s="23" t="str">
        <f>Withdrawals_Data!B524</f>
        <v>DA-002-M0023</v>
      </c>
      <c r="G1304" s="24">
        <f>Withdrawals_Data!C524</f>
        <v>45487</v>
      </c>
      <c r="H1304" s="27">
        <v>0</v>
      </c>
      <c r="I1304" s="27">
        <f>-Withdrawals_Data!D524</f>
        <v>-16761</v>
      </c>
    </row>
    <row r="1305" spans="3:9">
      <c r="C1305" s="23">
        <v>98</v>
      </c>
      <c r="D1305" s="23" t="s">
        <v>134</v>
      </c>
      <c r="E1305" s="23" t="str">
        <f>Withdrawals_Data!A619</f>
        <v>DA-001</v>
      </c>
      <c r="F1305" s="23" t="str">
        <f>Withdrawals_Data!B619</f>
        <v>DA-001-M0034</v>
      </c>
      <c r="G1305" s="24">
        <f>Withdrawals_Data!C619</f>
        <v>45487</v>
      </c>
      <c r="H1305" s="27">
        <v>0</v>
      </c>
      <c r="I1305" s="27">
        <f>-Withdrawals_Data!D619</f>
        <v>-14597</v>
      </c>
    </row>
    <row r="1306" spans="3:9">
      <c r="C1306" s="23">
        <v>99</v>
      </c>
      <c r="D1306" s="23" t="s">
        <v>132</v>
      </c>
      <c r="E1306" s="23" t="str">
        <f>Contributions_Data!A54</f>
        <v>DA-003</v>
      </c>
      <c r="F1306" s="23" t="str">
        <f>Contributions_Data!B54</f>
        <v>DA-003-M0005</v>
      </c>
      <c r="G1306" s="24">
        <f>Contributions_Data!C54</f>
        <v>45488</v>
      </c>
      <c r="H1306" s="27">
        <f>Contributions_Data!D54</f>
        <v>15779.65</v>
      </c>
      <c r="I1306" s="27">
        <v>0</v>
      </c>
    </row>
    <row r="1307" spans="3:9">
      <c r="C1307" s="23">
        <v>100</v>
      </c>
      <c r="D1307" s="23" t="s">
        <v>132</v>
      </c>
      <c r="E1307" s="23" t="str">
        <f>Contributions_Data!A254</f>
        <v>DA-001</v>
      </c>
      <c r="F1307" s="23" t="str">
        <f>Contributions_Data!B254</f>
        <v>DA-001-M0022</v>
      </c>
      <c r="G1307" s="24">
        <f>Contributions_Data!C254</f>
        <v>45488</v>
      </c>
      <c r="H1307" s="27">
        <f>Contributions_Data!D254</f>
        <v>15360.89</v>
      </c>
      <c r="I1307" s="27">
        <v>0</v>
      </c>
    </row>
    <row r="1308" spans="3:9">
      <c r="C1308" s="23">
        <v>101</v>
      </c>
      <c r="D1308" s="23" t="s">
        <v>132</v>
      </c>
      <c r="E1308" s="23" t="str">
        <f>Contributions_Data!A512</f>
        <v>DA-001</v>
      </c>
      <c r="F1308" s="23" t="str">
        <f>Contributions_Data!B512</f>
        <v>DA-001-M0043</v>
      </c>
      <c r="G1308" s="24">
        <f>Contributions_Data!C512</f>
        <v>45488</v>
      </c>
      <c r="H1308" s="27">
        <f>Contributions_Data!D512</f>
        <v>15768.09</v>
      </c>
      <c r="I1308" s="27">
        <v>0</v>
      </c>
    </row>
    <row r="1309" spans="3:9">
      <c r="C1309" s="23">
        <v>102</v>
      </c>
      <c r="D1309" s="23" t="s">
        <v>132</v>
      </c>
      <c r="E1309" s="23" t="str">
        <f>Contributions_Data!A734</f>
        <v>DA-002</v>
      </c>
      <c r="F1309" s="23" t="str">
        <f>Contributions_Data!B734</f>
        <v>DA-002-M0062</v>
      </c>
      <c r="G1309" s="24">
        <f>Contributions_Data!C734</f>
        <v>45488</v>
      </c>
      <c r="H1309" s="27">
        <f>Contributions_Data!D734</f>
        <v>21225.78</v>
      </c>
      <c r="I1309" s="27">
        <v>0</v>
      </c>
    </row>
    <row r="1310" spans="3:9">
      <c r="C1310" s="23">
        <v>103</v>
      </c>
      <c r="D1310" s="23" t="s">
        <v>134</v>
      </c>
      <c r="E1310" s="23" t="str">
        <f>Withdrawals_Data!A79</f>
        <v>DA-002</v>
      </c>
      <c r="F1310" s="23" t="str">
        <f>Withdrawals_Data!B79</f>
        <v>DA-002-M0060</v>
      </c>
      <c r="G1310" s="24">
        <f>Withdrawals_Data!C79</f>
        <v>45488</v>
      </c>
      <c r="H1310" s="27">
        <v>0</v>
      </c>
      <c r="I1310" s="27">
        <f>-Withdrawals_Data!D79</f>
        <v>-10563.37</v>
      </c>
    </row>
    <row r="1311" spans="3:9">
      <c r="C1311" s="23">
        <v>104</v>
      </c>
      <c r="D1311" s="23" t="s">
        <v>134</v>
      </c>
      <c r="E1311" s="23" t="str">
        <f>Withdrawals_Data!A345</f>
        <v>DA-001</v>
      </c>
      <c r="F1311" s="23" t="str">
        <f>Withdrawals_Data!B345</f>
        <v>DA-001-M0002</v>
      </c>
      <c r="G1311" s="24">
        <f>Withdrawals_Data!C345</f>
        <v>45488</v>
      </c>
      <c r="H1311" s="27">
        <v>0</v>
      </c>
      <c r="I1311" s="27">
        <f>-Withdrawals_Data!D345</f>
        <v>-21456</v>
      </c>
    </row>
    <row r="1312" spans="3:9">
      <c r="C1312" s="23">
        <v>105</v>
      </c>
      <c r="D1312" s="23" t="s">
        <v>134</v>
      </c>
      <c r="E1312" s="23" t="str">
        <f>Withdrawals_Data!A534</f>
        <v>DA-001</v>
      </c>
      <c r="F1312" s="23" t="str">
        <f>Withdrawals_Data!B534</f>
        <v>DA-001-M0024</v>
      </c>
      <c r="G1312" s="24">
        <f>Withdrawals_Data!C534</f>
        <v>45488</v>
      </c>
      <c r="H1312" s="27">
        <v>0</v>
      </c>
      <c r="I1312" s="27">
        <f>-Withdrawals_Data!D534</f>
        <v>-10013</v>
      </c>
    </row>
    <row r="1313" spans="3:9">
      <c r="C1313" s="23">
        <v>106</v>
      </c>
      <c r="D1313" s="23" t="s">
        <v>134</v>
      </c>
      <c r="E1313" s="23" t="str">
        <f>Withdrawals_Data!A613</f>
        <v>DA-001</v>
      </c>
      <c r="F1313" s="23" t="str">
        <f>Withdrawals_Data!B613</f>
        <v>DA-001-M0034</v>
      </c>
      <c r="G1313" s="24">
        <f>Withdrawals_Data!C613</f>
        <v>45488</v>
      </c>
      <c r="H1313" s="27">
        <v>0</v>
      </c>
      <c r="I1313" s="27">
        <f>-Withdrawals_Data!D613</f>
        <v>-12380</v>
      </c>
    </row>
    <row r="1314" spans="3:9">
      <c r="C1314" s="23">
        <v>107</v>
      </c>
      <c r="D1314" s="23" t="s">
        <v>134</v>
      </c>
      <c r="E1314" s="23" t="str">
        <f>Withdrawals_Data!A744</f>
        <v>DA-003</v>
      </c>
      <c r="F1314" s="23" t="str">
        <f>Withdrawals_Data!B744</f>
        <v>DA-003-M0048</v>
      </c>
      <c r="G1314" s="24">
        <f>Withdrawals_Data!C744</f>
        <v>45488</v>
      </c>
      <c r="H1314" s="27">
        <v>0</v>
      </c>
      <c r="I1314" s="27">
        <f>-Withdrawals_Data!D744</f>
        <v>-2881</v>
      </c>
    </row>
    <row r="1315" spans="3:9">
      <c r="C1315" s="23">
        <v>108</v>
      </c>
      <c r="D1315" s="23" t="s">
        <v>134</v>
      </c>
      <c r="E1315" s="23" t="str">
        <f>Withdrawals_Data!A1021</f>
        <v>DA-003</v>
      </c>
      <c r="F1315" s="23" t="str">
        <f>Withdrawals_Data!B1021</f>
        <v>DA-003-M0080</v>
      </c>
      <c r="G1315" s="24">
        <f>Withdrawals_Data!C1021</f>
        <v>45488</v>
      </c>
      <c r="H1315" s="27">
        <v>0</v>
      </c>
      <c r="I1315" s="27">
        <f>-Withdrawals_Data!D1021</f>
        <v>-20904</v>
      </c>
    </row>
    <row r="1316" spans="3:9">
      <c r="C1316" s="23">
        <v>109</v>
      </c>
      <c r="D1316" s="23" t="s">
        <v>134</v>
      </c>
      <c r="E1316" s="23" t="str">
        <f>Withdrawals_Data!A1086</f>
        <v>DA-001</v>
      </c>
      <c r="F1316" s="23" t="str">
        <f>Withdrawals_Data!B1086</f>
        <v>DA-001-M0087</v>
      </c>
      <c r="G1316" s="24">
        <f>Withdrawals_Data!C1086</f>
        <v>45488</v>
      </c>
      <c r="H1316" s="27">
        <v>0</v>
      </c>
      <c r="I1316" s="27">
        <f>-Withdrawals_Data!D1086</f>
        <v>-5429</v>
      </c>
    </row>
    <row r="1317" spans="3:9">
      <c r="C1317" s="23">
        <v>110</v>
      </c>
      <c r="D1317" s="23" t="s">
        <v>134</v>
      </c>
      <c r="E1317" s="23" t="str">
        <f>Withdrawals_Data!A1124</f>
        <v>DA-002</v>
      </c>
      <c r="F1317" s="23" t="str">
        <f>Withdrawals_Data!B1124</f>
        <v>DA-002-M0091</v>
      </c>
      <c r="G1317" s="24">
        <f>Withdrawals_Data!C1124</f>
        <v>45488</v>
      </c>
      <c r="H1317" s="27">
        <v>0</v>
      </c>
      <c r="I1317" s="27">
        <f>-Withdrawals_Data!D1124</f>
        <v>-13117</v>
      </c>
    </row>
    <row r="1318" spans="3:9">
      <c r="C1318" s="23">
        <v>111</v>
      </c>
      <c r="D1318" s="23" t="s">
        <v>132</v>
      </c>
      <c r="E1318" s="23" t="str">
        <f>Contributions_Data!A100</f>
        <v>DA-001</v>
      </c>
      <c r="F1318" s="23" t="str">
        <f>Contributions_Data!B100</f>
        <v>DA-001-M0009</v>
      </c>
      <c r="G1318" s="24">
        <f>Contributions_Data!C100</f>
        <v>45489</v>
      </c>
      <c r="H1318" s="27">
        <f>Contributions_Data!D100</f>
        <v>16545.14</v>
      </c>
      <c r="I1318" s="27">
        <v>0</v>
      </c>
    </row>
    <row r="1319" spans="3:9">
      <c r="C1319" s="23">
        <v>112</v>
      </c>
      <c r="D1319" s="23" t="s">
        <v>132</v>
      </c>
      <c r="E1319" s="23" t="str">
        <f>Contributions_Data!A331</f>
        <v>DA-003</v>
      </c>
      <c r="F1319" s="23" t="str">
        <f>Contributions_Data!B331</f>
        <v>DA-003-M0028</v>
      </c>
      <c r="G1319" s="24">
        <f>Contributions_Data!C331</f>
        <v>45489</v>
      </c>
      <c r="H1319" s="27">
        <f>Contributions_Data!D331</f>
        <v>12408.03</v>
      </c>
      <c r="I1319" s="27">
        <v>0</v>
      </c>
    </row>
    <row r="1320" spans="3:9">
      <c r="C1320" s="23">
        <v>113</v>
      </c>
      <c r="D1320" s="23" t="s">
        <v>132</v>
      </c>
      <c r="E1320" s="23" t="str">
        <f>Contributions_Data!A1054</f>
        <v>DA-002</v>
      </c>
      <c r="F1320" s="23" t="str">
        <f>Contributions_Data!B1054</f>
        <v>DA-002-M0088</v>
      </c>
      <c r="G1320" s="24">
        <f>Contributions_Data!C1054</f>
        <v>45489</v>
      </c>
      <c r="H1320" s="27">
        <f>Contributions_Data!D1054</f>
        <v>13905.14</v>
      </c>
      <c r="I1320" s="27">
        <v>0</v>
      </c>
    </row>
    <row r="1321" spans="3:9">
      <c r="C1321" s="23">
        <v>114</v>
      </c>
      <c r="D1321" s="23" t="s">
        <v>134</v>
      </c>
      <c r="E1321" s="23" t="str">
        <f>Withdrawals_Data!A53</f>
        <v>DA-002</v>
      </c>
      <c r="F1321" s="23" t="str">
        <f>Withdrawals_Data!B53</f>
        <v>DA-002-M0044</v>
      </c>
      <c r="G1321" s="24">
        <f>Withdrawals_Data!C53</f>
        <v>45489</v>
      </c>
      <c r="H1321" s="27">
        <v>0</v>
      </c>
      <c r="I1321" s="27">
        <f>-Withdrawals_Data!D53</f>
        <v>-12214.57</v>
      </c>
    </row>
    <row r="1322" spans="3:9">
      <c r="C1322" s="23">
        <v>115</v>
      </c>
      <c r="D1322" s="23" t="s">
        <v>134</v>
      </c>
      <c r="E1322" s="23" t="str">
        <f>Withdrawals_Data!A84</f>
        <v>DA-002</v>
      </c>
      <c r="F1322" s="23" t="str">
        <f>Withdrawals_Data!B84</f>
        <v>DA-002-M0040</v>
      </c>
      <c r="G1322" s="24">
        <f>Withdrawals_Data!C84</f>
        <v>45489</v>
      </c>
      <c r="H1322" s="27">
        <v>0</v>
      </c>
      <c r="I1322" s="27">
        <f>-Withdrawals_Data!D84</f>
        <v>-10372.41</v>
      </c>
    </row>
    <row r="1323" spans="3:9">
      <c r="C1323" s="23">
        <v>116</v>
      </c>
      <c r="D1323" s="23" t="s">
        <v>134</v>
      </c>
      <c r="E1323" s="23" t="str">
        <f>Withdrawals_Data!A643</f>
        <v>DA-002</v>
      </c>
      <c r="F1323" s="23" t="str">
        <f>Withdrawals_Data!B643</f>
        <v>DA-002-M0037</v>
      </c>
      <c r="G1323" s="24">
        <f>Withdrawals_Data!C643</f>
        <v>45489</v>
      </c>
      <c r="H1323" s="27">
        <v>0</v>
      </c>
      <c r="I1323" s="27">
        <f>-Withdrawals_Data!D643</f>
        <v>-11481</v>
      </c>
    </row>
    <row r="1324" spans="3:9">
      <c r="C1324" s="23">
        <v>117</v>
      </c>
      <c r="D1324" s="23" t="s">
        <v>134</v>
      </c>
      <c r="E1324" s="23" t="str">
        <f>Withdrawals_Data!A1022</f>
        <v>DA-003</v>
      </c>
      <c r="F1324" s="23" t="str">
        <f>Withdrawals_Data!B1022</f>
        <v>DA-003-M0080</v>
      </c>
      <c r="G1324" s="24">
        <f>Withdrawals_Data!C1022</f>
        <v>45489</v>
      </c>
      <c r="H1324" s="27">
        <v>0</v>
      </c>
      <c r="I1324" s="27">
        <f>-Withdrawals_Data!D1022</f>
        <v>-5539</v>
      </c>
    </row>
    <row r="1325" spans="3:9">
      <c r="C1325" s="23">
        <v>118</v>
      </c>
      <c r="D1325" s="23" t="s">
        <v>132</v>
      </c>
      <c r="E1325" s="23" t="str">
        <f>Contributions_Data!A279</f>
        <v>DA-001</v>
      </c>
      <c r="F1325" s="23" t="str">
        <f>Contributions_Data!B279</f>
        <v>DA-001-M0024</v>
      </c>
      <c r="G1325" s="24">
        <f>Contributions_Data!C279</f>
        <v>45490</v>
      </c>
      <c r="H1325" s="27">
        <f>Contributions_Data!D279</f>
        <v>9889.85</v>
      </c>
      <c r="I1325" s="27">
        <v>0</v>
      </c>
    </row>
    <row r="1326" spans="3:9">
      <c r="C1326" s="23">
        <v>119</v>
      </c>
      <c r="D1326" s="23" t="s">
        <v>132</v>
      </c>
      <c r="E1326" s="23" t="str">
        <f>Contributions_Data!A1001</f>
        <v>DA-003</v>
      </c>
      <c r="F1326" s="23" t="str">
        <f>Contributions_Data!B1001</f>
        <v>DA-003-M0084</v>
      </c>
      <c r="G1326" s="24">
        <f>Contributions_Data!C1001</f>
        <v>45490</v>
      </c>
      <c r="H1326" s="27">
        <f>Contributions_Data!D1001</f>
        <v>16175.41</v>
      </c>
      <c r="I1326" s="27">
        <v>0</v>
      </c>
    </row>
    <row r="1327" spans="3:9">
      <c r="C1327" s="23">
        <v>120</v>
      </c>
      <c r="D1327" s="23" t="s">
        <v>134</v>
      </c>
      <c r="E1327" s="23" t="str">
        <f>Withdrawals_Data!A404</f>
        <v>DA-001</v>
      </c>
      <c r="F1327" s="23" t="str">
        <f>Withdrawals_Data!B404</f>
        <v>DA-001-M0009</v>
      </c>
      <c r="G1327" s="24">
        <f>Withdrawals_Data!C404</f>
        <v>45490</v>
      </c>
      <c r="H1327" s="27">
        <v>0</v>
      </c>
      <c r="I1327" s="27">
        <f>-Withdrawals_Data!D404</f>
        <v>-8867</v>
      </c>
    </row>
    <row r="1328" spans="3:9">
      <c r="C1328" s="23">
        <v>121</v>
      </c>
      <c r="D1328" s="23" t="s">
        <v>134</v>
      </c>
      <c r="E1328" s="23" t="str">
        <f>Withdrawals_Data!A776</f>
        <v>DA-003</v>
      </c>
      <c r="F1328" s="23" t="str">
        <f>Withdrawals_Data!B776</f>
        <v>DA-003-M0052</v>
      </c>
      <c r="G1328" s="24">
        <f>Withdrawals_Data!C776</f>
        <v>45490</v>
      </c>
      <c r="H1328" s="27">
        <v>0</v>
      </c>
      <c r="I1328" s="27">
        <f>-Withdrawals_Data!D776</f>
        <v>-21233</v>
      </c>
    </row>
    <row r="1329" spans="3:9">
      <c r="C1329" s="23">
        <v>122</v>
      </c>
      <c r="D1329" s="23" t="s">
        <v>134</v>
      </c>
      <c r="E1329" s="23" t="str">
        <f>Withdrawals_Data!A803</f>
        <v>DA-001</v>
      </c>
      <c r="F1329" s="23" t="str">
        <f>Withdrawals_Data!B803</f>
        <v>DA-001-M0055</v>
      </c>
      <c r="G1329" s="24">
        <f>Withdrawals_Data!C803</f>
        <v>45490</v>
      </c>
      <c r="H1329" s="27">
        <v>0</v>
      </c>
      <c r="I1329" s="27">
        <f>-Withdrawals_Data!D803</f>
        <v>-13332</v>
      </c>
    </row>
    <row r="1330" spans="3:9">
      <c r="C1330" s="23">
        <v>123</v>
      </c>
      <c r="D1330" s="23" t="s">
        <v>134</v>
      </c>
      <c r="E1330" s="23" t="str">
        <f>Withdrawals_Data!A813</f>
        <v>DA-001</v>
      </c>
      <c r="F1330" s="23" t="str">
        <f>Withdrawals_Data!B813</f>
        <v>DA-001-M0056</v>
      </c>
      <c r="G1330" s="24">
        <f>Withdrawals_Data!C813</f>
        <v>45490</v>
      </c>
      <c r="H1330" s="27">
        <v>0</v>
      </c>
      <c r="I1330" s="27">
        <f>-Withdrawals_Data!D813</f>
        <v>-20789</v>
      </c>
    </row>
    <row r="1331" spans="3:9">
      <c r="C1331" s="23">
        <v>124</v>
      </c>
      <c r="D1331" s="23" t="s">
        <v>132</v>
      </c>
      <c r="E1331" s="23" t="str">
        <f>Contributions_Data!A454</f>
        <v>DA-001</v>
      </c>
      <c r="F1331" s="23" t="str">
        <f>Contributions_Data!B454</f>
        <v>DA-001-M0038</v>
      </c>
      <c r="G1331" s="24">
        <f>Contributions_Data!C454</f>
        <v>45491</v>
      </c>
      <c r="H1331" s="27">
        <f>Contributions_Data!D454</f>
        <v>15319.29</v>
      </c>
      <c r="I1331" s="27">
        <v>0</v>
      </c>
    </row>
    <row r="1332" spans="3:9">
      <c r="C1332" s="23">
        <v>125</v>
      </c>
      <c r="D1332" s="23" t="s">
        <v>132</v>
      </c>
      <c r="E1332" s="23" t="str">
        <f>Contributions_Data!A851</f>
        <v>DA-001</v>
      </c>
      <c r="F1332" s="23" t="str">
        <f>Contributions_Data!B851</f>
        <v>DA-001-M0071</v>
      </c>
      <c r="G1332" s="24">
        <f>Contributions_Data!C851</f>
        <v>45491</v>
      </c>
      <c r="H1332" s="27">
        <f>Contributions_Data!D851</f>
        <v>19152.82</v>
      </c>
      <c r="I1332" s="27">
        <v>0</v>
      </c>
    </row>
    <row r="1333" spans="3:9">
      <c r="C1333" s="23">
        <v>126</v>
      </c>
      <c r="D1333" s="23" t="s">
        <v>134</v>
      </c>
      <c r="E1333" s="23" t="str">
        <f>Withdrawals_Data!A192</f>
        <v>DA-003</v>
      </c>
      <c r="F1333" s="23" t="str">
        <f>Withdrawals_Data!B192</f>
        <v>DA-003-M0066</v>
      </c>
      <c r="G1333" s="24">
        <f>Withdrawals_Data!C192</f>
        <v>45491</v>
      </c>
      <c r="H1333" s="27">
        <v>0</v>
      </c>
      <c r="I1333" s="27">
        <f>-Withdrawals_Data!D192</f>
        <v>-7713.59</v>
      </c>
    </row>
    <row r="1334" spans="3:9">
      <c r="C1334" s="23">
        <v>127</v>
      </c>
      <c r="D1334" s="23" t="s">
        <v>134</v>
      </c>
      <c r="E1334" s="23" t="str">
        <f>Withdrawals_Data!A311</f>
        <v>DA-001</v>
      </c>
      <c r="F1334" s="23" t="str">
        <f>Withdrawals_Data!B311</f>
        <v>DA-001-M0056</v>
      </c>
      <c r="G1334" s="24">
        <f>Withdrawals_Data!C311</f>
        <v>45491</v>
      </c>
      <c r="H1334" s="27">
        <v>0</v>
      </c>
      <c r="I1334" s="27">
        <f>-Withdrawals_Data!D311</f>
        <v>-2878.78</v>
      </c>
    </row>
    <row r="1335" spans="3:9">
      <c r="C1335" s="23">
        <v>128</v>
      </c>
      <c r="D1335" s="23" t="s">
        <v>134</v>
      </c>
      <c r="E1335" s="23" t="str">
        <f>Withdrawals_Data!A430</f>
        <v>DA-003</v>
      </c>
      <c r="F1335" s="23" t="str">
        <f>Withdrawals_Data!B430</f>
        <v>DA-003-M0013</v>
      </c>
      <c r="G1335" s="24">
        <f>Withdrawals_Data!C430</f>
        <v>45491</v>
      </c>
      <c r="H1335" s="27">
        <v>0</v>
      </c>
      <c r="I1335" s="27">
        <f>-Withdrawals_Data!D430</f>
        <v>-7413</v>
      </c>
    </row>
    <row r="1336" spans="3:9">
      <c r="C1336" s="23">
        <v>129</v>
      </c>
      <c r="D1336" s="23" t="s">
        <v>134</v>
      </c>
      <c r="E1336" s="23" t="str">
        <f>Withdrawals_Data!A590</f>
        <v>DA-003</v>
      </c>
      <c r="F1336" s="23" t="str">
        <f>Withdrawals_Data!B590</f>
        <v>DA-003-M0031</v>
      </c>
      <c r="G1336" s="24">
        <f>Withdrawals_Data!C590</f>
        <v>45491</v>
      </c>
      <c r="H1336" s="27">
        <v>0</v>
      </c>
      <c r="I1336" s="27">
        <f>-Withdrawals_Data!D590</f>
        <v>-9890</v>
      </c>
    </row>
    <row r="1337" spans="3:9">
      <c r="C1337" s="23">
        <v>130</v>
      </c>
      <c r="D1337" s="23" t="s">
        <v>134</v>
      </c>
      <c r="E1337" s="23" t="str">
        <f>Withdrawals_Data!A631</f>
        <v>DA-001</v>
      </c>
      <c r="F1337" s="23" t="str">
        <f>Withdrawals_Data!B631</f>
        <v>DA-001-M0035</v>
      </c>
      <c r="G1337" s="24">
        <f>Withdrawals_Data!C631</f>
        <v>45491</v>
      </c>
      <c r="H1337" s="27">
        <v>0</v>
      </c>
      <c r="I1337" s="27">
        <f>-Withdrawals_Data!D631</f>
        <v>-12128</v>
      </c>
    </row>
    <row r="1338" spans="3:9">
      <c r="C1338" s="23">
        <v>131</v>
      </c>
      <c r="D1338" s="23" t="s">
        <v>134</v>
      </c>
      <c r="E1338" s="23" t="str">
        <f>Withdrawals_Data!A741</f>
        <v>DA-003</v>
      </c>
      <c r="F1338" s="23" t="str">
        <f>Withdrawals_Data!B741</f>
        <v>DA-003-M0048</v>
      </c>
      <c r="G1338" s="24">
        <f>Withdrawals_Data!C741</f>
        <v>45491</v>
      </c>
      <c r="H1338" s="27">
        <v>0</v>
      </c>
      <c r="I1338" s="27">
        <f>-Withdrawals_Data!D741</f>
        <v>-2322</v>
      </c>
    </row>
    <row r="1339" spans="3:9">
      <c r="C1339" s="23">
        <v>132</v>
      </c>
      <c r="D1339" s="23" t="s">
        <v>132</v>
      </c>
      <c r="E1339" s="23" t="str">
        <f>Contributions_Data!A272</f>
        <v>DA-002</v>
      </c>
      <c r="F1339" s="23" t="str">
        <f>Contributions_Data!B272</f>
        <v>DA-002-M0023</v>
      </c>
      <c r="G1339" s="24">
        <f>Contributions_Data!C272</f>
        <v>45492</v>
      </c>
      <c r="H1339" s="27">
        <f>Contributions_Data!D272</f>
        <v>8882.2999999999993</v>
      </c>
      <c r="I1339" s="27">
        <v>0</v>
      </c>
    </row>
    <row r="1340" spans="3:9">
      <c r="C1340" s="23">
        <v>133</v>
      </c>
      <c r="D1340" s="23" t="s">
        <v>132</v>
      </c>
      <c r="E1340" s="23" t="str">
        <f>Contributions_Data!A299</f>
        <v>DA-001</v>
      </c>
      <c r="F1340" s="23" t="str">
        <f>Contributions_Data!B299</f>
        <v>DA-001-M0025</v>
      </c>
      <c r="G1340" s="24">
        <f>Contributions_Data!C299</f>
        <v>45492</v>
      </c>
      <c r="H1340" s="27">
        <f>Contributions_Data!D299</f>
        <v>16842.5</v>
      </c>
      <c r="I1340" s="27">
        <v>0</v>
      </c>
    </row>
    <row r="1341" spans="3:9">
      <c r="C1341" s="23">
        <v>134</v>
      </c>
      <c r="D1341" s="23" t="s">
        <v>132</v>
      </c>
      <c r="E1341" s="23" t="str">
        <f>Contributions_Data!A1199</f>
        <v>DA-003</v>
      </c>
      <c r="F1341" s="23" t="str">
        <f>Contributions_Data!B1199</f>
        <v>DA-003-M0100</v>
      </c>
      <c r="G1341" s="24">
        <f>Contributions_Data!C1199</f>
        <v>45492</v>
      </c>
      <c r="H1341" s="27">
        <f>Contributions_Data!D1199</f>
        <v>10310.43</v>
      </c>
      <c r="I1341" s="27">
        <v>0</v>
      </c>
    </row>
    <row r="1342" spans="3:9">
      <c r="C1342" s="23">
        <v>135</v>
      </c>
      <c r="D1342" s="23" t="s">
        <v>134</v>
      </c>
      <c r="E1342" s="23" t="str">
        <f>Withdrawals_Data!A592</f>
        <v>DA-003</v>
      </c>
      <c r="F1342" s="23" t="str">
        <f>Withdrawals_Data!B592</f>
        <v>DA-003-M0031</v>
      </c>
      <c r="G1342" s="24">
        <f>Withdrawals_Data!C592</f>
        <v>45492</v>
      </c>
      <c r="H1342" s="27">
        <v>0</v>
      </c>
      <c r="I1342" s="27">
        <f>-Withdrawals_Data!D592</f>
        <v>-10524</v>
      </c>
    </row>
    <row r="1343" spans="3:9">
      <c r="C1343" s="23">
        <v>136</v>
      </c>
      <c r="D1343" s="23" t="s">
        <v>134</v>
      </c>
      <c r="E1343" s="23" t="str">
        <f>Withdrawals_Data!A1156</f>
        <v>DA-003</v>
      </c>
      <c r="F1343" s="23" t="str">
        <f>Withdrawals_Data!B1156</f>
        <v>DA-003-M0095</v>
      </c>
      <c r="G1343" s="24">
        <f>Withdrawals_Data!C1156</f>
        <v>45492</v>
      </c>
      <c r="H1343" s="27">
        <v>0</v>
      </c>
      <c r="I1343" s="27">
        <f>-Withdrawals_Data!D1156</f>
        <v>-8735</v>
      </c>
    </row>
    <row r="1344" spans="3:9">
      <c r="C1344" s="23">
        <v>137</v>
      </c>
      <c r="D1344" s="23" t="s">
        <v>132</v>
      </c>
      <c r="E1344" s="23" t="str">
        <f>Contributions_Data!A28</f>
        <v>DA-002</v>
      </c>
      <c r="F1344" s="23" t="str">
        <f>Contributions_Data!B28</f>
        <v>DA-002-M0003</v>
      </c>
      <c r="G1344" s="24">
        <f>Contributions_Data!C28</f>
        <v>45493</v>
      </c>
      <c r="H1344" s="27">
        <f>Contributions_Data!D28</f>
        <v>15523.73</v>
      </c>
      <c r="I1344" s="27">
        <v>0</v>
      </c>
    </row>
    <row r="1345" spans="3:9">
      <c r="C1345" s="23">
        <v>138</v>
      </c>
      <c r="D1345" s="23" t="s">
        <v>132</v>
      </c>
      <c r="E1345" s="23" t="str">
        <f>Contributions_Data!A908</f>
        <v>DA-003</v>
      </c>
      <c r="F1345" s="23" t="str">
        <f>Contributions_Data!B908</f>
        <v>DA-003-M0076</v>
      </c>
      <c r="G1345" s="24">
        <f>Contributions_Data!C908</f>
        <v>45493</v>
      </c>
      <c r="H1345" s="27">
        <f>Contributions_Data!D908</f>
        <v>15102.25</v>
      </c>
      <c r="I1345" s="27">
        <v>0</v>
      </c>
    </row>
    <row r="1346" spans="3:9">
      <c r="C1346" s="23">
        <v>139</v>
      </c>
      <c r="D1346" s="23" t="s">
        <v>132</v>
      </c>
      <c r="E1346" s="23" t="str">
        <f>Contributions_Data!A1188</f>
        <v>DA-003</v>
      </c>
      <c r="F1346" s="23" t="str">
        <f>Contributions_Data!B1188</f>
        <v>DA-003-M0099</v>
      </c>
      <c r="G1346" s="24">
        <f>Contributions_Data!C1188</f>
        <v>45493</v>
      </c>
      <c r="H1346" s="27">
        <f>Contributions_Data!D1188</f>
        <v>15062.38</v>
      </c>
      <c r="I1346" s="27">
        <v>0</v>
      </c>
    </row>
    <row r="1347" spans="3:9">
      <c r="C1347" s="23">
        <v>140</v>
      </c>
      <c r="D1347" s="23" t="s">
        <v>134</v>
      </c>
      <c r="E1347" s="23" t="str">
        <f>Withdrawals_Data!A315</f>
        <v>DA-002</v>
      </c>
      <c r="F1347" s="23" t="str">
        <f>Withdrawals_Data!B315</f>
        <v>DA-002-M0085</v>
      </c>
      <c r="G1347" s="24">
        <f>Withdrawals_Data!C315</f>
        <v>45493</v>
      </c>
      <c r="H1347" s="27">
        <v>0</v>
      </c>
      <c r="I1347" s="27">
        <f>-Withdrawals_Data!D315</f>
        <v>-2512.4</v>
      </c>
    </row>
    <row r="1348" spans="3:9">
      <c r="C1348" s="23">
        <v>141</v>
      </c>
      <c r="D1348" s="23" t="s">
        <v>134</v>
      </c>
      <c r="E1348" s="23" t="str">
        <f>Withdrawals_Data!A858</f>
        <v>DA-003</v>
      </c>
      <c r="F1348" s="23" t="str">
        <f>Withdrawals_Data!B858</f>
        <v>DA-003-M0061</v>
      </c>
      <c r="G1348" s="24">
        <f>Withdrawals_Data!C858</f>
        <v>45493</v>
      </c>
      <c r="H1348" s="27">
        <v>0</v>
      </c>
      <c r="I1348" s="27">
        <f>-Withdrawals_Data!D858</f>
        <v>-3081</v>
      </c>
    </row>
    <row r="1349" spans="3:9">
      <c r="C1349" s="23">
        <v>142</v>
      </c>
      <c r="D1349" s="23" t="s">
        <v>134</v>
      </c>
      <c r="E1349" s="23" t="str">
        <f>Withdrawals_Data!A873</f>
        <v>DA-002</v>
      </c>
      <c r="F1349" s="23" t="str">
        <f>Withdrawals_Data!B873</f>
        <v>DA-002-M0062</v>
      </c>
      <c r="G1349" s="24">
        <f>Withdrawals_Data!C873</f>
        <v>45493</v>
      </c>
      <c r="H1349" s="27">
        <v>0</v>
      </c>
      <c r="I1349" s="27">
        <f>-Withdrawals_Data!D873</f>
        <v>-2147</v>
      </c>
    </row>
    <row r="1350" spans="3:9">
      <c r="C1350" s="23">
        <v>143</v>
      </c>
      <c r="D1350" s="23" t="s">
        <v>132</v>
      </c>
      <c r="E1350" s="23" t="str">
        <f>Contributions_Data!A60</f>
        <v>DA-003</v>
      </c>
      <c r="F1350" s="23" t="str">
        <f>Contributions_Data!B60</f>
        <v>DA-003-M0005</v>
      </c>
      <c r="G1350" s="24">
        <f>Contributions_Data!C60</f>
        <v>45494</v>
      </c>
      <c r="H1350" s="27">
        <f>Contributions_Data!D60</f>
        <v>12856.95</v>
      </c>
      <c r="I1350" s="27">
        <v>0</v>
      </c>
    </row>
    <row r="1351" spans="3:9">
      <c r="C1351" s="23">
        <v>144</v>
      </c>
      <c r="D1351" s="23" t="s">
        <v>132</v>
      </c>
      <c r="E1351" s="23" t="str">
        <f>Contributions_Data!A543</f>
        <v>DA-001</v>
      </c>
      <c r="F1351" s="23" t="str">
        <f>Contributions_Data!B543</f>
        <v>DA-001-M0046</v>
      </c>
      <c r="G1351" s="24">
        <f>Contributions_Data!C543</f>
        <v>45494</v>
      </c>
      <c r="H1351" s="27">
        <f>Contributions_Data!D543</f>
        <v>17917.66</v>
      </c>
      <c r="I1351" s="27">
        <v>0</v>
      </c>
    </row>
    <row r="1352" spans="3:9">
      <c r="C1352" s="23">
        <v>145</v>
      </c>
      <c r="D1352" s="23" t="s">
        <v>132</v>
      </c>
      <c r="E1352" s="23" t="str">
        <f>Contributions_Data!A697</f>
        <v>DA-001</v>
      </c>
      <c r="F1352" s="23" t="str">
        <f>Contributions_Data!B697</f>
        <v>DA-001-M0058</v>
      </c>
      <c r="G1352" s="24">
        <f>Contributions_Data!C697</f>
        <v>45494</v>
      </c>
      <c r="H1352" s="27">
        <f>Contributions_Data!D697</f>
        <v>20402.82</v>
      </c>
      <c r="I1352" s="27">
        <v>0</v>
      </c>
    </row>
    <row r="1353" spans="3:9">
      <c r="C1353" s="23">
        <v>146</v>
      </c>
      <c r="D1353" s="23" t="s">
        <v>132</v>
      </c>
      <c r="E1353" s="23" t="str">
        <f>Contributions_Data!A712</f>
        <v>DA-002</v>
      </c>
      <c r="F1353" s="23" t="str">
        <f>Contributions_Data!B712</f>
        <v>DA-002-M0060</v>
      </c>
      <c r="G1353" s="24">
        <f>Contributions_Data!C712</f>
        <v>45494</v>
      </c>
      <c r="H1353" s="27">
        <f>Contributions_Data!D712</f>
        <v>17632.09</v>
      </c>
      <c r="I1353" s="27">
        <v>0</v>
      </c>
    </row>
    <row r="1354" spans="3:9">
      <c r="C1354" s="23">
        <v>147</v>
      </c>
      <c r="D1354" s="23" t="s">
        <v>132</v>
      </c>
      <c r="E1354" s="23" t="str">
        <f>Contributions_Data!A1068</f>
        <v>DA-002</v>
      </c>
      <c r="F1354" s="23" t="str">
        <f>Contributions_Data!B1068</f>
        <v>DA-002-M0089</v>
      </c>
      <c r="G1354" s="24">
        <f>Contributions_Data!C1068</f>
        <v>45494</v>
      </c>
      <c r="H1354" s="27">
        <f>Contributions_Data!D1068</f>
        <v>17204.63</v>
      </c>
      <c r="I1354" s="27">
        <v>0</v>
      </c>
    </row>
    <row r="1355" spans="3:9">
      <c r="C1355" s="23">
        <v>148</v>
      </c>
      <c r="D1355" s="23" t="s">
        <v>132</v>
      </c>
      <c r="E1355" s="23" t="str">
        <f>Contributions_Data!A1150</f>
        <v>DA-001</v>
      </c>
      <c r="F1355" s="23" t="str">
        <f>Contributions_Data!B1150</f>
        <v>DA-001-M0096</v>
      </c>
      <c r="G1355" s="24">
        <f>Contributions_Data!C1150</f>
        <v>45494</v>
      </c>
      <c r="H1355" s="27">
        <f>Contributions_Data!D1150</f>
        <v>18680.8</v>
      </c>
      <c r="I1355" s="27">
        <v>0</v>
      </c>
    </row>
    <row r="1356" spans="3:9">
      <c r="C1356" s="23">
        <v>149</v>
      </c>
      <c r="D1356" s="23" t="s">
        <v>134</v>
      </c>
      <c r="E1356" s="23" t="str">
        <f>Withdrawals_Data!A439</f>
        <v>DA-003</v>
      </c>
      <c r="F1356" s="23" t="str">
        <f>Withdrawals_Data!B439</f>
        <v>DA-003-M0014</v>
      </c>
      <c r="G1356" s="24">
        <f>Withdrawals_Data!C439</f>
        <v>45494</v>
      </c>
      <c r="H1356" s="27">
        <v>0</v>
      </c>
      <c r="I1356" s="27">
        <f>-Withdrawals_Data!D439</f>
        <v>-13772</v>
      </c>
    </row>
    <row r="1357" spans="3:9">
      <c r="C1357" s="23">
        <v>150</v>
      </c>
      <c r="D1357" s="23" t="s">
        <v>134</v>
      </c>
      <c r="E1357" s="23" t="str">
        <f>Withdrawals_Data!A880</f>
        <v>DA-002</v>
      </c>
      <c r="F1357" s="23" t="str">
        <f>Withdrawals_Data!B880</f>
        <v>DA-002-M0063</v>
      </c>
      <c r="G1357" s="24">
        <f>Withdrawals_Data!C880</f>
        <v>45494</v>
      </c>
      <c r="H1357" s="27">
        <v>0</v>
      </c>
      <c r="I1357" s="27">
        <f>-Withdrawals_Data!D880</f>
        <v>-15278</v>
      </c>
    </row>
    <row r="1358" spans="3:9">
      <c r="C1358" s="23">
        <v>151</v>
      </c>
      <c r="D1358" s="23" t="s">
        <v>134</v>
      </c>
      <c r="E1358" s="23" t="str">
        <f>Withdrawals_Data!A1126</f>
        <v>DA-001</v>
      </c>
      <c r="F1358" s="23" t="str">
        <f>Withdrawals_Data!B1126</f>
        <v>DA-001-M0092</v>
      </c>
      <c r="G1358" s="24">
        <f>Withdrawals_Data!C1126</f>
        <v>45494</v>
      </c>
      <c r="H1358" s="27">
        <v>0</v>
      </c>
      <c r="I1358" s="27">
        <f>-Withdrawals_Data!D1126</f>
        <v>-1373</v>
      </c>
    </row>
    <row r="1359" spans="3:9">
      <c r="C1359" s="23">
        <v>152</v>
      </c>
      <c r="D1359" s="23" t="s">
        <v>132</v>
      </c>
      <c r="E1359" s="23" t="str">
        <f>Contributions_Data!A48</f>
        <v>DA-001</v>
      </c>
      <c r="F1359" s="23" t="str">
        <f>Contributions_Data!B48</f>
        <v>DA-001-M0004</v>
      </c>
      <c r="G1359" s="24">
        <f>Contributions_Data!C48</f>
        <v>45495</v>
      </c>
      <c r="H1359" s="27">
        <f>Contributions_Data!D48</f>
        <v>12650.24</v>
      </c>
      <c r="I1359" s="27">
        <v>0</v>
      </c>
    </row>
    <row r="1360" spans="3:9">
      <c r="C1360" s="23">
        <v>153</v>
      </c>
      <c r="D1360" s="23" t="s">
        <v>132</v>
      </c>
      <c r="E1360" s="23" t="str">
        <f>Contributions_Data!A294</f>
        <v>DA-001</v>
      </c>
      <c r="F1360" s="23" t="str">
        <f>Contributions_Data!B294</f>
        <v>DA-001-M0025</v>
      </c>
      <c r="G1360" s="24">
        <f>Contributions_Data!C294</f>
        <v>45495</v>
      </c>
      <c r="H1360" s="27">
        <f>Contributions_Data!D294</f>
        <v>11406.37</v>
      </c>
      <c r="I1360" s="27">
        <v>0</v>
      </c>
    </row>
    <row r="1361" spans="3:9">
      <c r="C1361" s="23">
        <v>154</v>
      </c>
      <c r="D1361" s="23" t="s">
        <v>132</v>
      </c>
      <c r="E1361" s="23" t="str">
        <f>Contributions_Data!A363</f>
        <v>DA-003</v>
      </c>
      <c r="F1361" s="23" t="str">
        <f>Contributions_Data!B363</f>
        <v>DA-003-M0031</v>
      </c>
      <c r="G1361" s="24">
        <f>Contributions_Data!C363</f>
        <v>45495</v>
      </c>
      <c r="H1361" s="27">
        <f>Contributions_Data!D363</f>
        <v>15259.77</v>
      </c>
      <c r="I1361" s="27">
        <v>0</v>
      </c>
    </row>
    <row r="1362" spans="3:9">
      <c r="C1362" s="23">
        <v>155</v>
      </c>
      <c r="D1362" s="23" t="s">
        <v>132</v>
      </c>
      <c r="E1362" s="23" t="str">
        <f>Contributions_Data!A589</f>
        <v>DA-001</v>
      </c>
      <c r="F1362" s="23" t="str">
        <f>Contributions_Data!B589</f>
        <v>DA-001-M0049</v>
      </c>
      <c r="G1362" s="24">
        <f>Contributions_Data!C589</f>
        <v>45495</v>
      </c>
      <c r="H1362" s="27">
        <f>Contributions_Data!D589</f>
        <v>12696.61</v>
      </c>
      <c r="I1362" s="27">
        <v>0</v>
      </c>
    </row>
    <row r="1363" spans="3:9">
      <c r="C1363" s="23">
        <v>156</v>
      </c>
      <c r="D1363" s="23" t="s">
        <v>134</v>
      </c>
      <c r="E1363" s="23" t="str">
        <f>Withdrawals_Data!A69</f>
        <v>DA-002</v>
      </c>
      <c r="F1363" s="23" t="str">
        <f>Withdrawals_Data!B69</f>
        <v>DA-002-M0003</v>
      </c>
      <c r="G1363" s="24">
        <f>Withdrawals_Data!C69</f>
        <v>45495</v>
      </c>
      <c r="H1363" s="27">
        <v>0</v>
      </c>
      <c r="I1363" s="27">
        <f>-Withdrawals_Data!D69</f>
        <v>-11164.13</v>
      </c>
    </row>
    <row r="1364" spans="3:9">
      <c r="C1364" s="23">
        <v>157</v>
      </c>
      <c r="D1364" s="23" t="s">
        <v>134</v>
      </c>
      <c r="E1364" s="23" t="str">
        <f>Withdrawals_Data!A73</f>
        <v>DA-002</v>
      </c>
      <c r="F1364" s="23" t="str">
        <f>Withdrawals_Data!B73</f>
        <v>DA-002-M0078</v>
      </c>
      <c r="G1364" s="24">
        <f>Withdrawals_Data!C73</f>
        <v>45495</v>
      </c>
      <c r="H1364" s="27">
        <v>0</v>
      </c>
      <c r="I1364" s="27">
        <f>-Withdrawals_Data!D73</f>
        <v>-10832.43</v>
      </c>
    </row>
    <row r="1365" spans="3:9">
      <c r="C1365" s="23">
        <v>158</v>
      </c>
      <c r="D1365" s="23" t="s">
        <v>134</v>
      </c>
      <c r="E1365" s="23" t="str">
        <f>Withdrawals_Data!A420</f>
        <v>DA-001</v>
      </c>
      <c r="F1365" s="23" t="str">
        <f>Withdrawals_Data!B420</f>
        <v>DA-001-M0011</v>
      </c>
      <c r="G1365" s="24">
        <f>Withdrawals_Data!C420</f>
        <v>45495</v>
      </c>
      <c r="H1365" s="27">
        <v>0</v>
      </c>
      <c r="I1365" s="27">
        <f>-Withdrawals_Data!D420</f>
        <v>-3941</v>
      </c>
    </row>
    <row r="1366" spans="3:9">
      <c r="C1366" s="23">
        <v>159</v>
      </c>
      <c r="D1366" s="23" t="s">
        <v>134</v>
      </c>
      <c r="E1366" s="23" t="str">
        <f>Withdrawals_Data!A677</f>
        <v>DA-002</v>
      </c>
      <c r="F1366" s="23" t="str">
        <f>Withdrawals_Data!B677</f>
        <v>DA-002-M0041</v>
      </c>
      <c r="G1366" s="24">
        <f>Withdrawals_Data!C677</f>
        <v>45495</v>
      </c>
      <c r="H1366" s="27">
        <v>0</v>
      </c>
      <c r="I1366" s="27">
        <f>-Withdrawals_Data!D677</f>
        <v>-21270</v>
      </c>
    </row>
    <row r="1367" spans="3:9">
      <c r="C1367" s="23">
        <v>160</v>
      </c>
      <c r="D1367" s="23" t="s">
        <v>134</v>
      </c>
      <c r="E1367" s="23" t="str">
        <f>Withdrawals_Data!A732</f>
        <v>DA-001</v>
      </c>
      <c r="F1367" s="23" t="str">
        <f>Withdrawals_Data!B732</f>
        <v>DA-001-M0046</v>
      </c>
      <c r="G1367" s="24">
        <f>Withdrawals_Data!C732</f>
        <v>45495</v>
      </c>
      <c r="H1367" s="27">
        <v>0</v>
      </c>
      <c r="I1367" s="27">
        <f>-Withdrawals_Data!D732</f>
        <v>-15013</v>
      </c>
    </row>
    <row r="1368" spans="3:9">
      <c r="C1368" s="23">
        <v>161</v>
      </c>
      <c r="D1368" s="23" t="s">
        <v>132</v>
      </c>
      <c r="E1368" s="23" t="str">
        <f>Contributions_Data!A261</f>
        <v>DA-001</v>
      </c>
      <c r="F1368" s="23" t="str">
        <f>Contributions_Data!B261</f>
        <v>DA-001-M0022</v>
      </c>
      <c r="G1368" s="24">
        <f>Contributions_Data!C261</f>
        <v>45496</v>
      </c>
      <c r="H1368" s="27">
        <f>Contributions_Data!D261</f>
        <v>15347.02</v>
      </c>
      <c r="I1368" s="27">
        <v>0</v>
      </c>
    </row>
    <row r="1369" spans="3:9">
      <c r="C1369" s="23">
        <v>162</v>
      </c>
      <c r="D1369" s="23" t="s">
        <v>132</v>
      </c>
      <c r="E1369" s="23" t="str">
        <f>Contributions_Data!A582</f>
        <v>DA-001</v>
      </c>
      <c r="F1369" s="23" t="str">
        <f>Contributions_Data!B582</f>
        <v>DA-001-M0049</v>
      </c>
      <c r="G1369" s="24">
        <f>Contributions_Data!C582</f>
        <v>45496</v>
      </c>
      <c r="H1369" s="27">
        <f>Contributions_Data!D582</f>
        <v>19360.150000000001</v>
      </c>
      <c r="I1369" s="27">
        <v>0</v>
      </c>
    </row>
    <row r="1370" spans="3:9">
      <c r="C1370" s="23">
        <v>163</v>
      </c>
      <c r="D1370" s="23" t="s">
        <v>132</v>
      </c>
      <c r="E1370" s="23" t="str">
        <f>Contributions_Data!A721</f>
        <v>DA-002</v>
      </c>
      <c r="F1370" s="23" t="str">
        <f>Contributions_Data!B721</f>
        <v>DA-002-M0060</v>
      </c>
      <c r="G1370" s="24">
        <f>Contributions_Data!C721</f>
        <v>45496</v>
      </c>
      <c r="H1370" s="27">
        <f>Contributions_Data!D721</f>
        <v>13286.46</v>
      </c>
      <c r="I1370" s="27">
        <v>0</v>
      </c>
    </row>
    <row r="1371" spans="3:9">
      <c r="C1371" s="23">
        <v>164</v>
      </c>
      <c r="D1371" s="23" t="s">
        <v>132</v>
      </c>
      <c r="E1371" s="23" t="str">
        <f>Contributions_Data!A771</f>
        <v>DA-001</v>
      </c>
      <c r="F1371" s="23" t="str">
        <f>Contributions_Data!B771</f>
        <v>DA-001-M0065</v>
      </c>
      <c r="G1371" s="24">
        <f>Contributions_Data!C771</f>
        <v>45496</v>
      </c>
      <c r="H1371" s="27">
        <f>Contributions_Data!D771</f>
        <v>16630.8</v>
      </c>
      <c r="I1371" s="27">
        <v>0</v>
      </c>
    </row>
    <row r="1372" spans="3:9">
      <c r="C1372" s="23">
        <v>165</v>
      </c>
      <c r="D1372" s="23" t="s">
        <v>132</v>
      </c>
      <c r="E1372" s="23" t="str">
        <f>Contributions_Data!A884</f>
        <v>DA-001</v>
      </c>
      <c r="F1372" s="23" t="str">
        <f>Contributions_Data!B884</f>
        <v>DA-001-M0074</v>
      </c>
      <c r="G1372" s="24">
        <f>Contributions_Data!C884</f>
        <v>45496</v>
      </c>
      <c r="H1372" s="27">
        <f>Contributions_Data!D884</f>
        <v>12921.28</v>
      </c>
      <c r="I1372" s="27">
        <v>0</v>
      </c>
    </row>
    <row r="1373" spans="3:9">
      <c r="C1373" s="23">
        <v>166</v>
      </c>
      <c r="D1373" s="23" t="s">
        <v>132</v>
      </c>
      <c r="E1373" s="23" t="str">
        <f>Contributions_Data!A1112</f>
        <v>DA-001</v>
      </c>
      <c r="F1373" s="23" t="str">
        <f>Contributions_Data!B1112</f>
        <v>DA-001-M0093</v>
      </c>
      <c r="G1373" s="24">
        <f>Contributions_Data!C1112</f>
        <v>45496</v>
      </c>
      <c r="H1373" s="27">
        <f>Contributions_Data!D1112</f>
        <v>18072.189999999999</v>
      </c>
      <c r="I1373" s="27">
        <v>0</v>
      </c>
    </row>
    <row r="1374" spans="3:9">
      <c r="C1374" s="23">
        <v>167</v>
      </c>
      <c r="D1374" s="23" t="s">
        <v>134</v>
      </c>
      <c r="E1374" s="23" t="str">
        <f>Withdrawals_Data!A92</f>
        <v>DA-002</v>
      </c>
      <c r="F1374" s="23" t="str">
        <f>Withdrawals_Data!B92</f>
        <v>DA-002-M0088</v>
      </c>
      <c r="G1374" s="24">
        <f>Withdrawals_Data!C92</f>
        <v>45496</v>
      </c>
      <c r="H1374" s="27">
        <v>0</v>
      </c>
      <c r="I1374" s="27">
        <f>-Withdrawals_Data!D92</f>
        <v>-10224.92</v>
      </c>
    </row>
    <row r="1375" spans="3:9">
      <c r="C1375" s="23">
        <v>168</v>
      </c>
      <c r="D1375" s="23" t="s">
        <v>134</v>
      </c>
      <c r="E1375" s="23" t="str">
        <f>Withdrawals_Data!A348</f>
        <v>DA-001</v>
      </c>
      <c r="F1375" s="23" t="str">
        <f>Withdrawals_Data!B348</f>
        <v>DA-001-M0002</v>
      </c>
      <c r="G1375" s="24">
        <f>Withdrawals_Data!C348</f>
        <v>45496</v>
      </c>
      <c r="H1375" s="27">
        <v>0</v>
      </c>
      <c r="I1375" s="27">
        <f>-Withdrawals_Data!D348</f>
        <v>-16187</v>
      </c>
    </row>
    <row r="1376" spans="3:9">
      <c r="C1376" s="23">
        <v>169</v>
      </c>
      <c r="D1376" s="23" t="s">
        <v>134</v>
      </c>
      <c r="E1376" s="23" t="str">
        <f>Withdrawals_Data!A496</f>
        <v>DA-002</v>
      </c>
      <c r="F1376" s="23" t="str">
        <f>Withdrawals_Data!B496</f>
        <v>DA-002-M0020</v>
      </c>
      <c r="G1376" s="24">
        <f>Withdrawals_Data!C496</f>
        <v>45496</v>
      </c>
      <c r="H1376" s="27">
        <v>0</v>
      </c>
      <c r="I1376" s="27">
        <f>-Withdrawals_Data!D496</f>
        <v>-13319</v>
      </c>
    </row>
    <row r="1377" spans="3:9">
      <c r="C1377" s="23">
        <v>170</v>
      </c>
      <c r="D1377" s="23" t="s">
        <v>134</v>
      </c>
      <c r="E1377" s="23" t="str">
        <f>Withdrawals_Data!A716</f>
        <v>DA-003</v>
      </c>
      <c r="F1377" s="23" t="str">
        <f>Withdrawals_Data!B716</f>
        <v>DA-003-M0045</v>
      </c>
      <c r="G1377" s="24">
        <f>Withdrawals_Data!C716</f>
        <v>45496</v>
      </c>
      <c r="H1377" s="27">
        <v>0</v>
      </c>
      <c r="I1377" s="27">
        <f>-Withdrawals_Data!D716</f>
        <v>-20690</v>
      </c>
    </row>
    <row r="1378" spans="3:9">
      <c r="C1378" s="23">
        <v>171</v>
      </c>
      <c r="D1378" s="23" t="s">
        <v>134</v>
      </c>
      <c r="E1378" s="23" t="str">
        <f>Withdrawals_Data!A1138</f>
        <v>DA-001</v>
      </c>
      <c r="F1378" s="23" t="str">
        <f>Withdrawals_Data!B1138</f>
        <v>DA-001-M0093</v>
      </c>
      <c r="G1378" s="24">
        <f>Withdrawals_Data!C1138</f>
        <v>45496</v>
      </c>
      <c r="H1378" s="27">
        <v>0</v>
      </c>
      <c r="I1378" s="27">
        <f>-Withdrawals_Data!D1138</f>
        <v>-4493</v>
      </c>
    </row>
    <row r="1379" spans="3:9">
      <c r="C1379" s="23">
        <v>172</v>
      </c>
      <c r="D1379" s="23" t="s">
        <v>132</v>
      </c>
      <c r="E1379" s="23" t="str">
        <f>Contributions_Data!A318</f>
        <v>DA-002</v>
      </c>
      <c r="F1379" s="23" t="str">
        <f>Contributions_Data!B318</f>
        <v>DA-002-M0027</v>
      </c>
      <c r="G1379" s="24">
        <f>Contributions_Data!C318</f>
        <v>45497</v>
      </c>
      <c r="H1379" s="27">
        <f>Contributions_Data!D318</f>
        <v>14976.08</v>
      </c>
      <c r="I1379" s="27">
        <v>0</v>
      </c>
    </row>
    <row r="1380" spans="3:9">
      <c r="C1380" s="23">
        <v>173</v>
      </c>
      <c r="D1380" s="23" t="s">
        <v>132</v>
      </c>
      <c r="E1380" s="23" t="str">
        <f>Contributions_Data!A499</f>
        <v>DA-002</v>
      </c>
      <c r="F1380" s="23" t="str">
        <f>Contributions_Data!B499</f>
        <v>DA-002-M0042</v>
      </c>
      <c r="G1380" s="24">
        <f>Contributions_Data!C499</f>
        <v>45497</v>
      </c>
      <c r="H1380" s="27">
        <f>Contributions_Data!D499</f>
        <v>9869.49</v>
      </c>
      <c r="I1380" s="27">
        <v>0</v>
      </c>
    </row>
    <row r="1381" spans="3:9">
      <c r="C1381" s="23">
        <v>174</v>
      </c>
      <c r="D1381" s="23" t="s">
        <v>132</v>
      </c>
      <c r="E1381" s="23" t="str">
        <f>Contributions_Data!A518</f>
        <v>DA-002</v>
      </c>
      <c r="F1381" s="23" t="str">
        <f>Contributions_Data!B518</f>
        <v>DA-002-M0044</v>
      </c>
      <c r="G1381" s="24">
        <f>Contributions_Data!C518</f>
        <v>45497</v>
      </c>
      <c r="H1381" s="27">
        <f>Contributions_Data!D518</f>
        <v>15078.27</v>
      </c>
      <c r="I1381" s="27">
        <v>0</v>
      </c>
    </row>
    <row r="1382" spans="3:9">
      <c r="C1382" s="23">
        <v>175</v>
      </c>
      <c r="D1382" s="23" t="s">
        <v>132</v>
      </c>
      <c r="E1382" s="23" t="str">
        <f>Contributions_Data!A880</f>
        <v>DA-001</v>
      </c>
      <c r="F1382" s="23" t="str">
        <f>Contributions_Data!B880</f>
        <v>DA-001-M0074</v>
      </c>
      <c r="G1382" s="24">
        <f>Contributions_Data!C880</f>
        <v>45497</v>
      </c>
      <c r="H1382" s="27">
        <f>Contributions_Data!D880</f>
        <v>12894.02</v>
      </c>
      <c r="I1382" s="27">
        <v>0</v>
      </c>
    </row>
    <row r="1383" spans="3:9">
      <c r="C1383" s="23">
        <v>176</v>
      </c>
      <c r="D1383" s="23" t="s">
        <v>134</v>
      </c>
      <c r="E1383" s="23" t="str">
        <f>Withdrawals_Data!A755</f>
        <v>DA-001</v>
      </c>
      <c r="F1383" s="23" t="str">
        <f>Withdrawals_Data!B755</f>
        <v>DA-001-M0049</v>
      </c>
      <c r="G1383" s="24">
        <f>Withdrawals_Data!C755</f>
        <v>45497</v>
      </c>
      <c r="H1383" s="27">
        <v>0</v>
      </c>
      <c r="I1383" s="27">
        <f>-Withdrawals_Data!D755</f>
        <v>-5650</v>
      </c>
    </row>
    <row r="1384" spans="3:9">
      <c r="C1384" s="23">
        <v>177</v>
      </c>
      <c r="D1384" s="23" t="s">
        <v>134</v>
      </c>
      <c r="E1384" s="23" t="str">
        <f>Withdrawals_Data!A1128</f>
        <v>DA-001</v>
      </c>
      <c r="F1384" s="23" t="str">
        <f>Withdrawals_Data!B1128</f>
        <v>DA-001-M0092</v>
      </c>
      <c r="G1384" s="24">
        <f>Withdrawals_Data!C1128</f>
        <v>45497</v>
      </c>
      <c r="H1384" s="27">
        <v>0</v>
      </c>
      <c r="I1384" s="27">
        <f>-Withdrawals_Data!D1128</f>
        <v>-19540</v>
      </c>
    </row>
    <row r="1385" spans="3:9">
      <c r="C1385" s="23">
        <v>178</v>
      </c>
      <c r="D1385" s="23" t="s">
        <v>132</v>
      </c>
      <c r="E1385" s="23" t="str">
        <f>Contributions_Data!A187</f>
        <v>DA-002</v>
      </c>
      <c r="F1385" s="23" t="str">
        <f>Contributions_Data!B187</f>
        <v>DA-002-M0016</v>
      </c>
      <c r="G1385" s="24">
        <f>Contributions_Data!C187</f>
        <v>45498</v>
      </c>
      <c r="H1385" s="27">
        <f>Contributions_Data!D187</f>
        <v>11357.43</v>
      </c>
      <c r="I1385" s="27">
        <v>0</v>
      </c>
    </row>
    <row r="1386" spans="3:9">
      <c r="C1386" s="23">
        <v>179</v>
      </c>
      <c r="D1386" s="23" t="s">
        <v>132</v>
      </c>
      <c r="E1386" s="23" t="str">
        <f>Contributions_Data!A760</f>
        <v>DA-002</v>
      </c>
      <c r="F1386" s="23" t="str">
        <f>Contributions_Data!B760</f>
        <v>DA-002-M0064</v>
      </c>
      <c r="G1386" s="24">
        <f>Contributions_Data!C760</f>
        <v>45498</v>
      </c>
      <c r="H1386" s="27">
        <f>Contributions_Data!D760</f>
        <v>14884.47</v>
      </c>
      <c r="I1386" s="27">
        <v>0</v>
      </c>
    </row>
    <row r="1387" spans="3:9">
      <c r="C1387" s="23">
        <v>180</v>
      </c>
      <c r="D1387" s="23" t="s">
        <v>132</v>
      </c>
      <c r="E1387" s="23" t="str">
        <f>Contributions_Data!A1071</f>
        <v>DA-003</v>
      </c>
      <c r="F1387" s="23" t="str">
        <f>Contributions_Data!B1071</f>
        <v>DA-003-M0090</v>
      </c>
      <c r="G1387" s="24">
        <f>Contributions_Data!C1071</f>
        <v>45498</v>
      </c>
      <c r="H1387" s="27">
        <f>Contributions_Data!D1071</f>
        <v>11109.5</v>
      </c>
      <c r="I1387" s="27">
        <v>0</v>
      </c>
    </row>
    <row r="1388" spans="3:9">
      <c r="C1388" s="23">
        <v>181</v>
      </c>
      <c r="D1388" s="23" t="s">
        <v>132</v>
      </c>
      <c r="E1388" s="23" t="str">
        <f>Contributions_Data!A1134</f>
        <v>DA-003</v>
      </c>
      <c r="F1388" s="23" t="str">
        <f>Contributions_Data!B1134</f>
        <v>DA-003-M0095</v>
      </c>
      <c r="G1388" s="24">
        <f>Contributions_Data!C1134</f>
        <v>45498</v>
      </c>
      <c r="H1388" s="27">
        <f>Contributions_Data!D1134</f>
        <v>13533.45</v>
      </c>
      <c r="I1388" s="27">
        <v>0</v>
      </c>
    </row>
    <row r="1389" spans="3:9">
      <c r="C1389" s="23">
        <v>182</v>
      </c>
      <c r="D1389" s="23" t="s">
        <v>132</v>
      </c>
      <c r="E1389" s="23" t="str">
        <f>Contributions_Data!A1196</f>
        <v>DA-003</v>
      </c>
      <c r="F1389" s="23" t="str">
        <f>Contributions_Data!B1196</f>
        <v>DA-003-M0100</v>
      </c>
      <c r="G1389" s="24">
        <f>Contributions_Data!C1196</f>
        <v>45498</v>
      </c>
      <c r="H1389" s="27">
        <f>Contributions_Data!D1196</f>
        <v>15969.24</v>
      </c>
      <c r="I1389" s="27">
        <v>0</v>
      </c>
    </row>
    <row r="1390" spans="3:9">
      <c r="C1390" s="23">
        <v>183</v>
      </c>
      <c r="D1390" s="23" t="s">
        <v>134</v>
      </c>
      <c r="E1390" s="23" t="str">
        <f>Withdrawals_Data!A442</f>
        <v>DA-003</v>
      </c>
      <c r="F1390" s="23" t="str">
        <f>Withdrawals_Data!B442</f>
        <v>DA-003-M0014</v>
      </c>
      <c r="G1390" s="24">
        <f>Withdrawals_Data!C442</f>
        <v>45498</v>
      </c>
      <c r="H1390" s="27">
        <v>0</v>
      </c>
      <c r="I1390" s="27">
        <f>-Withdrawals_Data!D442</f>
        <v>-11365</v>
      </c>
    </row>
    <row r="1391" spans="3:9">
      <c r="C1391" s="23">
        <v>184</v>
      </c>
      <c r="D1391" s="23" t="s">
        <v>134</v>
      </c>
      <c r="E1391" s="23" t="str">
        <f>Withdrawals_Data!A629</f>
        <v>DA-001</v>
      </c>
      <c r="F1391" s="23" t="str">
        <f>Withdrawals_Data!B629</f>
        <v>DA-001-M0035</v>
      </c>
      <c r="G1391" s="24">
        <f>Withdrawals_Data!C629</f>
        <v>45498</v>
      </c>
      <c r="H1391" s="27">
        <v>0</v>
      </c>
      <c r="I1391" s="27">
        <f>-Withdrawals_Data!D629</f>
        <v>-19021</v>
      </c>
    </row>
    <row r="1392" spans="3:9">
      <c r="C1392" s="23">
        <v>185</v>
      </c>
      <c r="D1392" s="23" t="s">
        <v>134</v>
      </c>
      <c r="E1392" s="23" t="str">
        <f>Withdrawals_Data!A1140</f>
        <v>DA-001</v>
      </c>
      <c r="F1392" s="23" t="str">
        <f>Withdrawals_Data!B1140</f>
        <v>DA-001-M0093</v>
      </c>
      <c r="G1392" s="24">
        <f>Withdrawals_Data!C1140</f>
        <v>45498</v>
      </c>
      <c r="H1392" s="27">
        <v>0</v>
      </c>
      <c r="I1392" s="27">
        <f>-Withdrawals_Data!D1140</f>
        <v>-15839</v>
      </c>
    </row>
    <row r="1393" spans="3:9">
      <c r="C1393" s="23">
        <v>186</v>
      </c>
      <c r="D1393" s="23" t="s">
        <v>132</v>
      </c>
      <c r="E1393" s="23" t="str">
        <f>Contributions_Data!A111</f>
        <v>DA-001</v>
      </c>
      <c r="F1393" s="23" t="str">
        <f>Contributions_Data!B111</f>
        <v>DA-001-M0010</v>
      </c>
      <c r="G1393" s="24">
        <f>Contributions_Data!C111</f>
        <v>45499</v>
      </c>
      <c r="H1393" s="27">
        <f>Contributions_Data!D111</f>
        <v>10161.85</v>
      </c>
      <c r="I1393" s="27">
        <v>0</v>
      </c>
    </row>
    <row r="1394" spans="3:9">
      <c r="C1394" s="23">
        <v>187</v>
      </c>
      <c r="D1394" s="23" t="s">
        <v>132</v>
      </c>
      <c r="E1394" s="23" t="str">
        <f>Contributions_Data!A130</f>
        <v>DA-001</v>
      </c>
      <c r="F1394" s="23" t="str">
        <f>Contributions_Data!B130</f>
        <v>DA-001-M0011</v>
      </c>
      <c r="G1394" s="24">
        <f>Contributions_Data!C130</f>
        <v>45499</v>
      </c>
      <c r="H1394" s="27">
        <f>Contributions_Data!D130</f>
        <v>13040.01</v>
      </c>
      <c r="I1394" s="27">
        <v>0</v>
      </c>
    </row>
    <row r="1395" spans="3:9">
      <c r="C1395" s="23">
        <v>188</v>
      </c>
      <c r="D1395" s="23" t="s">
        <v>132</v>
      </c>
      <c r="E1395" s="23" t="str">
        <f>Contributions_Data!A373</f>
        <v>DA-003</v>
      </c>
      <c r="F1395" s="23" t="str">
        <f>Contributions_Data!B373</f>
        <v>DA-003-M0031</v>
      </c>
      <c r="G1395" s="24">
        <f>Contributions_Data!C373</f>
        <v>45499</v>
      </c>
      <c r="H1395" s="27">
        <f>Contributions_Data!D373</f>
        <v>17613.37</v>
      </c>
      <c r="I1395" s="27">
        <v>0</v>
      </c>
    </row>
    <row r="1396" spans="3:9">
      <c r="C1396" s="23">
        <v>189</v>
      </c>
      <c r="D1396" s="23" t="s">
        <v>132</v>
      </c>
      <c r="E1396" s="23" t="str">
        <f>Contributions_Data!A718</f>
        <v>DA-002</v>
      </c>
      <c r="F1396" s="23" t="str">
        <f>Contributions_Data!B718</f>
        <v>DA-002-M0060</v>
      </c>
      <c r="G1396" s="24">
        <f>Contributions_Data!C718</f>
        <v>45499</v>
      </c>
      <c r="H1396" s="27">
        <f>Contributions_Data!D718</f>
        <v>12954.05</v>
      </c>
      <c r="I1396" s="27">
        <v>0</v>
      </c>
    </row>
    <row r="1397" spans="3:9">
      <c r="C1397" s="23">
        <v>190</v>
      </c>
      <c r="D1397" s="23" t="s">
        <v>132</v>
      </c>
      <c r="E1397" s="23" t="str">
        <f>Contributions_Data!A822</f>
        <v>DA-003</v>
      </c>
      <c r="F1397" s="23" t="str">
        <f>Contributions_Data!B822</f>
        <v>DA-003-M0069</v>
      </c>
      <c r="G1397" s="24">
        <f>Contributions_Data!C822</f>
        <v>45499</v>
      </c>
      <c r="H1397" s="27">
        <f>Contributions_Data!D822</f>
        <v>15964.07</v>
      </c>
      <c r="I1397" s="27">
        <v>0</v>
      </c>
    </row>
    <row r="1398" spans="3:9">
      <c r="C1398" s="23">
        <v>191</v>
      </c>
      <c r="D1398" s="23" t="s">
        <v>132</v>
      </c>
      <c r="E1398" s="23" t="str">
        <f>Contributions_Data!A955</f>
        <v>DA-003</v>
      </c>
      <c r="F1398" s="23" t="str">
        <f>Contributions_Data!B955</f>
        <v>DA-003-M0080</v>
      </c>
      <c r="G1398" s="24">
        <f>Contributions_Data!C955</f>
        <v>45499</v>
      </c>
      <c r="H1398" s="27">
        <f>Contributions_Data!D955</f>
        <v>12732.76</v>
      </c>
      <c r="I1398" s="27">
        <v>0</v>
      </c>
    </row>
    <row r="1399" spans="3:9">
      <c r="C1399" s="23">
        <v>192</v>
      </c>
      <c r="D1399" s="23" t="s">
        <v>134</v>
      </c>
      <c r="E1399" s="23" t="str">
        <f>Withdrawals_Data!A464</f>
        <v>DA-002</v>
      </c>
      <c r="F1399" s="23" t="str">
        <f>Withdrawals_Data!B464</f>
        <v>DA-002-M0017</v>
      </c>
      <c r="G1399" s="24">
        <f>Withdrawals_Data!C464</f>
        <v>45499</v>
      </c>
      <c r="H1399" s="27">
        <v>0</v>
      </c>
      <c r="I1399" s="27">
        <f>-Withdrawals_Data!D464</f>
        <v>-6250</v>
      </c>
    </row>
    <row r="1400" spans="3:9">
      <c r="C1400" s="23">
        <v>193</v>
      </c>
      <c r="D1400" s="23" t="s">
        <v>134</v>
      </c>
      <c r="E1400" s="23" t="str">
        <f>Withdrawals_Data!A627</f>
        <v>DA-001</v>
      </c>
      <c r="F1400" s="23" t="str">
        <f>Withdrawals_Data!B627</f>
        <v>DA-001-M0035</v>
      </c>
      <c r="G1400" s="24">
        <f>Withdrawals_Data!C627</f>
        <v>45499</v>
      </c>
      <c r="H1400" s="27">
        <v>0</v>
      </c>
      <c r="I1400" s="27">
        <f>-Withdrawals_Data!D627</f>
        <v>-12370</v>
      </c>
    </row>
    <row r="1401" spans="3:9">
      <c r="C1401" s="23">
        <v>194</v>
      </c>
      <c r="D1401" s="23" t="s">
        <v>134</v>
      </c>
      <c r="E1401" s="23" t="str">
        <f>Withdrawals_Data!A723</f>
        <v>DA-001</v>
      </c>
      <c r="F1401" s="23" t="str">
        <f>Withdrawals_Data!B723</f>
        <v>DA-001-M0046</v>
      </c>
      <c r="G1401" s="24">
        <f>Withdrawals_Data!C723</f>
        <v>45499</v>
      </c>
      <c r="H1401" s="27">
        <v>0</v>
      </c>
      <c r="I1401" s="27">
        <f>-Withdrawals_Data!D723</f>
        <v>-19650</v>
      </c>
    </row>
    <row r="1402" spans="3:9">
      <c r="C1402" s="23">
        <v>195</v>
      </c>
      <c r="D1402" s="23" t="s">
        <v>134</v>
      </c>
      <c r="E1402" s="23" t="str">
        <f>Withdrawals_Data!A759</f>
        <v>DA-002</v>
      </c>
      <c r="F1402" s="23" t="str">
        <f>Withdrawals_Data!B759</f>
        <v>DA-002-M0050</v>
      </c>
      <c r="G1402" s="24">
        <f>Withdrawals_Data!C759</f>
        <v>45499</v>
      </c>
      <c r="H1402" s="27">
        <v>0</v>
      </c>
      <c r="I1402" s="27">
        <f>-Withdrawals_Data!D759</f>
        <v>-17856</v>
      </c>
    </row>
    <row r="1403" spans="3:9">
      <c r="C1403" s="23">
        <v>196</v>
      </c>
      <c r="D1403" s="23" t="s">
        <v>134</v>
      </c>
      <c r="E1403" s="23" t="str">
        <f>Withdrawals_Data!A771</f>
        <v>DA-002</v>
      </c>
      <c r="F1403" s="23" t="str">
        <f>Withdrawals_Data!B771</f>
        <v>DA-002-M0051</v>
      </c>
      <c r="G1403" s="24">
        <f>Withdrawals_Data!C771</f>
        <v>45499</v>
      </c>
      <c r="H1403" s="27">
        <v>0</v>
      </c>
      <c r="I1403" s="27">
        <f>-Withdrawals_Data!D771</f>
        <v>-3046</v>
      </c>
    </row>
    <row r="1404" spans="3:9">
      <c r="C1404" s="23">
        <v>197</v>
      </c>
      <c r="D1404" s="23" t="s">
        <v>134</v>
      </c>
      <c r="E1404" s="23" t="str">
        <f>Withdrawals_Data!A1172</f>
        <v>DA-002</v>
      </c>
      <c r="F1404" s="23" t="str">
        <f>Withdrawals_Data!B1172</f>
        <v>DA-002-M0097</v>
      </c>
      <c r="G1404" s="24">
        <f>Withdrawals_Data!C1172</f>
        <v>45499</v>
      </c>
      <c r="H1404" s="27">
        <v>0</v>
      </c>
      <c r="I1404" s="27">
        <f>-Withdrawals_Data!D1172</f>
        <v>-13725</v>
      </c>
    </row>
    <row r="1405" spans="3:9">
      <c r="C1405" s="23">
        <v>198</v>
      </c>
      <c r="D1405" s="23" t="s">
        <v>132</v>
      </c>
      <c r="E1405" s="23" t="str">
        <f>Contributions_Data!A391</f>
        <v>DA-002</v>
      </c>
      <c r="F1405" s="23" t="str">
        <f>Contributions_Data!B391</f>
        <v>DA-002-M0033</v>
      </c>
      <c r="G1405" s="24">
        <f>Contributions_Data!C391</f>
        <v>45500</v>
      </c>
      <c r="H1405" s="27">
        <f>Contributions_Data!D391</f>
        <v>16898.349999999999</v>
      </c>
      <c r="I1405" s="27">
        <v>0</v>
      </c>
    </row>
    <row r="1406" spans="3:9">
      <c r="C1406" s="23">
        <v>199</v>
      </c>
      <c r="D1406" s="23" t="s">
        <v>132</v>
      </c>
      <c r="E1406" s="23" t="str">
        <f>Contributions_Data!A683</f>
        <v>DA-002</v>
      </c>
      <c r="F1406" s="23" t="str">
        <f>Contributions_Data!B683</f>
        <v>DA-002-M0057</v>
      </c>
      <c r="G1406" s="24">
        <f>Contributions_Data!C683</f>
        <v>45500</v>
      </c>
      <c r="H1406" s="27">
        <f>Contributions_Data!D683</f>
        <v>11245.38</v>
      </c>
      <c r="I1406" s="27">
        <v>0</v>
      </c>
    </row>
    <row r="1407" spans="3:9">
      <c r="C1407" s="23">
        <v>200</v>
      </c>
      <c r="D1407" s="23" t="s">
        <v>132</v>
      </c>
      <c r="E1407" s="23" t="str">
        <f>Contributions_Data!A763</f>
        <v>DA-002</v>
      </c>
      <c r="F1407" s="23" t="str">
        <f>Contributions_Data!B763</f>
        <v>DA-002-M0064</v>
      </c>
      <c r="G1407" s="24">
        <f>Contributions_Data!C763</f>
        <v>45500</v>
      </c>
      <c r="H1407" s="27">
        <f>Contributions_Data!D763</f>
        <v>16956.97</v>
      </c>
      <c r="I1407" s="27">
        <v>0</v>
      </c>
    </row>
    <row r="1408" spans="3:9">
      <c r="C1408" s="23">
        <v>201</v>
      </c>
      <c r="D1408" s="23" t="s">
        <v>132</v>
      </c>
      <c r="E1408" s="23" t="str">
        <f>Contributions_Data!A906</f>
        <v>DA-003</v>
      </c>
      <c r="F1408" s="23" t="str">
        <f>Contributions_Data!B906</f>
        <v>DA-003-M0076</v>
      </c>
      <c r="G1408" s="24">
        <f>Contributions_Data!C906</f>
        <v>45500</v>
      </c>
      <c r="H1408" s="27">
        <f>Contributions_Data!D906</f>
        <v>11955.73</v>
      </c>
      <c r="I1408" s="27">
        <v>0</v>
      </c>
    </row>
    <row r="1409" spans="3:9">
      <c r="C1409" s="23">
        <v>202</v>
      </c>
      <c r="D1409" s="23" t="s">
        <v>132</v>
      </c>
      <c r="E1409" s="23" t="str">
        <f>Contributions_Data!A1047</f>
        <v>DA-002</v>
      </c>
      <c r="F1409" s="23" t="str">
        <f>Contributions_Data!B1047</f>
        <v>DA-002-M0088</v>
      </c>
      <c r="G1409" s="24">
        <f>Contributions_Data!C1047</f>
        <v>45500</v>
      </c>
      <c r="H1409" s="27">
        <f>Contributions_Data!D1047</f>
        <v>16367.66</v>
      </c>
      <c r="I1409" s="27">
        <v>0</v>
      </c>
    </row>
    <row r="1410" spans="3:9">
      <c r="C1410" s="23">
        <v>203</v>
      </c>
      <c r="D1410" s="23" t="s">
        <v>134</v>
      </c>
      <c r="E1410" s="23" t="str">
        <f>Withdrawals_Data!A35</f>
        <v>DA-003</v>
      </c>
      <c r="F1410" s="23" t="str">
        <f>Withdrawals_Data!B35</f>
        <v>DA-003-M0012</v>
      </c>
      <c r="G1410" s="24">
        <f>Withdrawals_Data!C35</f>
        <v>45500</v>
      </c>
      <c r="H1410" s="27">
        <v>0</v>
      </c>
      <c r="I1410" s="27">
        <f>-Withdrawals_Data!D35</f>
        <v>-13067.64</v>
      </c>
    </row>
    <row r="1411" spans="3:9">
      <c r="C1411" s="23">
        <v>204</v>
      </c>
      <c r="D1411" s="23" t="s">
        <v>134</v>
      </c>
      <c r="E1411" s="23" t="str">
        <f>Withdrawals_Data!A569</f>
        <v>DA-003</v>
      </c>
      <c r="F1411" s="23" t="str">
        <f>Withdrawals_Data!B569</f>
        <v>DA-003-M0028</v>
      </c>
      <c r="G1411" s="24">
        <f>Withdrawals_Data!C569</f>
        <v>45500</v>
      </c>
      <c r="H1411" s="27">
        <v>0</v>
      </c>
      <c r="I1411" s="27">
        <f>-Withdrawals_Data!D569</f>
        <v>-6641</v>
      </c>
    </row>
    <row r="1412" spans="3:9">
      <c r="C1412" s="23">
        <v>205</v>
      </c>
      <c r="D1412" s="23" t="s">
        <v>134</v>
      </c>
      <c r="E1412" s="23" t="str">
        <f>Withdrawals_Data!A921</f>
        <v>DA-003</v>
      </c>
      <c r="F1412" s="23" t="str">
        <f>Withdrawals_Data!B921</f>
        <v>DA-003-M0068</v>
      </c>
      <c r="G1412" s="24">
        <f>Withdrawals_Data!C921</f>
        <v>45500</v>
      </c>
      <c r="H1412" s="27">
        <v>0</v>
      </c>
      <c r="I1412" s="27">
        <f>-Withdrawals_Data!D921</f>
        <v>-11542</v>
      </c>
    </row>
    <row r="1413" spans="3:9">
      <c r="C1413" s="23">
        <v>206</v>
      </c>
      <c r="D1413" s="23" t="s">
        <v>132</v>
      </c>
      <c r="E1413" s="23" t="str">
        <f>Contributions_Data!A31</f>
        <v>DA-002</v>
      </c>
      <c r="F1413" s="23" t="str">
        <f>Contributions_Data!B31</f>
        <v>DA-002-M0003</v>
      </c>
      <c r="G1413" s="24">
        <f>Contributions_Data!C31</f>
        <v>45501</v>
      </c>
      <c r="H1413" s="27">
        <f>Contributions_Data!D31</f>
        <v>14920.46</v>
      </c>
      <c r="I1413" s="27">
        <v>0</v>
      </c>
    </row>
    <row r="1414" spans="3:9">
      <c r="C1414" s="23">
        <v>207</v>
      </c>
      <c r="D1414" s="23" t="s">
        <v>132</v>
      </c>
      <c r="E1414" s="23" t="str">
        <f>Contributions_Data!A1083</f>
        <v>DA-002</v>
      </c>
      <c r="F1414" s="23" t="str">
        <f>Contributions_Data!B1083</f>
        <v>DA-002-M0091</v>
      </c>
      <c r="G1414" s="24">
        <f>Contributions_Data!C1083</f>
        <v>45501</v>
      </c>
      <c r="H1414" s="27">
        <f>Contributions_Data!D1083</f>
        <v>14584.63</v>
      </c>
      <c r="I1414" s="27">
        <v>0</v>
      </c>
    </row>
    <row r="1415" spans="3:9">
      <c r="C1415" s="23">
        <v>208</v>
      </c>
      <c r="D1415" s="23" t="s">
        <v>134</v>
      </c>
      <c r="E1415" s="23" t="str">
        <f>Withdrawals_Data!A369</f>
        <v>DA-001</v>
      </c>
      <c r="F1415" s="23" t="str">
        <f>Withdrawals_Data!B369</f>
        <v>DA-001-M0004</v>
      </c>
      <c r="G1415" s="24">
        <f>Withdrawals_Data!C369</f>
        <v>45501</v>
      </c>
      <c r="H1415" s="27">
        <v>0</v>
      </c>
      <c r="I1415" s="27">
        <f>-Withdrawals_Data!D369</f>
        <v>-9021</v>
      </c>
    </row>
    <row r="1416" spans="3:9">
      <c r="C1416" s="23">
        <v>209</v>
      </c>
      <c r="D1416" s="23" t="s">
        <v>134</v>
      </c>
      <c r="E1416" s="23" t="str">
        <f>Withdrawals_Data!A463</f>
        <v>DA-002</v>
      </c>
      <c r="F1416" s="23" t="str">
        <f>Withdrawals_Data!B463</f>
        <v>DA-002-M0017</v>
      </c>
      <c r="G1416" s="24">
        <f>Withdrawals_Data!C463</f>
        <v>45501</v>
      </c>
      <c r="H1416" s="27">
        <v>0</v>
      </c>
      <c r="I1416" s="27">
        <f>-Withdrawals_Data!D463</f>
        <v>-7357</v>
      </c>
    </row>
    <row r="1417" spans="3:9">
      <c r="C1417" s="23">
        <v>210</v>
      </c>
      <c r="D1417" s="23" t="s">
        <v>134</v>
      </c>
      <c r="E1417" s="23" t="str">
        <f>Withdrawals_Data!A507</f>
        <v>DA-002</v>
      </c>
      <c r="F1417" s="23" t="str">
        <f>Withdrawals_Data!B507</f>
        <v>DA-002-M0021</v>
      </c>
      <c r="G1417" s="24">
        <f>Withdrawals_Data!C507</f>
        <v>45501</v>
      </c>
      <c r="H1417" s="27">
        <v>0</v>
      </c>
      <c r="I1417" s="27">
        <f>-Withdrawals_Data!D507</f>
        <v>-2626</v>
      </c>
    </row>
    <row r="1418" spans="3:9">
      <c r="C1418" s="23">
        <v>211</v>
      </c>
      <c r="D1418" s="23" t="s">
        <v>132</v>
      </c>
      <c r="E1418" s="23" t="str">
        <f>Contributions_Data!A3</f>
        <v>DA-003</v>
      </c>
      <c r="F1418" s="23" t="str">
        <f>Contributions_Data!B3</f>
        <v>DA-003-M0001</v>
      </c>
      <c r="G1418" s="24">
        <f>Contributions_Data!C3</f>
        <v>45502</v>
      </c>
      <c r="H1418" s="27">
        <f>Contributions_Data!D3</f>
        <v>14102.98</v>
      </c>
      <c r="I1418" s="27">
        <v>0</v>
      </c>
    </row>
    <row r="1419" spans="3:9">
      <c r="C1419" s="23">
        <v>212</v>
      </c>
      <c r="D1419" s="23" t="s">
        <v>132</v>
      </c>
      <c r="E1419" s="23" t="str">
        <f>Contributions_Data!A57</f>
        <v>DA-003</v>
      </c>
      <c r="F1419" s="23" t="str">
        <f>Contributions_Data!B57</f>
        <v>DA-003-M0005</v>
      </c>
      <c r="G1419" s="24">
        <f>Contributions_Data!C57</f>
        <v>45502</v>
      </c>
      <c r="H1419" s="27">
        <f>Contributions_Data!D57</f>
        <v>15751.48</v>
      </c>
      <c r="I1419" s="27">
        <v>0</v>
      </c>
    </row>
    <row r="1420" spans="3:9">
      <c r="C1420" s="23">
        <v>213</v>
      </c>
      <c r="D1420" s="23" t="s">
        <v>132</v>
      </c>
      <c r="E1420" s="23" t="str">
        <f>Contributions_Data!A565</f>
        <v>DA-003</v>
      </c>
      <c r="F1420" s="23" t="str">
        <f>Contributions_Data!B565</f>
        <v>DA-003-M0047</v>
      </c>
      <c r="G1420" s="24">
        <f>Contributions_Data!C565</f>
        <v>45502</v>
      </c>
      <c r="H1420" s="27">
        <f>Contributions_Data!D565</f>
        <v>13451.87</v>
      </c>
      <c r="I1420" s="27">
        <v>0</v>
      </c>
    </row>
    <row r="1421" spans="3:9">
      <c r="C1421" s="23">
        <v>214</v>
      </c>
      <c r="D1421" s="23" t="s">
        <v>132</v>
      </c>
      <c r="E1421" s="23" t="str">
        <f>Contributions_Data!A666</f>
        <v>DA-001</v>
      </c>
      <c r="F1421" s="23" t="str">
        <f>Contributions_Data!B666</f>
        <v>DA-001-M0056</v>
      </c>
      <c r="G1421" s="24">
        <f>Contributions_Data!C666</f>
        <v>45502</v>
      </c>
      <c r="H1421" s="27">
        <f>Contributions_Data!D666</f>
        <v>20643.47</v>
      </c>
      <c r="I1421" s="27">
        <v>0</v>
      </c>
    </row>
    <row r="1422" spans="3:9">
      <c r="C1422" s="23">
        <v>215</v>
      </c>
      <c r="D1422" s="23" t="s">
        <v>132</v>
      </c>
      <c r="E1422" s="23" t="str">
        <f>Contributions_Data!A1189</f>
        <v>DA-003</v>
      </c>
      <c r="F1422" s="23" t="str">
        <f>Contributions_Data!B1189</f>
        <v>DA-003-M0099</v>
      </c>
      <c r="G1422" s="24">
        <f>Contributions_Data!C1189</f>
        <v>45502</v>
      </c>
      <c r="H1422" s="27">
        <f>Contributions_Data!D1189</f>
        <v>12815.99</v>
      </c>
      <c r="I1422" s="27">
        <v>0</v>
      </c>
    </row>
    <row r="1423" spans="3:9">
      <c r="C1423" s="23">
        <v>216</v>
      </c>
      <c r="D1423" s="23" t="s">
        <v>134</v>
      </c>
      <c r="E1423" s="23" t="str">
        <f>Withdrawals_Data!A26</f>
        <v>DA-002</v>
      </c>
      <c r="F1423" s="23" t="str">
        <f>Withdrawals_Data!B26</f>
        <v>DA-002-M0051</v>
      </c>
      <c r="G1423" s="24">
        <f>Withdrawals_Data!C26</f>
        <v>45502</v>
      </c>
      <c r="H1423" s="27">
        <v>0</v>
      </c>
      <c r="I1423" s="27">
        <f>-Withdrawals_Data!D26</f>
        <v>-13682.02</v>
      </c>
    </row>
    <row r="1424" spans="3:9">
      <c r="C1424" s="23">
        <v>217</v>
      </c>
      <c r="D1424" s="23" t="s">
        <v>134</v>
      </c>
      <c r="E1424" s="23" t="str">
        <f>Withdrawals_Data!A70</f>
        <v>DA-003</v>
      </c>
      <c r="F1424" s="23" t="str">
        <f>Withdrawals_Data!B70</f>
        <v>DA-003-M0005</v>
      </c>
      <c r="G1424" s="24">
        <f>Withdrawals_Data!C70</f>
        <v>45502</v>
      </c>
      <c r="H1424" s="27">
        <v>0</v>
      </c>
      <c r="I1424" s="27">
        <f>-Withdrawals_Data!D70</f>
        <v>-11127.29</v>
      </c>
    </row>
    <row r="1425" spans="3:9">
      <c r="C1425" s="23">
        <v>218</v>
      </c>
      <c r="D1425" s="23" t="s">
        <v>134</v>
      </c>
      <c r="E1425" s="23" t="str">
        <f>Withdrawals_Data!A351</f>
        <v>DA-001</v>
      </c>
      <c r="F1425" s="23" t="str">
        <f>Withdrawals_Data!B351</f>
        <v>DA-001-M0002</v>
      </c>
      <c r="G1425" s="24">
        <f>Withdrawals_Data!C351</f>
        <v>45502</v>
      </c>
      <c r="H1425" s="27">
        <v>0</v>
      </c>
      <c r="I1425" s="27">
        <f>-Withdrawals_Data!D351</f>
        <v>-12529</v>
      </c>
    </row>
    <row r="1426" spans="3:9">
      <c r="C1426" s="23">
        <v>219</v>
      </c>
      <c r="D1426" s="23" t="s">
        <v>134</v>
      </c>
      <c r="E1426" s="23" t="str">
        <f>Withdrawals_Data!A638</f>
        <v>DA-003</v>
      </c>
      <c r="F1426" s="23" t="str">
        <f>Withdrawals_Data!B638</f>
        <v>DA-003-M0036</v>
      </c>
      <c r="G1426" s="24">
        <f>Withdrawals_Data!C638</f>
        <v>45502</v>
      </c>
      <c r="H1426" s="27">
        <v>0</v>
      </c>
      <c r="I1426" s="27">
        <f>-Withdrawals_Data!D638</f>
        <v>-3694</v>
      </c>
    </row>
    <row r="1427" spans="3:9">
      <c r="C1427" s="23">
        <v>220</v>
      </c>
      <c r="D1427" s="23" t="s">
        <v>134</v>
      </c>
      <c r="E1427" s="23" t="str">
        <f>Withdrawals_Data!A721</f>
        <v>DA-003</v>
      </c>
      <c r="F1427" s="23" t="str">
        <f>Withdrawals_Data!B721</f>
        <v>DA-003-M0045</v>
      </c>
      <c r="G1427" s="24">
        <f>Withdrawals_Data!C721</f>
        <v>45502</v>
      </c>
      <c r="H1427" s="27">
        <v>0</v>
      </c>
      <c r="I1427" s="27">
        <f>-Withdrawals_Data!D721</f>
        <v>-6554</v>
      </c>
    </row>
    <row r="1428" spans="3:9">
      <c r="C1428" s="23">
        <v>221</v>
      </c>
      <c r="D1428" s="23" t="s">
        <v>134</v>
      </c>
      <c r="E1428" s="23" t="str">
        <f>Withdrawals_Data!A799</f>
        <v>DA-002</v>
      </c>
      <c r="F1428" s="23" t="str">
        <f>Withdrawals_Data!B799</f>
        <v>DA-002-M0054</v>
      </c>
      <c r="G1428" s="24">
        <f>Withdrawals_Data!C799</f>
        <v>45502</v>
      </c>
      <c r="H1428" s="27">
        <v>0</v>
      </c>
      <c r="I1428" s="27">
        <f>-Withdrawals_Data!D799</f>
        <v>-6266</v>
      </c>
    </row>
    <row r="1429" spans="3:9">
      <c r="C1429" s="23">
        <v>222</v>
      </c>
      <c r="D1429" s="23" t="s">
        <v>134</v>
      </c>
      <c r="E1429" s="23" t="str">
        <f>Withdrawals_Data!A891</f>
        <v>DA-002</v>
      </c>
      <c r="F1429" s="23" t="str">
        <f>Withdrawals_Data!B891</f>
        <v>DA-002-M0064</v>
      </c>
      <c r="G1429" s="24">
        <f>Withdrawals_Data!C891</f>
        <v>45502</v>
      </c>
      <c r="H1429" s="27">
        <v>0</v>
      </c>
      <c r="I1429" s="27">
        <f>-Withdrawals_Data!D891</f>
        <v>-3088</v>
      </c>
    </row>
    <row r="1430" spans="3:9">
      <c r="C1430" s="23">
        <v>223</v>
      </c>
      <c r="D1430" s="23" t="s">
        <v>132</v>
      </c>
      <c r="E1430" s="23" t="str">
        <f>Contributions_Data!A169</f>
        <v>DA-003</v>
      </c>
      <c r="F1430" s="23" t="str">
        <f>Contributions_Data!B169</f>
        <v>DA-003-M0014</v>
      </c>
      <c r="G1430" s="24">
        <f>Contributions_Data!C169</f>
        <v>45503</v>
      </c>
      <c r="H1430" s="27">
        <f>Contributions_Data!D169</f>
        <v>16888.89</v>
      </c>
      <c r="I1430" s="27">
        <v>0</v>
      </c>
    </row>
    <row r="1431" spans="3:9">
      <c r="C1431" s="23">
        <v>224</v>
      </c>
      <c r="D1431" s="23" t="s">
        <v>132</v>
      </c>
      <c r="E1431" s="23" t="str">
        <f>Contributions_Data!A1198</f>
        <v>DA-003</v>
      </c>
      <c r="F1431" s="23" t="str">
        <f>Contributions_Data!B1198</f>
        <v>DA-003-M0100</v>
      </c>
      <c r="G1431" s="24">
        <f>Contributions_Data!C1198</f>
        <v>45503</v>
      </c>
      <c r="H1431" s="27">
        <f>Contributions_Data!D1198</f>
        <v>14124.57</v>
      </c>
      <c r="I1431" s="27">
        <v>0</v>
      </c>
    </row>
    <row r="1432" spans="3:9">
      <c r="C1432" s="23">
        <v>225</v>
      </c>
      <c r="D1432" s="23" t="s">
        <v>134</v>
      </c>
      <c r="E1432" s="23" t="str">
        <f>Withdrawals_Data!A36</f>
        <v>DA-001</v>
      </c>
      <c r="F1432" s="23" t="str">
        <f>Withdrawals_Data!B36</f>
        <v>DA-001-M0092</v>
      </c>
      <c r="G1432" s="24">
        <f>Withdrawals_Data!C36</f>
        <v>45503</v>
      </c>
      <c r="H1432" s="27">
        <v>0</v>
      </c>
      <c r="I1432" s="27">
        <f>-Withdrawals_Data!D36</f>
        <v>-13050.34</v>
      </c>
    </row>
    <row r="1433" spans="3:9">
      <c r="C1433" s="23">
        <v>226</v>
      </c>
      <c r="D1433" s="23" t="s">
        <v>134</v>
      </c>
      <c r="E1433" s="23" t="str">
        <f>Withdrawals_Data!A635</f>
        <v>DA-003</v>
      </c>
      <c r="F1433" s="23" t="str">
        <f>Withdrawals_Data!B635</f>
        <v>DA-003-M0036</v>
      </c>
      <c r="G1433" s="24">
        <f>Withdrawals_Data!C635</f>
        <v>45503</v>
      </c>
      <c r="H1433" s="27">
        <v>0</v>
      </c>
      <c r="I1433" s="27">
        <f>-Withdrawals_Data!D635</f>
        <v>-2411</v>
      </c>
    </row>
    <row r="1434" spans="3:9">
      <c r="C1434" s="23">
        <v>227</v>
      </c>
      <c r="D1434" s="23" t="s">
        <v>134</v>
      </c>
      <c r="E1434" s="23" t="str">
        <f>Withdrawals_Data!A963</f>
        <v>DA-001</v>
      </c>
      <c r="F1434" s="23" t="str">
        <f>Withdrawals_Data!B963</f>
        <v>DA-001-M0073</v>
      </c>
      <c r="G1434" s="24">
        <f>Withdrawals_Data!C963</f>
        <v>45503</v>
      </c>
      <c r="H1434" s="27">
        <v>0</v>
      </c>
      <c r="I1434" s="27">
        <f>-Withdrawals_Data!D963</f>
        <v>-14074</v>
      </c>
    </row>
    <row r="1435" spans="3:9">
      <c r="C1435" s="23">
        <v>228</v>
      </c>
      <c r="D1435" s="23" t="s">
        <v>132</v>
      </c>
      <c r="E1435" s="23" t="str">
        <f>Contributions_Data!A69</f>
        <v>DA-003</v>
      </c>
      <c r="F1435" s="23" t="str">
        <f>Contributions_Data!B69</f>
        <v>DA-003-M0006</v>
      </c>
      <c r="G1435" s="24">
        <f>Contributions_Data!C69</f>
        <v>45504</v>
      </c>
      <c r="H1435" s="27">
        <f>Contributions_Data!D69</f>
        <v>17466.18</v>
      </c>
      <c r="I1435" s="27">
        <v>0</v>
      </c>
    </row>
    <row r="1436" spans="3:9">
      <c r="C1436" s="23">
        <v>229</v>
      </c>
      <c r="D1436" s="23" t="s">
        <v>132</v>
      </c>
      <c r="E1436" s="23" t="str">
        <f>Contributions_Data!A96</f>
        <v>DA-003</v>
      </c>
      <c r="F1436" s="23" t="str">
        <f>Contributions_Data!B96</f>
        <v>DA-003-M0008</v>
      </c>
      <c r="G1436" s="24">
        <f>Contributions_Data!C96</f>
        <v>45504</v>
      </c>
      <c r="H1436" s="27">
        <f>Contributions_Data!D96</f>
        <v>18161.41</v>
      </c>
      <c r="I1436" s="27">
        <v>0</v>
      </c>
    </row>
    <row r="1437" spans="3:9">
      <c r="C1437" s="23">
        <v>230</v>
      </c>
      <c r="D1437" s="23" t="s">
        <v>132</v>
      </c>
      <c r="E1437" s="23" t="str">
        <f>Contributions_Data!A170</f>
        <v>DA-003</v>
      </c>
      <c r="F1437" s="23" t="str">
        <f>Contributions_Data!B170</f>
        <v>DA-003-M0015</v>
      </c>
      <c r="G1437" s="24">
        <f>Contributions_Data!C170</f>
        <v>45504</v>
      </c>
      <c r="H1437" s="27">
        <f>Contributions_Data!D170</f>
        <v>13319.46</v>
      </c>
      <c r="I1437" s="27">
        <v>0</v>
      </c>
    </row>
    <row r="1438" spans="3:9">
      <c r="C1438" s="23">
        <v>231</v>
      </c>
      <c r="D1438" s="23" t="s">
        <v>132</v>
      </c>
      <c r="E1438" s="23" t="str">
        <f>Contributions_Data!A340</f>
        <v>DA-003</v>
      </c>
      <c r="F1438" s="23" t="str">
        <f>Contributions_Data!B340</f>
        <v>DA-003-M0029</v>
      </c>
      <c r="G1438" s="24">
        <f>Contributions_Data!C340</f>
        <v>45504</v>
      </c>
      <c r="H1438" s="27">
        <f>Contributions_Data!D340</f>
        <v>17254.16</v>
      </c>
      <c r="I1438" s="27">
        <v>0</v>
      </c>
    </row>
    <row r="1439" spans="3:9">
      <c r="C1439" s="23">
        <v>232</v>
      </c>
      <c r="D1439" s="23" t="s">
        <v>132</v>
      </c>
      <c r="E1439" s="23" t="str">
        <f>Contributions_Data!A522</f>
        <v>DA-002</v>
      </c>
      <c r="F1439" s="23" t="str">
        <f>Contributions_Data!B522</f>
        <v>DA-002-M0044</v>
      </c>
      <c r="G1439" s="24">
        <f>Contributions_Data!C522</f>
        <v>45504</v>
      </c>
      <c r="H1439" s="27">
        <f>Contributions_Data!D522</f>
        <v>13165.45</v>
      </c>
      <c r="I1439" s="27">
        <v>0</v>
      </c>
    </row>
    <row r="1440" spans="3:9">
      <c r="C1440" s="23">
        <v>233</v>
      </c>
      <c r="D1440" s="23" t="s">
        <v>132</v>
      </c>
      <c r="E1440" s="23" t="str">
        <f>Contributions_Data!A727</f>
        <v>DA-003</v>
      </c>
      <c r="F1440" s="23" t="str">
        <f>Contributions_Data!B727</f>
        <v>DA-003-M0061</v>
      </c>
      <c r="G1440" s="24">
        <f>Contributions_Data!C727</f>
        <v>45504</v>
      </c>
      <c r="H1440" s="27">
        <f>Contributions_Data!D727</f>
        <v>16180.46</v>
      </c>
      <c r="I1440" s="27">
        <v>0</v>
      </c>
    </row>
    <row r="1441" spans="3:9">
      <c r="C1441" s="23">
        <v>234</v>
      </c>
      <c r="D1441" s="23" t="s">
        <v>132</v>
      </c>
      <c r="E1441" s="23" t="str">
        <f>Contributions_Data!A1058</f>
        <v>DA-002</v>
      </c>
      <c r="F1441" s="23" t="str">
        <f>Contributions_Data!B1058</f>
        <v>DA-002-M0089</v>
      </c>
      <c r="G1441" s="24">
        <f>Contributions_Data!C1058</f>
        <v>45504</v>
      </c>
      <c r="H1441" s="27">
        <f>Contributions_Data!D1058</f>
        <v>21168.62</v>
      </c>
      <c r="I1441" s="27">
        <v>0</v>
      </c>
    </row>
    <row r="1442" spans="3:9">
      <c r="C1442" s="23">
        <v>235</v>
      </c>
      <c r="D1442" s="23" t="s">
        <v>134</v>
      </c>
      <c r="E1442" s="23" t="str">
        <f>Withdrawals_Data!A391</f>
        <v>DA-003</v>
      </c>
      <c r="F1442" s="23" t="str">
        <f>Withdrawals_Data!B391</f>
        <v>DA-003-M0007</v>
      </c>
      <c r="G1442" s="24">
        <f>Withdrawals_Data!C391</f>
        <v>45504</v>
      </c>
      <c r="H1442" s="27">
        <v>0</v>
      </c>
      <c r="I1442" s="27">
        <f>-Withdrawals_Data!D391</f>
        <v>-16243</v>
      </c>
    </row>
    <row r="1443" spans="3:9">
      <c r="C1443" s="23">
        <v>236</v>
      </c>
      <c r="D1443" s="23" t="s">
        <v>134</v>
      </c>
      <c r="E1443" s="23" t="str">
        <f>Withdrawals_Data!A727</f>
        <v>DA-001</v>
      </c>
      <c r="F1443" s="23" t="str">
        <f>Withdrawals_Data!B727</f>
        <v>DA-001-M0046</v>
      </c>
      <c r="G1443" s="24">
        <f>Withdrawals_Data!C727</f>
        <v>45504</v>
      </c>
      <c r="H1443" s="27">
        <v>0</v>
      </c>
      <c r="I1443" s="27">
        <f>-Withdrawals_Data!D727</f>
        <v>-9741</v>
      </c>
    </row>
    <row r="1444" spans="3:9">
      <c r="C1444" s="23">
        <v>237</v>
      </c>
      <c r="D1444" s="23" t="s">
        <v>134</v>
      </c>
      <c r="E1444" s="23" t="str">
        <f>Withdrawals_Data!A807</f>
        <v>DA-001</v>
      </c>
      <c r="F1444" s="23" t="str">
        <f>Withdrawals_Data!B807</f>
        <v>DA-001-M0055</v>
      </c>
      <c r="G1444" s="24">
        <f>Withdrawals_Data!C807</f>
        <v>45504</v>
      </c>
      <c r="H1444" s="27">
        <v>0</v>
      </c>
      <c r="I1444" s="27">
        <f>-Withdrawals_Data!D807</f>
        <v>-12732</v>
      </c>
    </row>
    <row r="1445" spans="3:9">
      <c r="C1445" s="23">
        <v>238</v>
      </c>
      <c r="D1445" s="23" t="s">
        <v>134</v>
      </c>
      <c r="E1445" s="23" t="str">
        <f>Withdrawals_Data!A1080</f>
        <v>DA-003</v>
      </c>
      <c r="F1445" s="23" t="str">
        <f>Withdrawals_Data!B1080</f>
        <v>DA-003-M0086</v>
      </c>
      <c r="G1445" s="24">
        <f>Withdrawals_Data!C1080</f>
        <v>45504</v>
      </c>
      <c r="H1445" s="27">
        <v>0</v>
      </c>
      <c r="I1445" s="27">
        <f>-Withdrawals_Data!D1080</f>
        <v>-1510</v>
      </c>
    </row>
    <row r="1446" spans="3:9">
      <c r="C1446" s="23">
        <v>239</v>
      </c>
      <c r="D1446" s="23" t="s">
        <v>132</v>
      </c>
      <c r="E1446" s="23" t="str">
        <f>Contributions_Data!A141</f>
        <v>DA-003</v>
      </c>
      <c r="F1446" s="23" t="str">
        <f>Contributions_Data!B141</f>
        <v>DA-003-M0012</v>
      </c>
      <c r="G1446" s="24">
        <f>Contributions_Data!C141</f>
        <v>45505</v>
      </c>
      <c r="H1446" s="27">
        <f>Contributions_Data!D141</f>
        <v>11926.84</v>
      </c>
      <c r="I1446" s="27">
        <v>0</v>
      </c>
    </row>
    <row r="1447" spans="3:9">
      <c r="C1447" s="23">
        <v>240</v>
      </c>
      <c r="D1447" s="23" t="s">
        <v>132</v>
      </c>
      <c r="E1447" s="23" t="str">
        <f>Contributions_Data!A720</f>
        <v>DA-002</v>
      </c>
      <c r="F1447" s="23" t="str">
        <f>Contributions_Data!B720</f>
        <v>DA-002-M0060</v>
      </c>
      <c r="G1447" s="24">
        <f>Contributions_Data!C720</f>
        <v>45505</v>
      </c>
      <c r="H1447" s="27">
        <f>Contributions_Data!D720</f>
        <v>20393.060000000001</v>
      </c>
      <c r="I1447" s="27">
        <v>0</v>
      </c>
    </row>
    <row r="1448" spans="3:9">
      <c r="C1448" s="23">
        <v>241</v>
      </c>
      <c r="D1448" s="23" t="s">
        <v>132</v>
      </c>
      <c r="E1448" s="23" t="str">
        <f>Contributions_Data!A974</f>
        <v>DA-003</v>
      </c>
      <c r="F1448" s="23" t="str">
        <f>Contributions_Data!B974</f>
        <v>DA-003-M0082</v>
      </c>
      <c r="G1448" s="24">
        <f>Contributions_Data!C974</f>
        <v>45505</v>
      </c>
      <c r="H1448" s="27">
        <f>Contributions_Data!D974</f>
        <v>9073.6</v>
      </c>
      <c r="I1448" s="27">
        <v>0</v>
      </c>
    </row>
    <row r="1449" spans="3:9">
      <c r="C1449" s="23">
        <v>242</v>
      </c>
      <c r="D1449" s="23" t="s">
        <v>132</v>
      </c>
      <c r="E1449" s="23" t="str">
        <f>Contributions_Data!A247</f>
        <v>DA-002</v>
      </c>
      <c r="F1449" s="23" t="str">
        <f>Contributions_Data!B247</f>
        <v>DA-002-M0021</v>
      </c>
      <c r="G1449" s="24">
        <f>Contributions_Data!C247</f>
        <v>45506</v>
      </c>
      <c r="H1449" s="27">
        <f>Contributions_Data!D247</f>
        <v>10216.719999999999</v>
      </c>
      <c r="I1449" s="27">
        <v>0</v>
      </c>
    </row>
    <row r="1450" spans="3:9">
      <c r="C1450" s="23">
        <v>243</v>
      </c>
      <c r="D1450" s="23" t="s">
        <v>132</v>
      </c>
      <c r="E1450" s="23" t="str">
        <f>Contributions_Data!A388</f>
        <v>DA-002</v>
      </c>
      <c r="F1450" s="23" t="str">
        <f>Contributions_Data!B388</f>
        <v>DA-002-M0033</v>
      </c>
      <c r="G1450" s="24">
        <f>Contributions_Data!C388</f>
        <v>45506</v>
      </c>
      <c r="H1450" s="27">
        <f>Contributions_Data!D388</f>
        <v>18431.259999999998</v>
      </c>
      <c r="I1450" s="27">
        <v>0</v>
      </c>
    </row>
    <row r="1451" spans="3:9">
      <c r="C1451" s="23">
        <v>244</v>
      </c>
      <c r="D1451" s="23" t="s">
        <v>132</v>
      </c>
      <c r="E1451" s="23" t="str">
        <f>Contributions_Data!A535</f>
        <v>DA-003</v>
      </c>
      <c r="F1451" s="23" t="str">
        <f>Contributions_Data!B535</f>
        <v>DA-003-M0045</v>
      </c>
      <c r="G1451" s="24">
        <f>Contributions_Data!C535</f>
        <v>45506</v>
      </c>
      <c r="H1451" s="27">
        <f>Contributions_Data!D535</f>
        <v>18447.82</v>
      </c>
      <c r="I1451" s="27">
        <v>0</v>
      </c>
    </row>
    <row r="1452" spans="3:9">
      <c r="C1452" s="23">
        <v>245</v>
      </c>
      <c r="D1452" s="23" t="s">
        <v>132</v>
      </c>
      <c r="E1452" s="23" t="str">
        <f>Contributions_Data!A789</f>
        <v>DA-003</v>
      </c>
      <c r="F1452" s="23" t="str">
        <f>Contributions_Data!B789</f>
        <v>DA-003-M0066</v>
      </c>
      <c r="G1452" s="24">
        <f>Contributions_Data!C789</f>
        <v>45506</v>
      </c>
      <c r="H1452" s="27">
        <f>Contributions_Data!D789</f>
        <v>21230.240000000002</v>
      </c>
      <c r="I1452" s="27">
        <v>0</v>
      </c>
    </row>
    <row r="1453" spans="3:9">
      <c r="C1453" s="23">
        <v>246</v>
      </c>
      <c r="D1453" s="23" t="s">
        <v>134</v>
      </c>
      <c r="E1453" s="23" t="str">
        <f>Withdrawals_Data!A74</f>
        <v>DA-003</v>
      </c>
      <c r="F1453" s="23" t="str">
        <f>Withdrawals_Data!B74</f>
        <v>DA-003-M0061</v>
      </c>
      <c r="G1453" s="24">
        <f>Withdrawals_Data!C74</f>
        <v>45506</v>
      </c>
      <c r="H1453" s="27">
        <v>0</v>
      </c>
      <c r="I1453" s="27">
        <f>-Withdrawals_Data!D74</f>
        <v>-10792.89</v>
      </c>
    </row>
    <row r="1454" spans="3:9">
      <c r="C1454" s="23">
        <v>247</v>
      </c>
      <c r="D1454" s="23" t="s">
        <v>134</v>
      </c>
      <c r="E1454" s="23" t="str">
        <f>Withdrawals_Data!A402</f>
        <v>DA-001</v>
      </c>
      <c r="F1454" s="23" t="str">
        <f>Withdrawals_Data!B402</f>
        <v>DA-001-M0009</v>
      </c>
      <c r="G1454" s="24">
        <f>Withdrawals_Data!C402</f>
        <v>45506</v>
      </c>
      <c r="H1454" s="27">
        <v>0</v>
      </c>
      <c r="I1454" s="27">
        <f>-Withdrawals_Data!D402</f>
        <v>-20039</v>
      </c>
    </row>
    <row r="1455" spans="3:9">
      <c r="C1455" s="23">
        <v>248</v>
      </c>
      <c r="D1455" s="23" t="s">
        <v>134</v>
      </c>
      <c r="E1455" s="23" t="str">
        <f>Withdrawals_Data!A680</f>
        <v>DA-002</v>
      </c>
      <c r="F1455" s="23" t="str">
        <f>Withdrawals_Data!B680</f>
        <v>DA-002-M0041</v>
      </c>
      <c r="G1455" s="24">
        <f>Withdrawals_Data!C680</f>
        <v>45506</v>
      </c>
      <c r="H1455" s="27">
        <v>0</v>
      </c>
      <c r="I1455" s="27">
        <f>-Withdrawals_Data!D680</f>
        <v>-8199</v>
      </c>
    </row>
    <row r="1456" spans="3:9">
      <c r="C1456" s="23">
        <v>249</v>
      </c>
      <c r="D1456" s="23" t="s">
        <v>132</v>
      </c>
      <c r="E1456" s="23" t="str">
        <f>Contributions_Data!A19</f>
        <v>DA-001</v>
      </c>
      <c r="F1456" s="23" t="str">
        <f>Contributions_Data!B19</f>
        <v>DA-001-M0002</v>
      </c>
      <c r="G1456" s="24">
        <f>Contributions_Data!C19</f>
        <v>45507</v>
      </c>
      <c r="H1456" s="27">
        <f>Contributions_Data!D19</f>
        <v>15015.34</v>
      </c>
      <c r="I1456" s="27">
        <v>0</v>
      </c>
    </row>
    <row r="1457" spans="3:9">
      <c r="C1457" s="23">
        <v>250</v>
      </c>
      <c r="D1457" s="23" t="s">
        <v>132</v>
      </c>
      <c r="E1457" s="23" t="str">
        <f>Contributions_Data!A1127</f>
        <v>DA-002</v>
      </c>
      <c r="F1457" s="23" t="str">
        <f>Contributions_Data!B1127</f>
        <v>DA-002-M0094</v>
      </c>
      <c r="G1457" s="24">
        <f>Contributions_Data!C1127</f>
        <v>45507</v>
      </c>
      <c r="H1457" s="27">
        <f>Contributions_Data!D1127</f>
        <v>20562.28</v>
      </c>
      <c r="I1457" s="27">
        <v>0</v>
      </c>
    </row>
    <row r="1458" spans="3:9">
      <c r="C1458" s="23">
        <v>251</v>
      </c>
      <c r="D1458" s="23" t="s">
        <v>134</v>
      </c>
      <c r="E1458" s="23" t="str">
        <f>Withdrawals_Data!A83</f>
        <v>DA-001</v>
      </c>
      <c r="F1458" s="23" t="str">
        <f>Withdrawals_Data!B83</f>
        <v>DA-001-M0071</v>
      </c>
      <c r="G1458" s="24">
        <f>Withdrawals_Data!C83</f>
        <v>45507</v>
      </c>
      <c r="H1458" s="27">
        <v>0</v>
      </c>
      <c r="I1458" s="27">
        <f>-Withdrawals_Data!D83</f>
        <v>-10379.02</v>
      </c>
    </row>
    <row r="1459" spans="3:9">
      <c r="C1459" s="23">
        <v>252</v>
      </c>
      <c r="D1459" s="23" t="s">
        <v>134</v>
      </c>
      <c r="E1459" s="23" t="str">
        <f>Withdrawals_Data!A993</f>
        <v>DA-003</v>
      </c>
      <c r="F1459" s="23" t="str">
        <f>Withdrawals_Data!B993</f>
        <v>DA-003-M0077</v>
      </c>
      <c r="G1459" s="24">
        <f>Withdrawals_Data!C993</f>
        <v>45507</v>
      </c>
      <c r="H1459" s="27">
        <v>0</v>
      </c>
      <c r="I1459" s="27">
        <f>-Withdrawals_Data!D993</f>
        <v>-6412</v>
      </c>
    </row>
    <row r="1460" spans="3:9">
      <c r="C1460" s="23">
        <v>253</v>
      </c>
      <c r="D1460" s="23" t="s">
        <v>134</v>
      </c>
      <c r="E1460" s="23" t="str">
        <f>Withdrawals_Data!A1039</f>
        <v>DA-003</v>
      </c>
      <c r="F1460" s="23" t="str">
        <f>Withdrawals_Data!B1039</f>
        <v>DA-003-M0082</v>
      </c>
      <c r="G1460" s="24">
        <f>Withdrawals_Data!C1039</f>
        <v>45507</v>
      </c>
      <c r="H1460" s="27">
        <v>0</v>
      </c>
      <c r="I1460" s="27">
        <f>-Withdrawals_Data!D1039</f>
        <v>-20324</v>
      </c>
    </row>
    <row r="1461" spans="3:9">
      <c r="C1461" s="23">
        <v>254</v>
      </c>
      <c r="D1461" s="23" t="s">
        <v>132</v>
      </c>
      <c r="E1461" s="23" t="str">
        <f>Contributions_Data!A7</f>
        <v>DA-003</v>
      </c>
      <c r="F1461" s="23" t="str">
        <f>Contributions_Data!B7</f>
        <v>DA-003-M0001</v>
      </c>
      <c r="G1461" s="24">
        <f>Contributions_Data!C7</f>
        <v>45508</v>
      </c>
      <c r="H1461" s="27">
        <f>Contributions_Data!D7</f>
        <v>19433.68</v>
      </c>
      <c r="I1461" s="27">
        <v>0</v>
      </c>
    </row>
    <row r="1462" spans="3:9">
      <c r="C1462" s="23">
        <v>255</v>
      </c>
      <c r="D1462" s="23" t="s">
        <v>132</v>
      </c>
      <c r="E1462" s="23" t="str">
        <f>Contributions_Data!A245</f>
        <v>DA-002</v>
      </c>
      <c r="F1462" s="23" t="str">
        <f>Contributions_Data!B245</f>
        <v>DA-002-M0021</v>
      </c>
      <c r="G1462" s="24">
        <f>Contributions_Data!C245</f>
        <v>45508</v>
      </c>
      <c r="H1462" s="27">
        <f>Contributions_Data!D245</f>
        <v>9860.6</v>
      </c>
      <c r="I1462" s="27">
        <v>0</v>
      </c>
    </row>
    <row r="1463" spans="3:9">
      <c r="C1463" s="23">
        <v>256</v>
      </c>
      <c r="D1463" s="23" t="s">
        <v>132</v>
      </c>
      <c r="E1463" s="23" t="str">
        <f>Contributions_Data!A424</f>
        <v>DA-003</v>
      </c>
      <c r="F1463" s="23" t="str">
        <f>Contributions_Data!B424</f>
        <v>DA-003-M0036</v>
      </c>
      <c r="G1463" s="24">
        <f>Contributions_Data!C424</f>
        <v>45508</v>
      </c>
      <c r="H1463" s="27">
        <f>Contributions_Data!D424</f>
        <v>19036.259999999998</v>
      </c>
      <c r="I1463" s="27">
        <v>0</v>
      </c>
    </row>
    <row r="1464" spans="3:9">
      <c r="C1464" s="23">
        <v>257</v>
      </c>
      <c r="D1464" s="23" t="s">
        <v>132</v>
      </c>
      <c r="E1464" s="23" t="str">
        <f>Contributions_Data!A464</f>
        <v>DA-002</v>
      </c>
      <c r="F1464" s="23" t="str">
        <f>Contributions_Data!B464</f>
        <v>DA-002-M0039</v>
      </c>
      <c r="G1464" s="24">
        <f>Contributions_Data!C464</f>
        <v>45508</v>
      </c>
      <c r="H1464" s="27">
        <f>Contributions_Data!D464</f>
        <v>17807.04</v>
      </c>
      <c r="I1464" s="27">
        <v>0</v>
      </c>
    </row>
    <row r="1465" spans="3:9">
      <c r="C1465" s="23">
        <v>258</v>
      </c>
      <c r="D1465" s="23" t="s">
        <v>132</v>
      </c>
      <c r="E1465" s="23" t="str">
        <f>Contributions_Data!A780</f>
        <v>DA-001</v>
      </c>
      <c r="F1465" s="23" t="str">
        <f>Contributions_Data!B780</f>
        <v>DA-001-M0065</v>
      </c>
      <c r="G1465" s="24">
        <f>Contributions_Data!C780</f>
        <v>45508</v>
      </c>
      <c r="H1465" s="27">
        <f>Contributions_Data!D780</f>
        <v>16431.12</v>
      </c>
      <c r="I1465" s="27">
        <v>0</v>
      </c>
    </row>
    <row r="1466" spans="3:9">
      <c r="C1466" s="23">
        <v>259</v>
      </c>
      <c r="D1466" s="23" t="s">
        <v>132</v>
      </c>
      <c r="E1466" s="23" t="str">
        <f>Contributions_Data!A858</f>
        <v>DA-002</v>
      </c>
      <c r="F1466" s="23" t="str">
        <f>Contributions_Data!B858</f>
        <v>DA-002-M0072</v>
      </c>
      <c r="G1466" s="24">
        <f>Contributions_Data!C858</f>
        <v>45508</v>
      </c>
      <c r="H1466" s="27">
        <f>Contributions_Data!D858</f>
        <v>14157.97</v>
      </c>
      <c r="I1466" s="27">
        <v>0</v>
      </c>
    </row>
    <row r="1467" spans="3:9">
      <c r="C1467" s="23">
        <v>260</v>
      </c>
      <c r="D1467" s="23" t="s">
        <v>132</v>
      </c>
      <c r="E1467" s="23" t="str">
        <f>Contributions_Data!A890</f>
        <v>DA-001</v>
      </c>
      <c r="F1467" s="23" t="str">
        <f>Contributions_Data!B890</f>
        <v>DA-001-M0075</v>
      </c>
      <c r="G1467" s="24">
        <f>Contributions_Data!C890</f>
        <v>45508</v>
      </c>
      <c r="H1467" s="27">
        <f>Contributions_Data!D890</f>
        <v>21435.45</v>
      </c>
      <c r="I1467" s="27">
        <v>0</v>
      </c>
    </row>
    <row r="1468" spans="3:9">
      <c r="C1468" s="23">
        <v>261</v>
      </c>
      <c r="D1468" s="23" t="s">
        <v>134</v>
      </c>
      <c r="E1468" s="23" t="str">
        <f>Withdrawals_Data!A9</f>
        <v>DA-003</v>
      </c>
      <c r="F1468" s="23" t="str">
        <f>Withdrawals_Data!B9</f>
        <v>DA-003-M0086</v>
      </c>
      <c r="G1468" s="24">
        <f>Withdrawals_Data!C9</f>
        <v>45508</v>
      </c>
      <c r="H1468" s="27">
        <v>0</v>
      </c>
      <c r="I1468" s="27">
        <f>-Withdrawals_Data!D9</f>
        <v>-16053.55</v>
      </c>
    </row>
    <row r="1469" spans="3:9">
      <c r="C1469" s="23">
        <v>262</v>
      </c>
      <c r="D1469" s="23" t="s">
        <v>134</v>
      </c>
      <c r="E1469" s="23" t="str">
        <f>Withdrawals_Data!A814</f>
        <v>DA-001</v>
      </c>
      <c r="F1469" s="23" t="str">
        <f>Withdrawals_Data!B814</f>
        <v>DA-001-M0056</v>
      </c>
      <c r="G1469" s="24">
        <f>Withdrawals_Data!C814</f>
        <v>45508</v>
      </c>
      <c r="H1469" s="27">
        <v>0</v>
      </c>
      <c r="I1469" s="27">
        <f>-Withdrawals_Data!D814</f>
        <v>-3012</v>
      </c>
    </row>
    <row r="1470" spans="3:9">
      <c r="C1470" s="23">
        <v>263</v>
      </c>
      <c r="D1470" s="23" t="s">
        <v>134</v>
      </c>
      <c r="E1470" s="23" t="str">
        <f>Withdrawals_Data!A933</f>
        <v>DA-002</v>
      </c>
      <c r="F1470" s="23" t="str">
        <f>Withdrawals_Data!B933</f>
        <v>DA-002-M0070</v>
      </c>
      <c r="G1470" s="24">
        <f>Withdrawals_Data!C933</f>
        <v>45508</v>
      </c>
      <c r="H1470" s="27">
        <v>0</v>
      </c>
      <c r="I1470" s="27">
        <f>-Withdrawals_Data!D933</f>
        <v>-4196</v>
      </c>
    </row>
    <row r="1471" spans="3:9">
      <c r="C1471" s="23">
        <v>264</v>
      </c>
      <c r="D1471" s="23" t="s">
        <v>132</v>
      </c>
      <c r="E1471" s="23" t="str">
        <f>Contributions_Data!A64</f>
        <v>DA-003</v>
      </c>
      <c r="F1471" s="23" t="str">
        <f>Contributions_Data!B64</f>
        <v>DA-003-M0006</v>
      </c>
      <c r="G1471" s="24">
        <f>Contributions_Data!C64</f>
        <v>45509</v>
      </c>
      <c r="H1471" s="27">
        <f>Contributions_Data!D64</f>
        <v>12075.95</v>
      </c>
      <c r="I1471" s="27">
        <v>0</v>
      </c>
    </row>
    <row r="1472" spans="3:9">
      <c r="C1472" s="23">
        <v>265</v>
      </c>
      <c r="D1472" s="23" t="s">
        <v>132</v>
      </c>
      <c r="E1472" s="23" t="str">
        <f>Contributions_Data!A74</f>
        <v>DA-003</v>
      </c>
      <c r="F1472" s="23" t="str">
        <f>Contributions_Data!B74</f>
        <v>DA-003-M0007</v>
      </c>
      <c r="G1472" s="24">
        <f>Contributions_Data!C74</f>
        <v>45509</v>
      </c>
      <c r="H1472" s="27">
        <f>Contributions_Data!D74</f>
        <v>16023.46</v>
      </c>
      <c r="I1472" s="27">
        <v>0</v>
      </c>
    </row>
    <row r="1473" spans="3:9">
      <c r="C1473" s="23">
        <v>266</v>
      </c>
      <c r="D1473" s="23" t="s">
        <v>132</v>
      </c>
      <c r="E1473" s="23" t="str">
        <f>Contributions_Data!A153</f>
        <v>DA-003</v>
      </c>
      <c r="F1473" s="23" t="str">
        <f>Contributions_Data!B153</f>
        <v>DA-003-M0013</v>
      </c>
      <c r="G1473" s="24">
        <f>Contributions_Data!C153</f>
        <v>45509</v>
      </c>
      <c r="H1473" s="27">
        <f>Contributions_Data!D153</f>
        <v>16986.39</v>
      </c>
      <c r="I1473" s="27">
        <v>0</v>
      </c>
    </row>
    <row r="1474" spans="3:9">
      <c r="C1474" s="23">
        <v>267</v>
      </c>
      <c r="D1474" s="23" t="s">
        <v>132</v>
      </c>
      <c r="E1474" s="23" t="str">
        <f>Contributions_Data!A164</f>
        <v>DA-003</v>
      </c>
      <c r="F1474" s="23" t="str">
        <f>Contributions_Data!B164</f>
        <v>DA-003-M0014</v>
      </c>
      <c r="G1474" s="24">
        <f>Contributions_Data!C164</f>
        <v>45509</v>
      </c>
      <c r="H1474" s="27">
        <f>Contributions_Data!D164</f>
        <v>17548.810000000001</v>
      </c>
      <c r="I1474" s="27">
        <v>0</v>
      </c>
    </row>
    <row r="1475" spans="3:9">
      <c r="C1475" s="23">
        <v>268</v>
      </c>
      <c r="D1475" s="23" t="s">
        <v>132</v>
      </c>
      <c r="E1475" s="23" t="str">
        <f>Contributions_Data!A322</f>
        <v>DA-002</v>
      </c>
      <c r="F1475" s="23" t="str">
        <f>Contributions_Data!B322</f>
        <v>DA-002-M0027</v>
      </c>
      <c r="G1475" s="24">
        <f>Contributions_Data!C322</f>
        <v>45509</v>
      </c>
      <c r="H1475" s="27">
        <f>Contributions_Data!D322</f>
        <v>19569.37</v>
      </c>
      <c r="I1475" s="27">
        <v>0</v>
      </c>
    </row>
    <row r="1476" spans="3:9">
      <c r="C1476" s="23">
        <v>269</v>
      </c>
      <c r="D1476" s="23" t="s">
        <v>132</v>
      </c>
      <c r="E1476" s="23" t="str">
        <f>Contributions_Data!A446</f>
        <v>DA-001</v>
      </c>
      <c r="F1476" s="23" t="str">
        <f>Contributions_Data!B446</f>
        <v>DA-001-M0038</v>
      </c>
      <c r="G1476" s="24">
        <f>Contributions_Data!C446</f>
        <v>45509</v>
      </c>
      <c r="H1476" s="27">
        <f>Contributions_Data!D446</f>
        <v>22720.080000000002</v>
      </c>
      <c r="I1476" s="27">
        <v>0</v>
      </c>
    </row>
    <row r="1477" spans="3:9">
      <c r="C1477" s="23">
        <v>270</v>
      </c>
      <c r="D1477" s="23" t="s">
        <v>134</v>
      </c>
      <c r="E1477" s="23" t="str">
        <f>Withdrawals_Data!A116</f>
        <v>DA-003</v>
      </c>
      <c r="F1477" s="23" t="str">
        <f>Withdrawals_Data!B116</f>
        <v>DA-003-M0008</v>
      </c>
      <c r="G1477" s="24">
        <f>Withdrawals_Data!C116</f>
        <v>45509</v>
      </c>
      <c r="H1477" s="27">
        <v>0</v>
      </c>
      <c r="I1477" s="27">
        <f>-Withdrawals_Data!D116</f>
        <v>-9431.15</v>
      </c>
    </row>
    <row r="1478" spans="3:9">
      <c r="C1478" s="23">
        <v>271</v>
      </c>
      <c r="D1478" s="23" t="s">
        <v>134</v>
      </c>
      <c r="E1478" s="23" t="str">
        <f>Withdrawals_Data!A293</f>
        <v>DA-002</v>
      </c>
      <c r="F1478" s="23" t="str">
        <f>Withdrawals_Data!B293</f>
        <v>DA-002-M0037</v>
      </c>
      <c r="G1478" s="24">
        <f>Withdrawals_Data!C293</f>
        <v>45509</v>
      </c>
      <c r="H1478" s="27">
        <v>0</v>
      </c>
      <c r="I1478" s="27">
        <f>-Withdrawals_Data!D293</f>
        <v>-3573.9</v>
      </c>
    </row>
    <row r="1479" spans="3:9">
      <c r="C1479" s="23">
        <v>272</v>
      </c>
      <c r="D1479" s="23" t="s">
        <v>134</v>
      </c>
      <c r="E1479" s="23" t="str">
        <f>Withdrawals_Data!A610</f>
        <v>DA-002</v>
      </c>
      <c r="F1479" s="23" t="str">
        <f>Withdrawals_Data!B610</f>
        <v>DA-002-M0033</v>
      </c>
      <c r="G1479" s="24">
        <f>Withdrawals_Data!C610</f>
        <v>45509</v>
      </c>
      <c r="H1479" s="27">
        <v>0</v>
      </c>
      <c r="I1479" s="27">
        <f>-Withdrawals_Data!D610</f>
        <v>-13840</v>
      </c>
    </row>
    <row r="1480" spans="3:9">
      <c r="C1480" s="23">
        <v>273</v>
      </c>
      <c r="D1480" s="23" t="s">
        <v>134</v>
      </c>
      <c r="E1480" s="23" t="str">
        <f>Withdrawals_Data!A785</f>
        <v>DA-003</v>
      </c>
      <c r="F1480" s="23" t="str">
        <f>Withdrawals_Data!B785</f>
        <v>DA-003-M0052</v>
      </c>
      <c r="G1480" s="24">
        <f>Withdrawals_Data!C785</f>
        <v>45509</v>
      </c>
      <c r="H1480" s="27">
        <v>0</v>
      </c>
      <c r="I1480" s="27">
        <f>-Withdrawals_Data!D785</f>
        <v>-6670</v>
      </c>
    </row>
    <row r="1481" spans="3:9">
      <c r="C1481" s="23">
        <v>274</v>
      </c>
      <c r="D1481" s="23" t="s">
        <v>134</v>
      </c>
      <c r="E1481" s="23" t="str">
        <f>Withdrawals_Data!A887</f>
        <v>DA-002</v>
      </c>
      <c r="F1481" s="23" t="str">
        <f>Withdrawals_Data!B887</f>
        <v>DA-002-M0063</v>
      </c>
      <c r="G1481" s="24">
        <f>Withdrawals_Data!C887</f>
        <v>45509</v>
      </c>
      <c r="H1481" s="27">
        <v>0</v>
      </c>
      <c r="I1481" s="27">
        <f>-Withdrawals_Data!D887</f>
        <v>-19851</v>
      </c>
    </row>
    <row r="1482" spans="3:9">
      <c r="C1482" s="23">
        <v>275</v>
      </c>
      <c r="D1482" s="23" t="s">
        <v>132</v>
      </c>
      <c r="E1482" s="23" t="str">
        <f>Contributions_Data!A451</f>
        <v>DA-001</v>
      </c>
      <c r="F1482" s="23" t="str">
        <f>Contributions_Data!B451</f>
        <v>DA-001-M0038</v>
      </c>
      <c r="G1482" s="24">
        <f>Contributions_Data!C451</f>
        <v>45510</v>
      </c>
      <c r="H1482" s="27">
        <f>Contributions_Data!D451</f>
        <v>13279.01</v>
      </c>
      <c r="I1482" s="27">
        <v>0</v>
      </c>
    </row>
    <row r="1483" spans="3:9">
      <c r="C1483" s="23">
        <v>276</v>
      </c>
      <c r="D1483" s="23" t="s">
        <v>132</v>
      </c>
      <c r="E1483" s="23" t="str">
        <f>Contributions_Data!A820</f>
        <v>DA-003</v>
      </c>
      <c r="F1483" s="23" t="str">
        <f>Contributions_Data!B820</f>
        <v>DA-003-M0069</v>
      </c>
      <c r="G1483" s="24">
        <f>Contributions_Data!C820</f>
        <v>45510</v>
      </c>
      <c r="H1483" s="27">
        <f>Contributions_Data!D820</f>
        <v>12737.17</v>
      </c>
      <c r="I1483" s="27">
        <v>0</v>
      </c>
    </row>
    <row r="1484" spans="3:9">
      <c r="C1484" s="23">
        <v>277</v>
      </c>
      <c r="D1484" s="23" t="s">
        <v>132</v>
      </c>
      <c r="E1484" s="23" t="str">
        <f>Contributions_Data!A944</f>
        <v>DA-003</v>
      </c>
      <c r="F1484" s="23" t="str">
        <f>Contributions_Data!B944</f>
        <v>DA-003-M0079</v>
      </c>
      <c r="G1484" s="24">
        <f>Contributions_Data!C944</f>
        <v>45510</v>
      </c>
      <c r="H1484" s="27">
        <f>Contributions_Data!D944</f>
        <v>22479</v>
      </c>
      <c r="I1484" s="27">
        <v>0</v>
      </c>
    </row>
    <row r="1485" spans="3:9">
      <c r="C1485" s="23">
        <v>278</v>
      </c>
      <c r="D1485" s="23" t="s">
        <v>134</v>
      </c>
      <c r="E1485" s="23" t="str">
        <f>Withdrawals_Data!A289</f>
        <v>DA-002</v>
      </c>
      <c r="F1485" s="23" t="str">
        <f>Withdrawals_Data!B289</f>
        <v>DA-002-M0040</v>
      </c>
      <c r="G1485" s="24">
        <f>Withdrawals_Data!C289</f>
        <v>45510</v>
      </c>
      <c r="H1485" s="27">
        <v>0</v>
      </c>
      <c r="I1485" s="27">
        <f>-Withdrawals_Data!D289</f>
        <v>-3675.75</v>
      </c>
    </row>
    <row r="1486" spans="3:9">
      <c r="C1486" s="23">
        <v>279</v>
      </c>
      <c r="D1486" s="23" t="s">
        <v>134</v>
      </c>
      <c r="E1486" s="23" t="str">
        <f>Withdrawals_Data!A997</f>
        <v>DA-002</v>
      </c>
      <c r="F1486" s="23" t="str">
        <f>Withdrawals_Data!B997</f>
        <v>DA-002-M0078</v>
      </c>
      <c r="G1486" s="24">
        <f>Withdrawals_Data!C997</f>
        <v>45510</v>
      </c>
      <c r="H1486" s="27">
        <v>0</v>
      </c>
      <c r="I1486" s="27">
        <f>-Withdrawals_Data!D997</f>
        <v>-8722</v>
      </c>
    </row>
    <row r="1487" spans="3:9">
      <c r="C1487" s="23">
        <v>280</v>
      </c>
      <c r="D1487" s="23" t="s">
        <v>134</v>
      </c>
      <c r="E1487" s="23" t="str">
        <f>Withdrawals_Data!A1052</f>
        <v>DA-001</v>
      </c>
      <c r="F1487" s="23" t="str">
        <f>Withdrawals_Data!B1052</f>
        <v>DA-001-M0083</v>
      </c>
      <c r="G1487" s="24">
        <f>Withdrawals_Data!C1052</f>
        <v>45510</v>
      </c>
      <c r="H1487" s="27">
        <v>0</v>
      </c>
      <c r="I1487" s="27">
        <f>-Withdrawals_Data!D1052</f>
        <v>-11723</v>
      </c>
    </row>
    <row r="1488" spans="3:9">
      <c r="C1488" s="23">
        <v>281</v>
      </c>
      <c r="D1488" s="23" t="s">
        <v>134</v>
      </c>
      <c r="E1488" s="23" t="str">
        <f>Withdrawals_Data!A1089</f>
        <v>DA-001</v>
      </c>
      <c r="F1488" s="23" t="str">
        <f>Withdrawals_Data!B1089</f>
        <v>DA-001-M0087</v>
      </c>
      <c r="G1488" s="24">
        <f>Withdrawals_Data!C1089</f>
        <v>45510</v>
      </c>
      <c r="H1488" s="27">
        <v>0</v>
      </c>
      <c r="I1488" s="27">
        <f>-Withdrawals_Data!D1089</f>
        <v>-8956</v>
      </c>
    </row>
    <row r="1489" spans="3:9">
      <c r="C1489" s="23">
        <v>282</v>
      </c>
      <c r="D1489" s="23" t="s">
        <v>132</v>
      </c>
      <c r="E1489" s="23" t="str">
        <f>Contributions_Data!A436</f>
        <v>DA-002</v>
      </c>
      <c r="F1489" s="23" t="str">
        <f>Contributions_Data!B436</f>
        <v>DA-002-M0037</v>
      </c>
      <c r="G1489" s="24">
        <f>Contributions_Data!C436</f>
        <v>45511</v>
      </c>
      <c r="H1489" s="27">
        <f>Contributions_Data!D436</f>
        <v>11114.76</v>
      </c>
      <c r="I1489" s="27">
        <v>0</v>
      </c>
    </row>
    <row r="1490" spans="3:9">
      <c r="C1490" s="23">
        <v>283</v>
      </c>
      <c r="D1490" s="23" t="s">
        <v>132</v>
      </c>
      <c r="E1490" s="23" t="str">
        <f>Contributions_Data!A735</f>
        <v>DA-002</v>
      </c>
      <c r="F1490" s="23" t="str">
        <f>Contributions_Data!B735</f>
        <v>DA-002-M0062</v>
      </c>
      <c r="G1490" s="24">
        <f>Contributions_Data!C735</f>
        <v>45511</v>
      </c>
      <c r="H1490" s="27">
        <f>Contributions_Data!D735</f>
        <v>12932.44</v>
      </c>
      <c r="I1490" s="27">
        <v>0</v>
      </c>
    </row>
    <row r="1491" spans="3:9">
      <c r="C1491" s="23">
        <v>284</v>
      </c>
      <c r="D1491" s="23" t="s">
        <v>132</v>
      </c>
      <c r="E1491" s="23" t="str">
        <f>Contributions_Data!A1041</f>
        <v>DA-001</v>
      </c>
      <c r="F1491" s="23" t="str">
        <f>Contributions_Data!B1041</f>
        <v>DA-001-M0087</v>
      </c>
      <c r="G1491" s="24">
        <f>Contributions_Data!C1041</f>
        <v>45511</v>
      </c>
      <c r="H1491" s="27">
        <f>Contributions_Data!D1041</f>
        <v>17988.14</v>
      </c>
      <c r="I1491" s="27">
        <v>0</v>
      </c>
    </row>
    <row r="1492" spans="3:9">
      <c r="C1492" s="23">
        <v>285</v>
      </c>
      <c r="D1492" s="23" t="s">
        <v>134</v>
      </c>
      <c r="E1492" s="23" t="str">
        <f>Withdrawals_Data!A137</f>
        <v>DA-003</v>
      </c>
      <c r="F1492" s="23" t="str">
        <f>Withdrawals_Data!B137</f>
        <v>DA-003-M0048</v>
      </c>
      <c r="G1492" s="24">
        <f>Withdrawals_Data!C137</f>
        <v>45511</v>
      </c>
      <c r="H1492" s="27">
        <v>0</v>
      </c>
      <c r="I1492" s="27">
        <f>-Withdrawals_Data!D137</f>
        <v>-8888.5400000000009</v>
      </c>
    </row>
    <row r="1493" spans="3:9">
      <c r="C1493" s="23">
        <v>286</v>
      </c>
      <c r="D1493" s="23" t="s">
        <v>134</v>
      </c>
      <c r="E1493" s="23" t="str">
        <f>Withdrawals_Data!A332</f>
        <v>DA-001</v>
      </c>
      <c r="F1493" s="23" t="str">
        <f>Withdrawals_Data!B332</f>
        <v>DA-001-M0043</v>
      </c>
      <c r="G1493" s="24">
        <f>Withdrawals_Data!C332</f>
        <v>45511</v>
      </c>
      <c r="H1493" s="27">
        <v>0</v>
      </c>
      <c r="I1493" s="27">
        <f>-Withdrawals_Data!D332</f>
        <v>-1189.67</v>
      </c>
    </row>
    <row r="1494" spans="3:9">
      <c r="C1494" s="23">
        <v>287</v>
      </c>
      <c r="D1494" s="23" t="s">
        <v>134</v>
      </c>
      <c r="E1494" s="23" t="str">
        <f>Withdrawals_Data!A793</f>
        <v>DA-001</v>
      </c>
      <c r="F1494" s="23" t="str">
        <f>Withdrawals_Data!B793</f>
        <v>DA-001-M0053</v>
      </c>
      <c r="G1494" s="24">
        <f>Withdrawals_Data!C793</f>
        <v>45511</v>
      </c>
      <c r="H1494" s="27">
        <v>0</v>
      </c>
      <c r="I1494" s="27">
        <f>-Withdrawals_Data!D793</f>
        <v>-20497</v>
      </c>
    </row>
    <row r="1495" spans="3:9">
      <c r="C1495" s="23">
        <v>288</v>
      </c>
      <c r="D1495" s="23" t="s">
        <v>134</v>
      </c>
      <c r="E1495" s="23" t="str">
        <f>Withdrawals_Data!A1027</f>
        <v>DA-003</v>
      </c>
      <c r="F1495" s="23" t="str">
        <f>Withdrawals_Data!B1027</f>
        <v>DA-003-M0081</v>
      </c>
      <c r="G1495" s="24">
        <f>Withdrawals_Data!C1027</f>
        <v>45511</v>
      </c>
      <c r="H1495" s="27">
        <v>0</v>
      </c>
      <c r="I1495" s="27">
        <f>-Withdrawals_Data!D1027</f>
        <v>-13974</v>
      </c>
    </row>
    <row r="1496" spans="3:9">
      <c r="C1496" s="23">
        <v>289</v>
      </c>
      <c r="D1496" s="23" t="s">
        <v>132</v>
      </c>
      <c r="E1496" s="23" t="str">
        <f>Contributions_Data!A568</f>
        <v>DA-003</v>
      </c>
      <c r="F1496" s="23" t="str">
        <f>Contributions_Data!B568</f>
        <v>DA-003-M0048</v>
      </c>
      <c r="G1496" s="24">
        <f>Contributions_Data!C568</f>
        <v>45512</v>
      </c>
      <c r="H1496" s="27">
        <f>Contributions_Data!D568</f>
        <v>13563.75</v>
      </c>
      <c r="I1496" s="27">
        <v>0</v>
      </c>
    </row>
    <row r="1497" spans="3:9">
      <c r="C1497" s="23">
        <v>290</v>
      </c>
      <c r="D1497" s="23" t="s">
        <v>132</v>
      </c>
      <c r="E1497" s="23" t="str">
        <f>Contributions_Data!A966</f>
        <v>DA-003</v>
      </c>
      <c r="F1497" s="23" t="str">
        <f>Contributions_Data!B966</f>
        <v>DA-003-M0081</v>
      </c>
      <c r="G1497" s="24">
        <f>Contributions_Data!C966</f>
        <v>45512</v>
      </c>
      <c r="H1497" s="27">
        <f>Contributions_Data!D966</f>
        <v>11064.49</v>
      </c>
      <c r="I1497" s="27">
        <v>0</v>
      </c>
    </row>
    <row r="1498" spans="3:9">
      <c r="C1498" s="23">
        <v>291</v>
      </c>
      <c r="D1498" s="23" t="s">
        <v>134</v>
      </c>
      <c r="E1498" s="23" t="str">
        <f>Withdrawals_Data!A239</f>
        <v>DA-001</v>
      </c>
      <c r="F1498" s="23" t="str">
        <f>Withdrawals_Data!B239</f>
        <v>DA-001-M0038</v>
      </c>
      <c r="G1498" s="24">
        <f>Withdrawals_Data!C239</f>
        <v>45512</v>
      </c>
      <c r="H1498" s="27">
        <v>0</v>
      </c>
      <c r="I1498" s="27">
        <f>-Withdrawals_Data!D239</f>
        <v>-5812.56</v>
      </c>
    </row>
    <row r="1499" spans="3:9">
      <c r="C1499" s="23">
        <v>292</v>
      </c>
      <c r="D1499" s="23" t="s">
        <v>134</v>
      </c>
      <c r="E1499" s="23" t="str">
        <f>Withdrawals_Data!A445</f>
        <v>DA-003</v>
      </c>
      <c r="F1499" s="23" t="str">
        <f>Withdrawals_Data!B445</f>
        <v>DA-003-M0014</v>
      </c>
      <c r="G1499" s="24">
        <f>Withdrawals_Data!C445</f>
        <v>45512</v>
      </c>
      <c r="H1499" s="27">
        <v>0</v>
      </c>
      <c r="I1499" s="27">
        <f>-Withdrawals_Data!D445</f>
        <v>-21469</v>
      </c>
    </row>
    <row r="1500" spans="3:9">
      <c r="C1500" s="23">
        <v>293</v>
      </c>
      <c r="D1500" s="23" t="s">
        <v>134</v>
      </c>
      <c r="E1500" s="23" t="str">
        <f>Withdrawals_Data!A482</f>
        <v>DA-001</v>
      </c>
      <c r="F1500" s="23" t="str">
        <f>Withdrawals_Data!B482</f>
        <v>DA-001-M0019</v>
      </c>
      <c r="G1500" s="24">
        <f>Withdrawals_Data!C482</f>
        <v>45512</v>
      </c>
      <c r="H1500" s="27">
        <v>0</v>
      </c>
      <c r="I1500" s="27">
        <f>-Withdrawals_Data!D482</f>
        <v>-9911</v>
      </c>
    </row>
    <row r="1501" spans="3:9">
      <c r="C1501" s="23">
        <v>294</v>
      </c>
      <c r="D1501" s="23" t="s">
        <v>132</v>
      </c>
      <c r="E1501" s="23" t="str">
        <f>Contributions_Data!A21</f>
        <v>DA-001</v>
      </c>
      <c r="F1501" s="23" t="str">
        <f>Contributions_Data!B21</f>
        <v>DA-001-M0002</v>
      </c>
      <c r="G1501" s="24">
        <f>Contributions_Data!C21</f>
        <v>45513</v>
      </c>
      <c r="H1501" s="27">
        <f>Contributions_Data!D21</f>
        <v>10753.89</v>
      </c>
      <c r="I1501" s="27">
        <v>0</v>
      </c>
    </row>
    <row r="1502" spans="3:9">
      <c r="C1502" s="23">
        <v>295</v>
      </c>
      <c r="D1502" s="23" t="s">
        <v>132</v>
      </c>
      <c r="E1502" s="23" t="str">
        <f>Contributions_Data!A381</f>
        <v>DA-003</v>
      </c>
      <c r="F1502" s="23" t="str">
        <f>Contributions_Data!B381</f>
        <v>DA-003-M0032</v>
      </c>
      <c r="G1502" s="24">
        <f>Contributions_Data!C381</f>
        <v>45513</v>
      </c>
      <c r="H1502" s="27">
        <f>Contributions_Data!D381</f>
        <v>20029.310000000001</v>
      </c>
      <c r="I1502" s="27">
        <v>0</v>
      </c>
    </row>
    <row r="1503" spans="3:9">
      <c r="C1503" s="23">
        <v>296</v>
      </c>
      <c r="D1503" s="23" t="s">
        <v>134</v>
      </c>
      <c r="E1503" s="23" t="str">
        <f>Withdrawals_Data!A82</f>
        <v>DA-002</v>
      </c>
      <c r="F1503" s="23" t="str">
        <f>Withdrawals_Data!B82</f>
        <v>DA-002-M0041</v>
      </c>
      <c r="G1503" s="24">
        <f>Withdrawals_Data!C82</f>
        <v>45513</v>
      </c>
      <c r="H1503" s="27">
        <v>0</v>
      </c>
      <c r="I1503" s="27">
        <f>-Withdrawals_Data!D82</f>
        <v>-10424.040000000001</v>
      </c>
    </row>
    <row r="1504" spans="3:9">
      <c r="C1504" s="23">
        <v>297</v>
      </c>
      <c r="D1504" s="23" t="s">
        <v>134</v>
      </c>
      <c r="E1504" s="23" t="str">
        <f>Withdrawals_Data!A106</f>
        <v>DA-003</v>
      </c>
      <c r="F1504" s="23" t="str">
        <f>Withdrawals_Data!B106</f>
        <v>DA-003-M0047</v>
      </c>
      <c r="G1504" s="24">
        <f>Withdrawals_Data!C106</f>
        <v>45513</v>
      </c>
      <c r="H1504" s="27">
        <v>0</v>
      </c>
      <c r="I1504" s="27">
        <f>-Withdrawals_Data!D106</f>
        <v>-9718.4699999999993</v>
      </c>
    </row>
    <row r="1505" spans="3:9">
      <c r="C1505" s="23">
        <v>298</v>
      </c>
      <c r="D1505" s="23" t="s">
        <v>134</v>
      </c>
      <c r="E1505" s="23" t="str">
        <f>Withdrawals_Data!A599</f>
        <v>DA-003</v>
      </c>
      <c r="F1505" s="23" t="str">
        <f>Withdrawals_Data!B599</f>
        <v>DA-003-M0032</v>
      </c>
      <c r="G1505" s="24">
        <f>Withdrawals_Data!C599</f>
        <v>45513</v>
      </c>
      <c r="H1505" s="27">
        <v>0</v>
      </c>
      <c r="I1505" s="27">
        <f>-Withdrawals_Data!D599</f>
        <v>-4004</v>
      </c>
    </row>
    <row r="1506" spans="3:9">
      <c r="C1506" s="23">
        <v>299</v>
      </c>
      <c r="D1506" s="23" t="s">
        <v>132</v>
      </c>
      <c r="E1506" s="23" t="str">
        <f>Contributions_Data!A215</f>
        <v>DA-002</v>
      </c>
      <c r="F1506" s="23" t="str">
        <f>Contributions_Data!B215</f>
        <v>DA-002-M0018</v>
      </c>
      <c r="G1506" s="24">
        <f>Contributions_Data!C215</f>
        <v>45514</v>
      </c>
      <c r="H1506" s="27">
        <f>Contributions_Data!D215</f>
        <v>16558.04</v>
      </c>
      <c r="I1506" s="27">
        <v>0</v>
      </c>
    </row>
    <row r="1507" spans="3:9">
      <c r="C1507" s="23">
        <v>300</v>
      </c>
      <c r="D1507" s="23" t="s">
        <v>132</v>
      </c>
      <c r="E1507" s="23" t="str">
        <f>Contributions_Data!A317</f>
        <v>DA-002</v>
      </c>
      <c r="F1507" s="23" t="str">
        <f>Contributions_Data!B317</f>
        <v>DA-002-M0027</v>
      </c>
      <c r="G1507" s="24">
        <f>Contributions_Data!C317</f>
        <v>45514</v>
      </c>
      <c r="H1507" s="27">
        <f>Contributions_Data!D317</f>
        <v>17644.919999999998</v>
      </c>
      <c r="I1507" s="27">
        <v>0</v>
      </c>
    </row>
    <row r="1508" spans="3:9">
      <c r="C1508" s="23">
        <v>301</v>
      </c>
      <c r="D1508" s="23" t="s">
        <v>132</v>
      </c>
      <c r="E1508" s="23" t="str">
        <f>Contributions_Data!A443</f>
        <v>DA-002</v>
      </c>
      <c r="F1508" s="23" t="str">
        <f>Contributions_Data!B443</f>
        <v>DA-002-M0037</v>
      </c>
      <c r="G1508" s="24">
        <f>Contributions_Data!C443</f>
        <v>45514</v>
      </c>
      <c r="H1508" s="27">
        <f>Contributions_Data!D443</f>
        <v>20546.87</v>
      </c>
      <c r="I1508" s="27">
        <v>0</v>
      </c>
    </row>
    <row r="1509" spans="3:9">
      <c r="C1509" s="23">
        <v>302</v>
      </c>
      <c r="D1509" s="23" t="s">
        <v>132</v>
      </c>
      <c r="E1509" s="23" t="str">
        <f>Contributions_Data!A529</f>
        <v>DA-002</v>
      </c>
      <c r="F1509" s="23" t="str">
        <f>Contributions_Data!B529</f>
        <v>DA-002-M0044</v>
      </c>
      <c r="G1509" s="24">
        <f>Contributions_Data!C529</f>
        <v>45514</v>
      </c>
      <c r="H1509" s="27">
        <f>Contributions_Data!D529</f>
        <v>15554.51</v>
      </c>
      <c r="I1509" s="27">
        <v>0</v>
      </c>
    </row>
    <row r="1510" spans="3:9">
      <c r="C1510" s="23">
        <v>303</v>
      </c>
      <c r="D1510" s="23" t="s">
        <v>132</v>
      </c>
      <c r="E1510" s="23" t="str">
        <f>Contributions_Data!A672</f>
        <v>DA-001</v>
      </c>
      <c r="F1510" s="23" t="str">
        <f>Contributions_Data!B672</f>
        <v>DA-001-M0056</v>
      </c>
      <c r="G1510" s="24">
        <f>Contributions_Data!C672</f>
        <v>45514</v>
      </c>
      <c r="H1510" s="27">
        <f>Contributions_Data!D672</f>
        <v>13307.76</v>
      </c>
      <c r="I1510" s="27">
        <v>0</v>
      </c>
    </row>
    <row r="1511" spans="3:9">
      <c r="C1511" s="23">
        <v>304</v>
      </c>
      <c r="D1511" s="23" t="s">
        <v>132</v>
      </c>
      <c r="E1511" s="23" t="str">
        <f>Contributions_Data!A1128</f>
        <v>DA-002</v>
      </c>
      <c r="F1511" s="23" t="str">
        <f>Contributions_Data!B1128</f>
        <v>DA-002-M0094</v>
      </c>
      <c r="G1511" s="24">
        <f>Contributions_Data!C1128</f>
        <v>45514</v>
      </c>
      <c r="H1511" s="27">
        <f>Contributions_Data!D1128</f>
        <v>16746.29</v>
      </c>
      <c r="I1511" s="27">
        <v>0</v>
      </c>
    </row>
    <row r="1512" spans="3:9">
      <c r="C1512" s="23">
        <v>305</v>
      </c>
      <c r="D1512" s="23" t="s">
        <v>134</v>
      </c>
      <c r="E1512" s="23" t="str">
        <f>Withdrawals_Data!A93</f>
        <v>DA-001</v>
      </c>
      <c r="F1512" s="23" t="str">
        <f>Withdrawals_Data!B93</f>
        <v>DA-001-M0073</v>
      </c>
      <c r="G1512" s="24">
        <f>Withdrawals_Data!C93</f>
        <v>45514</v>
      </c>
      <c r="H1512" s="27">
        <v>0</v>
      </c>
      <c r="I1512" s="27">
        <f>-Withdrawals_Data!D93</f>
        <v>-10209.959999999999</v>
      </c>
    </row>
    <row r="1513" spans="3:9">
      <c r="C1513" s="23">
        <v>306</v>
      </c>
      <c r="D1513" s="23" t="s">
        <v>134</v>
      </c>
      <c r="E1513" s="23" t="str">
        <f>Withdrawals_Data!A119</f>
        <v>DA-003</v>
      </c>
      <c r="F1513" s="23" t="str">
        <f>Withdrawals_Data!B119</f>
        <v>DA-003-M0076</v>
      </c>
      <c r="G1513" s="24">
        <f>Withdrawals_Data!C119</f>
        <v>45514</v>
      </c>
      <c r="H1513" s="27">
        <v>0</v>
      </c>
      <c r="I1513" s="27">
        <f>-Withdrawals_Data!D119</f>
        <v>-9323.52</v>
      </c>
    </row>
    <row r="1514" spans="3:9">
      <c r="C1514" s="23">
        <v>307</v>
      </c>
      <c r="D1514" s="23" t="s">
        <v>134</v>
      </c>
      <c r="E1514" s="23" t="str">
        <f>Withdrawals_Data!A395</f>
        <v>DA-003</v>
      </c>
      <c r="F1514" s="23" t="str">
        <f>Withdrawals_Data!B395</f>
        <v>DA-003-M0008</v>
      </c>
      <c r="G1514" s="24">
        <f>Withdrawals_Data!C395</f>
        <v>45514</v>
      </c>
      <c r="H1514" s="27">
        <v>0</v>
      </c>
      <c r="I1514" s="27">
        <f>-Withdrawals_Data!D395</f>
        <v>-2699</v>
      </c>
    </row>
    <row r="1515" spans="3:9">
      <c r="C1515" s="23">
        <v>308</v>
      </c>
      <c r="D1515" s="23" t="s">
        <v>134</v>
      </c>
      <c r="E1515" s="23" t="str">
        <f>Withdrawals_Data!A540</f>
        <v>DA-001</v>
      </c>
      <c r="F1515" s="23" t="str">
        <f>Withdrawals_Data!B540</f>
        <v>DA-001-M0025</v>
      </c>
      <c r="G1515" s="24">
        <f>Withdrawals_Data!C540</f>
        <v>45514</v>
      </c>
      <c r="H1515" s="27">
        <v>0</v>
      </c>
      <c r="I1515" s="27">
        <f>-Withdrawals_Data!D540</f>
        <v>-12524</v>
      </c>
    </row>
    <row r="1516" spans="3:9">
      <c r="C1516" s="23">
        <v>309</v>
      </c>
      <c r="D1516" s="23" t="s">
        <v>134</v>
      </c>
      <c r="E1516" s="23" t="str">
        <f>Withdrawals_Data!A698</f>
        <v>DA-001</v>
      </c>
      <c r="F1516" s="23" t="str">
        <f>Withdrawals_Data!B698</f>
        <v>DA-001-M0043</v>
      </c>
      <c r="G1516" s="24">
        <f>Withdrawals_Data!C698</f>
        <v>45514</v>
      </c>
      <c r="H1516" s="27">
        <v>0</v>
      </c>
      <c r="I1516" s="27">
        <f>-Withdrawals_Data!D698</f>
        <v>-20683</v>
      </c>
    </row>
    <row r="1517" spans="3:9">
      <c r="C1517" s="23">
        <v>310</v>
      </c>
      <c r="D1517" s="23" t="s">
        <v>134</v>
      </c>
      <c r="E1517" s="23" t="str">
        <f>Withdrawals_Data!A898</f>
        <v>DA-001</v>
      </c>
      <c r="F1517" s="23" t="str">
        <f>Withdrawals_Data!B898</f>
        <v>DA-001-M0065</v>
      </c>
      <c r="G1517" s="24">
        <f>Withdrawals_Data!C898</f>
        <v>45514</v>
      </c>
      <c r="H1517" s="27">
        <v>0</v>
      </c>
      <c r="I1517" s="27">
        <f>-Withdrawals_Data!D898</f>
        <v>-18730</v>
      </c>
    </row>
    <row r="1518" spans="3:9">
      <c r="C1518" s="23">
        <v>311</v>
      </c>
      <c r="D1518" s="23" t="s">
        <v>132</v>
      </c>
      <c r="E1518" s="23" t="str">
        <f>Contributions_Data!A53</f>
        <v>DA-003</v>
      </c>
      <c r="F1518" s="23" t="str">
        <f>Contributions_Data!B53</f>
        <v>DA-003-M0005</v>
      </c>
      <c r="G1518" s="24">
        <f>Contributions_Data!C53</f>
        <v>45515</v>
      </c>
      <c r="H1518" s="27">
        <f>Contributions_Data!D53</f>
        <v>15553.9</v>
      </c>
      <c r="I1518" s="27">
        <v>0</v>
      </c>
    </row>
    <row r="1519" spans="3:9">
      <c r="C1519" s="23">
        <v>312</v>
      </c>
      <c r="D1519" s="23" t="s">
        <v>132</v>
      </c>
      <c r="E1519" s="23" t="str">
        <f>Contributions_Data!A892</f>
        <v>DA-001</v>
      </c>
      <c r="F1519" s="23" t="str">
        <f>Contributions_Data!B892</f>
        <v>DA-001-M0075</v>
      </c>
      <c r="G1519" s="24">
        <f>Contributions_Data!C892</f>
        <v>45515</v>
      </c>
      <c r="H1519" s="27">
        <f>Contributions_Data!D892</f>
        <v>16901.330000000002</v>
      </c>
      <c r="I1519" s="27">
        <v>0</v>
      </c>
    </row>
    <row r="1520" spans="3:9">
      <c r="C1520" s="23">
        <v>313</v>
      </c>
      <c r="D1520" s="23" t="s">
        <v>132</v>
      </c>
      <c r="E1520" s="23" t="str">
        <f>Contributions_Data!A912</f>
        <v>DA-003</v>
      </c>
      <c r="F1520" s="23" t="str">
        <f>Contributions_Data!B912</f>
        <v>DA-003-M0076</v>
      </c>
      <c r="G1520" s="24">
        <f>Contributions_Data!C912</f>
        <v>45515</v>
      </c>
      <c r="H1520" s="27">
        <f>Contributions_Data!D912</f>
        <v>17500.59</v>
      </c>
      <c r="I1520" s="27">
        <v>0</v>
      </c>
    </row>
    <row r="1521" spans="3:9">
      <c r="C1521" s="23">
        <v>314</v>
      </c>
      <c r="D1521" s="23" t="s">
        <v>132</v>
      </c>
      <c r="E1521" s="23" t="str">
        <f>Contributions_Data!A981</f>
        <v>DA-003</v>
      </c>
      <c r="F1521" s="23" t="str">
        <f>Contributions_Data!B981</f>
        <v>DA-003-M0082</v>
      </c>
      <c r="G1521" s="24">
        <f>Contributions_Data!C981</f>
        <v>45515</v>
      </c>
      <c r="H1521" s="27">
        <f>Contributions_Data!D981</f>
        <v>14359.67</v>
      </c>
      <c r="I1521" s="27">
        <v>0</v>
      </c>
    </row>
    <row r="1522" spans="3:9">
      <c r="C1522" s="23">
        <v>315</v>
      </c>
      <c r="D1522" s="23" t="s">
        <v>134</v>
      </c>
      <c r="E1522" s="23" t="str">
        <f>Withdrawals_Data!A209</f>
        <v>DA-003</v>
      </c>
      <c r="F1522" s="23" t="str">
        <f>Withdrawals_Data!B209</f>
        <v>DA-003-M0015</v>
      </c>
      <c r="G1522" s="24">
        <f>Withdrawals_Data!C209</f>
        <v>45515</v>
      </c>
      <c r="H1522" s="27">
        <v>0</v>
      </c>
      <c r="I1522" s="27">
        <f>-Withdrawals_Data!D209</f>
        <v>-7129.28</v>
      </c>
    </row>
    <row r="1523" spans="3:9">
      <c r="C1523" s="23">
        <v>316</v>
      </c>
      <c r="D1523" s="23" t="s">
        <v>134</v>
      </c>
      <c r="E1523" s="23" t="str">
        <f>Withdrawals_Data!A595</f>
        <v>DA-003</v>
      </c>
      <c r="F1523" s="23" t="str">
        <f>Withdrawals_Data!B595</f>
        <v>DA-003-M0032</v>
      </c>
      <c r="G1523" s="24">
        <f>Withdrawals_Data!C595</f>
        <v>45515</v>
      </c>
      <c r="H1523" s="27">
        <v>0</v>
      </c>
      <c r="I1523" s="27">
        <f>-Withdrawals_Data!D595</f>
        <v>-12244</v>
      </c>
    </row>
    <row r="1524" spans="3:9">
      <c r="C1524" s="23">
        <v>317</v>
      </c>
      <c r="D1524" s="23" t="s">
        <v>134</v>
      </c>
      <c r="E1524" s="23" t="str">
        <f>Withdrawals_Data!A651</f>
        <v>DA-001</v>
      </c>
      <c r="F1524" s="23" t="str">
        <f>Withdrawals_Data!B651</f>
        <v>DA-001-M0038</v>
      </c>
      <c r="G1524" s="24">
        <f>Withdrawals_Data!C651</f>
        <v>45515</v>
      </c>
      <c r="H1524" s="27">
        <v>0</v>
      </c>
      <c r="I1524" s="27">
        <f>-Withdrawals_Data!D651</f>
        <v>-13738</v>
      </c>
    </row>
    <row r="1525" spans="3:9">
      <c r="C1525" s="23">
        <v>318</v>
      </c>
      <c r="D1525" s="23" t="s">
        <v>134</v>
      </c>
      <c r="E1525" s="23" t="str">
        <f>Withdrawals_Data!A684</f>
        <v>DA-002</v>
      </c>
      <c r="F1525" s="23" t="str">
        <f>Withdrawals_Data!B684</f>
        <v>DA-002-M0042</v>
      </c>
      <c r="G1525" s="24">
        <f>Withdrawals_Data!C684</f>
        <v>45515</v>
      </c>
      <c r="H1525" s="27">
        <v>0</v>
      </c>
      <c r="I1525" s="27">
        <f>-Withdrawals_Data!D684</f>
        <v>-11019</v>
      </c>
    </row>
    <row r="1526" spans="3:9">
      <c r="C1526" s="23">
        <v>319</v>
      </c>
      <c r="D1526" s="23" t="s">
        <v>134</v>
      </c>
      <c r="E1526" s="23" t="str">
        <f>Withdrawals_Data!A1066</f>
        <v>DA-002</v>
      </c>
      <c r="F1526" s="23" t="str">
        <f>Withdrawals_Data!B1066</f>
        <v>DA-002-M0085</v>
      </c>
      <c r="G1526" s="24">
        <f>Withdrawals_Data!C1066</f>
        <v>45515</v>
      </c>
      <c r="H1526" s="27">
        <v>0</v>
      </c>
      <c r="I1526" s="27">
        <f>-Withdrawals_Data!D1066</f>
        <v>-9387</v>
      </c>
    </row>
    <row r="1527" spans="3:9">
      <c r="C1527" s="23">
        <v>320</v>
      </c>
      <c r="D1527" s="23" t="s">
        <v>132</v>
      </c>
      <c r="E1527" s="23" t="str">
        <f>Contributions_Data!A765</f>
        <v>DA-002</v>
      </c>
      <c r="F1527" s="23" t="str">
        <f>Contributions_Data!B765</f>
        <v>DA-002-M0064</v>
      </c>
      <c r="G1527" s="24">
        <f>Contributions_Data!C765</f>
        <v>45516</v>
      </c>
      <c r="H1527" s="27">
        <f>Contributions_Data!D765</f>
        <v>13123.31</v>
      </c>
      <c r="I1527" s="27">
        <v>0</v>
      </c>
    </row>
    <row r="1528" spans="3:9">
      <c r="C1528" s="23">
        <v>321</v>
      </c>
      <c r="D1528" s="23" t="s">
        <v>132</v>
      </c>
      <c r="E1528" s="23" t="str">
        <f>Contributions_Data!A885</f>
        <v>DA-001</v>
      </c>
      <c r="F1528" s="23" t="str">
        <f>Contributions_Data!B885</f>
        <v>DA-001-M0074</v>
      </c>
      <c r="G1528" s="24">
        <f>Contributions_Data!C885</f>
        <v>45516</v>
      </c>
      <c r="H1528" s="27">
        <f>Contributions_Data!D885</f>
        <v>17684.77</v>
      </c>
      <c r="I1528" s="27">
        <v>0</v>
      </c>
    </row>
    <row r="1529" spans="3:9">
      <c r="C1529" s="23">
        <v>322</v>
      </c>
      <c r="D1529" s="23" t="s">
        <v>132</v>
      </c>
      <c r="E1529" s="23" t="str">
        <f>Contributions_Data!A1114</f>
        <v>DA-001</v>
      </c>
      <c r="F1529" s="23" t="str">
        <f>Contributions_Data!B1114</f>
        <v>DA-001-M0093</v>
      </c>
      <c r="G1529" s="24">
        <f>Contributions_Data!C1114</f>
        <v>45516</v>
      </c>
      <c r="H1529" s="27">
        <f>Contributions_Data!D1114</f>
        <v>17335.080000000002</v>
      </c>
      <c r="I1529" s="27">
        <v>0</v>
      </c>
    </row>
    <row r="1530" spans="3:9">
      <c r="C1530" s="23">
        <v>323</v>
      </c>
      <c r="D1530" s="23" t="s">
        <v>132</v>
      </c>
      <c r="E1530" s="23" t="str">
        <f>Contributions_Data!A1167</f>
        <v>DA-001</v>
      </c>
      <c r="F1530" s="23" t="str">
        <f>Contributions_Data!B1167</f>
        <v>DA-001-M0098</v>
      </c>
      <c r="G1530" s="24">
        <f>Contributions_Data!C1167</f>
        <v>45516</v>
      </c>
      <c r="H1530" s="27">
        <f>Contributions_Data!D1167</f>
        <v>11237.13</v>
      </c>
      <c r="I1530" s="27">
        <v>0</v>
      </c>
    </row>
    <row r="1531" spans="3:9">
      <c r="C1531" s="23">
        <v>324</v>
      </c>
      <c r="D1531" s="23" t="s">
        <v>134</v>
      </c>
      <c r="E1531" s="23" t="str">
        <f>Withdrawals_Data!A14</f>
        <v>DA-001</v>
      </c>
      <c r="F1531" s="23" t="str">
        <f>Withdrawals_Data!B14</f>
        <v>DA-001-M0075</v>
      </c>
      <c r="G1531" s="24">
        <f>Withdrawals_Data!C14</f>
        <v>45516</v>
      </c>
      <c r="H1531" s="27">
        <v>0</v>
      </c>
      <c r="I1531" s="27">
        <f>-Withdrawals_Data!D14</f>
        <v>-14710.8</v>
      </c>
    </row>
    <row r="1532" spans="3:9">
      <c r="C1532" s="23">
        <v>325</v>
      </c>
      <c r="D1532" s="23" t="s">
        <v>134</v>
      </c>
      <c r="E1532" s="23" t="str">
        <f>Withdrawals_Data!A28</f>
        <v>DA-002</v>
      </c>
      <c r="F1532" s="23" t="str">
        <f>Withdrawals_Data!B28</f>
        <v>DA-002-M0064</v>
      </c>
      <c r="G1532" s="24">
        <f>Withdrawals_Data!C28</f>
        <v>45516</v>
      </c>
      <c r="H1532" s="27">
        <v>0</v>
      </c>
      <c r="I1532" s="27">
        <f>-Withdrawals_Data!D28</f>
        <v>-13520.37</v>
      </c>
    </row>
    <row r="1533" spans="3:9">
      <c r="C1533" s="23">
        <v>326</v>
      </c>
      <c r="D1533" s="23" t="s">
        <v>134</v>
      </c>
      <c r="E1533" s="23" t="str">
        <f>Withdrawals_Data!A67</f>
        <v>DA-001</v>
      </c>
      <c r="F1533" s="23" t="str">
        <f>Withdrawals_Data!B67</f>
        <v>DA-001-M0004</v>
      </c>
      <c r="G1533" s="24">
        <f>Withdrawals_Data!C67</f>
        <v>45516</v>
      </c>
      <c r="H1533" s="27">
        <v>0</v>
      </c>
      <c r="I1533" s="27">
        <f>-Withdrawals_Data!D67</f>
        <v>-11254.07</v>
      </c>
    </row>
    <row r="1534" spans="3:9">
      <c r="C1534" s="23">
        <v>327</v>
      </c>
      <c r="D1534" s="23" t="s">
        <v>134</v>
      </c>
      <c r="E1534" s="23" t="str">
        <f>Withdrawals_Data!A166</f>
        <v>DA-001</v>
      </c>
      <c r="F1534" s="23" t="str">
        <f>Withdrawals_Data!B166</f>
        <v>DA-001-M0065</v>
      </c>
      <c r="G1534" s="24">
        <f>Withdrawals_Data!C166</f>
        <v>45516</v>
      </c>
      <c r="H1534" s="27">
        <v>0</v>
      </c>
      <c r="I1534" s="27">
        <f>-Withdrawals_Data!D166</f>
        <v>-8307.2900000000009</v>
      </c>
    </row>
    <row r="1535" spans="3:9">
      <c r="C1535" s="23">
        <v>328</v>
      </c>
      <c r="D1535" s="23" t="s">
        <v>134</v>
      </c>
      <c r="E1535" s="23" t="str">
        <f>Withdrawals_Data!A410</f>
        <v>DA-001</v>
      </c>
      <c r="F1535" s="23" t="str">
        <f>Withdrawals_Data!B410</f>
        <v>DA-001-M0010</v>
      </c>
      <c r="G1535" s="24">
        <f>Withdrawals_Data!C410</f>
        <v>45516</v>
      </c>
      <c r="H1535" s="27">
        <v>0</v>
      </c>
      <c r="I1535" s="27">
        <f>-Withdrawals_Data!D410</f>
        <v>-13206</v>
      </c>
    </row>
    <row r="1536" spans="3:9">
      <c r="C1536" s="23">
        <v>329</v>
      </c>
      <c r="D1536" s="23" t="s">
        <v>134</v>
      </c>
      <c r="E1536" s="23" t="str">
        <f>Withdrawals_Data!A1107</f>
        <v>DA-002</v>
      </c>
      <c r="F1536" s="23" t="str">
        <f>Withdrawals_Data!B1107</f>
        <v>DA-002-M0089</v>
      </c>
      <c r="G1536" s="24">
        <f>Withdrawals_Data!C1107</f>
        <v>45516</v>
      </c>
      <c r="H1536" s="27">
        <v>0</v>
      </c>
      <c r="I1536" s="27">
        <f>-Withdrawals_Data!D1107</f>
        <v>-8512</v>
      </c>
    </row>
    <row r="1537" spans="3:9">
      <c r="C1537" s="23">
        <v>330</v>
      </c>
      <c r="D1537" s="23" t="s">
        <v>134</v>
      </c>
      <c r="E1537" s="23" t="str">
        <f>Withdrawals_Data!A1157</f>
        <v>DA-003</v>
      </c>
      <c r="F1537" s="23" t="str">
        <f>Withdrawals_Data!B1157</f>
        <v>DA-003-M0095</v>
      </c>
      <c r="G1537" s="24">
        <f>Withdrawals_Data!C1157</f>
        <v>45516</v>
      </c>
      <c r="H1537" s="27">
        <v>0</v>
      </c>
      <c r="I1537" s="27">
        <f>-Withdrawals_Data!D1157</f>
        <v>-4545</v>
      </c>
    </row>
    <row r="1538" spans="3:9">
      <c r="C1538" s="23">
        <v>331</v>
      </c>
      <c r="D1538" s="23" t="s">
        <v>132</v>
      </c>
      <c r="E1538" s="23" t="str">
        <f>Contributions_Data!A32</f>
        <v>DA-002</v>
      </c>
      <c r="F1538" s="23" t="str">
        <f>Contributions_Data!B32</f>
        <v>DA-002-M0003</v>
      </c>
      <c r="G1538" s="24">
        <f>Contributions_Data!C32</f>
        <v>45517</v>
      </c>
      <c r="H1538" s="27">
        <f>Contributions_Data!D32</f>
        <v>22389.73</v>
      </c>
      <c r="I1538" s="27">
        <v>0</v>
      </c>
    </row>
    <row r="1539" spans="3:9">
      <c r="C1539" s="23">
        <v>332</v>
      </c>
      <c r="D1539" s="23" t="s">
        <v>132</v>
      </c>
      <c r="E1539" s="23" t="str">
        <f>Contributions_Data!A840</f>
        <v>DA-002</v>
      </c>
      <c r="F1539" s="23" t="str">
        <f>Contributions_Data!B840</f>
        <v>DA-002-M0070</v>
      </c>
      <c r="G1539" s="24">
        <f>Contributions_Data!C840</f>
        <v>45517</v>
      </c>
      <c r="H1539" s="27">
        <f>Contributions_Data!D840</f>
        <v>11030.73</v>
      </c>
      <c r="I1539" s="27">
        <v>0</v>
      </c>
    </row>
    <row r="1540" spans="3:9">
      <c r="C1540" s="23">
        <v>333</v>
      </c>
      <c r="D1540" s="23" t="s">
        <v>132</v>
      </c>
      <c r="E1540" s="23" t="str">
        <f>Contributions_Data!A1005</f>
        <v>DA-003</v>
      </c>
      <c r="F1540" s="23" t="str">
        <f>Contributions_Data!B1005</f>
        <v>DA-003-M0084</v>
      </c>
      <c r="G1540" s="24">
        <f>Contributions_Data!C1005</f>
        <v>45517</v>
      </c>
      <c r="H1540" s="27">
        <f>Contributions_Data!D1005</f>
        <v>15358.74</v>
      </c>
      <c r="I1540" s="27">
        <v>0</v>
      </c>
    </row>
    <row r="1541" spans="3:9">
      <c r="C1541" s="23">
        <v>334</v>
      </c>
      <c r="D1541" s="23" t="s">
        <v>134</v>
      </c>
      <c r="E1541" s="23" t="str">
        <f>Withdrawals_Data!A151</f>
        <v>DA-002</v>
      </c>
      <c r="F1541" s="23" t="str">
        <f>Withdrawals_Data!B151</f>
        <v>DA-002-M0054</v>
      </c>
      <c r="G1541" s="24">
        <f>Withdrawals_Data!C151</f>
        <v>45517</v>
      </c>
      <c r="H1541" s="27">
        <v>0</v>
      </c>
      <c r="I1541" s="27">
        <f>-Withdrawals_Data!D151</f>
        <v>-8586.85</v>
      </c>
    </row>
    <row r="1542" spans="3:9">
      <c r="C1542" s="23">
        <v>335</v>
      </c>
      <c r="D1542" s="23" t="s">
        <v>134</v>
      </c>
      <c r="E1542" s="23" t="str">
        <f>Withdrawals_Data!A279</f>
        <v>DA-002</v>
      </c>
      <c r="F1542" s="23" t="str">
        <f>Withdrawals_Data!B279</f>
        <v>DA-002-M0094</v>
      </c>
      <c r="G1542" s="24">
        <f>Withdrawals_Data!C279</f>
        <v>45517</v>
      </c>
      <c r="H1542" s="27">
        <v>0</v>
      </c>
      <c r="I1542" s="27">
        <f>-Withdrawals_Data!D279</f>
        <v>-4162.24</v>
      </c>
    </row>
    <row r="1543" spans="3:9">
      <c r="C1543" s="23">
        <v>336</v>
      </c>
      <c r="D1543" s="23" t="s">
        <v>134</v>
      </c>
      <c r="E1543" s="23" t="str">
        <f>Withdrawals_Data!A860</f>
        <v>DA-003</v>
      </c>
      <c r="F1543" s="23" t="str">
        <f>Withdrawals_Data!B860</f>
        <v>DA-003-M0061</v>
      </c>
      <c r="G1543" s="24">
        <f>Withdrawals_Data!C860</f>
        <v>45517</v>
      </c>
      <c r="H1543" s="27">
        <v>0</v>
      </c>
      <c r="I1543" s="27">
        <f>-Withdrawals_Data!D860</f>
        <v>-4578</v>
      </c>
    </row>
    <row r="1544" spans="3:9">
      <c r="C1544" s="23">
        <v>337</v>
      </c>
      <c r="D1544" s="23" t="s">
        <v>134</v>
      </c>
      <c r="E1544" s="23" t="str">
        <f>Withdrawals_Data!A1177</f>
        <v>DA-001</v>
      </c>
      <c r="F1544" s="23" t="str">
        <f>Withdrawals_Data!B1177</f>
        <v>DA-001-M0098</v>
      </c>
      <c r="G1544" s="24">
        <f>Withdrawals_Data!C1177</f>
        <v>45517</v>
      </c>
      <c r="H1544" s="27">
        <v>0</v>
      </c>
      <c r="I1544" s="27">
        <f>-Withdrawals_Data!D1177</f>
        <v>-2047</v>
      </c>
    </row>
    <row r="1545" spans="3:9">
      <c r="C1545" s="23">
        <v>338</v>
      </c>
      <c r="D1545" s="23" t="s">
        <v>132</v>
      </c>
      <c r="E1545" s="23" t="str">
        <f>Contributions_Data!A549</f>
        <v>DA-001</v>
      </c>
      <c r="F1545" s="23" t="str">
        <f>Contributions_Data!B549</f>
        <v>DA-001-M0046</v>
      </c>
      <c r="G1545" s="24">
        <f>Contributions_Data!C549</f>
        <v>45518</v>
      </c>
      <c r="H1545" s="27">
        <f>Contributions_Data!D549</f>
        <v>15533.1</v>
      </c>
      <c r="I1545" s="27">
        <v>0</v>
      </c>
    </row>
    <row r="1546" spans="3:9">
      <c r="C1546" s="23">
        <v>339</v>
      </c>
      <c r="D1546" s="23" t="s">
        <v>132</v>
      </c>
      <c r="E1546" s="23" t="str">
        <f>Contributions_Data!A567</f>
        <v>DA-003</v>
      </c>
      <c r="F1546" s="23" t="str">
        <f>Contributions_Data!B567</f>
        <v>DA-003-M0048</v>
      </c>
      <c r="G1546" s="24">
        <f>Contributions_Data!C567</f>
        <v>45518</v>
      </c>
      <c r="H1546" s="27">
        <f>Contributions_Data!D567</f>
        <v>14072.48</v>
      </c>
      <c r="I1546" s="27">
        <v>0</v>
      </c>
    </row>
    <row r="1547" spans="3:9">
      <c r="C1547" s="23">
        <v>340</v>
      </c>
      <c r="D1547" s="23" t="s">
        <v>134</v>
      </c>
      <c r="E1547" s="23" t="str">
        <f>Withdrawals_Data!A398</f>
        <v>DA-003</v>
      </c>
      <c r="F1547" s="23" t="str">
        <f>Withdrawals_Data!B398</f>
        <v>DA-003-M0008</v>
      </c>
      <c r="G1547" s="24">
        <f>Withdrawals_Data!C398</f>
        <v>45518</v>
      </c>
      <c r="H1547" s="27">
        <v>0</v>
      </c>
      <c r="I1547" s="27">
        <f>-Withdrawals_Data!D398</f>
        <v>-16853</v>
      </c>
    </row>
    <row r="1548" spans="3:9">
      <c r="C1548" s="23">
        <v>341</v>
      </c>
      <c r="D1548" s="23" t="s">
        <v>134</v>
      </c>
      <c r="E1548" s="23" t="str">
        <f>Withdrawals_Data!A774</f>
        <v>DA-002</v>
      </c>
      <c r="F1548" s="23" t="str">
        <f>Withdrawals_Data!B774</f>
        <v>DA-002-M0051</v>
      </c>
      <c r="G1548" s="24">
        <f>Withdrawals_Data!C774</f>
        <v>45518</v>
      </c>
      <c r="H1548" s="27">
        <v>0</v>
      </c>
      <c r="I1548" s="27">
        <f>-Withdrawals_Data!D774</f>
        <v>-13297</v>
      </c>
    </row>
    <row r="1549" spans="3:9">
      <c r="C1549" s="23">
        <v>342</v>
      </c>
      <c r="D1549" s="23" t="s">
        <v>134</v>
      </c>
      <c r="E1549" s="23" t="str">
        <f>Withdrawals_Data!A974</f>
        <v>DA-001</v>
      </c>
      <c r="F1549" s="23" t="str">
        <f>Withdrawals_Data!B974</f>
        <v>DA-001-M0075</v>
      </c>
      <c r="G1549" s="24">
        <f>Withdrawals_Data!C974</f>
        <v>45518</v>
      </c>
      <c r="H1549" s="27">
        <v>0</v>
      </c>
      <c r="I1549" s="27">
        <f>-Withdrawals_Data!D974</f>
        <v>-11222</v>
      </c>
    </row>
    <row r="1550" spans="3:9">
      <c r="C1550" s="23">
        <v>343</v>
      </c>
      <c r="D1550" s="23" t="s">
        <v>132</v>
      </c>
      <c r="E1550" s="23" t="str">
        <f>Contributions_Data!A86</f>
        <v>DA-003</v>
      </c>
      <c r="F1550" s="23" t="str">
        <f>Contributions_Data!B86</f>
        <v>DA-003-M0008</v>
      </c>
      <c r="G1550" s="24">
        <f>Contributions_Data!C86</f>
        <v>45519</v>
      </c>
      <c r="H1550" s="27">
        <f>Contributions_Data!D86</f>
        <v>10455.459999999999</v>
      </c>
      <c r="I1550" s="27">
        <v>0</v>
      </c>
    </row>
    <row r="1551" spans="3:9">
      <c r="C1551" s="23">
        <v>344</v>
      </c>
      <c r="D1551" s="23" t="s">
        <v>132</v>
      </c>
      <c r="E1551" s="23" t="str">
        <f>Contributions_Data!A321</f>
        <v>DA-002</v>
      </c>
      <c r="F1551" s="23" t="str">
        <f>Contributions_Data!B321</f>
        <v>DA-002-M0027</v>
      </c>
      <c r="G1551" s="24">
        <f>Contributions_Data!C321</f>
        <v>45519</v>
      </c>
      <c r="H1551" s="27">
        <f>Contributions_Data!D321</f>
        <v>12416.15</v>
      </c>
      <c r="I1551" s="27">
        <v>0</v>
      </c>
    </row>
    <row r="1552" spans="3:9">
      <c r="C1552" s="23">
        <v>345</v>
      </c>
      <c r="D1552" s="23" t="s">
        <v>132</v>
      </c>
      <c r="E1552" s="23" t="str">
        <f>Contributions_Data!A1190</f>
        <v>DA-003</v>
      </c>
      <c r="F1552" s="23" t="str">
        <f>Contributions_Data!B1190</f>
        <v>DA-003-M0100</v>
      </c>
      <c r="G1552" s="24">
        <f>Contributions_Data!C1190</f>
        <v>45519</v>
      </c>
      <c r="H1552" s="27">
        <f>Contributions_Data!D1190</f>
        <v>14451.31</v>
      </c>
      <c r="I1552" s="27">
        <v>0</v>
      </c>
    </row>
    <row r="1553" spans="3:9">
      <c r="C1553" s="23">
        <v>346</v>
      </c>
      <c r="D1553" s="23" t="s">
        <v>134</v>
      </c>
      <c r="E1553" s="23" t="str">
        <f>Withdrawals_Data!A17</f>
        <v>DA-003</v>
      </c>
      <c r="F1553" s="23" t="str">
        <f>Withdrawals_Data!B17</f>
        <v>DA-003-M0076</v>
      </c>
      <c r="G1553" s="24">
        <f>Withdrawals_Data!C17</f>
        <v>45519</v>
      </c>
      <c r="H1553" s="27">
        <v>0</v>
      </c>
      <c r="I1553" s="27">
        <f>-Withdrawals_Data!D17</f>
        <v>-14513.59</v>
      </c>
    </row>
    <row r="1554" spans="3:9">
      <c r="C1554" s="23">
        <v>347</v>
      </c>
      <c r="D1554" s="23" t="s">
        <v>134</v>
      </c>
      <c r="E1554" s="23" t="str">
        <f>Withdrawals_Data!A1033</f>
        <v>DA-003</v>
      </c>
      <c r="F1554" s="23" t="str">
        <f>Withdrawals_Data!B1033</f>
        <v>DA-003-M0081</v>
      </c>
      <c r="G1554" s="24">
        <f>Withdrawals_Data!C1033</f>
        <v>45519</v>
      </c>
      <c r="H1554" s="27">
        <v>0</v>
      </c>
      <c r="I1554" s="27">
        <f>-Withdrawals_Data!D1033</f>
        <v>-13091</v>
      </c>
    </row>
    <row r="1555" spans="3:9">
      <c r="C1555" s="23">
        <v>348</v>
      </c>
      <c r="D1555" s="23" t="s">
        <v>132</v>
      </c>
      <c r="E1555" s="23" t="str">
        <f>Contributions_Data!A779</f>
        <v>DA-001</v>
      </c>
      <c r="F1555" s="23" t="str">
        <f>Contributions_Data!B779</f>
        <v>DA-001-M0065</v>
      </c>
      <c r="G1555" s="24">
        <f>Contributions_Data!C779</f>
        <v>45520</v>
      </c>
      <c r="H1555" s="27">
        <f>Contributions_Data!D779</f>
        <v>16039.51</v>
      </c>
      <c r="I1555" s="27">
        <v>0</v>
      </c>
    </row>
    <row r="1556" spans="3:9">
      <c r="C1556" s="23">
        <v>349</v>
      </c>
      <c r="D1556" s="23" t="s">
        <v>134</v>
      </c>
      <c r="E1556" s="23" t="str">
        <f>Withdrawals_Data!A822</f>
        <v>DA-002</v>
      </c>
      <c r="F1556" s="23" t="str">
        <f>Withdrawals_Data!B822</f>
        <v>DA-002-M0057</v>
      </c>
      <c r="G1556" s="24">
        <f>Withdrawals_Data!C822</f>
        <v>45520</v>
      </c>
      <c r="H1556" s="27">
        <v>0</v>
      </c>
      <c r="I1556" s="27">
        <f>-Withdrawals_Data!D822</f>
        <v>-20075</v>
      </c>
    </row>
    <row r="1557" spans="3:9">
      <c r="C1557" s="23">
        <v>350</v>
      </c>
      <c r="D1557" s="23" t="s">
        <v>134</v>
      </c>
      <c r="E1557" s="23" t="str">
        <f>Withdrawals_Data!A1114</f>
        <v>DA-003</v>
      </c>
      <c r="F1557" s="23" t="str">
        <f>Withdrawals_Data!B1114</f>
        <v>DA-003-M0090</v>
      </c>
      <c r="G1557" s="24">
        <f>Withdrawals_Data!C1114</f>
        <v>45520</v>
      </c>
      <c r="H1557" s="27">
        <v>0</v>
      </c>
      <c r="I1557" s="27">
        <f>-Withdrawals_Data!D1114</f>
        <v>-19982</v>
      </c>
    </row>
    <row r="1558" spans="3:9">
      <c r="C1558" s="23">
        <v>351</v>
      </c>
      <c r="D1558" s="23" t="s">
        <v>132</v>
      </c>
      <c r="E1558" s="23" t="str">
        <f>Contributions_Data!A311</f>
        <v>DA-002</v>
      </c>
      <c r="F1558" s="23" t="str">
        <f>Contributions_Data!B311</f>
        <v>DA-002-M0026</v>
      </c>
      <c r="G1558" s="24">
        <f>Contributions_Data!C311</f>
        <v>45521</v>
      </c>
      <c r="H1558" s="27">
        <f>Contributions_Data!D311</f>
        <v>14616.25</v>
      </c>
      <c r="I1558" s="27">
        <v>0</v>
      </c>
    </row>
    <row r="1559" spans="3:9">
      <c r="C1559" s="23">
        <v>352</v>
      </c>
      <c r="D1559" s="23" t="s">
        <v>132</v>
      </c>
      <c r="E1559" s="23" t="str">
        <f>Contributions_Data!A557</f>
        <v>DA-003</v>
      </c>
      <c r="F1559" s="23" t="str">
        <f>Contributions_Data!B557</f>
        <v>DA-003-M0047</v>
      </c>
      <c r="G1559" s="24">
        <f>Contributions_Data!C557</f>
        <v>45521</v>
      </c>
      <c r="H1559" s="27">
        <f>Contributions_Data!D557</f>
        <v>10017.120000000001</v>
      </c>
      <c r="I1559" s="27">
        <v>0</v>
      </c>
    </row>
    <row r="1560" spans="3:9">
      <c r="C1560" s="23">
        <v>353</v>
      </c>
      <c r="D1560" s="23" t="s">
        <v>132</v>
      </c>
      <c r="E1560" s="23" t="str">
        <f>Contributions_Data!A757</f>
        <v>DA-002</v>
      </c>
      <c r="F1560" s="23" t="str">
        <f>Contributions_Data!B757</f>
        <v>DA-002-M0063</v>
      </c>
      <c r="G1560" s="24">
        <f>Contributions_Data!C757</f>
        <v>45521</v>
      </c>
      <c r="H1560" s="27">
        <f>Contributions_Data!D757</f>
        <v>18141.29</v>
      </c>
      <c r="I1560" s="27">
        <v>0</v>
      </c>
    </row>
    <row r="1561" spans="3:9">
      <c r="C1561" s="23">
        <v>354</v>
      </c>
      <c r="D1561" s="23" t="s">
        <v>132</v>
      </c>
      <c r="E1561" s="23" t="str">
        <f>Contributions_Data!A1014</f>
        <v>DA-002</v>
      </c>
      <c r="F1561" s="23" t="str">
        <f>Contributions_Data!B1014</f>
        <v>DA-002-M0085</v>
      </c>
      <c r="G1561" s="24">
        <f>Contributions_Data!C1014</f>
        <v>45521</v>
      </c>
      <c r="H1561" s="27">
        <f>Contributions_Data!D1014</f>
        <v>10159.32</v>
      </c>
      <c r="I1561" s="27">
        <v>0</v>
      </c>
    </row>
    <row r="1562" spans="3:9">
      <c r="C1562" s="23">
        <v>355</v>
      </c>
      <c r="D1562" s="23" t="s">
        <v>132</v>
      </c>
      <c r="E1562" s="23" t="str">
        <f>Contributions_Data!A1148</f>
        <v>DA-001</v>
      </c>
      <c r="F1562" s="23" t="str">
        <f>Contributions_Data!B1148</f>
        <v>DA-001-M0096</v>
      </c>
      <c r="G1562" s="24">
        <f>Contributions_Data!C1148</f>
        <v>45521</v>
      </c>
      <c r="H1562" s="27">
        <f>Contributions_Data!D1148</f>
        <v>15905.38</v>
      </c>
      <c r="I1562" s="27">
        <v>0</v>
      </c>
    </row>
    <row r="1563" spans="3:9">
      <c r="C1563" s="23">
        <v>356</v>
      </c>
      <c r="D1563" s="23" t="s">
        <v>134</v>
      </c>
      <c r="E1563" s="23" t="str">
        <f>Withdrawals_Data!A456</f>
        <v>DA-002</v>
      </c>
      <c r="F1563" s="23" t="str">
        <f>Withdrawals_Data!B456</f>
        <v>DA-002-M0016</v>
      </c>
      <c r="G1563" s="24">
        <f>Withdrawals_Data!C456</f>
        <v>45521</v>
      </c>
      <c r="H1563" s="27">
        <v>0</v>
      </c>
      <c r="I1563" s="27">
        <f>-Withdrawals_Data!D456</f>
        <v>-2958</v>
      </c>
    </row>
    <row r="1564" spans="3:9">
      <c r="C1564" s="23">
        <v>357</v>
      </c>
      <c r="D1564" s="23" t="s">
        <v>134</v>
      </c>
      <c r="E1564" s="23" t="str">
        <f>Withdrawals_Data!A476</f>
        <v>DA-002</v>
      </c>
      <c r="F1564" s="23" t="str">
        <f>Withdrawals_Data!B476</f>
        <v>DA-002-M0018</v>
      </c>
      <c r="G1564" s="24">
        <f>Withdrawals_Data!C476</f>
        <v>45521</v>
      </c>
      <c r="H1564" s="27">
        <v>0</v>
      </c>
      <c r="I1564" s="27">
        <f>-Withdrawals_Data!D476</f>
        <v>-8616</v>
      </c>
    </row>
    <row r="1565" spans="3:9">
      <c r="C1565" s="23">
        <v>358</v>
      </c>
      <c r="D1565" s="23" t="s">
        <v>134</v>
      </c>
      <c r="E1565" s="23" t="str">
        <f>Withdrawals_Data!A495</f>
        <v>DA-002</v>
      </c>
      <c r="F1565" s="23" t="str">
        <f>Withdrawals_Data!B495</f>
        <v>DA-002-M0020</v>
      </c>
      <c r="G1565" s="24">
        <f>Withdrawals_Data!C495</f>
        <v>45521</v>
      </c>
      <c r="H1565" s="27">
        <v>0</v>
      </c>
      <c r="I1565" s="27">
        <f>-Withdrawals_Data!D495</f>
        <v>-13539</v>
      </c>
    </row>
    <row r="1566" spans="3:9">
      <c r="C1566" s="23">
        <v>359</v>
      </c>
      <c r="D1566" s="23" t="s">
        <v>132</v>
      </c>
      <c r="E1566" s="23" t="str">
        <f>Contributions_Data!A97</f>
        <v>DA-003</v>
      </c>
      <c r="F1566" s="23" t="str">
        <f>Contributions_Data!B97</f>
        <v>DA-003-M0008</v>
      </c>
      <c r="G1566" s="24">
        <f>Contributions_Data!C97</f>
        <v>45522</v>
      </c>
      <c r="H1566" s="27">
        <f>Contributions_Data!D97</f>
        <v>10866.99</v>
      </c>
      <c r="I1566" s="27">
        <v>0</v>
      </c>
    </row>
    <row r="1567" spans="3:9">
      <c r="C1567" s="23">
        <v>360</v>
      </c>
      <c r="D1567" s="23" t="s">
        <v>132</v>
      </c>
      <c r="E1567" s="23" t="str">
        <f>Contributions_Data!A700</f>
        <v>DA-003</v>
      </c>
      <c r="F1567" s="23" t="str">
        <f>Contributions_Data!B700</f>
        <v>DA-003-M0059</v>
      </c>
      <c r="G1567" s="24">
        <f>Contributions_Data!C700</f>
        <v>45522</v>
      </c>
      <c r="H1567" s="27">
        <f>Contributions_Data!D700</f>
        <v>12956.85</v>
      </c>
      <c r="I1567" s="27">
        <v>0</v>
      </c>
    </row>
    <row r="1568" spans="3:9">
      <c r="C1568" s="23">
        <v>361</v>
      </c>
      <c r="D1568" s="23" t="s">
        <v>134</v>
      </c>
      <c r="E1568" s="23" t="str">
        <f>Withdrawals_Data!A280</f>
        <v>DA-001</v>
      </c>
      <c r="F1568" s="23" t="str">
        <f>Withdrawals_Data!B280</f>
        <v>DA-001-M0087</v>
      </c>
      <c r="G1568" s="24">
        <f>Withdrawals_Data!C280</f>
        <v>45522</v>
      </c>
      <c r="H1568" s="27">
        <v>0</v>
      </c>
      <c r="I1568" s="27">
        <f>-Withdrawals_Data!D280</f>
        <v>-4113.54</v>
      </c>
    </row>
    <row r="1569" spans="3:9">
      <c r="C1569" s="23">
        <v>362</v>
      </c>
      <c r="D1569" s="23" t="s">
        <v>134</v>
      </c>
      <c r="E1569" s="23" t="str">
        <f>Withdrawals_Data!A738</f>
        <v>DA-003</v>
      </c>
      <c r="F1569" s="23" t="str">
        <f>Withdrawals_Data!B738</f>
        <v>DA-003-M0047</v>
      </c>
      <c r="G1569" s="24">
        <f>Withdrawals_Data!C738</f>
        <v>45522</v>
      </c>
      <c r="H1569" s="27">
        <v>0</v>
      </c>
      <c r="I1569" s="27">
        <f>-Withdrawals_Data!D738</f>
        <v>-8924</v>
      </c>
    </row>
    <row r="1570" spans="3:9">
      <c r="C1570" s="23">
        <v>363</v>
      </c>
      <c r="D1570" s="23" t="s">
        <v>134</v>
      </c>
      <c r="E1570" s="23" t="str">
        <f>Withdrawals_Data!A1053</f>
        <v>DA-001</v>
      </c>
      <c r="F1570" s="23" t="str">
        <f>Withdrawals_Data!B1053</f>
        <v>DA-001-M0083</v>
      </c>
      <c r="G1570" s="24">
        <f>Withdrawals_Data!C1053</f>
        <v>45522</v>
      </c>
      <c r="H1570" s="27">
        <v>0</v>
      </c>
      <c r="I1570" s="27">
        <f>-Withdrawals_Data!D1053</f>
        <v>-5306</v>
      </c>
    </row>
    <row r="1571" spans="3:9">
      <c r="C1571" s="23">
        <v>364</v>
      </c>
      <c r="D1571" s="23" t="s">
        <v>132</v>
      </c>
      <c r="E1571" s="23" t="str">
        <f>Contributions_Data!A127</f>
        <v>DA-001</v>
      </c>
      <c r="F1571" s="23" t="str">
        <f>Contributions_Data!B127</f>
        <v>DA-001-M0011</v>
      </c>
      <c r="G1571" s="24">
        <f>Contributions_Data!C127</f>
        <v>45523</v>
      </c>
      <c r="H1571" s="27">
        <f>Contributions_Data!D127</f>
        <v>16514.96</v>
      </c>
      <c r="I1571" s="27">
        <v>0</v>
      </c>
    </row>
    <row r="1572" spans="3:9">
      <c r="C1572" s="23">
        <v>365</v>
      </c>
      <c r="D1572" s="23" t="s">
        <v>132</v>
      </c>
      <c r="E1572" s="23" t="str">
        <f>Contributions_Data!A427</f>
        <v>DA-003</v>
      </c>
      <c r="F1572" s="23" t="str">
        <f>Contributions_Data!B427</f>
        <v>DA-003-M0036</v>
      </c>
      <c r="G1572" s="24">
        <f>Contributions_Data!C427</f>
        <v>45523</v>
      </c>
      <c r="H1572" s="27">
        <f>Contributions_Data!D427</f>
        <v>15167.17</v>
      </c>
      <c r="I1572" s="27">
        <v>0</v>
      </c>
    </row>
    <row r="1573" spans="3:9">
      <c r="C1573" s="23">
        <v>366</v>
      </c>
      <c r="D1573" s="23" t="s">
        <v>132</v>
      </c>
      <c r="E1573" s="23" t="str">
        <f>Contributions_Data!A829</f>
        <v>DA-003</v>
      </c>
      <c r="F1573" s="23" t="str">
        <f>Contributions_Data!B829</f>
        <v>DA-003-M0069</v>
      </c>
      <c r="G1573" s="24">
        <f>Contributions_Data!C829</f>
        <v>45523</v>
      </c>
      <c r="H1573" s="27">
        <f>Contributions_Data!D829</f>
        <v>16792.2</v>
      </c>
      <c r="I1573" s="27">
        <v>0</v>
      </c>
    </row>
    <row r="1574" spans="3:9">
      <c r="C1574" s="23">
        <v>367</v>
      </c>
      <c r="D1574" s="23" t="s">
        <v>132</v>
      </c>
      <c r="E1574" s="23" t="str">
        <f>Contributions_Data!A1106</f>
        <v>DA-001</v>
      </c>
      <c r="F1574" s="23" t="str">
        <f>Contributions_Data!B1106</f>
        <v>DA-001-M0093</v>
      </c>
      <c r="G1574" s="24">
        <f>Contributions_Data!C1106</f>
        <v>45523</v>
      </c>
      <c r="H1574" s="27">
        <f>Contributions_Data!D1106</f>
        <v>13344.43</v>
      </c>
      <c r="I1574" s="27">
        <v>0</v>
      </c>
    </row>
    <row r="1575" spans="3:9">
      <c r="C1575" s="23">
        <v>368</v>
      </c>
      <c r="D1575" s="23" t="s">
        <v>132</v>
      </c>
      <c r="E1575" s="23" t="str">
        <f>Contributions_Data!A1110</f>
        <v>DA-001</v>
      </c>
      <c r="F1575" s="23" t="str">
        <f>Contributions_Data!B1110</f>
        <v>DA-001-M0093</v>
      </c>
      <c r="G1575" s="24">
        <f>Contributions_Data!C1110</f>
        <v>45523</v>
      </c>
      <c r="H1575" s="27">
        <f>Contributions_Data!D1110</f>
        <v>21018.28</v>
      </c>
      <c r="I1575" s="27">
        <v>0</v>
      </c>
    </row>
    <row r="1576" spans="3:9">
      <c r="C1576" s="23">
        <v>369</v>
      </c>
      <c r="D1576" s="23" t="s">
        <v>134</v>
      </c>
      <c r="E1576" s="23" t="str">
        <f>Withdrawals_Data!A13</f>
        <v>DA-001</v>
      </c>
      <c r="F1576" s="23" t="str">
        <f>Withdrawals_Data!B13</f>
        <v>DA-001-M0011</v>
      </c>
      <c r="G1576" s="24">
        <f>Withdrawals_Data!C13</f>
        <v>45523</v>
      </c>
      <c r="H1576" s="27">
        <v>0</v>
      </c>
      <c r="I1576" s="27">
        <f>-Withdrawals_Data!D13</f>
        <v>-15061.82</v>
      </c>
    </row>
    <row r="1577" spans="3:9">
      <c r="C1577" s="23">
        <v>370</v>
      </c>
      <c r="D1577" s="23" t="s">
        <v>134</v>
      </c>
      <c r="E1577" s="23" t="str">
        <f>Withdrawals_Data!A413</f>
        <v>DA-001</v>
      </c>
      <c r="F1577" s="23" t="str">
        <f>Withdrawals_Data!B413</f>
        <v>DA-001-M0010</v>
      </c>
      <c r="G1577" s="24">
        <f>Withdrawals_Data!C413</f>
        <v>45523</v>
      </c>
      <c r="H1577" s="27">
        <v>0</v>
      </c>
      <c r="I1577" s="27">
        <f>-Withdrawals_Data!D413</f>
        <v>-1927</v>
      </c>
    </row>
    <row r="1578" spans="3:9">
      <c r="C1578" s="23">
        <v>371</v>
      </c>
      <c r="D1578" s="23" t="s">
        <v>134</v>
      </c>
      <c r="E1578" s="23" t="str">
        <f>Withdrawals_Data!A945</f>
        <v>DA-001</v>
      </c>
      <c r="F1578" s="23" t="str">
        <f>Withdrawals_Data!B945</f>
        <v>DA-001-M0071</v>
      </c>
      <c r="G1578" s="24">
        <f>Withdrawals_Data!C945</f>
        <v>45523</v>
      </c>
      <c r="H1578" s="27">
        <v>0</v>
      </c>
      <c r="I1578" s="27">
        <f>-Withdrawals_Data!D945</f>
        <v>-8992</v>
      </c>
    </row>
    <row r="1579" spans="3:9">
      <c r="C1579" s="23">
        <v>372</v>
      </c>
      <c r="D1579" s="23" t="s">
        <v>132</v>
      </c>
      <c r="E1579" s="23" t="str">
        <f>Contributions_Data!A306</f>
        <v>DA-002</v>
      </c>
      <c r="F1579" s="23" t="str">
        <f>Contributions_Data!B306</f>
        <v>DA-002-M0026</v>
      </c>
      <c r="G1579" s="24">
        <f>Contributions_Data!C306</f>
        <v>45524</v>
      </c>
      <c r="H1579" s="27">
        <f>Contributions_Data!D306</f>
        <v>19934.900000000001</v>
      </c>
      <c r="I1579" s="27">
        <v>0</v>
      </c>
    </row>
    <row r="1580" spans="3:9">
      <c r="C1580" s="23">
        <v>373</v>
      </c>
      <c r="D1580" s="23" t="s">
        <v>132</v>
      </c>
      <c r="E1580" s="23" t="str">
        <f>Contributions_Data!A551</f>
        <v>DA-001</v>
      </c>
      <c r="F1580" s="23" t="str">
        <f>Contributions_Data!B551</f>
        <v>DA-001-M0046</v>
      </c>
      <c r="G1580" s="24">
        <f>Contributions_Data!C551</f>
        <v>45524</v>
      </c>
      <c r="H1580" s="27">
        <f>Contributions_Data!D551</f>
        <v>16140.59</v>
      </c>
      <c r="I1580" s="27">
        <v>0</v>
      </c>
    </row>
    <row r="1581" spans="3:9">
      <c r="C1581" s="23">
        <v>374</v>
      </c>
      <c r="D1581" s="23" t="s">
        <v>132</v>
      </c>
      <c r="E1581" s="23" t="str">
        <f>Contributions_Data!A703</f>
        <v>DA-003</v>
      </c>
      <c r="F1581" s="23" t="str">
        <f>Contributions_Data!B703</f>
        <v>DA-003-M0059</v>
      </c>
      <c r="G1581" s="24">
        <f>Contributions_Data!C703</f>
        <v>45524</v>
      </c>
      <c r="H1581" s="27">
        <f>Contributions_Data!D703</f>
        <v>13661.45</v>
      </c>
      <c r="I1581" s="27">
        <v>0</v>
      </c>
    </row>
    <row r="1582" spans="3:9">
      <c r="C1582" s="23">
        <v>375</v>
      </c>
      <c r="D1582" s="23" t="s">
        <v>132</v>
      </c>
      <c r="E1582" s="23" t="str">
        <f>Contributions_Data!A922</f>
        <v>DA-003</v>
      </c>
      <c r="F1582" s="23" t="str">
        <f>Contributions_Data!B922</f>
        <v>DA-003-M0077</v>
      </c>
      <c r="G1582" s="24">
        <f>Contributions_Data!C922</f>
        <v>45524</v>
      </c>
      <c r="H1582" s="27">
        <f>Contributions_Data!D922</f>
        <v>12237.98</v>
      </c>
      <c r="I1582" s="27">
        <v>0</v>
      </c>
    </row>
    <row r="1583" spans="3:9">
      <c r="C1583" s="23">
        <v>376</v>
      </c>
      <c r="D1583" s="23" t="s">
        <v>134</v>
      </c>
      <c r="E1583" s="23" t="str">
        <f>Withdrawals_Data!A270</f>
        <v>DA-001</v>
      </c>
      <c r="F1583" s="23" t="str">
        <f>Withdrawals_Data!B270</f>
        <v>DA-001-M0096</v>
      </c>
      <c r="G1583" s="24">
        <f>Withdrawals_Data!C270</f>
        <v>45524</v>
      </c>
      <c r="H1583" s="27">
        <v>0</v>
      </c>
      <c r="I1583" s="27">
        <f>-Withdrawals_Data!D270</f>
        <v>-4692.4799999999996</v>
      </c>
    </row>
    <row r="1584" spans="3:9">
      <c r="C1584" s="23">
        <v>377</v>
      </c>
      <c r="D1584" s="23" t="s">
        <v>134</v>
      </c>
      <c r="E1584" s="23" t="str">
        <f>Withdrawals_Data!A509</f>
        <v>DA-001</v>
      </c>
      <c r="F1584" s="23" t="str">
        <f>Withdrawals_Data!B509</f>
        <v>DA-001-M0022</v>
      </c>
      <c r="G1584" s="24">
        <f>Withdrawals_Data!C509</f>
        <v>45524</v>
      </c>
      <c r="H1584" s="27">
        <v>0</v>
      </c>
      <c r="I1584" s="27">
        <f>-Withdrawals_Data!D509</f>
        <v>-18813</v>
      </c>
    </row>
    <row r="1585" spans="3:9">
      <c r="C1585" s="23">
        <v>378</v>
      </c>
      <c r="D1585" s="23" t="s">
        <v>132</v>
      </c>
      <c r="E1585" s="23" t="str">
        <f>Contributions_Data!A777</f>
        <v>DA-001</v>
      </c>
      <c r="F1585" s="23" t="str">
        <f>Contributions_Data!B777</f>
        <v>DA-001-M0065</v>
      </c>
      <c r="G1585" s="24">
        <f>Contributions_Data!C777</f>
        <v>45525</v>
      </c>
      <c r="H1585" s="27">
        <f>Contributions_Data!D777</f>
        <v>11115.96</v>
      </c>
      <c r="I1585" s="27">
        <v>0</v>
      </c>
    </row>
    <row r="1586" spans="3:9">
      <c r="C1586" s="23">
        <v>379</v>
      </c>
      <c r="D1586" s="23" t="s">
        <v>132</v>
      </c>
      <c r="E1586" s="23" t="str">
        <f>Contributions_Data!A1063</f>
        <v>DA-002</v>
      </c>
      <c r="F1586" s="23" t="str">
        <f>Contributions_Data!B1063</f>
        <v>DA-002-M0089</v>
      </c>
      <c r="G1586" s="24">
        <f>Contributions_Data!C1063</f>
        <v>45525</v>
      </c>
      <c r="H1586" s="27">
        <f>Contributions_Data!D1063</f>
        <v>17581.419999999998</v>
      </c>
      <c r="I1586" s="27">
        <v>0</v>
      </c>
    </row>
    <row r="1587" spans="3:9">
      <c r="C1587" s="23">
        <v>380</v>
      </c>
      <c r="D1587" s="23" t="s">
        <v>134</v>
      </c>
      <c r="E1587" s="23" t="str">
        <f>Withdrawals_Data!A57</f>
        <v>DA-001</v>
      </c>
      <c r="F1587" s="23" t="str">
        <f>Withdrawals_Data!B57</f>
        <v>DA-001-M0092</v>
      </c>
      <c r="G1587" s="24">
        <f>Withdrawals_Data!C57</f>
        <v>45525</v>
      </c>
      <c r="H1587" s="27">
        <v>0</v>
      </c>
      <c r="I1587" s="27">
        <f>-Withdrawals_Data!D57</f>
        <v>-11730.36</v>
      </c>
    </row>
    <row r="1588" spans="3:9">
      <c r="C1588" s="23">
        <v>381</v>
      </c>
      <c r="D1588" s="23" t="s">
        <v>134</v>
      </c>
      <c r="E1588" s="23" t="str">
        <f>Withdrawals_Data!A515</f>
        <v>DA-001</v>
      </c>
      <c r="F1588" s="23" t="str">
        <f>Withdrawals_Data!B515</f>
        <v>DA-001-M0022</v>
      </c>
      <c r="G1588" s="24">
        <f>Withdrawals_Data!C515</f>
        <v>45525</v>
      </c>
      <c r="H1588" s="27">
        <v>0</v>
      </c>
      <c r="I1588" s="27">
        <f>-Withdrawals_Data!D515</f>
        <v>-21052</v>
      </c>
    </row>
    <row r="1589" spans="3:9">
      <c r="C1589" s="23">
        <v>382</v>
      </c>
      <c r="D1589" s="23" t="s">
        <v>134</v>
      </c>
      <c r="E1589" s="23" t="str">
        <f>Withdrawals_Data!A632</f>
        <v>DA-003</v>
      </c>
      <c r="F1589" s="23" t="str">
        <f>Withdrawals_Data!B632</f>
        <v>DA-003-M0036</v>
      </c>
      <c r="G1589" s="24">
        <f>Withdrawals_Data!C632</f>
        <v>45525</v>
      </c>
      <c r="H1589" s="27">
        <v>0</v>
      </c>
      <c r="I1589" s="27">
        <f>-Withdrawals_Data!D632</f>
        <v>-7261</v>
      </c>
    </row>
    <row r="1590" spans="3:9">
      <c r="C1590" s="23">
        <v>383</v>
      </c>
      <c r="D1590" s="23" t="s">
        <v>134</v>
      </c>
      <c r="E1590" s="23" t="str">
        <f>Withdrawals_Data!A829</f>
        <v>DA-001</v>
      </c>
      <c r="F1590" s="23" t="str">
        <f>Withdrawals_Data!B829</f>
        <v>DA-001-M0058</v>
      </c>
      <c r="G1590" s="24">
        <f>Withdrawals_Data!C829</f>
        <v>45525</v>
      </c>
      <c r="H1590" s="27">
        <v>0</v>
      </c>
      <c r="I1590" s="27">
        <f>-Withdrawals_Data!D829</f>
        <v>-9430</v>
      </c>
    </row>
    <row r="1591" spans="3:9">
      <c r="C1591" s="23">
        <v>384</v>
      </c>
      <c r="D1591" s="23" t="s">
        <v>134</v>
      </c>
      <c r="E1591" s="23" t="str">
        <f>Withdrawals_Data!A1036</f>
        <v>DA-003</v>
      </c>
      <c r="F1591" s="23" t="str">
        <f>Withdrawals_Data!B1036</f>
        <v>DA-003-M0082</v>
      </c>
      <c r="G1591" s="24">
        <f>Withdrawals_Data!C1036</f>
        <v>45525</v>
      </c>
      <c r="H1591" s="27">
        <v>0</v>
      </c>
      <c r="I1591" s="27">
        <f>-Withdrawals_Data!D1036</f>
        <v>-18550</v>
      </c>
    </row>
    <row r="1592" spans="3:9">
      <c r="C1592" s="23">
        <v>385</v>
      </c>
      <c r="D1592" s="23" t="s">
        <v>134</v>
      </c>
      <c r="E1592" s="23" t="str">
        <f>Withdrawals_Data!A1051</f>
        <v>DA-001</v>
      </c>
      <c r="F1592" s="23" t="str">
        <f>Withdrawals_Data!B1051</f>
        <v>DA-001-M0083</v>
      </c>
      <c r="G1592" s="24">
        <f>Withdrawals_Data!C1051</f>
        <v>45525</v>
      </c>
      <c r="H1592" s="27">
        <v>0</v>
      </c>
      <c r="I1592" s="27">
        <f>-Withdrawals_Data!D1051</f>
        <v>-1422</v>
      </c>
    </row>
    <row r="1593" spans="3:9">
      <c r="C1593" s="23">
        <v>386</v>
      </c>
      <c r="D1593" s="23" t="s">
        <v>132</v>
      </c>
      <c r="E1593" s="23" t="str">
        <f>Contributions_Data!A63</f>
        <v>DA-003</v>
      </c>
      <c r="F1593" s="23" t="str">
        <f>Contributions_Data!B63</f>
        <v>DA-003-M0006</v>
      </c>
      <c r="G1593" s="24">
        <f>Contributions_Data!C63</f>
        <v>45526</v>
      </c>
      <c r="H1593" s="27">
        <f>Contributions_Data!D63</f>
        <v>16969.66</v>
      </c>
      <c r="I1593" s="27">
        <v>0</v>
      </c>
    </row>
    <row r="1594" spans="3:9">
      <c r="C1594" s="23">
        <v>387</v>
      </c>
      <c r="D1594" s="23" t="s">
        <v>132</v>
      </c>
      <c r="E1594" s="23" t="str">
        <f>Contributions_Data!A305</f>
        <v>DA-002</v>
      </c>
      <c r="F1594" s="23" t="str">
        <f>Contributions_Data!B305</f>
        <v>DA-002-M0026</v>
      </c>
      <c r="G1594" s="24">
        <f>Contributions_Data!C305</f>
        <v>45526</v>
      </c>
      <c r="H1594" s="27">
        <f>Contributions_Data!D305</f>
        <v>10454.43</v>
      </c>
      <c r="I1594" s="27">
        <v>0</v>
      </c>
    </row>
    <row r="1595" spans="3:9">
      <c r="C1595" s="23">
        <v>388</v>
      </c>
      <c r="D1595" s="23" t="s">
        <v>132</v>
      </c>
      <c r="E1595" s="23" t="str">
        <f>Contributions_Data!A773</f>
        <v>DA-001</v>
      </c>
      <c r="F1595" s="23" t="str">
        <f>Contributions_Data!B773</f>
        <v>DA-001-M0065</v>
      </c>
      <c r="G1595" s="24">
        <f>Contributions_Data!C773</f>
        <v>45526</v>
      </c>
      <c r="H1595" s="27">
        <f>Contributions_Data!D773</f>
        <v>17315.099999999999</v>
      </c>
      <c r="I1595" s="27">
        <v>0</v>
      </c>
    </row>
    <row r="1596" spans="3:9">
      <c r="C1596" s="23">
        <v>389</v>
      </c>
      <c r="D1596" s="23" t="s">
        <v>132</v>
      </c>
      <c r="E1596" s="23" t="str">
        <f>Contributions_Data!A816</f>
        <v>DA-003</v>
      </c>
      <c r="F1596" s="23" t="str">
        <f>Contributions_Data!B816</f>
        <v>DA-003-M0068</v>
      </c>
      <c r="G1596" s="24">
        <f>Contributions_Data!C816</f>
        <v>45526</v>
      </c>
      <c r="H1596" s="27">
        <f>Contributions_Data!D816</f>
        <v>18561.09</v>
      </c>
      <c r="I1596" s="27">
        <v>0</v>
      </c>
    </row>
    <row r="1597" spans="3:9">
      <c r="C1597" s="23">
        <v>390</v>
      </c>
      <c r="D1597" s="23" t="s">
        <v>132</v>
      </c>
      <c r="E1597" s="23" t="str">
        <f>Contributions_Data!A876</f>
        <v>DA-001</v>
      </c>
      <c r="F1597" s="23" t="str">
        <f>Contributions_Data!B876</f>
        <v>DA-001-M0073</v>
      </c>
      <c r="G1597" s="24">
        <f>Contributions_Data!C876</f>
        <v>45526</v>
      </c>
      <c r="H1597" s="27">
        <f>Contributions_Data!D876</f>
        <v>19092.419999999998</v>
      </c>
      <c r="I1597" s="27">
        <v>0</v>
      </c>
    </row>
    <row r="1598" spans="3:9">
      <c r="C1598" s="23">
        <v>391</v>
      </c>
      <c r="D1598" s="23" t="s">
        <v>132</v>
      </c>
      <c r="E1598" s="23" t="str">
        <f>Contributions_Data!A1073</f>
        <v>DA-003</v>
      </c>
      <c r="F1598" s="23" t="str">
        <f>Contributions_Data!B1073</f>
        <v>DA-003-M0090</v>
      </c>
      <c r="G1598" s="24">
        <f>Contributions_Data!C1073</f>
        <v>45526</v>
      </c>
      <c r="H1598" s="27">
        <f>Contributions_Data!D1073</f>
        <v>13414.15</v>
      </c>
      <c r="I1598" s="27">
        <v>0</v>
      </c>
    </row>
    <row r="1599" spans="3:9">
      <c r="C1599" s="23">
        <v>392</v>
      </c>
      <c r="D1599" s="23" t="s">
        <v>132</v>
      </c>
      <c r="E1599" s="23" t="str">
        <f>Contributions_Data!A1192</f>
        <v>DA-003</v>
      </c>
      <c r="F1599" s="23" t="str">
        <f>Contributions_Data!B1192</f>
        <v>DA-003-M0100</v>
      </c>
      <c r="G1599" s="24">
        <f>Contributions_Data!C1192</f>
        <v>45526</v>
      </c>
      <c r="H1599" s="27">
        <f>Contributions_Data!D1192</f>
        <v>13062.11</v>
      </c>
      <c r="I1599" s="27">
        <v>0</v>
      </c>
    </row>
    <row r="1600" spans="3:9">
      <c r="C1600" s="23">
        <v>393</v>
      </c>
      <c r="D1600" s="23" t="s">
        <v>134</v>
      </c>
      <c r="E1600" s="23" t="str">
        <f>Withdrawals_Data!A609</f>
        <v>DA-002</v>
      </c>
      <c r="F1600" s="23" t="str">
        <f>Withdrawals_Data!B609</f>
        <v>DA-002-M0033</v>
      </c>
      <c r="G1600" s="24">
        <f>Withdrawals_Data!C609</f>
        <v>45526</v>
      </c>
      <c r="H1600" s="27">
        <v>0</v>
      </c>
      <c r="I1600" s="27">
        <f>-Withdrawals_Data!D609</f>
        <v>-2683</v>
      </c>
    </row>
    <row r="1601" spans="3:9">
      <c r="C1601" s="23">
        <v>394</v>
      </c>
      <c r="D1601" s="23" t="s">
        <v>134</v>
      </c>
      <c r="E1601" s="23" t="str">
        <f>Withdrawals_Data!A769</f>
        <v>DA-002</v>
      </c>
      <c r="F1601" s="23" t="str">
        <f>Withdrawals_Data!B769</f>
        <v>DA-002-M0051</v>
      </c>
      <c r="G1601" s="24">
        <f>Withdrawals_Data!C769</f>
        <v>45526</v>
      </c>
      <c r="H1601" s="27">
        <v>0</v>
      </c>
      <c r="I1601" s="27">
        <f>-Withdrawals_Data!D769</f>
        <v>-1804</v>
      </c>
    </row>
    <row r="1602" spans="3:9">
      <c r="C1602" s="23">
        <v>395</v>
      </c>
      <c r="D1602" s="23" t="s">
        <v>132</v>
      </c>
      <c r="E1602" s="23" t="str">
        <f>Contributions_Data!A449</f>
        <v>DA-001</v>
      </c>
      <c r="F1602" s="23" t="str">
        <f>Contributions_Data!B449</f>
        <v>DA-001-M0038</v>
      </c>
      <c r="G1602" s="24">
        <f>Contributions_Data!C449</f>
        <v>45527</v>
      </c>
      <c r="H1602" s="27">
        <f>Contributions_Data!D449</f>
        <v>15594.25</v>
      </c>
      <c r="I1602" s="27">
        <v>0</v>
      </c>
    </row>
    <row r="1603" spans="3:9">
      <c r="C1603" s="23">
        <v>396</v>
      </c>
      <c r="D1603" s="23" t="s">
        <v>132</v>
      </c>
      <c r="E1603" s="23" t="str">
        <f>Contributions_Data!A536</f>
        <v>DA-003</v>
      </c>
      <c r="F1603" s="23" t="str">
        <f>Contributions_Data!B536</f>
        <v>DA-003-M0045</v>
      </c>
      <c r="G1603" s="24">
        <f>Contributions_Data!C536</f>
        <v>45527</v>
      </c>
      <c r="H1603" s="27">
        <f>Contributions_Data!D536</f>
        <v>14895.03</v>
      </c>
      <c r="I1603" s="27">
        <v>0</v>
      </c>
    </row>
    <row r="1604" spans="3:9">
      <c r="C1604" s="23">
        <v>397</v>
      </c>
      <c r="D1604" s="23" t="s">
        <v>132</v>
      </c>
      <c r="E1604" s="23" t="str">
        <f>Contributions_Data!A842</f>
        <v>DA-001</v>
      </c>
      <c r="F1604" s="23" t="str">
        <f>Contributions_Data!B842</f>
        <v>DA-001-M0071</v>
      </c>
      <c r="G1604" s="24">
        <f>Contributions_Data!C842</f>
        <v>45527</v>
      </c>
      <c r="H1604" s="27">
        <f>Contributions_Data!D842</f>
        <v>18029.45</v>
      </c>
      <c r="I1604" s="27">
        <v>0</v>
      </c>
    </row>
    <row r="1605" spans="3:9">
      <c r="C1605" s="23">
        <v>398</v>
      </c>
      <c r="D1605" s="23" t="s">
        <v>132</v>
      </c>
      <c r="E1605" s="23" t="str">
        <f>Contributions_Data!A1184</f>
        <v>DA-003</v>
      </c>
      <c r="F1605" s="23" t="str">
        <f>Contributions_Data!B1184</f>
        <v>DA-003-M0099</v>
      </c>
      <c r="G1605" s="24">
        <f>Contributions_Data!C1184</f>
        <v>45527</v>
      </c>
      <c r="H1605" s="27">
        <f>Contributions_Data!D1184</f>
        <v>17711.8</v>
      </c>
      <c r="I1605" s="27">
        <v>0</v>
      </c>
    </row>
    <row r="1606" spans="3:9">
      <c r="C1606" s="23">
        <v>399</v>
      </c>
      <c r="D1606" s="23" t="s">
        <v>134</v>
      </c>
      <c r="E1606" s="23" t="str">
        <f>Withdrawals_Data!A634</f>
        <v>DA-003</v>
      </c>
      <c r="F1606" s="23" t="str">
        <f>Withdrawals_Data!B634</f>
        <v>DA-003-M0036</v>
      </c>
      <c r="G1606" s="24">
        <f>Withdrawals_Data!C634</f>
        <v>45527</v>
      </c>
      <c r="H1606" s="27">
        <v>0</v>
      </c>
      <c r="I1606" s="27">
        <f>-Withdrawals_Data!D634</f>
        <v>-8173</v>
      </c>
    </row>
    <row r="1607" spans="3:9">
      <c r="C1607" s="23">
        <v>400</v>
      </c>
      <c r="D1607" s="23" t="s">
        <v>134</v>
      </c>
      <c r="E1607" s="23" t="str">
        <f>Withdrawals_Data!A1037</f>
        <v>DA-003</v>
      </c>
      <c r="F1607" s="23" t="str">
        <f>Withdrawals_Data!B1037</f>
        <v>DA-003-M0082</v>
      </c>
      <c r="G1607" s="24">
        <f>Withdrawals_Data!C1037</f>
        <v>45527</v>
      </c>
      <c r="H1607" s="27">
        <v>0</v>
      </c>
      <c r="I1607" s="27">
        <f>-Withdrawals_Data!D1037</f>
        <v>-16824</v>
      </c>
    </row>
    <row r="1608" spans="3:9">
      <c r="C1608" s="23">
        <v>401</v>
      </c>
      <c r="D1608" s="23" t="s">
        <v>134</v>
      </c>
      <c r="E1608" s="23" t="str">
        <f>Withdrawals_Data!A1147</f>
        <v>DA-002</v>
      </c>
      <c r="F1608" s="23" t="str">
        <f>Withdrawals_Data!B1147</f>
        <v>DA-002-M0094</v>
      </c>
      <c r="G1608" s="24">
        <f>Withdrawals_Data!C1147</f>
        <v>45527</v>
      </c>
      <c r="H1608" s="27">
        <v>0</v>
      </c>
      <c r="I1608" s="27">
        <f>-Withdrawals_Data!D1147</f>
        <v>-8061</v>
      </c>
    </row>
    <row r="1609" spans="3:9">
      <c r="C1609" s="23">
        <v>402</v>
      </c>
      <c r="D1609" s="23" t="s">
        <v>132</v>
      </c>
      <c r="E1609" s="23" t="str">
        <f>Contributions_Data!A552</f>
        <v>DA-001</v>
      </c>
      <c r="F1609" s="23" t="str">
        <f>Contributions_Data!B552</f>
        <v>DA-001-M0046</v>
      </c>
      <c r="G1609" s="24">
        <f>Contributions_Data!C552</f>
        <v>45528</v>
      </c>
      <c r="H1609" s="27">
        <f>Contributions_Data!D552</f>
        <v>16831.759999999998</v>
      </c>
      <c r="I1609" s="27">
        <v>0</v>
      </c>
    </row>
    <row r="1610" spans="3:9">
      <c r="C1610" s="23">
        <v>403</v>
      </c>
      <c r="D1610" s="23" t="s">
        <v>132</v>
      </c>
      <c r="E1610" s="23" t="str">
        <f>Contributions_Data!A1038</f>
        <v>DA-001</v>
      </c>
      <c r="F1610" s="23" t="str">
        <f>Contributions_Data!B1038</f>
        <v>DA-001-M0087</v>
      </c>
      <c r="G1610" s="24">
        <f>Contributions_Data!C1038</f>
        <v>45528</v>
      </c>
      <c r="H1610" s="27">
        <f>Contributions_Data!D1038</f>
        <v>16609.96</v>
      </c>
      <c r="I1610" s="27">
        <v>0</v>
      </c>
    </row>
    <row r="1611" spans="3:9">
      <c r="C1611" s="23">
        <v>404</v>
      </c>
      <c r="D1611" s="23" t="s">
        <v>134</v>
      </c>
      <c r="E1611" s="23" t="str">
        <f>Withdrawals_Data!A235</f>
        <v>DA-001</v>
      </c>
      <c r="F1611" s="23" t="str">
        <f>Withdrawals_Data!B235</f>
        <v>DA-001-M0024</v>
      </c>
      <c r="G1611" s="24">
        <f>Withdrawals_Data!C235</f>
        <v>45528</v>
      </c>
      <c r="H1611" s="27">
        <v>0</v>
      </c>
      <c r="I1611" s="27">
        <f>-Withdrawals_Data!D235</f>
        <v>-5944.53</v>
      </c>
    </row>
    <row r="1612" spans="3:9">
      <c r="C1612" s="23">
        <v>405</v>
      </c>
      <c r="D1612" s="23" t="s">
        <v>134</v>
      </c>
      <c r="E1612" s="23" t="str">
        <f>Withdrawals_Data!A808</f>
        <v>DA-001</v>
      </c>
      <c r="F1612" s="23" t="str">
        <f>Withdrawals_Data!B808</f>
        <v>DA-001-M0056</v>
      </c>
      <c r="G1612" s="24">
        <f>Withdrawals_Data!C808</f>
        <v>45528</v>
      </c>
      <c r="H1612" s="27">
        <v>0</v>
      </c>
      <c r="I1612" s="27">
        <f>-Withdrawals_Data!D808</f>
        <v>-17653</v>
      </c>
    </row>
    <row r="1613" spans="3:9">
      <c r="C1613" s="23">
        <v>406</v>
      </c>
      <c r="D1613" s="23" t="s">
        <v>132</v>
      </c>
      <c r="E1613" s="23" t="str">
        <f>Contributions_Data!A174</f>
        <v>DA-003</v>
      </c>
      <c r="F1613" s="23" t="str">
        <f>Contributions_Data!B174</f>
        <v>DA-003-M0015</v>
      </c>
      <c r="G1613" s="24">
        <f>Contributions_Data!C174</f>
        <v>45529</v>
      </c>
      <c r="H1613" s="27">
        <f>Contributions_Data!D174</f>
        <v>15351.98</v>
      </c>
      <c r="I1613" s="27">
        <v>0</v>
      </c>
    </row>
    <row r="1614" spans="3:9">
      <c r="C1614" s="23">
        <v>407</v>
      </c>
      <c r="D1614" s="23" t="s">
        <v>132</v>
      </c>
      <c r="E1614" s="23" t="str">
        <f>Contributions_Data!A564</f>
        <v>DA-003</v>
      </c>
      <c r="F1614" s="23" t="str">
        <f>Contributions_Data!B564</f>
        <v>DA-003-M0047</v>
      </c>
      <c r="G1614" s="24">
        <f>Contributions_Data!C564</f>
        <v>45529</v>
      </c>
      <c r="H1614" s="27">
        <f>Contributions_Data!D564</f>
        <v>17814.849999999999</v>
      </c>
      <c r="I1614" s="27">
        <v>0</v>
      </c>
    </row>
    <row r="1615" spans="3:9">
      <c r="C1615" s="23">
        <v>408</v>
      </c>
      <c r="D1615" s="23" t="s">
        <v>132</v>
      </c>
      <c r="E1615" s="23" t="str">
        <f>Contributions_Data!A898</f>
        <v>DA-001</v>
      </c>
      <c r="F1615" s="23" t="str">
        <f>Contributions_Data!B898</f>
        <v>DA-001-M0075</v>
      </c>
      <c r="G1615" s="24">
        <f>Contributions_Data!C898</f>
        <v>45529</v>
      </c>
      <c r="H1615" s="27">
        <f>Contributions_Data!D898</f>
        <v>10890.59</v>
      </c>
      <c r="I1615" s="27">
        <v>0</v>
      </c>
    </row>
    <row r="1616" spans="3:9">
      <c r="C1616" s="23">
        <v>409</v>
      </c>
      <c r="D1616" s="23" t="s">
        <v>132</v>
      </c>
      <c r="E1616" s="23" t="str">
        <f>Contributions_Data!A933</f>
        <v>DA-002</v>
      </c>
      <c r="F1616" s="23" t="str">
        <f>Contributions_Data!B933</f>
        <v>DA-002-M0078</v>
      </c>
      <c r="G1616" s="24">
        <f>Contributions_Data!C933</f>
        <v>45529</v>
      </c>
      <c r="H1616" s="27">
        <f>Contributions_Data!D933</f>
        <v>21957.99</v>
      </c>
      <c r="I1616" s="27">
        <v>0</v>
      </c>
    </row>
    <row r="1617" spans="3:9">
      <c r="C1617" s="23">
        <v>410</v>
      </c>
      <c r="D1617" s="23" t="s">
        <v>134</v>
      </c>
      <c r="E1617" s="23" t="str">
        <f>Withdrawals_Data!A409</f>
        <v>DA-001</v>
      </c>
      <c r="F1617" s="23" t="str">
        <f>Withdrawals_Data!B409</f>
        <v>DA-001-M0010</v>
      </c>
      <c r="G1617" s="24">
        <f>Withdrawals_Data!C409</f>
        <v>45529</v>
      </c>
      <c r="H1617" s="27">
        <v>0</v>
      </c>
      <c r="I1617" s="27">
        <f>-Withdrawals_Data!D409</f>
        <v>-18837</v>
      </c>
    </row>
    <row r="1618" spans="3:9">
      <c r="C1618" s="23">
        <v>411</v>
      </c>
      <c r="D1618" s="23" t="s">
        <v>134</v>
      </c>
      <c r="E1618" s="23" t="str">
        <f>Withdrawals_Data!A931</f>
        <v>DA-003</v>
      </c>
      <c r="F1618" s="23" t="str">
        <f>Withdrawals_Data!B931</f>
        <v>DA-003-M0069</v>
      </c>
      <c r="G1618" s="24">
        <f>Withdrawals_Data!C931</f>
        <v>45529</v>
      </c>
      <c r="H1618" s="27">
        <v>0</v>
      </c>
      <c r="I1618" s="27">
        <f>-Withdrawals_Data!D931</f>
        <v>-11556</v>
      </c>
    </row>
    <row r="1619" spans="3:9">
      <c r="C1619" s="23">
        <v>412</v>
      </c>
      <c r="D1619" s="23" t="s">
        <v>134</v>
      </c>
      <c r="E1619" s="23" t="str">
        <f>Withdrawals_Data!A1009</f>
        <v>DA-003</v>
      </c>
      <c r="F1619" s="23" t="str">
        <f>Withdrawals_Data!B1009</f>
        <v>DA-003-M0079</v>
      </c>
      <c r="G1619" s="24">
        <f>Withdrawals_Data!C1009</f>
        <v>45529</v>
      </c>
      <c r="H1619" s="27">
        <v>0</v>
      </c>
      <c r="I1619" s="27">
        <f>-Withdrawals_Data!D1009</f>
        <v>-10257</v>
      </c>
    </row>
    <row r="1620" spans="3:9">
      <c r="C1620" s="23">
        <v>413</v>
      </c>
      <c r="D1620" s="23" t="s">
        <v>132</v>
      </c>
      <c r="E1620" s="23" t="str">
        <f>Contributions_Data!A56</f>
        <v>DA-003</v>
      </c>
      <c r="F1620" s="23" t="str">
        <f>Contributions_Data!B56</f>
        <v>DA-003-M0005</v>
      </c>
      <c r="G1620" s="24">
        <f>Contributions_Data!C56</f>
        <v>45530</v>
      </c>
      <c r="H1620" s="27">
        <f>Contributions_Data!D56</f>
        <v>16565.82</v>
      </c>
      <c r="I1620" s="27">
        <v>0</v>
      </c>
    </row>
    <row r="1621" spans="3:9">
      <c r="C1621" s="23">
        <v>414</v>
      </c>
      <c r="D1621" s="23" t="s">
        <v>132</v>
      </c>
      <c r="E1621" s="23" t="str">
        <f>Contributions_Data!A707</f>
        <v>DA-003</v>
      </c>
      <c r="F1621" s="23" t="str">
        <f>Contributions_Data!B707</f>
        <v>DA-003-M0059</v>
      </c>
      <c r="G1621" s="24">
        <f>Contributions_Data!C707</f>
        <v>45530</v>
      </c>
      <c r="H1621" s="27">
        <f>Contributions_Data!D707</f>
        <v>17281.240000000002</v>
      </c>
      <c r="I1621" s="27">
        <v>0</v>
      </c>
    </row>
    <row r="1622" spans="3:9">
      <c r="C1622" s="23">
        <v>415</v>
      </c>
      <c r="D1622" s="23" t="s">
        <v>134</v>
      </c>
      <c r="E1622" s="23" t="str">
        <f>Withdrawals_Data!A164</f>
        <v>DA-002</v>
      </c>
      <c r="F1622" s="23" t="str">
        <f>Withdrawals_Data!B164</f>
        <v>DA-002-M0094</v>
      </c>
      <c r="G1622" s="24">
        <f>Withdrawals_Data!C164</f>
        <v>45530</v>
      </c>
      <c r="H1622" s="27">
        <v>0</v>
      </c>
      <c r="I1622" s="27">
        <f>-Withdrawals_Data!D164</f>
        <v>-8353.6299999999992</v>
      </c>
    </row>
    <row r="1623" spans="3:9">
      <c r="C1623" s="23">
        <v>416</v>
      </c>
      <c r="D1623" s="23" t="s">
        <v>134</v>
      </c>
      <c r="E1623" s="23" t="str">
        <f>Withdrawals_Data!A390</f>
        <v>DA-003</v>
      </c>
      <c r="F1623" s="23" t="str">
        <f>Withdrawals_Data!B390</f>
        <v>DA-003-M0007</v>
      </c>
      <c r="G1623" s="24">
        <f>Withdrawals_Data!C390</f>
        <v>45530</v>
      </c>
      <c r="H1623" s="27">
        <v>0</v>
      </c>
      <c r="I1623" s="27">
        <f>-Withdrawals_Data!D390</f>
        <v>-19002</v>
      </c>
    </row>
    <row r="1624" spans="3:9">
      <c r="C1624" s="23">
        <v>417</v>
      </c>
      <c r="D1624" s="23" t="s">
        <v>134</v>
      </c>
      <c r="E1624" s="23" t="str">
        <f>Withdrawals_Data!A574</f>
        <v>DA-003</v>
      </c>
      <c r="F1624" s="23" t="str">
        <f>Withdrawals_Data!B574</f>
        <v>DA-003-M0029</v>
      </c>
      <c r="G1624" s="24">
        <f>Withdrawals_Data!C574</f>
        <v>45530</v>
      </c>
      <c r="H1624" s="27">
        <v>0</v>
      </c>
      <c r="I1624" s="27">
        <f>-Withdrawals_Data!D574</f>
        <v>-12203</v>
      </c>
    </row>
    <row r="1625" spans="3:9">
      <c r="C1625" s="23">
        <v>418</v>
      </c>
      <c r="D1625" s="23" t="s">
        <v>134</v>
      </c>
      <c r="E1625" s="23" t="str">
        <f>Withdrawals_Data!A737</f>
        <v>DA-003</v>
      </c>
      <c r="F1625" s="23" t="str">
        <f>Withdrawals_Data!B737</f>
        <v>DA-003-M0047</v>
      </c>
      <c r="G1625" s="24">
        <f>Withdrawals_Data!C737</f>
        <v>45530</v>
      </c>
      <c r="H1625" s="27">
        <v>0</v>
      </c>
      <c r="I1625" s="27">
        <f>-Withdrawals_Data!D737</f>
        <v>-14314</v>
      </c>
    </row>
    <row r="1626" spans="3:9">
      <c r="C1626" s="23">
        <v>419</v>
      </c>
      <c r="D1626" s="23" t="s">
        <v>134</v>
      </c>
      <c r="E1626" s="23" t="str">
        <f>Withdrawals_Data!A1170</f>
        <v>DA-002</v>
      </c>
      <c r="F1626" s="23" t="str">
        <f>Withdrawals_Data!B1170</f>
        <v>DA-002-M0097</v>
      </c>
      <c r="G1626" s="24">
        <f>Withdrawals_Data!C1170</f>
        <v>45530</v>
      </c>
      <c r="H1626" s="27">
        <v>0</v>
      </c>
      <c r="I1626" s="27">
        <f>-Withdrawals_Data!D1170</f>
        <v>-12788</v>
      </c>
    </row>
    <row r="1627" spans="3:9">
      <c r="C1627" s="23">
        <v>420</v>
      </c>
      <c r="D1627" s="23" t="s">
        <v>134</v>
      </c>
      <c r="E1627" s="23" t="str">
        <f>Withdrawals_Data!A1184</f>
        <v>DA-003</v>
      </c>
      <c r="F1627" s="23" t="str">
        <f>Withdrawals_Data!B1184</f>
        <v>DA-003-M0099</v>
      </c>
      <c r="G1627" s="24">
        <f>Withdrawals_Data!C1184</f>
        <v>45530</v>
      </c>
      <c r="H1627" s="27">
        <v>0</v>
      </c>
      <c r="I1627" s="27">
        <f>-Withdrawals_Data!D1184</f>
        <v>-10501</v>
      </c>
    </row>
    <row r="1628" spans="3:9">
      <c r="C1628" s="23">
        <v>421</v>
      </c>
      <c r="D1628" s="23" t="s">
        <v>132</v>
      </c>
      <c r="E1628" s="23" t="str">
        <f>Contributions_Data!A289</f>
        <v>DA-001</v>
      </c>
      <c r="F1628" s="23" t="str">
        <f>Contributions_Data!B289</f>
        <v>DA-001-M0024</v>
      </c>
      <c r="G1628" s="24">
        <f>Contributions_Data!C289</f>
        <v>45531</v>
      </c>
      <c r="H1628" s="27">
        <f>Contributions_Data!D289</f>
        <v>12042.82</v>
      </c>
      <c r="I1628" s="27">
        <v>0</v>
      </c>
    </row>
    <row r="1629" spans="3:9">
      <c r="C1629" s="23">
        <v>422</v>
      </c>
      <c r="D1629" s="23" t="s">
        <v>132</v>
      </c>
      <c r="E1629" s="23" t="str">
        <f>Contributions_Data!A830</f>
        <v>DA-002</v>
      </c>
      <c r="F1629" s="23" t="str">
        <f>Contributions_Data!B830</f>
        <v>DA-002-M0070</v>
      </c>
      <c r="G1629" s="24">
        <f>Contributions_Data!C830</f>
        <v>45531</v>
      </c>
      <c r="H1629" s="27">
        <f>Contributions_Data!D830</f>
        <v>17103.52</v>
      </c>
      <c r="I1629" s="27">
        <v>0</v>
      </c>
    </row>
    <row r="1630" spans="3:9">
      <c r="C1630" s="23">
        <v>423</v>
      </c>
      <c r="D1630" s="23" t="s">
        <v>132</v>
      </c>
      <c r="E1630" s="23" t="str">
        <f>Contributions_Data!A1055</f>
        <v>DA-002</v>
      </c>
      <c r="F1630" s="23" t="str">
        <f>Contributions_Data!B1055</f>
        <v>DA-002-M0088</v>
      </c>
      <c r="G1630" s="24">
        <f>Contributions_Data!C1055</f>
        <v>45531</v>
      </c>
      <c r="H1630" s="27">
        <f>Contributions_Data!D1055</f>
        <v>12482.37</v>
      </c>
      <c r="I1630" s="27">
        <v>0</v>
      </c>
    </row>
    <row r="1631" spans="3:9">
      <c r="C1631" s="23">
        <v>424</v>
      </c>
      <c r="D1631" s="23" t="s">
        <v>134</v>
      </c>
      <c r="E1631" s="23" t="str">
        <f>Withdrawals_Data!A269</f>
        <v>DA-002</v>
      </c>
      <c r="F1631" s="23" t="str">
        <f>Withdrawals_Data!B269</f>
        <v>DA-002-M0016</v>
      </c>
      <c r="G1631" s="24">
        <f>Withdrawals_Data!C269</f>
        <v>45531</v>
      </c>
      <c r="H1631" s="27">
        <v>0</v>
      </c>
      <c r="I1631" s="27">
        <f>-Withdrawals_Data!D269</f>
        <v>-4727.12</v>
      </c>
    </row>
    <row r="1632" spans="3:9">
      <c r="C1632" s="23">
        <v>425</v>
      </c>
      <c r="D1632" s="23" t="s">
        <v>134</v>
      </c>
      <c r="E1632" s="23" t="str">
        <f>Withdrawals_Data!A375</f>
        <v>DA-003</v>
      </c>
      <c r="F1632" s="23" t="str">
        <f>Withdrawals_Data!B375</f>
        <v>DA-003-M0005</v>
      </c>
      <c r="G1632" s="24">
        <f>Withdrawals_Data!C375</f>
        <v>45531</v>
      </c>
      <c r="H1632" s="27">
        <v>0</v>
      </c>
      <c r="I1632" s="27">
        <f>-Withdrawals_Data!D375</f>
        <v>-18537</v>
      </c>
    </row>
    <row r="1633" spans="3:9">
      <c r="C1633" s="23">
        <v>426</v>
      </c>
      <c r="D1633" s="23" t="s">
        <v>134</v>
      </c>
      <c r="E1633" s="23" t="str">
        <f>Withdrawals_Data!A1134</f>
        <v>DA-001</v>
      </c>
      <c r="F1633" s="23" t="str">
        <f>Withdrawals_Data!B1134</f>
        <v>DA-001-M0093</v>
      </c>
      <c r="G1633" s="24">
        <f>Withdrawals_Data!C1134</f>
        <v>45531</v>
      </c>
      <c r="H1633" s="27">
        <v>0</v>
      </c>
      <c r="I1633" s="27">
        <f>-Withdrawals_Data!D1134</f>
        <v>-9012</v>
      </c>
    </row>
    <row r="1634" spans="3:9">
      <c r="C1634" s="23">
        <v>427</v>
      </c>
      <c r="D1634" s="23" t="s">
        <v>134</v>
      </c>
      <c r="E1634" s="23" t="str">
        <f>Withdrawals_Data!A1160</f>
        <v>DA-001</v>
      </c>
      <c r="F1634" s="23" t="str">
        <f>Withdrawals_Data!B1160</f>
        <v>DA-001-M0096</v>
      </c>
      <c r="G1634" s="24">
        <f>Withdrawals_Data!C1160</f>
        <v>45531</v>
      </c>
      <c r="H1634" s="27">
        <v>0</v>
      </c>
      <c r="I1634" s="27">
        <f>-Withdrawals_Data!D1160</f>
        <v>-1983</v>
      </c>
    </row>
    <row r="1635" spans="3:9">
      <c r="C1635" s="23">
        <v>428</v>
      </c>
      <c r="D1635" s="23" t="s">
        <v>132</v>
      </c>
      <c r="E1635" s="23" t="str">
        <f>Contributions_Data!A419</f>
        <v>DA-001</v>
      </c>
      <c r="F1635" s="23" t="str">
        <f>Contributions_Data!B419</f>
        <v>DA-001-M0035</v>
      </c>
      <c r="G1635" s="24">
        <f>Contributions_Data!C419</f>
        <v>45532</v>
      </c>
      <c r="H1635" s="27">
        <f>Contributions_Data!D419</f>
        <v>16443.03</v>
      </c>
      <c r="I1635" s="27">
        <v>0</v>
      </c>
    </row>
    <row r="1636" spans="3:9">
      <c r="C1636" s="23">
        <v>429</v>
      </c>
      <c r="D1636" s="23" t="s">
        <v>132</v>
      </c>
      <c r="E1636" s="23" t="str">
        <f>Contributions_Data!A658</f>
        <v>DA-001</v>
      </c>
      <c r="F1636" s="23" t="str">
        <f>Contributions_Data!B658</f>
        <v>DA-001-M0055</v>
      </c>
      <c r="G1636" s="24">
        <f>Contributions_Data!C658</f>
        <v>45532</v>
      </c>
      <c r="H1636" s="27">
        <f>Contributions_Data!D658</f>
        <v>15398.91</v>
      </c>
      <c r="I1636" s="27">
        <v>0</v>
      </c>
    </row>
    <row r="1637" spans="3:9">
      <c r="C1637" s="23">
        <v>430</v>
      </c>
      <c r="D1637" s="23" t="s">
        <v>132</v>
      </c>
      <c r="E1637" s="23" t="str">
        <f>Contributions_Data!A682</f>
        <v>DA-002</v>
      </c>
      <c r="F1637" s="23" t="str">
        <f>Contributions_Data!B682</f>
        <v>DA-002-M0057</v>
      </c>
      <c r="G1637" s="24">
        <f>Contributions_Data!C682</f>
        <v>45532</v>
      </c>
      <c r="H1637" s="27">
        <f>Contributions_Data!D682</f>
        <v>16056.17</v>
      </c>
      <c r="I1637" s="27">
        <v>0</v>
      </c>
    </row>
    <row r="1638" spans="3:9">
      <c r="C1638" s="23">
        <v>431</v>
      </c>
      <c r="D1638" s="23" t="s">
        <v>132</v>
      </c>
      <c r="E1638" s="23" t="str">
        <f>Contributions_Data!A685</f>
        <v>DA-002</v>
      </c>
      <c r="F1638" s="23" t="str">
        <f>Contributions_Data!B685</f>
        <v>DA-002-M0057</v>
      </c>
      <c r="G1638" s="24">
        <f>Contributions_Data!C685</f>
        <v>45532</v>
      </c>
      <c r="H1638" s="27">
        <f>Contributions_Data!D685</f>
        <v>14753.55</v>
      </c>
      <c r="I1638" s="27">
        <v>0</v>
      </c>
    </row>
    <row r="1639" spans="3:9">
      <c r="C1639" s="23">
        <v>432</v>
      </c>
      <c r="D1639" s="23" t="s">
        <v>132</v>
      </c>
      <c r="E1639" s="23" t="str">
        <f>Contributions_Data!A699</f>
        <v>DA-003</v>
      </c>
      <c r="F1639" s="23" t="str">
        <f>Contributions_Data!B699</f>
        <v>DA-003-M0059</v>
      </c>
      <c r="G1639" s="24">
        <f>Contributions_Data!C699</f>
        <v>45532</v>
      </c>
      <c r="H1639" s="27">
        <f>Contributions_Data!D699</f>
        <v>10707.67</v>
      </c>
      <c r="I1639" s="27">
        <v>0</v>
      </c>
    </row>
    <row r="1640" spans="3:9">
      <c r="C1640" s="23">
        <v>433</v>
      </c>
      <c r="D1640" s="23" t="s">
        <v>132</v>
      </c>
      <c r="E1640" s="23" t="str">
        <f>Contributions_Data!A1195</f>
        <v>DA-003</v>
      </c>
      <c r="F1640" s="23" t="str">
        <f>Contributions_Data!B1195</f>
        <v>DA-003-M0100</v>
      </c>
      <c r="G1640" s="24">
        <f>Contributions_Data!C1195</f>
        <v>45532</v>
      </c>
      <c r="H1640" s="27">
        <f>Contributions_Data!D1195</f>
        <v>15368.01</v>
      </c>
      <c r="I1640" s="27">
        <v>0</v>
      </c>
    </row>
    <row r="1641" spans="3:9">
      <c r="C1641" s="23">
        <v>434</v>
      </c>
      <c r="D1641" s="23" t="s">
        <v>134</v>
      </c>
      <c r="E1641" s="23" t="str">
        <f>Withdrawals_Data!A392</f>
        <v>DA-003</v>
      </c>
      <c r="F1641" s="23" t="str">
        <f>Withdrawals_Data!B392</f>
        <v>DA-003-M0008</v>
      </c>
      <c r="G1641" s="24">
        <f>Withdrawals_Data!C392</f>
        <v>45532</v>
      </c>
      <c r="H1641" s="27">
        <v>0</v>
      </c>
      <c r="I1641" s="27">
        <f>-Withdrawals_Data!D392</f>
        <v>-16922</v>
      </c>
    </row>
    <row r="1642" spans="3:9">
      <c r="C1642" s="23">
        <v>435</v>
      </c>
      <c r="D1642" s="23" t="s">
        <v>132</v>
      </c>
      <c r="E1642" s="23" t="str">
        <f>Contributions_Data!A168</f>
        <v>DA-003</v>
      </c>
      <c r="F1642" s="23" t="str">
        <f>Contributions_Data!B168</f>
        <v>DA-003-M0014</v>
      </c>
      <c r="G1642" s="24">
        <f>Contributions_Data!C168</f>
        <v>45533</v>
      </c>
      <c r="H1642" s="27">
        <f>Contributions_Data!D168</f>
        <v>17438.59</v>
      </c>
      <c r="I1642" s="27">
        <v>0</v>
      </c>
    </row>
    <row r="1643" spans="3:9">
      <c r="C1643" s="23">
        <v>436</v>
      </c>
      <c r="D1643" s="23" t="s">
        <v>132</v>
      </c>
      <c r="E1643" s="23" t="str">
        <f>Contributions_Data!A1109</f>
        <v>DA-001</v>
      </c>
      <c r="F1643" s="23" t="str">
        <f>Contributions_Data!B1109</f>
        <v>DA-001-M0093</v>
      </c>
      <c r="G1643" s="24">
        <f>Contributions_Data!C1109</f>
        <v>45533</v>
      </c>
      <c r="H1643" s="27">
        <f>Contributions_Data!D1109</f>
        <v>19626.330000000002</v>
      </c>
      <c r="I1643" s="27">
        <v>0</v>
      </c>
    </row>
    <row r="1644" spans="3:9">
      <c r="C1644" s="23">
        <v>437</v>
      </c>
      <c r="D1644" s="23" t="s">
        <v>132</v>
      </c>
      <c r="E1644" s="23" t="str">
        <f>Contributions_Data!A1181</f>
        <v>DA-003</v>
      </c>
      <c r="F1644" s="23" t="str">
        <f>Contributions_Data!B1181</f>
        <v>DA-003-M0099</v>
      </c>
      <c r="G1644" s="24">
        <f>Contributions_Data!C1181</f>
        <v>45533</v>
      </c>
      <c r="H1644" s="27">
        <f>Contributions_Data!D1181</f>
        <v>11783.58</v>
      </c>
      <c r="I1644" s="27">
        <v>0</v>
      </c>
    </row>
    <row r="1645" spans="3:9">
      <c r="C1645" s="23">
        <v>438</v>
      </c>
      <c r="D1645" s="23" t="s">
        <v>134</v>
      </c>
      <c r="E1645" s="23" t="str">
        <f>Withdrawals_Data!A294</f>
        <v>DA-002</v>
      </c>
      <c r="F1645" s="23" t="str">
        <f>Withdrawals_Data!B294</f>
        <v>DA-002-M0039</v>
      </c>
      <c r="G1645" s="24">
        <f>Withdrawals_Data!C294</f>
        <v>45533</v>
      </c>
      <c r="H1645" s="27">
        <v>0</v>
      </c>
      <c r="I1645" s="27">
        <f>-Withdrawals_Data!D294</f>
        <v>-3557.7</v>
      </c>
    </row>
    <row r="1646" spans="3:9">
      <c r="C1646" s="23">
        <v>439</v>
      </c>
      <c r="D1646" s="23" t="s">
        <v>134</v>
      </c>
      <c r="E1646" s="23" t="str">
        <f>Withdrawals_Data!A707</f>
        <v>DA-002</v>
      </c>
      <c r="F1646" s="23" t="str">
        <f>Withdrawals_Data!B707</f>
        <v>DA-002-M0044</v>
      </c>
      <c r="G1646" s="24">
        <f>Withdrawals_Data!C707</f>
        <v>45533</v>
      </c>
      <c r="H1646" s="27">
        <v>0</v>
      </c>
      <c r="I1646" s="27">
        <f>-Withdrawals_Data!D707</f>
        <v>-18011</v>
      </c>
    </row>
    <row r="1647" spans="3:9">
      <c r="C1647" s="23">
        <v>440</v>
      </c>
      <c r="D1647" s="23" t="s">
        <v>132</v>
      </c>
      <c r="E1647" s="23" t="str">
        <f>Contributions_Data!A49</f>
        <v>DA-001</v>
      </c>
      <c r="F1647" s="23" t="str">
        <f>Contributions_Data!B49</f>
        <v>DA-001-M0004</v>
      </c>
      <c r="G1647" s="24">
        <f>Contributions_Data!C49</f>
        <v>45534</v>
      </c>
      <c r="H1647" s="27">
        <f>Contributions_Data!D49</f>
        <v>14033.82</v>
      </c>
      <c r="I1647" s="27">
        <v>0</v>
      </c>
    </row>
    <row r="1648" spans="3:9">
      <c r="C1648" s="23">
        <v>441</v>
      </c>
      <c r="D1648" s="23" t="s">
        <v>132</v>
      </c>
      <c r="E1648" s="23" t="str">
        <f>Contributions_Data!A566</f>
        <v>DA-003</v>
      </c>
      <c r="F1648" s="23" t="str">
        <f>Contributions_Data!B566</f>
        <v>DA-003-M0048</v>
      </c>
      <c r="G1648" s="24">
        <f>Contributions_Data!C566</f>
        <v>45534</v>
      </c>
      <c r="H1648" s="27">
        <f>Contributions_Data!D566</f>
        <v>13613.17</v>
      </c>
      <c r="I1648" s="27">
        <v>0</v>
      </c>
    </row>
    <row r="1649" spans="3:9">
      <c r="C1649" s="23">
        <v>442</v>
      </c>
      <c r="D1649" s="23" t="s">
        <v>132</v>
      </c>
      <c r="E1649" s="23" t="str">
        <f>Contributions_Data!A1016</f>
        <v>DA-002</v>
      </c>
      <c r="F1649" s="23" t="str">
        <f>Contributions_Data!B1016</f>
        <v>DA-002-M0085</v>
      </c>
      <c r="G1649" s="24">
        <f>Contributions_Data!C1016</f>
        <v>45534</v>
      </c>
      <c r="H1649" s="27">
        <f>Contributions_Data!D1016</f>
        <v>14372.03</v>
      </c>
      <c r="I1649" s="27">
        <v>0</v>
      </c>
    </row>
    <row r="1650" spans="3:9">
      <c r="C1650" s="23">
        <v>443</v>
      </c>
      <c r="D1650" s="23" t="s">
        <v>134</v>
      </c>
      <c r="E1650" s="23" t="str">
        <f>Withdrawals_Data!A654</f>
        <v>DA-001</v>
      </c>
      <c r="F1650" s="23" t="str">
        <f>Withdrawals_Data!B654</f>
        <v>DA-001-M0038</v>
      </c>
      <c r="G1650" s="24">
        <f>Withdrawals_Data!C654</f>
        <v>45534</v>
      </c>
      <c r="H1650" s="27">
        <v>0</v>
      </c>
      <c r="I1650" s="27">
        <f>-Withdrawals_Data!D654</f>
        <v>-14530</v>
      </c>
    </row>
    <row r="1651" spans="3:9">
      <c r="C1651" s="23">
        <v>444</v>
      </c>
      <c r="D1651" s="23" t="s">
        <v>134</v>
      </c>
      <c r="E1651" s="23" t="str">
        <f>Withdrawals_Data!A705</f>
        <v>DA-002</v>
      </c>
      <c r="F1651" s="23" t="str">
        <f>Withdrawals_Data!B705</f>
        <v>DA-002-M0044</v>
      </c>
      <c r="G1651" s="24">
        <f>Withdrawals_Data!C705</f>
        <v>45534</v>
      </c>
      <c r="H1651" s="27">
        <v>0</v>
      </c>
      <c r="I1651" s="27">
        <f>-Withdrawals_Data!D705</f>
        <v>-8348</v>
      </c>
    </row>
    <row r="1652" spans="3:9">
      <c r="C1652" s="23">
        <v>445</v>
      </c>
      <c r="D1652" s="23" t="s">
        <v>134</v>
      </c>
      <c r="E1652" s="23" t="str">
        <f>Withdrawals_Data!A871</f>
        <v>DA-002</v>
      </c>
      <c r="F1652" s="23" t="str">
        <f>Withdrawals_Data!B871</f>
        <v>DA-002-M0062</v>
      </c>
      <c r="G1652" s="24">
        <f>Withdrawals_Data!C871</f>
        <v>45534</v>
      </c>
      <c r="H1652" s="27">
        <v>0</v>
      </c>
      <c r="I1652" s="27">
        <f>-Withdrawals_Data!D871</f>
        <v>-12690</v>
      </c>
    </row>
    <row r="1653" spans="3:9">
      <c r="C1653" s="23">
        <v>446</v>
      </c>
      <c r="D1653" s="23" t="s">
        <v>134</v>
      </c>
      <c r="E1653" s="23" t="str">
        <f>Withdrawals_Data!A907</f>
        <v>DA-003</v>
      </c>
      <c r="F1653" s="23" t="str">
        <f>Withdrawals_Data!B907</f>
        <v>DA-003-M0066</v>
      </c>
      <c r="G1653" s="24">
        <f>Withdrawals_Data!C907</f>
        <v>45534</v>
      </c>
      <c r="H1653" s="27">
        <v>0</v>
      </c>
      <c r="I1653" s="27">
        <f>-Withdrawals_Data!D907</f>
        <v>-18236</v>
      </c>
    </row>
    <row r="1654" spans="3:9">
      <c r="C1654" s="23">
        <v>447</v>
      </c>
      <c r="D1654" s="23" t="s">
        <v>134</v>
      </c>
      <c r="E1654" s="23" t="str">
        <f>Withdrawals_Data!A989</f>
        <v>DA-003</v>
      </c>
      <c r="F1654" s="23" t="str">
        <f>Withdrawals_Data!B989</f>
        <v>DA-003-M0077</v>
      </c>
      <c r="G1654" s="24">
        <f>Withdrawals_Data!C989</f>
        <v>45534</v>
      </c>
      <c r="H1654" s="27">
        <v>0</v>
      </c>
      <c r="I1654" s="27">
        <f>-Withdrawals_Data!D989</f>
        <v>-4937</v>
      </c>
    </row>
    <row r="1655" spans="3:9">
      <c r="C1655" s="23">
        <v>448</v>
      </c>
      <c r="D1655" s="23" t="s">
        <v>132</v>
      </c>
      <c r="E1655" s="23" t="str">
        <f>Contributions_Data!A496</f>
        <v>DA-002</v>
      </c>
      <c r="F1655" s="23" t="str">
        <f>Contributions_Data!B496</f>
        <v>DA-002-M0042</v>
      </c>
      <c r="G1655" s="24">
        <f>Contributions_Data!C496</f>
        <v>45535</v>
      </c>
      <c r="H1655" s="27">
        <f>Contributions_Data!D496</f>
        <v>15450.91</v>
      </c>
      <c r="I1655" s="27">
        <v>0</v>
      </c>
    </row>
    <row r="1656" spans="3:9">
      <c r="C1656" s="23">
        <v>449</v>
      </c>
      <c r="D1656" s="23" t="s">
        <v>134</v>
      </c>
      <c r="E1656" s="23" t="str">
        <f>Withdrawals_Data!A240</f>
        <v>DA-001</v>
      </c>
      <c r="F1656" s="23" t="str">
        <f>Withdrawals_Data!B240</f>
        <v>DA-001-M0093</v>
      </c>
      <c r="G1656" s="24">
        <f>Withdrawals_Data!C240</f>
        <v>45535</v>
      </c>
      <c r="H1656" s="27">
        <v>0</v>
      </c>
      <c r="I1656" s="27">
        <f>-Withdrawals_Data!D240</f>
        <v>-5795.26</v>
      </c>
    </row>
    <row r="1657" spans="3:9">
      <c r="C1657" s="23">
        <v>450</v>
      </c>
      <c r="D1657" s="23" t="s">
        <v>134</v>
      </c>
      <c r="E1657" s="23" t="str">
        <f>Withdrawals_Data!A682</f>
        <v>DA-002</v>
      </c>
      <c r="F1657" s="23" t="str">
        <f>Withdrawals_Data!B682</f>
        <v>DA-002-M0041</v>
      </c>
      <c r="G1657" s="24">
        <f>Withdrawals_Data!C682</f>
        <v>45535</v>
      </c>
      <c r="H1657" s="27">
        <v>0</v>
      </c>
      <c r="I1657" s="27">
        <f>-Withdrawals_Data!D682</f>
        <v>-7868</v>
      </c>
    </row>
    <row r="1658" spans="3:9">
      <c r="C1658" s="23">
        <v>451</v>
      </c>
      <c r="D1658" s="23" t="s">
        <v>134</v>
      </c>
      <c r="E1658" s="23" t="str">
        <f>Withdrawals_Data!A1010</f>
        <v>DA-003</v>
      </c>
      <c r="F1658" s="23" t="str">
        <f>Withdrawals_Data!B1010</f>
        <v>DA-003-M0079</v>
      </c>
      <c r="G1658" s="24">
        <f>Withdrawals_Data!C1010</f>
        <v>45535</v>
      </c>
      <c r="H1658" s="27">
        <v>0</v>
      </c>
      <c r="I1658" s="27">
        <f>-Withdrawals_Data!D1010</f>
        <v>-11400</v>
      </c>
    </row>
    <row r="1659" spans="3:9">
      <c r="C1659" s="23">
        <v>452</v>
      </c>
      <c r="D1659" s="23" t="s">
        <v>134</v>
      </c>
      <c r="E1659" s="23" t="str">
        <f>Withdrawals_Data!A1125</f>
        <v>DA-002</v>
      </c>
      <c r="F1659" s="23" t="str">
        <f>Withdrawals_Data!B1125</f>
        <v>DA-002-M0091</v>
      </c>
      <c r="G1659" s="24">
        <f>Withdrawals_Data!C1125</f>
        <v>45535</v>
      </c>
      <c r="H1659" s="27">
        <v>0</v>
      </c>
      <c r="I1659" s="27">
        <f>-Withdrawals_Data!D1125</f>
        <v>-5679</v>
      </c>
    </row>
    <row r="1660" spans="3:9">
      <c r="C1660" s="23">
        <v>453</v>
      </c>
      <c r="D1660" s="23" t="s">
        <v>132</v>
      </c>
      <c r="E1660" s="23" t="str">
        <f>Contributions_Data!A845</f>
        <v>DA-001</v>
      </c>
      <c r="F1660" s="23" t="str">
        <f>Contributions_Data!B845</f>
        <v>DA-001-M0071</v>
      </c>
      <c r="G1660" s="24">
        <f>Contributions_Data!C845</f>
        <v>45536</v>
      </c>
      <c r="H1660" s="27">
        <f>Contributions_Data!D845</f>
        <v>14025.51</v>
      </c>
      <c r="I1660" s="27">
        <v>0</v>
      </c>
    </row>
    <row r="1661" spans="3:9">
      <c r="C1661" s="23">
        <v>454</v>
      </c>
      <c r="D1661" s="23" t="s">
        <v>132</v>
      </c>
      <c r="E1661" s="23" t="str">
        <f>Contributions_Data!A1098</f>
        <v>DA-001</v>
      </c>
      <c r="F1661" s="23" t="str">
        <f>Contributions_Data!B1098</f>
        <v>DA-001-M0092</v>
      </c>
      <c r="G1661" s="24">
        <f>Contributions_Data!C1098</f>
        <v>45536</v>
      </c>
      <c r="H1661" s="27">
        <f>Contributions_Data!D1098</f>
        <v>12337.52</v>
      </c>
      <c r="I1661" s="27">
        <v>0</v>
      </c>
    </row>
    <row r="1662" spans="3:9">
      <c r="C1662" s="23">
        <v>455</v>
      </c>
      <c r="D1662" s="23" t="s">
        <v>134</v>
      </c>
      <c r="E1662" s="23" t="str">
        <f>Withdrawals_Data!A394</f>
        <v>DA-003</v>
      </c>
      <c r="F1662" s="23" t="str">
        <f>Withdrawals_Data!B394</f>
        <v>DA-003-M0008</v>
      </c>
      <c r="G1662" s="24">
        <f>Withdrawals_Data!C394</f>
        <v>45536</v>
      </c>
      <c r="H1662" s="27">
        <v>0</v>
      </c>
      <c r="I1662" s="27">
        <f>-Withdrawals_Data!D394</f>
        <v>-17274</v>
      </c>
    </row>
    <row r="1663" spans="3:9">
      <c r="C1663" s="23">
        <v>456</v>
      </c>
      <c r="D1663" s="23" t="s">
        <v>134</v>
      </c>
      <c r="E1663" s="23" t="str">
        <f>Withdrawals_Data!A766</f>
        <v>DA-002</v>
      </c>
      <c r="F1663" s="23" t="str">
        <f>Withdrawals_Data!B766</f>
        <v>DA-002-M0050</v>
      </c>
      <c r="G1663" s="24">
        <f>Withdrawals_Data!C766</f>
        <v>45536</v>
      </c>
      <c r="H1663" s="27">
        <v>0</v>
      </c>
      <c r="I1663" s="27">
        <f>-Withdrawals_Data!D766</f>
        <v>-19777</v>
      </c>
    </row>
    <row r="1664" spans="3:9">
      <c r="C1664" s="23">
        <v>457</v>
      </c>
      <c r="D1664" s="23" t="s">
        <v>134</v>
      </c>
      <c r="E1664" s="23" t="str">
        <f>Withdrawals_Data!A1013</f>
        <v>DA-003</v>
      </c>
      <c r="F1664" s="23" t="str">
        <f>Withdrawals_Data!B1013</f>
        <v>DA-003-M0079</v>
      </c>
      <c r="G1664" s="24">
        <f>Withdrawals_Data!C1013</f>
        <v>45536</v>
      </c>
      <c r="H1664" s="27">
        <v>0</v>
      </c>
      <c r="I1664" s="27">
        <f>-Withdrawals_Data!D1013</f>
        <v>-19914</v>
      </c>
    </row>
    <row r="1665" spans="3:9">
      <c r="C1665" s="23">
        <v>458</v>
      </c>
      <c r="D1665" s="23" t="s">
        <v>132</v>
      </c>
      <c r="E1665" s="23" t="str">
        <f>Contributions_Data!A258</f>
        <v>DA-001</v>
      </c>
      <c r="F1665" s="23" t="str">
        <f>Contributions_Data!B258</f>
        <v>DA-001-M0022</v>
      </c>
      <c r="G1665" s="24">
        <f>Contributions_Data!C258</f>
        <v>45537</v>
      </c>
      <c r="H1665" s="27">
        <f>Contributions_Data!D258</f>
        <v>15996.94</v>
      </c>
      <c r="I1665" s="27">
        <v>0</v>
      </c>
    </row>
    <row r="1666" spans="3:9">
      <c r="C1666" s="23">
        <v>459</v>
      </c>
      <c r="D1666" s="23" t="s">
        <v>132</v>
      </c>
      <c r="E1666" s="23" t="str">
        <f>Contributions_Data!A324</f>
        <v>DA-002</v>
      </c>
      <c r="F1666" s="23" t="str">
        <f>Contributions_Data!B324</f>
        <v>DA-002-M0027</v>
      </c>
      <c r="G1666" s="24">
        <f>Contributions_Data!C324</f>
        <v>45537</v>
      </c>
      <c r="H1666" s="27">
        <f>Contributions_Data!D324</f>
        <v>11888.26</v>
      </c>
      <c r="I1666" s="27">
        <v>0</v>
      </c>
    </row>
    <row r="1667" spans="3:9">
      <c r="C1667" s="23">
        <v>460</v>
      </c>
      <c r="D1667" s="23" t="s">
        <v>132</v>
      </c>
      <c r="E1667" s="23" t="str">
        <f>Contributions_Data!A350</f>
        <v>DA-002</v>
      </c>
      <c r="F1667" s="23" t="str">
        <f>Contributions_Data!B350</f>
        <v>DA-002-M0030</v>
      </c>
      <c r="G1667" s="24">
        <f>Contributions_Data!C350</f>
        <v>45537</v>
      </c>
      <c r="H1667" s="27">
        <f>Contributions_Data!D350</f>
        <v>14801.76</v>
      </c>
      <c r="I1667" s="27">
        <v>0</v>
      </c>
    </row>
    <row r="1668" spans="3:9">
      <c r="C1668" s="23">
        <v>461</v>
      </c>
      <c r="D1668" s="23" t="s">
        <v>132</v>
      </c>
      <c r="E1668" s="23" t="str">
        <f>Contributions_Data!A847</f>
        <v>DA-001</v>
      </c>
      <c r="F1668" s="23" t="str">
        <f>Contributions_Data!B847</f>
        <v>DA-001-M0071</v>
      </c>
      <c r="G1668" s="24">
        <f>Contributions_Data!C847</f>
        <v>45537</v>
      </c>
      <c r="H1668" s="27">
        <f>Contributions_Data!D847</f>
        <v>21872.83</v>
      </c>
      <c r="I1668" s="27">
        <v>0</v>
      </c>
    </row>
    <row r="1669" spans="3:9">
      <c r="C1669" s="23">
        <v>462</v>
      </c>
      <c r="D1669" s="23" t="s">
        <v>132</v>
      </c>
      <c r="E1669" s="23" t="str">
        <f>Contributions_Data!A895</f>
        <v>DA-001</v>
      </c>
      <c r="F1669" s="23" t="str">
        <f>Contributions_Data!B895</f>
        <v>DA-001-M0075</v>
      </c>
      <c r="G1669" s="24">
        <f>Contributions_Data!C895</f>
        <v>45537</v>
      </c>
      <c r="H1669" s="27">
        <f>Contributions_Data!D895</f>
        <v>14558.99</v>
      </c>
      <c r="I1669" s="27">
        <v>0</v>
      </c>
    </row>
    <row r="1670" spans="3:9">
      <c r="C1670" s="23">
        <v>463</v>
      </c>
      <c r="D1670" s="23" t="s">
        <v>132</v>
      </c>
      <c r="E1670" s="23" t="str">
        <f>Contributions_Data!A1066</f>
        <v>DA-002</v>
      </c>
      <c r="F1670" s="23" t="str">
        <f>Contributions_Data!B1066</f>
        <v>DA-002-M0089</v>
      </c>
      <c r="G1670" s="24">
        <f>Contributions_Data!C1066</f>
        <v>45537</v>
      </c>
      <c r="H1670" s="27">
        <f>Contributions_Data!D1066</f>
        <v>14253.93</v>
      </c>
      <c r="I1670" s="27">
        <v>0</v>
      </c>
    </row>
    <row r="1671" spans="3:9">
      <c r="C1671" s="23">
        <v>464</v>
      </c>
      <c r="D1671" s="23" t="s">
        <v>132</v>
      </c>
      <c r="E1671" s="23" t="str">
        <f>Contributions_Data!A1080</f>
        <v>DA-003</v>
      </c>
      <c r="F1671" s="23" t="str">
        <f>Contributions_Data!B1080</f>
        <v>DA-003-M0090</v>
      </c>
      <c r="G1671" s="24">
        <f>Contributions_Data!C1080</f>
        <v>45537</v>
      </c>
      <c r="H1671" s="27">
        <f>Contributions_Data!D1080</f>
        <v>16143.48</v>
      </c>
      <c r="I1671" s="27">
        <v>0</v>
      </c>
    </row>
    <row r="1672" spans="3:9">
      <c r="C1672" s="23">
        <v>465</v>
      </c>
      <c r="D1672" s="23" t="s">
        <v>134</v>
      </c>
      <c r="E1672" s="23" t="str">
        <f>Withdrawals_Data!A670</f>
        <v>DA-002</v>
      </c>
      <c r="F1672" s="23" t="str">
        <f>Withdrawals_Data!B670</f>
        <v>DA-002-M0040</v>
      </c>
      <c r="G1672" s="24">
        <f>Withdrawals_Data!C670</f>
        <v>45537</v>
      </c>
      <c r="H1672" s="27">
        <v>0</v>
      </c>
      <c r="I1672" s="27">
        <f>-Withdrawals_Data!D670</f>
        <v>-4665</v>
      </c>
    </row>
    <row r="1673" spans="3:9">
      <c r="C1673" s="23">
        <v>466</v>
      </c>
      <c r="D1673" s="23" t="s">
        <v>134</v>
      </c>
      <c r="E1673" s="23" t="str">
        <f>Withdrawals_Data!A1083</f>
        <v>DA-003</v>
      </c>
      <c r="F1673" s="23" t="str">
        <f>Withdrawals_Data!B1083</f>
        <v>DA-003-M0086</v>
      </c>
      <c r="G1673" s="24">
        <f>Withdrawals_Data!C1083</f>
        <v>45537</v>
      </c>
      <c r="H1673" s="27">
        <v>0</v>
      </c>
      <c r="I1673" s="27">
        <f>-Withdrawals_Data!D1083</f>
        <v>-5061</v>
      </c>
    </row>
    <row r="1674" spans="3:9">
      <c r="C1674" s="23">
        <v>467</v>
      </c>
      <c r="D1674" s="23" t="s">
        <v>132</v>
      </c>
      <c r="E1674" s="23" t="str">
        <f>Contributions_Data!A1060</f>
        <v>DA-002</v>
      </c>
      <c r="F1674" s="23" t="str">
        <f>Contributions_Data!B1060</f>
        <v>DA-002-M0089</v>
      </c>
      <c r="G1674" s="24">
        <f>Contributions_Data!C1060</f>
        <v>45538</v>
      </c>
      <c r="H1674" s="27">
        <f>Contributions_Data!D1060</f>
        <v>14336.24</v>
      </c>
      <c r="I1674" s="27">
        <v>0</v>
      </c>
    </row>
    <row r="1675" spans="3:9">
      <c r="C1675" s="23">
        <v>468</v>
      </c>
      <c r="D1675" s="23" t="s">
        <v>132</v>
      </c>
      <c r="E1675" s="23" t="str">
        <f>Contributions_Data!A1171</f>
        <v>DA-001</v>
      </c>
      <c r="F1675" s="23" t="str">
        <f>Contributions_Data!B1171</f>
        <v>DA-001-M0098</v>
      </c>
      <c r="G1675" s="24">
        <f>Contributions_Data!C1171</f>
        <v>45538</v>
      </c>
      <c r="H1675" s="27">
        <f>Contributions_Data!D1171</f>
        <v>10154.6</v>
      </c>
      <c r="I1675" s="27">
        <v>0</v>
      </c>
    </row>
    <row r="1676" spans="3:9">
      <c r="C1676" s="23">
        <v>469</v>
      </c>
      <c r="D1676" s="23" t="s">
        <v>134</v>
      </c>
      <c r="E1676" s="23" t="str">
        <f>Withdrawals_Data!A130</f>
        <v>DA-002</v>
      </c>
      <c r="F1676" s="23" t="str">
        <f>Withdrawals_Data!B130</f>
        <v>DA-002-M0064</v>
      </c>
      <c r="G1676" s="24">
        <f>Withdrawals_Data!C130</f>
        <v>45538</v>
      </c>
      <c r="H1676" s="27">
        <v>0</v>
      </c>
      <c r="I1676" s="27">
        <f>-Withdrawals_Data!D130</f>
        <v>-9042.7000000000007</v>
      </c>
    </row>
    <row r="1677" spans="3:9">
      <c r="C1677" s="23">
        <v>470</v>
      </c>
      <c r="D1677" s="23" t="s">
        <v>134</v>
      </c>
      <c r="E1677" s="23" t="str">
        <f>Withdrawals_Data!A531</f>
        <v>DA-001</v>
      </c>
      <c r="F1677" s="23" t="str">
        <f>Withdrawals_Data!B531</f>
        <v>DA-001-M0024</v>
      </c>
      <c r="G1677" s="24">
        <f>Withdrawals_Data!C531</f>
        <v>45538</v>
      </c>
      <c r="H1677" s="27">
        <v>0</v>
      </c>
      <c r="I1677" s="27">
        <f>-Withdrawals_Data!D531</f>
        <v>-16641</v>
      </c>
    </row>
    <row r="1678" spans="3:9">
      <c r="C1678" s="23">
        <v>471</v>
      </c>
      <c r="D1678" s="23" t="s">
        <v>134</v>
      </c>
      <c r="E1678" s="23" t="str">
        <f>Withdrawals_Data!A750</f>
        <v>DA-001</v>
      </c>
      <c r="F1678" s="23" t="str">
        <f>Withdrawals_Data!B750</f>
        <v>DA-001-M0049</v>
      </c>
      <c r="G1678" s="24">
        <f>Withdrawals_Data!C750</f>
        <v>45538</v>
      </c>
      <c r="H1678" s="27">
        <v>0</v>
      </c>
      <c r="I1678" s="27">
        <f>-Withdrawals_Data!D750</f>
        <v>-20214</v>
      </c>
    </row>
    <row r="1679" spans="3:9">
      <c r="C1679" s="23">
        <v>472</v>
      </c>
      <c r="D1679" s="23" t="s">
        <v>134</v>
      </c>
      <c r="E1679" s="23" t="str">
        <f>Withdrawals_Data!A1045</f>
        <v>DA-003</v>
      </c>
      <c r="F1679" s="23" t="str">
        <f>Withdrawals_Data!B1045</f>
        <v>DA-003-M0082</v>
      </c>
      <c r="G1679" s="24">
        <f>Withdrawals_Data!C1045</f>
        <v>45538</v>
      </c>
      <c r="H1679" s="27">
        <v>0</v>
      </c>
      <c r="I1679" s="27">
        <f>-Withdrawals_Data!D1045</f>
        <v>-6777</v>
      </c>
    </row>
    <row r="1680" spans="3:9">
      <c r="C1680" s="23">
        <v>473</v>
      </c>
      <c r="D1680" s="23" t="s">
        <v>132</v>
      </c>
      <c r="E1680" s="23" t="str">
        <f>Contributions_Data!A67</f>
        <v>DA-003</v>
      </c>
      <c r="F1680" s="23" t="str">
        <f>Contributions_Data!B67</f>
        <v>DA-003-M0006</v>
      </c>
      <c r="G1680" s="24">
        <f>Contributions_Data!C67</f>
        <v>45539</v>
      </c>
      <c r="H1680" s="27">
        <f>Contributions_Data!D67</f>
        <v>12537.95</v>
      </c>
      <c r="I1680" s="27">
        <v>0</v>
      </c>
    </row>
    <row r="1681" spans="3:9">
      <c r="C1681" s="23">
        <v>474</v>
      </c>
      <c r="D1681" s="23" t="s">
        <v>132</v>
      </c>
      <c r="E1681" s="23" t="str">
        <f>Contributions_Data!A1175</f>
        <v>DA-001</v>
      </c>
      <c r="F1681" s="23" t="str">
        <f>Contributions_Data!B1175</f>
        <v>DA-001-M0098</v>
      </c>
      <c r="G1681" s="24">
        <f>Contributions_Data!C1175</f>
        <v>45539</v>
      </c>
      <c r="H1681" s="27">
        <f>Contributions_Data!D1175</f>
        <v>11952.53</v>
      </c>
      <c r="I1681" s="27">
        <v>0</v>
      </c>
    </row>
    <row r="1682" spans="3:9">
      <c r="C1682" s="23">
        <v>475</v>
      </c>
      <c r="D1682" s="23" t="s">
        <v>134</v>
      </c>
      <c r="E1682" s="23" t="str">
        <f>Withdrawals_Data!A23</f>
        <v>DA-003</v>
      </c>
      <c r="F1682" s="23" t="str">
        <f>Withdrawals_Data!B23</f>
        <v>DA-003-M0066</v>
      </c>
      <c r="G1682" s="24">
        <f>Withdrawals_Data!C23</f>
        <v>45539</v>
      </c>
      <c r="H1682" s="27">
        <v>0</v>
      </c>
      <c r="I1682" s="27">
        <f>-Withdrawals_Data!D23</f>
        <v>-14003.04</v>
      </c>
    </row>
    <row r="1683" spans="3:9">
      <c r="C1683" s="23">
        <v>476</v>
      </c>
      <c r="D1683" s="23" t="s">
        <v>134</v>
      </c>
      <c r="E1683" s="23" t="str">
        <f>Withdrawals_Data!A183</f>
        <v>DA-001</v>
      </c>
      <c r="F1683" s="23" t="str">
        <f>Withdrawals_Data!B183</f>
        <v>DA-001-M0096</v>
      </c>
      <c r="G1683" s="24">
        <f>Withdrawals_Data!C183</f>
        <v>45539</v>
      </c>
      <c r="H1683" s="27">
        <v>0</v>
      </c>
      <c r="I1683" s="27">
        <f>-Withdrawals_Data!D183</f>
        <v>-7889.94</v>
      </c>
    </row>
    <row r="1684" spans="3:9">
      <c r="C1684" s="23">
        <v>477</v>
      </c>
      <c r="D1684" s="23" t="s">
        <v>134</v>
      </c>
      <c r="E1684" s="23" t="str">
        <f>Withdrawals_Data!A322</f>
        <v>DA-002</v>
      </c>
      <c r="F1684" s="23" t="str">
        <f>Withdrawals_Data!B322</f>
        <v>DA-002-M0017</v>
      </c>
      <c r="G1684" s="24">
        <f>Withdrawals_Data!C322</f>
        <v>45539</v>
      </c>
      <c r="H1684" s="27">
        <v>0</v>
      </c>
      <c r="I1684" s="27">
        <f>-Withdrawals_Data!D322</f>
        <v>-2207.66</v>
      </c>
    </row>
    <row r="1685" spans="3:9">
      <c r="C1685" s="23">
        <v>478</v>
      </c>
      <c r="D1685" s="23" t="s">
        <v>134</v>
      </c>
      <c r="E1685" s="23" t="str">
        <f>Withdrawals_Data!A587</f>
        <v>DA-003</v>
      </c>
      <c r="F1685" s="23" t="str">
        <f>Withdrawals_Data!B587</f>
        <v>DA-003-M0031</v>
      </c>
      <c r="G1685" s="24">
        <f>Withdrawals_Data!C587</f>
        <v>45539</v>
      </c>
      <c r="H1685" s="27">
        <v>0</v>
      </c>
      <c r="I1685" s="27">
        <f>-Withdrawals_Data!D587</f>
        <v>-10672</v>
      </c>
    </row>
    <row r="1686" spans="3:9">
      <c r="C1686" s="23">
        <v>479</v>
      </c>
      <c r="D1686" s="23" t="s">
        <v>132</v>
      </c>
      <c r="E1686" s="23" t="str">
        <f>Contributions_Data!A135</f>
        <v>DA-003</v>
      </c>
      <c r="F1686" s="23" t="str">
        <f>Contributions_Data!B135</f>
        <v>DA-003-M0012</v>
      </c>
      <c r="G1686" s="24">
        <f>Contributions_Data!C135</f>
        <v>45540</v>
      </c>
      <c r="H1686" s="27">
        <f>Contributions_Data!D135</f>
        <v>10441.89</v>
      </c>
      <c r="I1686" s="27">
        <v>0</v>
      </c>
    </row>
    <row r="1687" spans="3:9">
      <c r="C1687" s="23">
        <v>480</v>
      </c>
      <c r="D1687" s="23" t="s">
        <v>132</v>
      </c>
      <c r="E1687" s="23" t="str">
        <f>Contributions_Data!A641</f>
        <v>DA-002</v>
      </c>
      <c r="F1687" s="23" t="str">
        <f>Contributions_Data!B641</f>
        <v>DA-002-M0054</v>
      </c>
      <c r="G1687" s="24">
        <f>Contributions_Data!C641</f>
        <v>45540</v>
      </c>
      <c r="H1687" s="27">
        <f>Contributions_Data!D641</f>
        <v>18619.53</v>
      </c>
      <c r="I1687" s="27">
        <v>0</v>
      </c>
    </row>
    <row r="1688" spans="3:9">
      <c r="C1688" s="23">
        <v>481</v>
      </c>
      <c r="D1688" s="23" t="s">
        <v>132</v>
      </c>
      <c r="E1688" s="23" t="str">
        <f>Contributions_Data!A681</f>
        <v>DA-002</v>
      </c>
      <c r="F1688" s="23" t="str">
        <f>Contributions_Data!B681</f>
        <v>DA-002-M0057</v>
      </c>
      <c r="G1688" s="24">
        <f>Contributions_Data!C681</f>
        <v>45540</v>
      </c>
      <c r="H1688" s="27">
        <f>Contributions_Data!D681</f>
        <v>15730.02</v>
      </c>
      <c r="I1688" s="27">
        <v>0</v>
      </c>
    </row>
    <row r="1689" spans="3:9">
      <c r="C1689" s="23">
        <v>482</v>
      </c>
      <c r="D1689" s="23" t="s">
        <v>132</v>
      </c>
      <c r="E1689" s="23" t="str">
        <f>Contributions_Data!A982</f>
        <v>DA-003</v>
      </c>
      <c r="F1689" s="23" t="str">
        <f>Contributions_Data!B982</f>
        <v>DA-003-M0082</v>
      </c>
      <c r="G1689" s="24">
        <f>Contributions_Data!C982</f>
        <v>45540</v>
      </c>
      <c r="H1689" s="27">
        <f>Contributions_Data!D982</f>
        <v>19472.18</v>
      </c>
      <c r="I1689" s="27">
        <v>0</v>
      </c>
    </row>
    <row r="1690" spans="3:9">
      <c r="C1690" s="23">
        <v>483</v>
      </c>
      <c r="D1690" s="23" t="s">
        <v>134</v>
      </c>
      <c r="E1690" s="23" t="str">
        <f>Withdrawals_Data!A536</f>
        <v>DA-001</v>
      </c>
      <c r="F1690" s="23" t="str">
        <f>Withdrawals_Data!B536</f>
        <v>DA-001-M0025</v>
      </c>
      <c r="G1690" s="24">
        <f>Withdrawals_Data!C536</f>
        <v>45540</v>
      </c>
      <c r="H1690" s="27">
        <v>0</v>
      </c>
      <c r="I1690" s="27">
        <f>-Withdrawals_Data!D536</f>
        <v>-15120</v>
      </c>
    </row>
    <row r="1691" spans="3:9">
      <c r="C1691" s="23">
        <v>484</v>
      </c>
      <c r="D1691" s="23" t="s">
        <v>134</v>
      </c>
      <c r="E1691" s="23" t="str">
        <f>Withdrawals_Data!A823</f>
        <v>DA-002</v>
      </c>
      <c r="F1691" s="23" t="str">
        <f>Withdrawals_Data!B823</f>
        <v>DA-002-M0057</v>
      </c>
      <c r="G1691" s="24">
        <f>Withdrawals_Data!C823</f>
        <v>45540</v>
      </c>
      <c r="H1691" s="27">
        <v>0</v>
      </c>
      <c r="I1691" s="27">
        <f>-Withdrawals_Data!D823</f>
        <v>-19597</v>
      </c>
    </row>
    <row r="1692" spans="3:9">
      <c r="C1692" s="23">
        <v>485</v>
      </c>
      <c r="D1692" s="23" t="s">
        <v>132</v>
      </c>
      <c r="E1692" s="23" t="str">
        <f>Contributions_Data!A114</f>
        <v>DA-001</v>
      </c>
      <c r="F1692" s="23" t="str">
        <f>Contributions_Data!B114</f>
        <v>DA-001-M0010</v>
      </c>
      <c r="G1692" s="24">
        <f>Contributions_Data!C114</f>
        <v>45541</v>
      </c>
      <c r="H1692" s="27">
        <f>Contributions_Data!D114</f>
        <v>11766.77</v>
      </c>
      <c r="I1692" s="27">
        <v>0</v>
      </c>
    </row>
    <row r="1693" spans="3:9">
      <c r="C1693" s="23">
        <v>486</v>
      </c>
      <c r="D1693" s="23" t="s">
        <v>132</v>
      </c>
      <c r="E1693" s="23" t="str">
        <f>Contributions_Data!A143</f>
        <v>DA-003</v>
      </c>
      <c r="F1693" s="23" t="str">
        <f>Contributions_Data!B143</f>
        <v>DA-003-M0012</v>
      </c>
      <c r="G1693" s="24">
        <f>Contributions_Data!C143</f>
        <v>45541</v>
      </c>
      <c r="H1693" s="27">
        <f>Contributions_Data!D143</f>
        <v>10709.58</v>
      </c>
      <c r="I1693" s="27">
        <v>0</v>
      </c>
    </row>
    <row r="1694" spans="3:9">
      <c r="C1694" s="23">
        <v>487</v>
      </c>
      <c r="D1694" s="23" t="s">
        <v>132</v>
      </c>
      <c r="E1694" s="23" t="str">
        <f>Contributions_Data!A983</f>
        <v>DA-003</v>
      </c>
      <c r="F1694" s="23" t="str">
        <f>Contributions_Data!B983</f>
        <v>DA-003-M0082</v>
      </c>
      <c r="G1694" s="24">
        <f>Contributions_Data!C983</f>
        <v>45541</v>
      </c>
      <c r="H1694" s="27">
        <f>Contributions_Data!D983</f>
        <v>13988.74</v>
      </c>
      <c r="I1694" s="27">
        <v>0</v>
      </c>
    </row>
    <row r="1695" spans="3:9">
      <c r="C1695" s="23">
        <v>488</v>
      </c>
      <c r="D1695" s="23" t="s">
        <v>132</v>
      </c>
      <c r="E1695" s="23" t="str">
        <f>Contributions_Data!A1031</f>
        <v>DA-003</v>
      </c>
      <c r="F1695" s="23" t="str">
        <f>Contributions_Data!B1031</f>
        <v>DA-003-M0086</v>
      </c>
      <c r="G1695" s="24">
        <f>Contributions_Data!C1031</f>
        <v>45541</v>
      </c>
      <c r="H1695" s="27">
        <f>Contributions_Data!D1031</f>
        <v>12966.85</v>
      </c>
      <c r="I1695" s="27">
        <v>0</v>
      </c>
    </row>
    <row r="1696" spans="3:9">
      <c r="C1696" s="23">
        <v>489</v>
      </c>
      <c r="D1696" s="23" t="s">
        <v>134</v>
      </c>
      <c r="E1696" s="23" t="str">
        <f>Withdrawals_Data!A320</f>
        <v>DA-002</v>
      </c>
      <c r="F1696" s="23" t="str">
        <f>Withdrawals_Data!B320</f>
        <v>DA-002-M0027</v>
      </c>
      <c r="G1696" s="24">
        <f>Withdrawals_Data!C320</f>
        <v>45541</v>
      </c>
      <c r="H1696" s="27">
        <v>0</v>
      </c>
      <c r="I1696" s="27">
        <f>-Withdrawals_Data!D320</f>
        <v>-2310.9899999999998</v>
      </c>
    </row>
    <row r="1697" spans="3:9">
      <c r="C1697" s="23">
        <v>490</v>
      </c>
      <c r="D1697" s="23" t="s">
        <v>134</v>
      </c>
      <c r="E1697" s="23" t="str">
        <f>Withdrawals_Data!A742</f>
        <v>DA-003</v>
      </c>
      <c r="F1697" s="23" t="str">
        <f>Withdrawals_Data!B742</f>
        <v>DA-003-M0048</v>
      </c>
      <c r="G1697" s="24">
        <f>Withdrawals_Data!C742</f>
        <v>45541</v>
      </c>
      <c r="H1697" s="27">
        <v>0</v>
      </c>
      <c r="I1697" s="27">
        <f>-Withdrawals_Data!D742</f>
        <v>-3283</v>
      </c>
    </row>
    <row r="1698" spans="3:9">
      <c r="C1698" s="23">
        <v>491</v>
      </c>
      <c r="D1698" s="23" t="s">
        <v>132</v>
      </c>
      <c r="E1698" s="23" t="str">
        <f>Contributions_Data!A293</f>
        <v>DA-001</v>
      </c>
      <c r="F1698" s="23" t="str">
        <f>Contributions_Data!B293</f>
        <v>DA-001-M0025</v>
      </c>
      <c r="G1698" s="24">
        <f>Contributions_Data!C293</f>
        <v>45542</v>
      </c>
      <c r="H1698" s="27">
        <f>Contributions_Data!D293</f>
        <v>11894.27</v>
      </c>
      <c r="I1698" s="27">
        <v>0</v>
      </c>
    </row>
    <row r="1699" spans="3:9">
      <c r="C1699" s="23">
        <v>492</v>
      </c>
      <c r="D1699" s="23" t="s">
        <v>134</v>
      </c>
      <c r="E1699" s="23" t="str">
        <f>Withdrawals_Data!A694</f>
        <v>DA-002</v>
      </c>
      <c r="F1699" s="23" t="str">
        <f>Withdrawals_Data!B694</f>
        <v>DA-002-M0042</v>
      </c>
      <c r="G1699" s="24">
        <f>Withdrawals_Data!C694</f>
        <v>45542</v>
      </c>
      <c r="H1699" s="27">
        <v>0</v>
      </c>
      <c r="I1699" s="27">
        <f>-Withdrawals_Data!D694</f>
        <v>-17363</v>
      </c>
    </row>
    <row r="1700" spans="3:9">
      <c r="C1700" s="23">
        <v>493</v>
      </c>
      <c r="D1700" s="23" t="s">
        <v>134</v>
      </c>
      <c r="E1700" s="23" t="str">
        <f>Withdrawals_Data!A697</f>
        <v>DA-001</v>
      </c>
      <c r="F1700" s="23" t="str">
        <f>Withdrawals_Data!B697</f>
        <v>DA-001-M0043</v>
      </c>
      <c r="G1700" s="24">
        <f>Withdrawals_Data!C697</f>
        <v>45542</v>
      </c>
      <c r="H1700" s="27">
        <v>0</v>
      </c>
      <c r="I1700" s="27">
        <f>-Withdrawals_Data!D697</f>
        <v>-19765</v>
      </c>
    </row>
    <row r="1701" spans="3:9">
      <c r="C1701" s="23">
        <v>494</v>
      </c>
      <c r="D1701" s="23" t="s">
        <v>134</v>
      </c>
      <c r="E1701" s="23" t="str">
        <f>Withdrawals_Data!A900</f>
        <v>DA-001</v>
      </c>
      <c r="F1701" s="23" t="str">
        <f>Withdrawals_Data!B900</f>
        <v>DA-001-M0065</v>
      </c>
      <c r="G1701" s="24">
        <f>Withdrawals_Data!C900</f>
        <v>45542</v>
      </c>
      <c r="H1701" s="27">
        <v>0</v>
      </c>
      <c r="I1701" s="27">
        <f>-Withdrawals_Data!D900</f>
        <v>-8481</v>
      </c>
    </row>
    <row r="1702" spans="3:9">
      <c r="C1702" s="23">
        <v>495</v>
      </c>
      <c r="D1702" s="23" t="s">
        <v>134</v>
      </c>
      <c r="E1702" s="23" t="str">
        <f>Withdrawals_Data!A1117</f>
        <v>DA-002</v>
      </c>
      <c r="F1702" s="23" t="str">
        <f>Withdrawals_Data!B1117</f>
        <v>DA-002-M0091</v>
      </c>
      <c r="G1702" s="24">
        <f>Withdrawals_Data!C1117</f>
        <v>45542</v>
      </c>
      <c r="H1702" s="27">
        <v>0</v>
      </c>
      <c r="I1702" s="27">
        <f>-Withdrawals_Data!D1117</f>
        <v>-3801</v>
      </c>
    </row>
    <row r="1703" spans="3:9">
      <c r="C1703" s="23">
        <v>496</v>
      </c>
      <c r="D1703" s="23" t="s">
        <v>132</v>
      </c>
      <c r="E1703" s="23" t="str">
        <f>Contributions_Data!A422</f>
        <v>DA-003</v>
      </c>
      <c r="F1703" s="23" t="str">
        <f>Contributions_Data!B422</f>
        <v>DA-003-M0036</v>
      </c>
      <c r="G1703" s="24">
        <f>Contributions_Data!C422</f>
        <v>45543</v>
      </c>
      <c r="H1703" s="27">
        <f>Contributions_Data!D422</f>
        <v>16414.41</v>
      </c>
      <c r="I1703" s="27">
        <v>0</v>
      </c>
    </row>
    <row r="1704" spans="3:9">
      <c r="C1704" s="23">
        <v>497</v>
      </c>
      <c r="D1704" s="23" t="s">
        <v>132</v>
      </c>
      <c r="E1704" s="23" t="str">
        <f>Contributions_Data!A663</f>
        <v>DA-001</v>
      </c>
      <c r="F1704" s="23" t="str">
        <f>Contributions_Data!B663</f>
        <v>DA-001-M0056</v>
      </c>
      <c r="G1704" s="24">
        <f>Contributions_Data!C663</f>
        <v>45543</v>
      </c>
      <c r="H1704" s="27">
        <f>Contributions_Data!D663</f>
        <v>19696.57</v>
      </c>
      <c r="I1704" s="27">
        <v>0</v>
      </c>
    </row>
    <row r="1705" spans="3:9">
      <c r="C1705" s="23">
        <v>498</v>
      </c>
      <c r="D1705" s="23" t="s">
        <v>132</v>
      </c>
      <c r="E1705" s="23" t="str">
        <f>Contributions_Data!A926</f>
        <v>DA-002</v>
      </c>
      <c r="F1705" s="23" t="str">
        <f>Contributions_Data!B926</f>
        <v>DA-002-M0078</v>
      </c>
      <c r="G1705" s="24">
        <f>Contributions_Data!C926</f>
        <v>45543</v>
      </c>
      <c r="H1705" s="27">
        <f>Contributions_Data!D926</f>
        <v>12793.41</v>
      </c>
      <c r="I1705" s="27">
        <v>0</v>
      </c>
    </row>
    <row r="1706" spans="3:9">
      <c r="C1706" s="23">
        <v>499</v>
      </c>
      <c r="D1706" s="23" t="s">
        <v>134</v>
      </c>
      <c r="E1706" s="23" t="str">
        <f>Withdrawals_Data!A159</f>
        <v>DA-003</v>
      </c>
      <c r="F1706" s="23" t="str">
        <f>Withdrawals_Data!B159</f>
        <v>DA-003-M0029</v>
      </c>
      <c r="G1706" s="24">
        <f>Withdrawals_Data!C159</f>
        <v>45543</v>
      </c>
      <c r="H1706" s="27">
        <v>0</v>
      </c>
      <c r="I1706" s="27">
        <f>-Withdrawals_Data!D159</f>
        <v>-8397.33</v>
      </c>
    </row>
    <row r="1707" spans="3:9">
      <c r="C1707" s="23">
        <v>500</v>
      </c>
      <c r="D1707" s="23" t="s">
        <v>134</v>
      </c>
      <c r="E1707" s="23" t="str">
        <f>Withdrawals_Data!A695</f>
        <v>DA-001</v>
      </c>
      <c r="F1707" s="23" t="str">
        <f>Withdrawals_Data!B695</f>
        <v>DA-001-M0043</v>
      </c>
      <c r="G1707" s="24">
        <f>Withdrawals_Data!C695</f>
        <v>45543</v>
      </c>
      <c r="H1707" s="27">
        <v>0</v>
      </c>
      <c r="I1707" s="27">
        <f>-Withdrawals_Data!D695</f>
        <v>-5515</v>
      </c>
    </row>
    <row r="1708" spans="3:9">
      <c r="C1708" s="23">
        <v>501</v>
      </c>
      <c r="D1708" s="23" t="s">
        <v>132</v>
      </c>
      <c r="E1708" s="23" t="str">
        <f>Contributions_Data!A409</f>
        <v>DA-001</v>
      </c>
      <c r="F1708" s="23" t="str">
        <f>Contributions_Data!B409</f>
        <v>DA-001-M0034</v>
      </c>
      <c r="G1708" s="24">
        <f>Contributions_Data!C409</f>
        <v>45544</v>
      </c>
      <c r="H1708" s="27">
        <f>Contributions_Data!D409</f>
        <v>12678.63</v>
      </c>
      <c r="I1708" s="27">
        <v>0</v>
      </c>
    </row>
    <row r="1709" spans="3:9">
      <c r="C1709" s="23">
        <v>502</v>
      </c>
      <c r="D1709" s="23" t="s">
        <v>132</v>
      </c>
      <c r="E1709" s="23" t="str">
        <f>Contributions_Data!A411</f>
        <v>DA-001</v>
      </c>
      <c r="F1709" s="23" t="str">
        <f>Contributions_Data!B411</f>
        <v>DA-001-M0035</v>
      </c>
      <c r="G1709" s="24">
        <f>Contributions_Data!C411</f>
        <v>45544</v>
      </c>
      <c r="H1709" s="27">
        <f>Contributions_Data!D411</f>
        <v>9663.84</v>
      </c>
      <c r="I1709" s="27">
        <v>0</v>
      </c>
    </row>
    <row r="1710" spans="3:9">
      <c r="C1710" s="23">
        <v>503</v>
      </c>
      <c r="D1710" s="23" t="s">
        <v>132</v>
      </c>
      <c r="E1710" s="23" t="str">
        <f>Contributions_Data!A527</f>
        <v>DA-002</v>
      </c>
      <c r="F1710" s="23" t="str">
        <f>Contributions_Data!B527</f>
        <v>DA-002-M0044</v>
      </c>
      <c r="G1710" s="24">
        <f>Contributions_Data!C527</f>
        <v>45544</v>
      </c>
      <c r="H1710" s="27">
        <f>Contributions_Data!D527</f>
        <v>22897.15</v>
      </c>
      <c r="I1710" s="27">
        <v>0</v>
      </c>
    </row>
    <row r="1711" spans="3:9">
      <c r="C1711" s="23">
        <v>504</v>
      </c>
      <c r="D1711" s="23" t="s">
        <v>132</v>
      </c>
      <c r="E1711" s="23" t="str">
        <f>Contributions_Data!A809</f>
        <v>DA-003</v>
      </c>
      <c r="F1711" s="23" t="str">
        <f>Contributions_Data!B809</f>
        <v>DA-003-M0068</v>
      </c>
      <c r="G1711" s="24">
        <f>Contributions_Data!C809</f>
        <v>45544</v>
      </c>
      <c r="H1711" s="27">
        <f>Contributions_Data!D809</f>
        <v>15652.3</v>
      </c>
      <c r="I1711" s="27">
        <v>0</v>
      </c>
    </row>
    <row r="1712" spans="3:9">
      <c r="C1712" s="23">
        <v>505</v>
      </c>
      <c r="D1712" s="23" t="s">
        <v>132</v>
      </c>
      <c r="E1712" s="23" t="str">
        <f>Contributions_Data!A899</f>
        <v>DA-001</v>
      </c>
      <c r="F1712" s="23" t="str">
        <f>Contributions_Data!B899</f>
        <v>DA-001-M0075</v>
      </c>
      <c r="G1712" s="24">
        <f>Contributions_Data!C899</f>
        <v>45544</v>
      </c>
      <c r="H1712" s="27">
        <f>Contributions_Data!D899</f>
        <v>14735.15</v>
      </c>
      <c r="I1712" s="27">
        <v>0</v>
      </c>
    </row>
    <row r="1713" spans="3:9">
      <c r="C1713" s="23">
        <v>506</v>
      </c>
      <c r="D1713" s="23" t="s">
        <v>132</v>
      </c>
      <c r="E1713" s="23" t="str">
        <f>Contributions_Data!A1174</f>
        <v>DA-001</v>
      </c>
      <c r="F1713" s="23" t="str">
        <f>Contributions_Data!B1174</f>
        <v>DA-001-M0098</v>
      </c>
      <c r="G1713" s="24">
        <f>Contributions_Data!C1174</f>
        <v>45544</v>
      </c>
      <c r="H1713" s="27">
        <f>Contributions_Data!D1174</f>
        <v>15601.71</v>
      </c>
      <c r="I1713" s="27">
        <v>0</v>
      </c>
    </row>
    <row r="1714" spans="3:9">
      <c r="C1714" s="23">
        <v>507</v>
      </c>
      <c r="D1714" s="23" t="s">
        <v>134</v>
      </c>
      <c r="E1714" s="23" t="str">
        <f>Withdrawals_Data!A21</f>
        <v>DA-002</v>
      </c>
      <c r="F1714" s="23" t="str">
        <f>Withdrawals_Data!B21</f>
        <v>DA-002-M0018</v>
      </c>
      <c r="G1714" s="24">
        <f>Withdrawals_Data!C21</f>
        <v>45544</v>
      </c>
      <c r="H1714" s="27">
        <v>0</v>
      </c>
      <c r="I1714" s="27">
        <f>-Withdrawals_Data!D21</f>
        <v>-14130.96</v>
      </c>
    </row>
    <row r="1715" spans="3:9">
      <c r="C1715" s="23">
        <v>508</v>
      </c>
      <c r="D1715" s="23" t="s">
        <v>134</v>
      </c>
      <c r="E1715" s="23" t="str">
        <f>Withdrawals_Data!A252</f>
        <v>DA-002</v>
      </c>
      <c r="F1715" s="23" t="str">
        <f>Withdrawals_Data!B252</f>
        <v>DA-002-M0062</v>
      </c>
      <c r="G1715" s="24">
        <f>Withdrawals_Data!C252</f>
        <v>45544</v>
      </c>
      <c r="H1715" s="27">
        <v>0</v>
      </c>
      <c r="I1715" s="27">
        <f>-Withdrawals_Data!D252</f>
        <v>-5394.33</v>
      </c>
    </row>
    <row r="1716" spans="3:9">
      <c r="C1716" s="23">
        <v>509</v>
      </c>
      <c r="D1716" s="23" t="s">
        <v>132</v>
      </c>
      <c r="E1716" s="23" t="str">
        <f>Contributions_Data!A678</f>
        <v>DA-002</v>
      </c>
      <c r="F1716" s="23" t="str">
        <f>Contributions_Data!B678</f>
        <v>DA-002-M0057</v>
      </c>
      <c r="G1716" s="24">
        <f>Contributions_Data!C678</f>
        <v>45545</v>
      </c>
      <c r="H1716" s="27">
        <f>Contributions_Data!D678</f>
        <v>10423.42</v>
      </c>
      <c r="I1716" s="27">
        <v>0</v>
      </c>
    </row>
    <row r="1717" spans="3:9">
      <c r="C1717" s="23">
        <v>510</v>
      </c>
      <c r="D1717" s="23" t="s">
        <v>132</v>
      </c>
      <c r="E1717" s="23" t="str">
        <f>Contributions_Data!A768</f>
        <v>DA-002</v>
      </c>
      <c r="F1717" s="23" t="str">
        <f>Contributions_Data!B768</f>
        <v>DA-002-M0064</v>
      </c>
      <c r="G1717" s="24">
        <f>Contributions_Data!C768</f>
        <v>45545</v>
      </c>
      <c r="H1717" s="27">
        <f>Contributions_Data!D768</f>
        <v>13349.08</v>
      </c>
      <c r="I1717" s="27">
        <v>0</v>
      </c>
    </row>
    <row r="1718" spans="3:9">
      <c r="C1718" s="23">
        <v>511</v>
      </c>
      <c r="D1718" s="23" t="s">
        <v>132</v>
      </c>
      <c r="E1718" s="23" t="str">
        <f>Contributions_Data!A1094</f>
        <v>DA-001</v>
      </c>
      <c r="F1718" s="23" t="str">
        <f>Contributions_Data!B1094</f>
        <v>DA-001-M0092</v>
      </c>
      <c r="G1718" s="24">
        <f>Contributions_Data!C1094</f>
        <v>45545</v>
      </c>
      <c r="H1718" s="27">
        <f>Contributions_Data!D1094</f>
        <v>12645.31</v>
      </c>
      <c r="I1718" s="27">
        <v>0</v>
      </c>
    </row>
    <row r="1719" spans="3:9">
      <c r="C1719" s="23">
        <v>512</v>
      </c>
      <c r="D1719" s="23" t="s">
        <v>134</v>
      </c>
      <c r="E1719" s="23" t="str">
        <f>Withdrawals_Data!A180</f>
        <v>DA-003</v>
      </c>
      <c r="F1719" s="23" t="str">
        <f>Withdrawals_Data!B180</f>
        <v>DA-003-M0084</v>
      </c>
      <c r="G1719" s="24">
        <f>Withdrawals_Data!C180</f>
        <v>45545</v>
      </c>
      <c r="H1719" s="27">
        <v>0</v>
      </c>
      <c r="I1719" s="27">
        <f>-Withdrawals_Data!D180</f>
        <v>-7938.76</v>
      </c>
    </row>
    <row r="1720" spans="3:9">
      <c r="C1720" s="23">
        <v>513</v>
      </c>
      <c r="D1720" s="23" t="s">
        <v>134</v>
      </c>
      <c r="E1720" s="23" t="str">
        <f>Withdrawals_Data!A622</f>
        <v>DA-001</v>
      </c>
      <c r="F1720" s="23" t="str">
        <f>Withdrawals_Data!B622</f>
        <v>DA-001-M0035</v>
      </c>
      <c r="G1720" s="24">
        <f>Withdrawals_Data!C622</f>
        <v>45545</v>
      </c>
      <c r="H1720" s="27">
        <v>0</v>
      </c>
      <c r="I1720" s="27">
        <f>-Withdrawals_Data!D622</f>
        <v>-3315</v>
      </c>
    </row>
    <row r="1721" spans="3:9">
      <c r="C1721" s="23">
        <v>514</v>
      </c>
      <c r="D1721" s="23" t="s">
        <v>134</v>
      </c>
      <c r="E1721" s="23" t="str">
        <f>Withdrawals_Data!A773</f>
        <v>DA-002</v>
      </c>
      <c r="F1721" s="23" t="str">
        <f>Withdrawals_Data!B773</f>
        <v>DA-002-M0051</v>
      </c>
      <c r="G1721" s="24">
        <f>Withdrawals_Data!C773</f>
        <v>45545</v>
      </c>
      <c r="H1721" s="27">
        <v>0</v>
      </c>
      <c r="I1721" s="27">
        <f>-Withdrawals_Data!D773</f>
        <v>-18163</v>
      </c>
    </row>
    <row r="1722" spans="3:9">
      <c r="C1722" s="23">
        <v>515</v>
      </c>
      <c r="D1722" s="23" t="s">
        <v>132</v>
      </c>
      <c r="E1722" s="23" t="str">
        <f>Contributions_Data!A83</f>
        <v>DA-003</v>
      </c>
      <c r="F1722" s="23" t="str">
        <f>Contributions_Data!B83</f>
        <v>DA-003-M0007</v>
      </c>
      <c r="G1722" s="24">
        <f>Contributions_Data!C83</f>
        <v>45546</v>
      </c>
      <c r="H1722" s="27">
        <f>Contributions_Data!D83</f>
        <v>17142</v>
      </c>
      <c r="I1722" s="27">
        <v>0</v>
      </c>
    </row>
    <row r="1723" spans="3:9">
      <c r="C1723" s="23">
        <v>516</v>
      </c>
      <c r="D1723" s="23" t="s">
        <v>132</v>
      </c>
      <c r="E1723" s="23" t="str">
        <f>Contributions_Data!A878</f>
        <v>DA-001</v>
      </c>
      <c r="F1723" s="23" t="str">
        <f>Contributions_Data!B878</f>
        <v>DA-001-M0074</v>
      </c>
      <c r="G1723" s="24">
        <f>Contributions_Data!C878</f>
        <v>45546</v>
      </c>
      <c r="H1723" s="27">
        <f>Contributions_Data!D878</f>
        <v>16629.89</v>
      </c>
      <c r="I1723" s="27">
        <v>0</v>
      </c>
    </row>
    <row r="1724" spans="3:9">
      <c r="C1724" s="23">
        <v>517</v>
      </c>
      <c r="D1724" s="23" t="s">
        <v>134</v>
      </c>
      <c r="E1724" s="23" t="str">
        <f>Withdrawals_Data!A136</f>
        <v>DA-003</v>
      </c>
      <c r="F1724" s="23" t="str">
        <f>Withdrawals_Data!B136</f>
        <v>DA-003-M0032</v>
      </c>
      <c r="G1724" s="24">
        <f>Withdrawals_Data!C136</f>
        <v>45546</v>
      </c>
      <c r="H1724" s="27">
        <v>0</v>
      </c>
      <c r="I1724" s="27">
        <f>-Withdrawals_Data!D136</f>
        <v>-8942.4599999999991</v>
      </c>
    </row>
    <row r="1725" spans="3:9">
      <c r="C1725" s="23">
        <v>518</v>
      </c>
      <c r="D1725" s="23" t="s">
        <v>134</v>
      </c>
      <c r="E1725" s="23" t="str">
        <f>Withdrawals_Data!A228</f>
        <v>DA-001</v>
      </c>
      <c r="F1725" s="23" t="str">
        <f>Withdrawals_Data!B228</f>
        <v>DA-001-M0049</v>
      </c>
      <c r="G1725" s="24">
        <f>Withdrawals_Data!C228</f>
        <v>45546</v>
      </c>
      <c r="H1725" s="27">
        <v>0</v>
      </c>
      <c r="I1725" s="27">
        <f>-Withdrawals_Data!D228</f>
        <v>-6217.99</v>
      </c>
    </row>
    <row r="1726" spans="3:9">
      <c r="C1726" s="23">
        <v>519</v>
      </c>
      <c r="D1726" s="23" t="s">
        <v>134</v>
      </c>
      <c r="E1726" s="23" t="str">
        <f>Withdrawals_Data!A304</f>
        <v>DA-003</v>
      </c>
      <c r="F1726" s="23" t="str">
        <f>Withdrawals_Data!B304</f>
        <v>DA-003-M0077</v>
      </c>
      <c r="G1726" s="24">
        <f>Withdrawals_Data!C304</f>
        <v>45546</v>
      </c>
      <c r="H1726" s="27">
        <v>0</v>
      </c>
      <c r="I1726" s="27">
        <f>-Withdrawals_Data!D304</f>
        <v>-3161.44</v>
      </c>
    </row>
    <row r="1727" spans="3:9">
      <c r="C1727" s="23">
        <v>520</v>
      </c>
      <c r="D1727" s="23" t="s">
        <v>134</v>
      </c>
      <c r="E1727" s="23" t="str">
        <f>Withdrawals_Data!A690</f>
        <v>DA-002</v>
      </c>
      <c r="F1727" s="23" t="str">
        <f>Withdrawals_Data!B690</f>
        <v>DA-002-M0042</v>
      </c>
      <c r="G1727" s="24">
        <f>Withdrawals_Data!C690</f>
        <v>45546</v>
      </c>
      <c r="H1727" s="27">
        <v>0</v>
      </c>
      <c r="I1727" s="27">
        <f>-Withdrawals_Data!D690</f>
        <v>-17624</v>
      </c>
    </row>
    <row r="1728" spans="3:9">
      <c r="C1728" s="23">
        <v>521</v>
      </c>
      <c r="D1728" s="23" t="s">
        <v>132</v>
      </c>
      <c r="E1728" s="23" t="str">
        <f>Contributions_Data!A835</f>
        <v>DA-002</v>
      </c>
      <c r="F1728" s="23" t="str">
        <f>Contributions_Data!B835</f>
        <v>DA-002-M0070</v>
      </c>
      <c r="G1728" s="24">
        <f>Contributions_Data!C835</f>
        <v>45547</v>
      </c>
      <c r="H1728" s="27">
        <f>Contributions_Data!D835</f>
        <v>15046.74</v>
      </c>
      <c r="I1728" s="27">
        <v>0</v>
      </c>
    </row>
    <row r="1729" spans="3:9">
      <c r="C1729" s="23">
        <v>522</v>
      </c>
      <c r="D1729" s="23" t="s">
        <v>134</v>
      </c>
      <c r="E1729" s="23" t="str">
        <f>Withdrawals_Data!A319</f>
        <v>DA-001</v>
      </c>
      <c r="F1729" s="23" t="str">
        <f>Withdrawals_Data!B319</f>
        <v>DA-001-M0087</v>
      </c>
      <c r="G1729" s="24">
        <f>Withdrawals_Data!C319</f>
        <v>45547</v>
      </c>
      <c r="H1729" s="27">
        <v>0</v>
      </c>
      <c r="I1729" s="27">
        <f>-Withdrawals_Data!D319</f>
        <v>-2312.7600000000002</v>
      </c>
    </row>
    <row r="1730" spans="3:9">
      <c r="C1730" s="23">
        <v>523</v>
      </c>
      <c r="D1730" s="23" t="s">
        <v>134</v>
      </c>
      <c r="E1730" s="23" t="str">
        <f>Withdrawals_Data!A329</f>
        <v>DA-001</v>
      </c>
      <c r="F1730" s="23" t="str">
        <f>Withdrawals_Data!B329</f>
        <v>DA-001-M0073</v>
      </c>
      <c r="G1730" s="24">
        <f>Withdrawals_Data!C329</f>
        <v>45547</v>
      </c>
      <c r="H1730" s="27">
        <v>0</v>
      </c>
      <c r="I1730" s="27">
        <f>-Withdrawals_Data!D329</f>
        <v>-1628.03</v>
      </c>
    </row>
    <row r="1731" spans="3:9">
      <c r="C1731" s="23">
        <v>524</v>
      </c>
      <c r="D1731" s="23" t="s">
        <v>134</v>
      </c>
      <c r="E1731" s="23" t="str">
        <f>Withdrawals_Data!A483</f>
        <v>DA-001</v>
      </c>
      <c r="F1731" s="23" t="str">
        <f>Withdrawals_Data!B483</f>
        <v>DA-001-M0019</v>
      </c>
      <c r="G1731" s="24">
        <f>Withdrawals_Data!C483</f>
        <v>45547</v>
      </c>
      <c r="H1731" s="27">
        <v>0</v>
      </c>
      <c r="I1731" s="27">
        <f>-Withdrawals_Data!D483</f>
        <v>-5507</v>
      </c>
    </row>
    <row r="1732" spans="3:9">
      <c r="C1732" s="23">
        <v>525</v>
      </c>
      <c r="D1732" s="23" t="s">
        <v>134</v>
      </c>
      <c r="E1732" s="23" t="str">
        <f>Withdrawals_Data!A851</f>
        <v>DA-002</v>
      </c>
      <c r="F1732" s="23" t="str">
        <f>Withdrawals_Data!B851</f>
        <v>DA-002-M0060</v>
      </c>
      <c r="G1732" s="24">
        <f>Withdrawals_Data!C851</f>
        <v>45547</v>
      </c>
      <c r="H1732" s="27">
        <v>0</v>
      </c>
      <c r="I1732" s="27">
        <f>-Withdrawals_Data!D851</f>
        <v>-2793</v>
      </c>
    </row>
    <row r="1733" spans="3:9">
      <c r="C1733" s="23">
        <v>526</v>
      </c>
      <c r="D1733" s="23" t="s">
        <v>132</v>
      </c>
      <c r="E1733" s="23" t="str">
        <f>Contributions_Data!A6</f>
        <v>DA-003</v>
      </c>
      <c r="F1733" s="23" t="str">
        <f>Contributions_Data!B6</f>
        <v>DA-003-M0001</v>
      </c>
      <c r="G1733" s="24">
        <f>Contributions_Data!C6</f>
        <v>45548</v>
      </c>
      <c r="H1733" s="27">
        <f>Contributions_Data!D6</f>
        <v>16071.34</v>
      </c>
      <c r="I1733" s="27">
        <v>0</v>
      </c>
    </row>
    <row r="1734" spans="3:9">
      <c r="C1734" s="23">
        <v>527</v>
      </c>
      <c r="D1734" s="23" t="s">
        <v>132</v>
      </c>
      <c r="E1734" s="23" t="str">
        <f>Contributions_Data!A315</f>
        <v>DA-002</v>
      </c>
      <c r="F1734" s="23" t="str">
        <f>Contributions_Data!B315</f>
        <v>DA-002-M0027</v>
      </c>
      <c r="G1734" s="24">
        <f>Contributions_Data!C315</f>
        <v>45548</v>
      </c>
      <c r="H1734" s="27">
        <f>Contributions_Data!D315</f>
        <v>13060.28</v>
      </c>
      <c r="I1734" s="27">
        <v>0</v>
      </c>
    </row>
    <row r="1735" spans="3:9">
      <c r="C1735" s="23">
        <v>528</v>
      </c>
      <c r="D1735" s="23" t="s">
        <v>132</v>
      </c>
      <c r="E1735" s="23" t="str">
        <f>Contributions_Data!A1179</f>
        <v>DA-003</v>
      </c>
      <c r="F1735" s="23" t="str">
        <f>Contributions_Data!B1179</f>
        <v>DA-003-M0099</v>
      </c>
      <c r="G1735" s="24">
        <f>Contributions_Data!C1179</f>
        <v>45548</v>
      </c>
      <c r="H1735" s="27">
        <f>Contributions_Data!D1179</f>
        <v>13898.92</v>
      </c>
      <c r="I1735" s="27">
        <v>0</v>
      </c>
    </row>
    <row r="1736" spans="3:9">
      <c r="C1736" s="23">
        <v>529</v>
      </c>
      <c r="D1736" s="23" t="s">
        <v>134</v>
      </c>
      <c r="E1736" s="23" t="str">
        <f>Withdrawals_Data!A994</f>
        <v>DA-003</v>
      </c>
      <c r="F1736" s="23" t="str">
        <f>Withdrawals_Data!B994</f>
        <v>DA-003-M0077</v>
      </c>
      <c r="G1736" s="24">
        <f>Withdrawals_Data!C994</f>
        <v>45548</v>
      </c>
      <c r="H1736" s="27">
        <v>0</v>
      </c>
      <c r="I1736" s="27">
        <f>-Withdrawals_Data!D994</f>
        <v>-13518</v>
      </c>
    </row>
    <row r="1737" spans="3:9">
      <c r="C1737" s="23">
        <v>530</v>
      </c>
      <c r="D1737" s="23" t="s">
        <v>134</v>
      </c>
      <c r="E1737" s="23" t="str">
        <f>Withdrawals_Data!A1191</f>
        <v>DA-003</v>
      </c>
      <c r="F1737" s="23" t="str">
        <f>Withdrawals_Data!B1191</f>
        <v>DA-003-M0099</v>
      </c>
      <c r="G1737" s="24">
        <f>Withdrawals_Data!C1191</f>
        <v>45548</v>
      </c>
      <c r="H1737" s="27">
        <v>0</v>
      </c>
      <c r="I1737" s="27">
        <f>-Withdrawals_Data!D1191</f>
        <v>-2246</v>
      </c>
    </row>
    <row r="1738" spans="3:9">
      <c r="C1738" s="23">
        <v>531</v>
      </c>
      <c r="D1738" s="23" t="s">
        <v>132</v>
      </c>
      <c r="E1738" s="23" t="str">
        <f>Contributions_Data!A30</f>
        <v>DA-002</v>
      </c>
      <c r="F1738" s="23" t="str">
        <f>Contributions_Data!B30</f>
        <v>DA-002-M0003</v>
      </c>
      <c r="G1738" s="24">
        <f>Contributions_Data!C30</f>
        <v>45549</v>
      </c>
      <c r="H1738" s="27">
        <f>Contributions_Data!D30</f>
        <v>9243.69</v>
      </c>
      <c r="I1738" s="27">
        <v>0</v>
      </c>
    </row>
    <row r="1739" spans="3:9">
      <c r="C1739" s="23">
        <v>532</v>
      </c>
      <c r="D1739" s="23" t="s">
        <v>132</v>
      </c>
      <c r="E1739" s="23" t="str">
        <f>Contributions_Data!A390</f>
        <v>DA-002</v>
      </c>
      <c r="F1739" s="23" t="str">
        <f>Contributions_Data!B390</f>
        <v>DA-002-M0033</v>
      </c>
      <c r="G1739" s="24">
        <f>Contributions_Data!C390</f>
        <v>45549</v>
      </c>
      <c r="H1739" s="27">
        <f>Contributions_Data!D390</f>
        <v>13754.14</v>
      </c>
      <c r="I1739" s="27">
        <v>0</v>
      </c>
    </row>
    <row r="1740" spans="3:9">
      <c r="C1740" s="23">
        <v>533</v>
      </c>
      <c r="D1740" s="23" t="s">
        <v>132</v>
      </c>
      <c r="E1740" s="23" t="str">
        <f>Contributions_Data!A740</f>
        <v>DA-002</v>
      </c>
      <c r="F1740" s="23" t="str">
        <f>Contributions_Data!B740</f>
        <v>DA-002-M0062</v>
      </c>
      <c r="G1740" s="24">
        <f>Contributions_Data!C740</f>
        <v>45549</v>
      </c>
      <c r="H1740" s="27">
        <f>Contributions_Data!D740</f>
        <v>16272.5</v>
      </c>
      <c r="I1740" s="27">
        <v>0</v>
      </c>
    </row>
    <row r="1741" spans="3:9">
      <c r="C1741" s="23">
        <v>534</v>
      </c>
      <c r="D1741" s="23" t="s">
        <v>132</v>
      </c>
      <c r="E1741" s="23" t="str">
        <f>Contributions_Data!A897</f>
        <v>DA-001</v>
      </c>
      <c r="F1741" s="23" t="str">
        <f>Contributions_Data!B897</f>
        <v>DA-001-M0075</v>
      </c>
      <c r="G1741" s="24">
        <f>Contributions_Data!C897</f>
        <v>45549</v>
      </c>
      <c r="H1741" s="27">
        <f>Contributions_Data!D897</f>
        <v>21631.57</v>
      </c>
      <c r="I1741" s="27">
        <v>0</v>
      </c>
    </row>
    <row r="1742" spans="3:9">
      <c r="C1742" s="23">
        <v>535</v>
      </c>
      <c r="D1742" s="23" t="s">
        <v>134</v>
      </c>
      <c r="E1742" s="23" t="str">
        <f>Withdrawals_Data!A218</f>
        <v>DA-003</v>
      </c>
      <c r="F1742" s="23" t="str">
        <f>Withdrawals_Data!B218</f>
        <v>DA-003-M0081</v>
      </c>
      <c r="G1742" s="24">
        <f>Withdrawals_Data!C218</f>
        <v>45549</v>
      </c>
      <c r="H1742" s="27">
        <v>0</v>
      </c>
      <c r="I1742" s="27">
        <f>-Withdrawals_Data!D218</f>
        <v>-6779.1</v>
      </c>
    </row>
    <row r="1743" spans="3:9">
      <c r="C1743" s="23">
        <v>536</v>
      </c>
      <c r="D1743" s="23" t="s">
        <v>134</v>
      </c>
      <c r="E1743" s="23" t="str">
        <f>Withdrawals_Data!A310</f>
        <v>DA-003</v>
      </c>
      <c r="F1743" s="23" t="str">
        <f>Withdrawals_Data!B310</f>
        <v>DA-003-M0047</v>
      </c>
      <c r="G1743" s="24">
        <f>Withdrawals_Data!C310</f>
        <v>45549</v>
      </c>
      <c r="H1743" s="27">
        <v>0</v>
      </c>
      <c r="I1743" s="27">
        <f>-Withdrawals_Data!D310</f>
        <v>-2893.01</v>
      </c>
    </row>
    <row r="1744" spans="3:9">
      <c r="C1744" s="23">
        <v>537</v>
      </c>
      <c r="D1744" s="23" t="s">
        <v>134</v>
      </c>
      <c r="E1744" s="23" t="str">
        <f>Withdrawals_Data!A326</f>
        <v>DA-002</v>
      </c>
      <c r="F1744" s="23" t="str">
        <f>Withdrawals_Data!B326</f>
        <v>DA-002-M0097</v>
      </c>
      <c r="G1744" s="24">
        <f>Withdrawals_Data!C326</f>
        <v>45549</v>
      </c>
      <c r="H1744" s="27">
        <v>0</v>
      </c>
      <c r="I1744" s="27">
        <f>-Withdrawals_Data!D326</f>
        <v>-1749.82</v>
      </c>
    </row>
    <row r="1745" spans="3:9">
      <c r="C1745" s="23">
        <v>538</v>
      </c>
      <c r="D1745" s="23" t="s">
        <v>134</v>
      </c>
      <c r="E1745" s="23" t="str">
        <f>Withdrawals_Data!A1185</f>
        <v>DA-003</v>
      </c>
      <c r="F1745" s="23" t="str">
        <f>Withdrawals_Data!B1185</f>
        <v>DA-003-M0099</v>
      </c>
      <c r="G1745" s="24">
        <f>Withdrawals_Data!C1185</f>
        <v>45549</v>
      </c>
      <c r="H1745" s="27">
        <v>0</v>
      </c>
      <c r="I1745" s="27">
        <f>-Withdrawals_Data!D1185</f>
        <v>-4433</v>
      </c>
    </row>
    <row r="1746" spans="3:9">
      <c r="C1746" s="23">
        <v>539</v>
      </c>
      <c r="D1746" s="23" t="s">
        <v>132</v>
      </c>
      <c r="E1746" s="23" t="str">
        <f>Contributions_Data!A162</f>
        <v>DA-003</v>
      </c>
      <c r="F1746" s="23" t="str">
        <f>Contributions_Data!B162</f>
        <v>DA-003-M0014</v>
      </c>
      <c r="G1746" s="24">
        <f>Contributions_Data!C162</f>
        <v>45550</v>
      </c>
      <c r="H1746" s="27">
        <f>Contributions_Data!D162</f>
        <v>13521</v>
      </c>
      <c r="I1746" s="27">
        <v>0</v>
      </c>
    </row>
    <row r="1747" spans="3:9">
      <c r="C1747" s="23">
        <v>540</v>
      </c>
      <c r="D1747" s="23" t="s">
        <v>132</v>
      </c>
      <c r="E1747" s="23" t="str">
        <f>Contributions_Data!A407</f>
        <v>DA-001</v>
      </c>
      <c r="F1747" s="23" t="str">
        <f>Contributions_Data!B407</f>
        <v>DA-001-M0034</v>
      </c>
      <c r="G1747" s="24">
        <f>Contributions_Data!C407</f>
        <v>45550</v>
      </c>
      <c r="H1747" s="27">
        <f>Contributions_Data!D407</f>
        <v>19066.91</v>
      </c>
      <c r="I1747" s="27">
        <v>0</v>
      </c>
    </row>
    <row r="1748" spans="3:9">
      <c r="C1748" s="23">
        <v>541</v>
      </c>
      <c r="D1748" s="23" t="s">
        <v>132</v>
      </c>
      <c r="E1748" s="23" t="str">
        <f>Contributions_Data!A530</f>
        <v>DA-003</v>
      </c>
      <c r="F1748" s="23" t="str">
        <f>Contributions_Data!B530</f>
        <v>DA-003-M0045</v>
      </c>
      <c r="G1748" s="24">
        <f>Contributions_Data!C530</f>
        <v>45550</v>
      </c>
      <c r="H1748" s="27">
        <f>Contributions_Data!D530</f>
        <v>12424.93</v>
      </c>
      <c r="I1748" s="27">
        <v>0</v>
      </c>
    </row>
    <row r="1749" spans="3:9">
      <c r="C1749" s="23">
        <v>542</v>
      </c>
      <c r="D1749" s="23" t="s">
        <v>132</v>
      </c>
      <c r="E1749" s="23" t="str">
        <f>Contributions_Data!A1197</f>
        <v>DA-003</v>
      </c>
      <c r="F1749" s="23" t="str">
        <f>Contributions_Data!B1197</f>
        <v>DA-003-M0100</v>
      </c>
      <c r="G1749" s="24">
        <f>Contributions_Data!C1197</f>
        <v>45550</v>
      </c>
      <c r="H1749" s="27">
        <f>Contributions_Data!D1197</f>
        <v>14242.94</v>
      </c>
      <c r="I1749" s="27">
        <v>0</v>
      </c>
    </row>
    <row r="1750" spans="3:9">
      <c r="C1750" s="23">
        <v>543</v>
      </c>
      <c r="D1750" s="23" t="s">
        <v>134</v>
      </c>
      <c r="E1750" s="23" t="str">
        <f>Withdrawals_Data!A298</f>
        <v>DA-001</v>
      </c>
      <c r="F1750" s="23" t="str">
        <f>Withdrawals_Data!B298</f>
        <v>DA-001-M0035</v>
      </c>
      <c r="G1750" s="24">
        <f>Withdrawals_Data!C298</f>
        <v>45550</v>
      </c>
      <c r="H1750" s="27">
        <v>0</v>
      </c>
      <c r="I1750" s="27">
        <f>-Withdrawals_Data!D298</f>
        <v>-3498.04</v>
      </c>
    </row>
    <row r="1751" spans="3:9">
      <c r="C1751" s="23">
        <v>544</v>
      </c>
      <c r="D1751" s="23" t="s">
        <v>132</v>
      </c>
      <c r="E1751" s="23" t="str">
        <f>Contributions_Data!A139</f>
        <v>DA-003</v>
      </c>
      <c r="F1751" s="23" t="str">
        <f>Contributions_Data!B139</f>
        <v>DA-003-M0012</v>
      </c>
      <c r="G1751" s="24">
        <f>Contributions_Data!C139</f>
        <v>45551</v>
      </c>
      <c r="H1751" s="27">
        <f>Contributions_Data!D139</f>
        <v>12219.21</v>
      </c>
      <c r="I1751" s="27">
        <v>0</v>
      </c>
    </row>
    <row r="1752" spans="3:9">
      <c r="C1752" s="23">
        <v>545</v>
      </c>
      <c r="D1752" s="23" t="s">
        <v>134</v>
      </c>
      <c r="E1752" s="23" t="str">
        <f>Withdrawals_Data!A63</f>
        <v>DA-002</v>
      </c>
      <c r="F1752" s="23" t="str">
        <f>Withdrawals_Data!B63</f>
        <v>DA-002-M0033</v>
      </c>
      <c r="G1752" s="24">
        <f>Withdrawals_Data!C63</f>
        <v>45551</v>
      </c>
      <c r="H1752" s="27">
        <v>0</v>
      </c>
      <c r="I1752" s="27">
        <f>-Withdrawals_Data!D63</f>
        <v>-11321.34</v>
      </c>
    </row>
    <row r="1753" spans="3:9">
      <c r="C1753" s="23">
        <v>546</v>
      </c>
      <c r="D1753" s="23" t="s">
        <v>134</v>
      </c>
      <c r="E1753" s="23" t="str">
        <f>Withdrawals_Data!A148</f>
        <v>DA-001</v>
      </c>
      <c r="F1753" s="23" t="str">
        <f>Withdrawals_Data!B148</f>
        <v>DA-001-M0083</v>
      </c>
      <c r="G1753" s="24">
        <f>Withdrawals_Data!C148</f>
        <v>45551</v>
      </c>
      <c r="H1753" s="27">
        <v>0</v>
      </c>
      <c r="I1753" s="27">
        <f>-Withdrawals_Data!D148</f>
        <v>-8642.2999999999993</v>
      </c>
    </row>
    <row r="1754" spans="3:9">
      <c r="C1754" s="23">
        <v>547</v>
      </c>
      <c r="D1754" s="23" t="s">
        <v>132</v>
      </c>
      <c r="E1754" s="23" t="str">
        <f>Contributions_Data!A121</f>
        <v>DA-001</v>
      </c>
      <c r="F1754" s="23" t="str">
        <f>Contributions_Data!B121</f>
        <v>DA-001-M0010</v>
      </c>
      <c r="G1754" s="24">
        <f>Contributions_Data!C121</f>
        <v>45552</v>
      </c>
      <c r="H1754" s="27">
        <f>Contributions_Data!D121</f>
        <v>8924.57</v>
      </c>
      <c r="I1754" s="27">
        <v>0</v>
      </c>
    </row>
    <row r="1755" spans="3:9">
      <c r="C1755" s="23">
        <v>548</v>
      </c>
      <c r="D1755" s="23" t="s">
        <v>132</v>
      </c>
      <c r="E1755" s="23" t="str">
        <f>Contributions_Data!A736</f>
        <v>DA-002</v>
      </c>
      <c r="F1755" s="23" t="str">
        <f>Contributions_Data!B736</f>
        <v>DA-002-M0062</v>
      </c>
      <c r="G1755" s="24">
        <f>Contributions_Data!C736</f>
        <v>45552</v>
      </c>
      <c r="H1755" s="27">
        <f>Contributions_Data!D736</f>
        <v>20207.89</v>
      </c>
      <c r="I1755" s="27">
        <v>0</v>
      </c>
    </row>
    <row r="1756" spans="3:9">
      <c r="C1756" s="23">
        <v>549</v>
      </c>
      <c r="D1756" s="23" t="s">
        <v>134</v>
      </c>
      <c r="E1756" s="23" t="str">
        <f>Withdrawals_Data!A176</f>
        <v>DA-003</v>
      </c>
      <c r="F1756" s="23" t="str">
        <f>Withdrawals_Data!B176</f>
        <v>DA-003-M0047</v>
      </c>
      <c r="G1756" s="24">
        <f>Withdrawals_Data!C176</f>
        <v>45552</v>
      </c>
      <c r="H1756" s="27">
        <v>0</v>
      </c>
      <c r="I1756" s="27">
        <f>-Withdrawals_Data!D176</f>
        <v>-8113.27</v>
      </c>
    </row>
    <row r="1757" spans="3:9">
      <c r="C1757" s="23">
        <v>550</v>
      </c>
      <c r="D1757" s="23" t="s">
        <v>134</v>
      </c>
      <c r="E1757" s="23" t="str">
        <f>Withdrawals_Data!A712</f>
        <v>DA-002</v>
      </c>
      <c r="F1757" s="23" t="str">
        <f>Withdrawals_Data!B712</f>
        <v>DA-002-M0044</v>
      </c>
      <c r="G1757" s="24">
        <f>Withdrawals_Data!C712</f>
        <v>45552</v>
      </c>
      <c r="H1757" s="27">
        <v>0</v>
      </c>
      <c r="I1757" s="27">
        <f>-Withdrawals_Data!D712</f>
        <v>-21384</v>
      </c>
    </row>
    <row r="1758" spans="3:9">
      <c r="C1758" s="23">
        <v>551</v>
      </c>
      <c r="D1758" s="23" t="s">
        <v>134</v>
      </c>
      <c r="E1758" s="23" t="str">
        <f>Withdrawals_Data!A1072</f>
        <v>DA-002</v>
      </c>
      <c r="F1758" s="23" t="str">
        <f>Withdrawals_Data!B1072</f>
        <v>DA-002-M0085</v>
      </c>
      <c r="G1758" s="24">
        <f>Withdrawals_Data!C1072</f>
        <v>45552</v>
      </c>
      <c r="H1758" s="27">
        <v>0</v>
      </c>
      <c r="I1758" s="27">
        <f>-Withdrawals_Data!D1072</f>
        <v>-13839</v>
      </c>
    </row>
    <row r="1759" spans="3:9">
      <c r="C1759" s="23">
        <v>552</v>
      </c>
      <c r="D1759" s="23" t="s">
        <v>134</v>
      </c>
      <c r="E1759" s="23" t="str">
        <f>Withdrawals_Data!A1102</f>
        <v>DA-002</v>
      </c>
      <c r="F1759" s="23" t="str">
        <f>Withdrawals_Data!B1102</f>
        <v>DA-002-M0089</v>
      </c>
      <c r="G1759" s="24">
        <f>Withdrawals_Data!C1102</f>
        <v>45552</v>
      </c>
      <c r="H1759" s="27">
        <v>0</v>
      </c>
      <c r="I1759" s="27">
        <f>-Withdrawals_Data!D1102</f>
        <v>-11315</v>
      </c>
    </row>
    <row r="1760" spans="3:9">
      <c r="C1760" s="23">
        <v>553</v>
      </c>
      <c r="D1760" s="23" t="s">
        <v>132</v>
      </c>
      <c r="E1760" s="23" t="str">
        <f>Contributions_Data!A751</f>
        <v>DA-002</v>
      </c>
      <c r="F1760" s="23" t="str">
        <f>Contributions_Data!B751</f>
        <v>DA-002-M0063</v>
      </c>
      <c r="G1760" s="24">
        <f>Contributions_Data!C751</f>
        <v>45553</v>
      </c>
      <c r="H1760" s="27">
        <f>Contributions_Data!D751</f>
        <v>16197.67</v>
      </c>
      <c r="I1760" s="27">
        <v>0</v>
      </c>
    </row>
    <row r="1761" spans="3:9">
      <c r="C1761" s="23">
        <v>554</v>
      </c>
      <c r="D1761" s="23" t="s">
        <v>132</v>
      </c>
      <c r="E1761" s="23" t="str">
        <f>Contributions_Data!A1107</f>
        <v>DA-001</v>
      </c>
      <c r="F1761" s="23" t="str">
        <f>Contributions_Data!B1107</f>
        <v>DA-001-M0093</v>
      </c>
      <c r="G1761" s="24">
        <f>Contributions_Data!C1107</f>
        <v>45553</v>
      </c>
      <c r="H1761" s="27">
        <f>Contributions_Data!D1107</f>
        <v>22674.6</v>
      </c>
      <c r="I1761" s="27">
        <v>0</v>
      </c>
    </row>
    <row r="1762" spans="3:9">
      <c r="C1762" s="23">
        <v>555</v>
      </c>
      <c r="D1762" s="23" t="s">
        <v>132</v>
      </c>
      <c r="E1762" s="23" t="str">
        <f>Contributions_Data!A1122</f>
        <v>DA-002</v>
      </c>
      <c r="F1762" s="23" t="str">
        <f>Contributions_Data!B1122</f>
        <v>DA-002-M0094</v>
      </c>
      <c r="G1762" s="24">
        <f>Contributions_Data!C1122</f>
        <v>45553</v>
      </c>
      <c r="H1762" s="27">
        <f>Contributions_Data!D1122</f>
        <v>9400.39</v>
      </c>
      <c r="I1762" s="27">
        <v>0</v>
      </c>
    </row>
    <row r="1763" spans="3:9">
      <c r="C1763" s="23">
        <v>556</v>
      </c>
      <c r="D1763" s="23" t="s">
        <v>134</v>
      </c>
      <c r="E1763" s="23" t="str">
        <f>Withdrawals_Data!A370</f>
        <v>DA-003</v>
      </c>
      <c r="F1763" s="23" t="str">
        <f>Withdrawals_Data!B370</f>
        <v>DA-003-M0005</v>
      </c>
      <c r="G1763" s="24">
        <f>Withdrawals_Data!C370</f>
        <v>45553</v>
      </c>
      <c r="H1763" s="27">
        <v>0</v>
      </c>
      <c r="I1763" s="27">
        <f>-Withdrawals_Data!D370</f>
        <v>-21509</v>
      </c>
    </row>
    <row r="1764" spans="3:9">
      <c r="C1764" s="23">
        <v>557</v>
      </c>
      <c r="D1764" s="23" t="s">
        <v>134</v>
      </c>
      <c r="E1764" s="23" t="str">
        <f>Withdrawals_Data!A527</f>
        <v>DA-002</v>
      </c>
      <c r="F1764" s="23" t="str">
        <f>Withdrawals_Data!B527</f>
        <v>DA-002-M0023</v>
      </c>
      <c r="G1764" s="24">
        <f>Withdrawals_Data!C527</f>
        <v>45553</v>
      </c>
      <c r="H1764" s="27">
        <v>0</v>
      </c>
      <c r="I1764" s="27">
        <f>-Withdrawals_Data!D527</f>
        <v>-8712</v>
      </c>
    </row>
    <row r="1765" spans="3:9">
      <c r="C1765" s="23">
        <v>558</v>
      </c>
      <c r="D1765" s="23" t="s">
        <v>132</v>
      </c>
      <c r="E1765" s="23" t="str">
        <f>Contributions_Data!A515</f>
        <v>DA-001</v>
      </c>
      <c r="F1765" s="23" t="str">
        <f>Contributions_Data!B515</f>
        <v>DA-001-M0043</v>
      </c>
      <c r="G1765" s="24">
        <f>Contributions_Data!C515</f>
        <v>45554</v>
      </c>
      <c r="H1765" s="27">
        <f>Contributions_Data!D515</f>
        <v>9477.3799999999992</v>
      </c>
      <c r="I1765" s="27">
        <v>0</v>
      </c>
    </row>
    <row r="1766" spans="3:9">
      <c r="C1766" s="23">
        <v>559</v>
      </c>
      <c r="D1766" s="23" t="s">
        <v>132</v>
      </c>
      <c r="E1766" s="23" t="str">
        <f>Contributions_Data!A542</f>
        <v>DA-001</v>
      </c>
      <c r="F1766" s="23" t="str">
        <f>Contributions_Data!B542</f>
        <v>DA-001-M0046</v>
      </c>
      <c r="G1766" s="24">
        <f>Contributions_Data!C542</f>
        <v>45554</v>
      </c>
      <c r="H1766" s="27">
        <f>Contributions_Data!D542</f>
        <v>16897.22</v>
      </c>
      <c r="I1766" s="27">
        <v>0</v>
      </c>
    </row>
    <row r="1767" spans="3:9">
      <c r="C1767" s="23">
        <v>560</v>
      </c>
      <c r="D1767" s="23" t="s">
        <v>132</v>
      </c>
      <c r="E1767" s="23" t="str">
        <f>Contributions_Data!A1065</f>
        <v>DA-002</v>
      </c>
      <c r="F1767" s="23" t="str">
        <f>Contributions_Data!B1065</f>
        <v>DA-002-M0089</v>
      </c>
      <c r="G1767" s="24">
        <f>Contributions_Data!C1065</f>
        <v>45554</v>
      </c>
      <c r="H1767" s="27">
        <f>Contributions_Data!D1065</f>
        <v>14498.63</v>
      </c>
      <c r="I1767" s="27">
        <v>0</v>
      </c>
    </row>
    <row r="1768" spans="3:9">
      <c r="C1768" s="23">
        <v>561</v>
      </c>
      <c r="D1768" s="23" t="s">
        <v>134</v>
      </c>
      <c r="E1768" s="23" t="str">
        <f>Withdrawals_Data!A49</f>
        <v>DA-001</v>
      </c>
      <c r="F1768" s="23" t="str">
        <f>Withdrawals_Data!B49</f>
        <v>DA-001-M0010</v>
      </c>
      <c r="G1768" s="24">
        <f>Withdrawals_Data!C49</f>
        <v>45554</v>
      </c>
      <c r="H1768" s="27">
        <v>0</v>
      </c>
      <c r="I1768" s="27">
        <f>-Withdrawals_Data!D49</f>
        <v>-12355.8</v>
      </c>
    </row>
    <row r="1769" spans="3:9">
      <c r="C1769" s="23">
        <v>562</v>
      </c>
      <c r="D1769" s="23" t="s">
        <v>134</v>
      </c>
      <c r="E1769" s="23" t="str">
        <f>Withdrawals_Data!A51</f>
        <v>DA-002</v>
      </c>
      <c r="F1769" s="23" t="str">
        <f>Withdrawals_Data!B51</f>
        <v>DA-002-M0088</v>
      </c>
      <c r="G1769" s="24">
        <f>Withdrawals_Data!C51</f>
        <v>45554</v>
      </c>
      <c r="H1769" s="27">
        <v>0</v>
      </c>
      <c r="I1769" s="27">
        <f>-Withdrawals_Data!D51</f>
        <v>-12290.03</v>
      </c>
    </row>
    <row r="1770" spans="3:9">
      <c r="C1770" s="23">
        <v>563</v>
      </c>
      <c r="D1770" s="23" t="s">
        <v>134</v>
      </c>
      <c r="E1770" s="23" t="str">
        <f>Withdrawals_Data!A827</f>
        <v>DA-002</v>
      </c>
      <c r="F1770" s="23" t="str">
        <f>Withdrawals_Data!B827</f>
        <v>DA-002-M0057</v>
      </c>
      <c r="G1770" s="24">
        <f>Withdrawals_Data!C827</f>
        <v>45554</v>
      </c>
      <c r="H1770" s="27">
        <v>0</v>
      </c>
      <c r="I1770" s="27">
        <f>-Withdrawals_Data!D827</f>
        <v>-14582</v>
      </c>
    </row>
    <row r="1771" spans="3:9">
      <c r="C1771" s="23">
        <v>564</v>
      </c>
      <c r="D1771" s="23" t="s">
        <v>134</v>
      </c>
      <c r="E1771" s="23" t="str">
        <f>Withdrawals_Data!A975</f>
        <v>DA-001</v>
      </c>
      <c r="F1771" s="23" t="str">
        <f>Withdrawals_Data!B975</f>
        <v>DA-001-M0075</v>
      </c>
      <c r="G1771" s="24">
        <f>Withdrawals_Data!C975</f>
        <v>45554</v>
      </c>
      <c r="H1771" s="27">
        <v>0</v>
      </c>
      <c r="I1771" s="27">
        <f>-Withdrawals_Data!D975</f>
        <v>-20078</v>
      </c>
    </row>
    <row r="1772" spans="3:9">
      <c r="C1772" s="23">
        <v>565</v>
      </c>
      <c r="D1772" s="23" t="s">
        <v>132</v>
      </c>
      <c r="E1772" s="23" t="str">
        <f>Contributions_Data!A212</f>
        <v>DA-002</v>
      </c>
      <c r="F1772" s="23" t="str">
        <f>Contributions_Data!B212</f>
        <v>DA-002-M0018</v>
      </c>
      <c r="G1772" s="24">
        <f>Contributions_Data!C212</f>
        <v>45555</v>
      </c>
      <c r="H1772" s="27">
        <f>Contributions_Data!D212</f>
        <v>14134.02</v>
      </c>
      <c r="I1772" s="27">
        <v>0</v>
      </c>
    </row>
    <row r="1773" spans="3:9">
      <c r="C1773" s="23">
        <v>566</v>
      </c>
      <c r="D1773" s="23" t="s">
        <v>132</v>
      </c>
      <c r="E1773" s="23" t="str">
        <f>Contributions_Data!A469</f>
        <v>DA-002</v>
      </c>
      <c r="F1773" s="23" t="str">
        <f>Contributions_Data!B469</f>
        <v>DA-002-M0039</v>
      </c>
      <c r="G1773" s="24">
        <f>Contributions_Data!C469</f>
        <v>45555</v>
      </c>
      <c r="H1773" s="27">
        <f>Contributions_Data!D469</f>
        <v>16468.12</v>
      </c>
      <c r="I1773" s="27">
        <v>0</v>
      </c>
    </row>
    <row r="1774" spans="3:9">
      <c r="C1774" s="23">
        <v>567</v>
      </c>
      <c r="D1774" s="23" t="s">
        <v>132</v>
      </c>
      <c r="E1774" s="23" t="str">
        <f>Contributions_Data!A1125</f>
        <v>DA-002</v>
      </c>
      <c r="F1774" s="23" t="str">
        <f>Contributions_Data!B1125</f>
        <v>DA-002-M0094</v>
      </c>
      <c r="G1774" s="24">
        <f>Contributions_Data!C1125</f>
        <v>45555</v>
      </c>
      <c r="H1774" s="27">
        <f>Contributions_Data!D1125</f>
        <v>16892.439999999999</v>
      </c>
      <c r="I1774" s="27">
        <v>0</v>
      </c>
    </row>
    <row r="1775" spans="3:9">
      <c r="C1775" s="23">
        <v>568</v>
      </c>
      <c r="D1775" s="23" t="s">
        <v>134</v>
      </c>
      <c r="E1775" s="23" t="str">
        <f>Withdrawals_Data!A29</f>
        <v>DA-002</v>
      </c>
      <c r="F1775" s="23" t="str">
        <f>Withdrawals_Data!B29</f>
        <v>DA-002-M0023</v>
      </c>
      <c r="G1775" s="24">
        <f>Withdrawals_Data!C29</f>
        <v>45555</v>
      </c>
      <c r="H1775" s="27">
        <v>0</v>
      </c>
      <c r="I1775" s="27">
        <f>-Withdrawals_Data!D29</f>
        <v>-13474.53</v>
      </c>
    </row>
    <row r="1776" spans="3:9">
      <c r="C1776" s="23">
        <v>569</v>
      </c>
      <c r="D1776" s="23" t="s">
        <v>134</v>
      </c>
      <c r="E1776" s="23" t="str">
        <f>Withdrawals_Data!A978</f>
        <v>DA-001</v>
      </c>
      <c r="F1776" s="23" t="str">
        <f>Withdrawals_Data!B978</f>
        <v>DA-001-M0075</v>
      </c>
      <c r="G1776" s="24">
        <f>Withdrawals_Data!C978</f>
        <v>45555</v>
      </c>
      <c r="H1776" s="27">
        <v>0</v>
      </c>
      <c r="I1776" s="27">
        <f>-Withdrawals_Data!D978</f>
        <v>-8618</v>
      </c>
    </row>
    <row r="1777" spans="3:9">
      <c r="C1777" s="23">
        <v>570</v>
      </c>
      <c r="D1777" s="23" t="s">
        <v>134</v>
      </c>
      <c r="E1777" s="23" t="str">
        <f>Withdrawals_Data!A1175</f>
        <v>DA-001</v>
      </c>
      <c r="F1777" s="23" t="str">
        <f>Withdrawals_Data!B1175</f>
        <v>DA-001-M0098</v>
      </c>
      <c r="G1777" s="24">
        <f>Withdrawals_Data!C1175</f>
        <v>45555</v>
      </c>
      <c r="H1777" s="27">
        <v>0</v>
      </c>
      <c r="I1777" s="27">
        <f>-Withdrawals_Data!D1175</f>
        <v>-3191</v>
      </c>
    </row>
    <row r="1778" spans="3:9">
      <c r="C1778" s="23">
        <v>571</v>
      </c>
      <c r="D1778" s="23" t="s">
        <v>134</v>
      </c>
      <c r="E1778" s="23" t="str">
        <f>Withdrawals_Data!A1187</f>
        <v>DA-003</v>
      </c>
      <c r="F1778" s="23" t="str">
        <f>Withdrawals_Data!B1187</f>
        <v>DA-003-M0099</v>
      </c>
      <c r="G1778" s="24">
        <f>Withdrawals_Data!C1187</f>
        <v>45555</v>
      </c>
      <c r="H1778" s="27">
        <v>0</v>
      </c>
      <c r="I1778" s="27">
        <f>-Withdrawals_Data!D1187</f>
        <v>-11434</v>
      </c>
    </row>
    <row r="1779" spans="3:9">
      <c r="C1779" s="23">
        <v>572</v>
      </c>
      <c r="D1779" s="23" t="s">
        <v>132</v>
      </c>
      <c r="E1779" s="23" t="str">
        <f>Contributions_Data!A598</f>
        <v>DA-002</v>
      </c>
      <c r="F1779" s="23" t="str">
        <f>Contributions_Data!B598</f>
        <v>DA-002-M0050</v>
      </c>
      <c r="G1779" s="24">
        <f>Contributions_Data!C598</f>
        <v>45556</v>
      </c>
      <c r="H1779" s="27">
        <f>Contributions_Data!D598</f>
        <v>15499.36</v>
      </c>
      <c r="I1779" s="27">
        <v>0</v>
      </c>
    </row>
    <row r="1780" spans="3:9">
      <c r="C1780" s="23">
        <v>573</v>
      </c>
      <c r="D1780" s="23" t="s">
        <v>134</v>
      </c>
      <c r="E1780" s="23" t="str">
        <f>Withdrawals_Data!A55</f>
        <v>DA-003</v>
      </c>
      <c r="F1780" s="23" t="str">
        <f>Withdrawals_Data!B55</f>
        <v>DA-003-M0006</v>
      </c>
      <c r="G1780" s="24">
        <f>Withdrawals_Data!C55</f>
        <v>45556</v>
      </c>
      <c r="H1780" s="27">
        <v>0</v>
      </c>
      <c r="I1780" s="27">
        <f>-Withdrawals_Data!D55</f>
        <v>-11853.5</v>
      </c>
    </row>
    <row r="1781" spans="3:9">
      <c r="C1781" s="23">
        <v>574</v>
      </c>
      <c r="D1781" s="23" t="s">
        <v>134</v>
      </c>
      <c r="E1781" s="23" t="str">
        <f>Withdrawals_Data!A530</f>
        <v>DA-001</v>
      </c>
      <c r="F1781" s="23" t="str">
        <f>Withdrawals_Data!B530</f>
        <v>DA-001-M0024</v>
      </c>
      <c r="G1781" s="24">
        <f>Withdrawals_Data!C530</f>
        <v>45556</v>
      </c>
      <c r="H1781" s="27">
        <v>0</v>
      </c>
      <c r="I1781" s="27">
        <f>-Withdrawals_Data!D530</f>
        <v>-8035</v>
      </c>
    </row>
    <row r="1782" spans="3:9">
      <c r="C1782" s="23">
        <v>575</v>
      </c>
      <c r="D1782" s="23" t="s">
        <v>134</v>
      </c>
      <c r="E1782" s="23" t="str">
        <f>Withdrawals_Data!A583</f>
        <v>DA-002</v>
      </c>
      <c r="F1782" s="23" t="str">
        <f>Withdrawals_Data!B583</f>
        <v>DA-002-M0030</v>
      </c>
      <c r="G1782" s="24">
        <f>Withdrawals_Data!C583</f>
        <v>45556</v>
      </c>
      <c r="H1782" s="27">
        <v>0</v>
      </c>
      <c r="I1782" s="27">
        <f>-Withdrawals_Data!D583</f>
        <v>-13763</v>
      </c>
    </row>
    <row r="1783" spans="3:9">
      <c r="C1783" s="23">
        <v>576</v>
      </c>
      <c r="D1783" s="23" t="s">
        <v>134</v>
      </c>
      <c r="E1783" s="23" t="str">
        <f>Withdrawals_Data!A598</f>
        <v>DA-003</v>
      </c>
      <c r="F1783" s="23" t="str">
        <f>Withdrawals_Data!B598</f>
        <v>DA-003-M0032</v>
      </c>
      <c r="G1783" s="24">
        <f>Withdrawals_Data!C598</f>
        <v>45556</v>
      </c>
      <c r="H1783" s="27">
        <v>0</v>
      </c>
      <c r="I1783" s="27">
        <f>-Withdrawals_Data!D598</f>
        <v>-15206</v>
      </c>
    </row>
    <row r="1784" spans="3:9">
      <c r="C1784" s="23">
        <v>577</v>
      </c>
      <c r="D1784" s="23" t="s">
        <v>134</v>
      </c>
      <c r="E1784" s="23" t="str">
        <f>Withdrawals_Data!A1165</f>
        <v>DA-001</v>
      </c>
      <c r="F1784" s="23" t="str">
        <f>Withdrawals_Data!B1165</f>
        <v>DA-001-M0096</v>
      </c>
      <c r="G1784" s="24">
        <f>Withdrawals_Data!C1165</f>
        <v>45556</v>
      </c>
      <c r="H1784" s="27">
        <v>0</v>
      </c>
      <c r="I1784" s="27">
        <f>-Withdrawals_Data!D1165</f>
        <v>-8990</v>
      </c>
    </row>
    <row r="1785" spans="3:9">
      <c r="C1785" s="23">
        <v>578</v>
      </c>
      <c r="D1785" s="23" t="s">
        <v>132</v>
      </c>
      <c r="E1785" s="23" t="str">
        <f>Contributions_Data!A711</f>
        <v>DA-002</v>
      </c>
      <c r="F1785" s="23" t="str">
        <f>Contributions_Data!B711</f>
        <v>DA-002-M0060</v>
      </c>
      <c r="G1785" s="24">
        <f>Contributions_Data!C711</f>
        <v>45557</v>
      </c>
      <c r="H1785" s="27">
        <f>Contributions_Data!D711</f>
        <v>11524.91</v>
      </c>
      <c r="I1785" s="27">
        <v>0</v>
      </c>
    </row>
    <row r="1786" spans="3:9">
      <c r="C1786" s="23">
        <v>579</v>
      </c>
      <c r="D1786" s="23" t="s">
        <v>134</v>
      </c>
      <c r="E1786" s="23" t="str">
        <f>Withdrawals_Data!A499</f>
        <v>DA-002</v>
      </c>
      <c r="F1786" s="23" t="str">
        <f>Withdrawals_Data!B499</f>
        <v>DA-002-M0020</v>
      </c>
      <c r="G1786" s="24">
        <f>Withdrawals_Data!C499</f>
        <v>45557</v>
      </c>
      <c r="H1786" s="27">
        <v>0</v>
      </c>
      <c r="I1786" s="27">
        <f>-Withdrawals_Data!D499</f>
        <v>-6357</v>
      </c>
    </row>
    <row r="1787" spans="3:9">
      <c r="C1787" s="23">
        <v>580</v>
      </c>
      <c r="D1787" s="23" t="s">
        <v>134</v>
      </c>
      <c r="E1787" s="23" t="str">
        <f>Withdrawals_Data!A535</f>
        <v>DA-001</v>
      </c>
      <c r="F1787" s="23" t="str">
        <f>Withdrawals_Data!B535</f>
        <v>DA-001-M0024</v>
      </c>
      <c r="G1787" s="24">
        <f>Withdrawals_Data!C535</f>
        <v>45557</v>
      </c>
      <c r="H1787" s="27">
        <v>0</v>
      </c>
      <c r="I1787" s="27">
        <f>-Withdrawals_Data!D535</f>
        <v>-19156</v>
      </c>
    </row>
    <row r="1788" spans="3:9">
      <c r="C1788" s="23">
        <v>581</v>
      </c>
      <c r="D1788" s="23" t="s">
        <v>134</v>
      </c>
      <c r="E1788" s="23" t="str">
        <f>Withdrawals_Data!A606</f>
        <v>DA-002</v>
      </c>
      <c r="F1788" s="23" t="str">
        <f>Withdrawals_Data!B606</f>
        <v>DA-002-M0033</v>
      </c>
      <c r="G1788" s="24">
        <f>Withdrawals_Data!C606</f>
        <v>45557</v>
      </c>
      <c r="H1788" s="27">
        <v>0</v>
      </c>
      <c r="I1788" s="27">
        <f>-Withdrawals_Data!D606</f>
        <v>-13602</v>
      </c>
    </row>
    <row r="1789" spans="3:9">
      <c r="C1789" s="23">
        <v>582</v>
      </c>
      <c r="D1789" s="23" t="s">
        <v>132</v>
      </c>
      <c r="E1789" s="23" t="str">
        <f>Contributions_Data!A55</f>
        <v>DA-003</v>
      </c>
      <c r="F1789" s="23" t="str">
        <f>Contributions_Data!B55</f>
        <v>DA-003-M0005</v>
      </c>
      <c r="G1789" s="24">
        <f>Contributions_Data!C55</f>
        <v>45558</v>
      </c>
      <c r="H1789" s="27">
        <f>Contributions_Data!D55</f>
        <v>11289.15</v>
      </c>
      <c r="I1789" s="27">
        <v>0</v>
      </c>
    </row>
    <row r="1790" spans="3:9">
      <c r="C1790" s="23">
        <v>583</v>
      </c>
      <c r="D1790" s="23" t="s">
        <v>132</v>
      </c>
      <c r="E1790" s="23" t="str">
        <f>Contributions_Data!A253</f>
        <v>DA-002</v>
      </c>
      <c r="F1790" s="23" t="str">
        <f>Contributions_Data!B253</f>
        <v>DA-002-M0021</v>
      </c>
      <c r="G1790" s="24">
        <f>Contributions_Data!C253</f>
        <v>45558</v>
      </c>
      <c r="H1790" s="27">
        <f>Contributions_Data!D253</f>
        <v>14572.86</v>
      </c>
      <c r="I1790" s="27">
        <v>0</v>
      </c>
    </row>
    <row r="1791" spans="3:9">
      <c r="C1791" s="23">
        <v>584</v>
      </c>
      <c r="D1791" s="23" t="s">
        <v>132</v>
      </c>
      <c r="E1791" s="23" t="str">
        <f>Contributions_Data!A477</f>
        <v>DA-002</v>
      </c>
      <c r="F1791" s="23" t="str">
        <f>Contributions_Data!B477</f>
        <v>DA-002-M0040</v>
      </c>
      <c r="G1791" s="24">
        <f>Contributions_Data!C477</f>
        <v>45558</v>
      </c>
      <c r="H1791" s="27">
        <f>Contributions_Data!D477</f>
        <v>16847.810000000001</v>
      </c>
      <c r="I1791" s="27">
        <v>0</v>
      </c>
    </row>
    <row r="1792" spans="3:9">
      <c r="C1792" s="23">
        <v>585</v>
      </c>
      <c r="D1792" s="23" t="s">
        <v>132</v>
      </c>
      <c r="E1792" s="23" t="str">
        <f>Contributions_Data!A592</f>
        <v>DA-002</v>
      </c>
      <c r="F1792" s="23" t="str">
        <f>Contributions_Data!B592</f>
        <v>DA-002-M0050</v>
      </c>
      <c r="G1792" s="24">
        <f>Contributions_Data!C592</f>
        <v>45558</v>
      </c>
      <c r="H1792" s="27">
        <f>Contributions_Data!D592</f>
        <v>19651.5</v>
      </c>
      <c r="I1792" s="27">
        <v>0</v>
      </c>
    </row>
    <row r="1793" spans="3:9">
      <c r="C1793" s="23">
        <v>586</v>
      </c>
      <c r="D1793" s="23" t="s">
        <v>134</v>
      </c>
      <c r="E1793" s="23" t="str">
        <f>Withdrawals_Data!A830</f>
        <v>DA-001</v>
      </c>
      <c r="F1793" s="23" t="str">
        <f>Withdrawals_Data!B830</f>
        <v>DA-001-M0058</v>
      </c>
      <c r="G1793" s="24">
        <f>Withdrawals_Data!C830</f>
        <v>45558</v>
      </c>
      <c r="H1793" s="27">
        <v>0</v>
      </c>
      <c r="I1793" s="27">
        <f>-Withdrawals_Data!D830</f>
        <v>-10543</v>
      </c>
    </row>
    <row r="1794" spans="3:9">
      <c r="C1794" s="23">
        <v>587</v>
      </c>
      <c r="D1794" s="23" t="s">
        <v>134</v>
      </c>
      <c r="E1794" s="23" t="str">
        <f>Withdrawals_Data!A1028</f>
        <v>DA-003</v>
      </c>
      <c r="F1794" s="23" t="str">
        <f>Withdrawals_Data!B1028</f>
        <v>DA-003-M0081</v>
      </c>
      <c r="G1794" s="24">
        <f>Withdrawals_Data!C1028</f>
        <v>45558</v>
      </c>
      <c r="H1794" s="27">
        <v>0</v>
      </c>
      <c r="I1794" s="27">
        <f>-Withdrawals_Data!D1028</f>
        <v>-4109</v>
      </c>
    </row>
    <row r="1795" spans="3:9">
      <c r="C1795" s="23">
        <v>588</v>
      </c>
      <c r="D1795" s="23" t="s">
        <v>132</v>
      </c>
      <c r="E1795" s="23" t="str">
        <f>Contributions_Data!A560</f>
        <v>DA-003</v>
      </c>
      <c r="F1795" s="23" t="str">
        <f>Contributions_Data!B560</f>
        <v>DA-003-M0047</v>
      </c>
      <c r="G1795" s="24">
        <f>Contributions_Data!C560</f>
        <v>45559</v>
      </c>
      <c r="H1795" s="27">
        <f>Contributions_Data!D560</f>
        <v>11756.83</v>
      </c>
      <c r="I1795" s="27">
        <v>0</v>
      </c>
    </row>
    <row r="1796" spans="3:9">
      <c r="C1796" s="23">
        <v>589</v>
      </c>
      <c r="D1796" s="23" t="s">
        <v>132</v>
      </c>
      <c r="E1796" s="23" t="str">
        <f>Contributions_Data!A723</f>
        <v>DA-003</v>
      </c>
      <c r="F1796" s="23" t="str">
        <f>Contributions_Data!B723</f>
        <v>DA-003-M0061</v>
      </c>
      <c r="G1796" s="24">
        <f>Contributions_Data!C723</f>
        <v>45559</v>
      </c>
      <c r="H1796" s="27">
        <f>Contributions_Data!D723</f>
        <v>19198.07</v>
      </c>
      <c r="I1796" s="27">
        <v>0</v>
      </c>
    </row>
    <row r="1797" spans="3:9">
      <c r="C1797" s="23">
        <v>590</v>
      </c>
      <c r="D1797" s="23" t="s">
        <v>134</v>
      </c>
      <c r="E1797" s="23" t="str">
        <f>Withdrawals_Data!A570</f>
        <v>DA-003</v>
      </c>
      <c r="F1797" s="23" t="str">
        <f>Withdrawals_Data!B570</f>
        <v>DA-003-M0029</v>
      </c>
      <c r="G1797" s="24">
        <f>Withdrawals_Data!C570</f>
        <v>45559</v>
      </c>
      <c r="H1797" s="27">
        <v>0</v>
      </c>
      <c r="I1797" s="27">
        <f>-Withdrawals_Data!D570</f>
        <v>-3424</v>
      </c>
    </row>
    <row r="1798" spans="3:9">
      <c r="C1798" s="23">
        <v>591</v>
      </c>
      <c r="D1798" s="23" t="s">
        <v>132</v>
      </c>
      <c r="E1798" s="23" t="str">
        <f>Contributions_Data!A81</f>
        <v>DA-003</v>
      </c>
      <c r="F1798" s="23" t="str">
        <f>Contributions_Data!B81</f>
        <v>DA-003-M0007</v>
      </c>
      <c r="G1798" s="24">
        <f>Contributions_Data!C81</f>
        <v>45560</v>
      </c>
      <c r="H1798" s="27">
        <f>Contributions_Data!D81</f>
        <v>11787.32</v>
      </c>
      <c r="I1798" s="27">
        <v>0</v>
      </c>
    </row>
    <row r="1799" spans="3:9">
      <c r="C1799" s="23">
        <v>592</v>
      </c>
      <c r="D1799" s="23" t="s">
        <v>132</v>
      </c>
      <c r="E1799" s="23" t="str">
        <f>Contributions_Data!A577</f>
        <v>DA-003</v>
      </c>
      <c r="F1799" s="23" t="str">
        <f>Contributions_Data!B577</f>
        <v>DA-003-M0048</v>
      </c>
      <c r="G1799" s="24">
        <f>Contributions_Data!C577</f>
        <v>45560</v>
      </c>
      <c r="H1799" s="27">
        <f>Contributions_Data!D577</f>
        <v>15246.85</v>
      </c>
      <c r="I1799" s="27">
        <v>0</v>
      </c>
    </row>
    <row r="1800" spans="3:9">
      <c r="C1800" s="23">
        <v>593</v>
      </c>
      <c r="D1800" s="23" t="s">
        <v>134</v>
      </c>
      <c r="E1800" s="23" t="str">
        <f>Withdrawals_Data!A349</f>
        <v>DA-001</v>
      </c>
      <c r="F1800" s="23" t="str">
        <f>Withdrawals_Data!B349</f>
        <v>DA-001-M0002</v>
      </c>
      <c r="G1800" s="24">
        <f>Withdrawals_Data!C349</f>
        <v>45560</v>
      </c>
      <c r="H1800" s="27">
        <v>0</v>
      </c>
      <c r="I1800" s="27">
        <f>-Withdrawals_Data!D349</f>
        <v>-9239</v>
      </c>
    </row>
    <row r="1801" spans="3:9">
      <c r="C1801" s="23">
        <v>594</v>
      </c>
      <c r="D1801" s="23" t="s">
        <v>134</v>
      </c>
      <c r="E1801" s="23" t="str">
        <f>Withdrawals_Data!A692</f>
        <v>DA-002</v>
      </c>
      <c r="F1801" s="23" t="str">
        <f>Withdrawals_Data!B692</f>
        <v>DA-002-M0042</v>
      </c>
      <c r="G1801" s="24">
        <f>Withdrawals_Data!C692</f>
        <v>45560</v>
      </c>
      <c r="H1801" s="27">
        <v>0</v>
      </c>
      <c r="I1801" s="27">
        <f>-Withdrawals_Data!D692</f>
        <v>-21470</v>
      </c>
    </row>
    <row r="1802" spans="3:9">
      <c r="C1802" s="23">
        <v>595</v>
      </c>
      <c r="D1802" s="23" t="s">
        <v>134</v>
      </c>
      <c r="E1802" s="23" t="str">
        <f>Withdrawals_Data!A922</f>
        <v>DA-003</v>
      </c>
      <c r="F1802" s="23" t="str">
        <f>Withdrawals_Data!B922</f>
        <v>DA-003-M0068</v>
      </c>
      <c r="G1802" s="24">
        <f>Withdrawals_Data!C922</f>
        <v>45560</v>
      </c>
      <c r="H1802" s="27">
        <v>0</v>
      </c>
      <c r="I1802" s="27">
        <f>-Withdrawals_Data!D922</f>
        <v>-7654</v>
      </c>
    </row>
    <row r="1803" spans="3:9">
      <c r="C1803" s="23">
        <v>596</v>
      </c>
      <c r="D1803" s="23" t="s">
        <v>132</v>
      </c>
      <c r="E1803" s="23" t="str">
        <f>Contributions_Data!A838</f>
        <v>DA-002</v>
      </c>
      <c r="F1803" s="23" t="str">
        <f>Contributions_Data!B838</f>
        <v>DA-002-M0070</v>
      </c>
      <c r="G1803" s="24">
        <f>Contributions_Data!C838</f>
        <v>45561</v>
      </c>
      <c r="H1803" s="27">
        <f>Contributions_Data!D838</f>
        <v>12025.82</v>
      </c>
      <c r="I1803" s="27">
        <v>0</v>
      </c>
    </row>
    <row r="1804" spans="3:9">
      <c r="C1804" s="23">
        <v>597</v>
      </c>
      <c r="D1804" s="23" t="s">
        <v>132</v>
      </c>
      <c r="E1804" s="23" t="str">
        <f>Contributions_Data!A1029</f>
        <v>DA-003</v>
      </c>
      <c r="F1804" s="23" t="str">
        <f>Contributions_Data!B1029</f>
        <v>DA-003-M0086</v>
      </c>
      <c r="G1804" s="24">
        <f>Contributions_Data!C1029</f>
        <v>45561</v>
      </c>
      <c r="H1804" s="27">
        <f>Contributions_Data!D1029</f>
        <v>12739.75</v>
      </c>
      <c r="I1804" s="27">
        <v>0</v>
      </c>
    </row>
    <row r="1805" spans="3:9">
      <c r="C1805" s="23">
        <v>598</v>
      </c>
      <c r="D1805" s="23" t="s">
        <v>134</v>
      </c>
      <c r="E1805" s="23" t="str">
        <f>Withdrawals_Data!A1150</f>
        <v>DA-003</v>
      </c>
      <c r="F1805" s="23" t="str">
        <f>Withdrawals_Data!B1150</f>
        <v>DA-003-M0095</v>
      </c>
      <c r="G1805" s="24">
        <f>Withdrawals_Data!C1150</f>
        <v>45561</v>
      </c>
      <c r="H1805" s="27">
        <v>0</v>
      </c>
      <c r="I1805" s="27">
        <f>-Withdrawals_Data!D1150</f>
        <v>-6369</v>
      </c>
    </row>
    <row r="1806" spans="3:9">
      <c r="C1806" s="23">
        <v>599</v>
      </c>
      <c r="D1806" s="23" t="s">
        <v>132</v>
      </c>
      <c r="E1806" s="23" t="str">
        <f>Contributions_Data!A235</f>
        <v>DA-002</v>
      </c>
      <c r="F1806" s="23" t="str">
        <f>Contributions_Data!B235</f>
        <v>DA-002-M0020</v>
      </c>
      <c r="G1806" s="24">
        <f>Contributions_Data!C235</f>
        <v>45562</v>
      </c>
      <c r="H1806" s="27">
        <f>Contributions_Data!D235</f>
        <v>15451.18</v>
      </c>
      <c r="I1806" s="27">
        <v>0</v>
      </c>
    </row>
    <row r="1807" spans="3:9">
      <c r="C1807" s="23">
        <v>600</v>
      </c>
      <c r="D1807" s="23" t="s">
        <v>132</v>
      </c>
      <c r="E1807" s="23" t="str">
        <f>Contributions_Data!A1111</f>
        <v>DA-001</v>
      </c>
      <c r="F1807" s="23" t="str">
        <f>Contributions_Data!B1111</f>
        <v>DA-001-M0093</v>
      </c>
      <c r="G1807" s="24">
        <f>Contributions_Data!C1111</f>
        <v>45562</v>
      </c>
      <c r="H1807" s="27">
        <f>Contributions_Data!D1111</f>
        <v>21184.51</v>
      </c>
      <c r="I1807" s="27">
        <v>0</v>
      </c>
    </row>
    <row r="1808" spans="3:9">
      <c r="C1808" s="23">
        <v>601</v>
      </c>
      <c r="D1808" s="23" t="s">
        <v>134</v>
      </c>
      <c r="E1808" s="23" t="str">
        <f>Withdrawals_Data!A85</f>
        <v>DA-001</v>
      </c>
      <c r="F1808" s="23" t="str">
        <f>Withdrawals_Data!B85</f>
        <v>DA-001-M0053</v>
      </c>
      <c r="G1808" s="24">
        <f>Withdrawals_Data!C85</f>
        <v>45562</v>
      </c>
      <c r="H1808" s="27">
        <v>0</v>
      </c>
      <c r="I1808" s="27">
        <f>-Withdrawals_Data!D85</f>
        <v>-10362.620000000001</v>
      </c>
    </row>
    <row r="1809" spans="3:9">
      <c r="C1809" s="23">
        <v>602</v>
      </c>
      <c r="D1809" s="23" t="s">
        <v>134</v>
      </c>
      <c r="E1809" s="23" t="str">
        <f>Withdrawals_Data!A934</f>
        <v>DA-002</v>
      </c>
      <c r="F1809" s="23" t="str">
        <f>Withdrawals_Data!B934</f>
        <v>DA-002-M0070</v>
      </c>
      <c r="G1809" s="24">
        <f>Withdrawals_Data!C934</f>
        <v>45562</v>
      </c>
      <c r="H1809" s="27">
        <v>0</v>
      </c>
      <c r="I1809" s="27">
        <f>-Withdrawals_Data!D934</f>
        <v>-14323</v>
      </c>
    </row>
    <row r="1810" spans="3:9">
      <c r="C1810" s="23">
        <v>603</v>
      </c>
      <c r="D1810" s="23" t="s">
        <v>132</v>
      </c>
      <c r="E1810" s="23" t="str">
        <f>Contributions_Data!A175</f>
        <v>DA-003</v>
      </c>
      <c r="F1810" s="23" t="str">
        <f>Contributions_Data!B175</f>
        <v>DA-003-M0015</v>
      </c>
      <c r="G1810" s="24">
        <f>Contributions_Data!C175</f>
        <v>45563</v>
      </c>
      <c r="H1810" s="27">
        <f>Contributions_Data!D175</f>
        <v>18832.990000000002</v>
      </c>
      <c r="I1810" s="27">
        <v>0</v>
      </c>
    </row>
    <row r="1811" spans="3:9">
      <c r="C1811" s="23">
        <v>604</v>
      </c>
      <c r="D1811" s="23" t="s">
        <v>132</v>
      </c>
      <c r="E1811" s="23" t="str">
        <f>Contributions_Data!A397</f>
        <v>DA-002</v>
      </c>
      <c r="F1811" s="23" t="str">
        <f>Contributions_Data!B397</f>
        <v>DA-002-M0033</v>
      </c>
      <c r="G1811" s="24">
        <f>Contributions_Data!C397</f>
        <v>45563</v>
      </c>
      <c r="H1811" s="27">
        <f>Contributions_Data!D397</f>
        <v>13567.03</v>
      </c>
      <c r="I1811" s="27">
        <v>0</v>
      </c>
    </row>
    <row r="1812" spans="3:9">
      <c r="C1812" s="23">
        <v>605</v>
      </c>
      <c r="D1812" s="23" t="s">
        <v>132</v>
      </c>
      <c r="E1812" s="23" t="str">
        <f>Contributions_Data!A716</f>
        <v>DA-002</v>
      </c>
      <c r="F1812" s="23" t="str">
        <f>Contributions_Data!B716</f>
        <v>DA-002-M0060</v>
      </c>
      <c r="G1812" s="24">
        <f>Contributions_Data!C716</f>
        <v>45563</v>
      </c>
      <c r="H1812" s="27">
        <f>Contributions_Data!D716</f>
        <v>8874.7999999999993</v>
      </c>
      <c r="I1812" s="27">
        <v>0</v>
      </c>
    </row>
    <row r="1813" spans="3:9">
      <c r="C1813" s="23">
        <v>606</v>
      </c>
      <c r="D1813" s="23" t="s">
        <v>132</v>
      </c>
      <c r="E1813" s="23" t="str">
        <f>Contributions_Data!A859</f>
        <v>DA-002</v>
      </c>
      <c r="F1813" s="23" t="str">
        <f>Contributions_Data!B859</f>
        <v>DA-002-M0072</v>
      </c>
      <c r="G1813" s="24">
        <f>Contributions_Data!C859</f>
        <v>45563</v>
      </c>
      <c r="H1813" s="27">
        <f>Contributions_Data!D859</f>
        <v>9921.1299999999992</v>
      </c>
      <c r="I1813" s="27">
        <v>0</v>
      </c>
    </row>
    <row r="1814" spans="3:9">
      <c r="C1814" s="23">
        <v>607</v>
      </c>
      <c r="D1814" s="23" t="s">
        <v>132</v>
      </c>
      <c r="E1814" s="23" t="str">
        <f>Contributions_Data!A893</f>
        <v>DA-001</v>
      </c>
      <c r="F1814" s="23" t="str">
        <f>Contributions_Data!B893</f>
        <v>DA-001-M0075</v>
      </c>
      <c r="G1814" s="24">
        <f>Contributions_Data!C893</f>
        <v>45563</v>
      </c>
      <c r="H1814" s="27">
        <f>Contributions_Data!D893</f>
        <v>14444.14</v>
      </c>
      <c r="I1814" s="27">
        <v>0</v>
      </c>
    </row>
    <row r="1815" spans="3:9">
      <c r="C1815" s="23">
        <v>608</v>
      </c>
      <c r="D1815" s="23" t="s">
        <v>132</v>
      </c>
      <c r="E1815" s="23" t="str">
        <f>Contributions_Data!A1034</f>
        <v>DA-001</v>
      </c>
      <c r="F1815" s="23" t="str">
        <f>Contributions_Data!B1034</f>
        <v>DA-001-M0087</v>
      </c>
      <c r="G1815" s="24">
        <f>Contributions_Data!C1034</f>
        <v>45563</v>
      </c>
      <c r="H1815" s="27">
        <f>Contributions_Data!D1034</f>
        <v>10958.62</v>
      </c>
      <c r="I1815" s="27">
        <v>0</v>
      </c>
    </row>
    <row r="1816" spans="3:9">
      <c r="C1816" s="23">
        <v>609</v>
      </c>
      <c r="D1816" s="23" t="s">
        <v>134</v>
      </c>
      <c r="E1816" s="23" t="str">
        <f>Withdrawals_Data!A52</f>
        <v>DA-003</v>
      </c>
      <c r="F1816" s="23" t="str">
        <f>Withdrawals_Data!B52</f>
        <v>DA-003-M0048</v>
      </c>
      <c r="G1816" s="24">
        <f>Withdrawals_Data!C52</f>
        <v>45563</v>
      </c>
      <c r="H1816" s="27">
        <v>0</v>
      </c>
      <c r="I1816" s="27">
        <f>-Withdrawals_Data!D52</f>
        <v>-12261.92</v>
      </c>
    </row>
    <row r="1817" spans="3:9">
      <c r="C1817" s="23">
        <v>610</v>
      </c>
      <c r="D1817" s="23" t="s">
        <v>134</v>
      </c>
      <c r="E1817" s="23" t="str">
        <f>Withdrawals_Data!A421</f>
        <v>DA-001</v>
      </c>
      <c r="F1817" s="23" t="str">
        <f>Withdrawals_Data!B421</f>
        <v>DA-001-M0011</v>
      </c>
      <c r="G1817" s="24">
        <f>Withdrawals_Data!C421</f>
        <v>45563</v>
      </c>
      <c r="H1817" s="27">
        <v>0</v>
      </c>
      <c r="I1817" s="27">
        <f>-Withdrawals_Data!D421</f>
        <v>-4629</v>
      </c>
    </row>
    <row r="1818" spans="3:9">
      <c r="C1818" s="23">
        <v>611</v>
      </c>
      <c r="D1818" s="23" t="s">
        <v>134</v>
      </c>
      <c r="E1818" s="23" t="str">
        <f>Withdrawals_Data!A614</f>
        <v>DA-001</v>
      </c>
      <c r="F1818" s="23" t="str">
        <f>Withdrawals_Data!B614</f>
        <v>DA-001-M0034</v>
      </c>
      <c r="G1818" s="24">
        <f>Withdrawals_Data!C614</f>
        <v>45563</v>
      </c>
      <c r="H1818" s="27">
        <v>0</v>
      </c>
      <c r="I1818" s="27">
        <f>-Withdrawals_Data!D614</f>
        <v>-7530</v>
      </c>
    </row>
    <row r="1819" spans="3:9">
      <c r="C1819" s="23">
        <v>612</v>
      </c>
      <c r="D1819" s="23" t="s">
        <v>132</v>
      </c>
      <c r="E1819" s="23" t="str">
        <f>Contributions_Data!A24</f>
        <v>DA-001</v>
      </c>
      <c r="F1819" s="23" t="str">
        <f>Contributions_Data!B24</f>
        <v>DA-001-M0002</v>
      </c>
      <c r="G1819" s="24">
        <f>Contributions_Data!C24</f>
        <v>45564</v>
      </c>
      <c r="H1819" s="27">
        <f>Contributions_Data!D24</f>
        <v>12593.17</v>
      </c>
      <c r="I1819" s="27">
        <v>0</v>
      </c>
    </row>
    <row r="1820" spans="3:9">
      <c r="C1820" s="23">
        <v>613</v>
      </c>
      <c r="D1820" s="23" t="s">
        <v>132</v>
      </c>
      <c r="E1820" s="23" t="str">
        <f>Contributions_Data!A132</f>
        <v>DA-001</v>
      </c>
      <c r="F1820" s="23" t="str">
        <f>Contributions_Data!B132</f>
        <v>DA-001-M0011</v>
      </c>
      <c r="G1820" s="24">
        <f>Contributions_Data!C132</f>
        <v>45564</v>
      </c>
      <c r="H1820" s="27">
        <f>Contributions_Data!D132</f>
        <v>11217.35</v>
      </c>
      <c r="I1820" s="27">
        <v>0</v>
      </c>
    </row>
    <row r="1821" spans="3:9">
      <c r="C1821" s="23">
        <v>614</v>
      </c>
      <c r="D1821" s="23" t="s">
        <v>132</v>
      </c>
      <c r="E1821" s="23" t="str">
        <f>Contributions_Data!A216</f>
        <v>DA-002</v>
      </c>
      <c r="F1821" s="23" t="str">
        <f>Contributions_Data!B216</f>
        <v>DA-002-M0018</v>
      </c>
      <c r="G1821" s="24">
        <f>Contributions_Data!C216</f>
        <v>45564</v>
      </c>
      <c r="H1821" s="27">
        <f>Contributions_Data!D216</f>
        <v>14673.72</v>
      </c>
      <c r="I1821" s="27">
        <v>0</v>
      </c>
    </row>
    <row r="1822" spans="3:9">
      <c r="C1822" s="23">
        <v>615</v>
      </c>
      <c r="D1822" s="23" t="s">
        <v>132</v>
      </c>
      <c r="E1822" s="23" t="str">
        <f>Contributions_Data!A327</f>
        <v>DA-003</v>
      </c>
      <c r="F1822" s="23" t="str">
        <f>Contributions_Data!B327</f>
        <v>DA-003-M0028</v>
      </c>
      <c r="G1822" s="24">
        <f>Contributions_Data!C327</f>
        <v>45564</v>
      </c>
      <c r="H1822" s="27">
        <f>Contributions_Data!D327</f>
        <v>17778.53</v>
      </c>
      <c r="I1822" s="27">
        <v>0</v>
      </c>
    </row>
    <row r="1823" spans="3:9">
      <c r="C1823" s="23">
        <v>616</v>
      </c>
      <c r="D1823" s="23" t="s">
        <v>132</v>
      </c>
      <c r="E1823" s="23" t="str">
        <f>Contributions_Data!A393</f>
        <v>DA-002</v>
      </c>
      <c r="F1823" s="23" t="str">
        <f>Contributions_Data!B393</f>
        <v>DA-002-M0033</v>
      </c>
      <c r="G1823" s="24">
        <f>Contributions_Data!C393</f>
        <v>45564</v>
      </c>
      <c r="H1823" s="27">
        <f>Contributions_Data!D393</f>
        <v>15744.66</v>
      </c>
      <c r="I1823" s="27">
        <v>0</v>
      </c>
    </row>
    <row r="1824" spans="3:9">
      <c r="C1824" s="23">
        <v>617</v>
      </c>
      <c r="D1824" s="23" t="s">
        <v>132</v>
      </c>
      <c r="E1824" s="23" t="str">
        <f>Contributions_Data!A481</f>
        <v>DA-002</v>
      </c>
      <c r="F1824" s="23" t="str">
        <f>Contributions_Data!B481</f>
        <v>DA-002-M0040</v>
      </c>
      <c r="G1824" s="24">
        <f>Contributions_Data!C481</f>
        <v>45564</v>
      </c>
      <c r="H1824" s="27">
        <f>Contributions_Data!D481</f>
        <v>13431.83</v>
      </c>
      <c r="I1824" s="27">
        <v>0</v>
      </c>
    </row>
    <row r="1825" spans="3:9">
      <c r="C1825" s="23">
        <v>618</v>
      </c>
      <c r="D1825" s="23" t="s">
        <v>132</v>
      </c>
      <c r="E1825" s="23" t="str">
        <f>Contributions_Data!A903</f>
        <v>DA-003</v>
      </c>
      <c r="F1825" s="23" t="str">
        <f>Contributions_Data!B903</f>
        <v>DA-003-M0076</v>
      </c>
      <c r="G1825" s="24">
        <f>Contributions_Data!C903</f>
        <v>45564</v>
      </c>
      <c r="H1825" s="27">
        <f>Contributions_Data!D903</f>
        <v>16706.95</v>
      </c>
      <c r="I1825" s="27">
        <v>0</v>
      </c>
    </row>
    <row r="1826" spans="3:9">
      <c r="C1826" s="23">
        <v>619</v>
      </c>
      <c r="D1826" s="23" t="s">
        <v>134</v>
      </c>
      <c r="E1826" s="23" t="str">
        <f>Withdrawals_Data!A794</f>
        <v>DA-002</v>
      </c>
      <c r="F1826" s="23" t="str">
        <f>Withdrawals_Data!B794</f>
        <v>DA-002-M0054</v>
      </c>
      <c r="G1826" s="24">
        <f>Withdrawals_Data!C794</f>
        <v>45564</v>
      </c>
      <c r="H1826" s="27">
        <v>0</v>
      </c>
      <c r="I1826" s="27">
        <f>-Withdrawals_Data!D794</f>
        <v>-2677</v>
      </c>
    </row>
    <row r="1827" spans="3:9">
      <c r="C1827" s="23">
        <v>620</v>
      </c>
      <c r="D1827" s="23" t="s">
        <v>134</v>
      </c>
      <c r="E1827" s="23" t="str">
        <f>Withdrawals_Data!A1166</f>
        <v>DA-002</v>
      </c>
      <c r="F1827" s="23" t="str">
        <f>Withdrawals_Data!B1166</f>
        <v>DA-002-M0097</v>
      </c>
      <c r="G1827" s="24">
        <f>Withdrawals_Data!C1166</f>
        <v>45564</v>
      </c>
      <c r="H1827" s="27">
        <v>0</v>
      </c>
      <c r="I1827" s="27">
        <f>-Withdrawals_Data!D1166</f>
        <v>-17850</v>
      </c>
    </row>
    <row r="1828" spans="3:9">
      <c r="C1828" s="23">
        <v>621</v>
      </c>
      <c r="D1828" s="23" t="s">
        <v>132</v>
      </c>
      <c r="E1828" s="23" t="str">
        <f>Contributions_Data!A177</f>
        <v>DA-003</v>
      </c>
      <c r="F1828" s="23" t="str">
        <f>Contributions_Data!B177</f>
        <v>DA-003-M0015</v>
      </c>
      <c r="G1828" s="24">
        <f>Contributions_Data!C177</f>
        <v>45565</v>
      </c>
      <c r="H1828" s="27">
        <f>Contributions_Data!D177</f>
        <v>14393.42</v>
      </c>
      <c r="I1828" s="27">
        <v>0</v>
      </c>
    </row>
    <row r="1829" spans="3:9">
      <c r="C1829" s="23">
        <v>622</v>
      </c>
      <c r="D1829" s="23" t="s">
        <v>132</v>
      </c>
      <c r="E1829" s="23" t="str">
        <f>Contributions_Data!A193</f>
        <v>DA-002</v>
      </c>
      <c r="F1829" s="23" t="str">
        <f>Contributions_Data!B193</f>
        <v>DA-002-M0016</v>
      </c>
      <c r="G1829" s="24">
        <f>Contributions_Data!C193</f>
        <v>45565</v>
      </c>
      <c r="H1829" s="27">
        <f>Contributions_Data!D193</f>
        <v>15227.41</v>
      </c>
      <c r="I1829" s="27">
        <v>0</v>
      </c>
    </row>
    <row r="1830" spans="3:9">
      <c r="C1830" s="23">
        <v>623</v>
      </c>
      <c r="D1830" s="23" t="s">
        <v>132</v>
      </c>
      <c r="E1830" s="23" t="str">
        <f>Contributions_Data!A273</f>
        <v>DA-002</v>
      </c>
      <c r="F1830" s="23" t="str">
        <f>Contributions_Data!B273</f>
        <v>DA-002-M0023</v>
      </c>
      <c r="G1830" s="24">
        <f>Contributions_Data!C273</f>
        <v>45565</v>
      </c>
      <c r="H1830" s="27">
        <f>Contributions_Data!D273</f>
        <v>14191.78</v>
      </c>
      <c r="I1830" s="27">
        <v>0</v>
      </c>
    </row>
    <row r="1831" spans="3:9">
      <c r="C1831" s="23">
        <v>624</v>
      </c>
      <c r="D1831" s="23" t="s">
        <v>132</v>
      </c>
      <c r="E1831" s="23" t="str">
        <f>Contributions_Data!A632</f>
        <v>DA-001</v>
      </c>
      <c r="F1831" s="23" t="str">
        <f>Contributions_Data!B632</f>
        <v>DA-001-M0053</v>
      </c>
      <c r="G1831" s="24">
        <f>Contributions_Data!C632</f>
        <v>45565</v>
      </c>
      <c r="H1831" s="27">
        <f>Contributions_Data!D632</f>
        <v>20540.12</v>
      </c>
      <c r="I1831" s="27">
        <v>0</v>
      </c>
    </row>
    <row r="1832" spans="3:9">
      <c r="C1832" s="23">
        <v>625</v>
      </c>
      <c r="D1832" s="23" t="s">
        <v>132</v>
      </c>
      <c r="E1832" s="23" t="str">
        <f>Contributions_Data!A661</f>
        <v>DA-001</v>
      </c>
      <c r="F1832" s="23" t="str">
        <f>Contributions_Data!B661</f>
        <v>DA-001-M0055</v>
      </c>
      <c r="G1832" s="24">
        <f>Contributions_Data!C661</f>
        <v>45565</v>
      </c>
      <c r="H1832" s="27">
        <f>Contributions_Data!D661</f>
        <v>13323.23</v>
      </c>
      <c r="I1832" s="27">
        <v>0</v>
      </c>
    </row>
    <row r="1833" spans="3:9">
      <c r="C1833" s="23">
        <v>626</v>
      </c>
      <c r="D1833" s="23" t="s">
        <v>132</v>
      </c>
      <c r="E1833" s="23" t="str">
        <f>Contributions_Data!A704</f>
        <v>DA-003</v>
      </c>
      <c r="F1833" s="23" t="str">
        <f>Contributions_Data!B704</f>
        <v>DA-003-M0059</v>
      </c>
      <c r="G1833" s="24">
        <f>Contributions_Data!C704</f>
        <v>45565</v>
      </c>
      <c r="H1833" s="27">
        <f>Contributions_Data!D704</f>
        <v>9331.3799999999992</v>
      </c>
      <c r="I1833" s="27">
        <v>0</v>
      </c>
    </row>
    <row r="1834" spans="3:9">
      <c r="C1834" s="23">
        <v>627</v>
      </c>
      <c r="D1834" s="23" t="s">
        <v>132</v>
      </c>
      <c r="E1834" s="23" t="str">
        <f>Contributions_Data!A769</f>
        <v>DA-002</v>
      </c>
      <c r="F1834" s="23" t="str">
        <f>Contributions_Data!B769</f>
        <v>DA-002-M0064</v>
      </c>
      <c r="G1834" s="24">
        <f>Contributions_Data!C769</f>
        <v>45565</v>
      </c>
      <c r="H1834" s="27">
        <f>Contributions_Data!D769</f>
        <v>12985.13</v>
      </c>
      <c r="I1834" s="27">
        <v>0</v>
      </c>
    </row>
    <row r="1835" spans="3:9">
      <c r="C1835" s="23">
        <v>628</v>
      </c>
      <c r="D1835" s="23" t="s">
        <v>132</v>
      </c>
      <c r="E1835" s="23" t="str">
        <f>Contributions_Data!A939</f>
        <v>DA-003</v>
      </c>
      <c r="F1835" s="23" t="str">
        <f>Contributions_Data!B939</f>
        <v>DA-003-M0079</v>
      </c>
      <c r="G1835" s="24">
        <f>Contributions_Data!C939</f>
        <v>45565</v>
      </c>
      <c r="H1835" s="27">
        <f>Contributions_Data!D939</f>
        <v>12642.03</v>
      </c>
      <c r="I1835" s="27">
        <v>0</v>
      </c>
    </row>
    <row r="1836" spans="3:9">
      <c r="C1836" s="23">
        <v>629</v>
      </c>
      <c r="D1836" s="23" t="s">
        <v>134</v>
      </c>
      <c r="E1836" s="23" t="str">
        <f>Withdrawals_Data!A603</f>
        <v>DA-003</v>
      </c>
      <c r="F1836" s="23" t="str">
        <f>Withdrawals_Data!B603</f>
        <v>DA-003-M0032</v>
      </c>
      <c r="G1836" s="24">
        <f>Withdrawals_Data!C603</f>
        <v>45565</v>
      </c>
      <c r="H1836" s="27">
        <v>0</v>
      </c>
      <c r="I1836" s="27">
        <f>-Withdrawals_Data!D603</f>
        <v>-16077</v>
      </c>
    </row>
    <row r="1837" spans="3:9">
      <c r="C1837" s="23">
        <v>630</v>
      </c>
      <c r="D1837" s="23" t="s">
        <v>134</v>
      </c>
      <c r="E1837" s="23" t="str">
        <f>Withdrawals_Data!A604</f>
        <v>DA-002</v>
      </c>
      <c r="F1837" s="23" t="str">
        <f>Withdrawals_Data!B604</f>
        <v>DA-002-M0033</v>
      </c>
      <c r="G1837" s="24">
        <f>Withdrawals_Data!C604</f>
        <v>45565</v>
      </c>
      <c r="H1837" s="27">
        <v>0</v>
      </c>
      <c r="I1837" s="27">
        <f>-Withdrawals_Data!D604</f>
        <v>-15293</v>
      </c>
    </row>
    <row r="1838" spans="3:9">
      <c r="C1838" s="23">
        <v>631</v>
      </c>
      <c r="D1838" s="23" t="s">
        <v>134</v>
      </c>
      <c r="E1838" s="23" t="str">
        <f>Withdrawals_Data!A935</f>
        <v>DA-002</v>
      </c>
      <c r="F1838" s="23" t="str">
        <f>Withdrawals_Data!B935</f>
        <v>DA-002-M0070</v>
      </c>
      <c r="G1838" s="24">
        <f>Withdrawals_Data!C935</f>
        <v>45565</v>
      </c>
      <c r="H1838" s="27">
        <v>0</v>
      </c>
      <c r="I1838" s="27">
        <f>-Withdrawals_Data!D935</f>
        <v>-1713</v>
      </c>
    </row>
    <row r="1839" spans="3:9">
      <c r="C1839" s="23">
        <v>632</v>
      </c>
      <c r="D1839" s="23" t="s">
        <v>132</v>
      </c>
      <c r="E1839" s="23" t="str">
        <f>Contributions_Data!A355</f>
        <v>DA-002</v>
      </c>
      <c r="F1839" s="23" t="str">
        <f>Contributions_Data!B355</f>
        <v>DA-002-M0030</v>
      </c>
      <c r="G1839" s="24">
        <f>Contributions_Data!C355</f>
        <v>45566</v>
      </c>
      <c r="H1839" s="27">
        <f>Contributions_Data!D355</f>
        <v>13269.32</v>
      </c>
      <c r="I1839" s="27">
        <v>0</v>
      </c>
    </row>
    <row r="1840" spans="3:9">
      <c r="C1840" s="23">
        <v>633</v>
      </c>
      <c r="D1840" s="23" t="s">
        <v>132</v>
      </c>
      <c r="E1840" s="23" t="str">
        <f>Contributions_Data!A563</f>
        <v>DA-003</v>
      </c>
      <c r="F1840" s="23" t="str">
        <f>Contributions_Data!B563</f>
        <v>DA-003-M0047</v>
      </c>
      <c r="G1840" s="24">
        <f>Contributions_Data!C563</f>
        <v>45566</v>
      </c>
      <c r="H1840" s="27">
        <f>Contributions_Data!D563</f>
        <v>15089.27</v>
      </c>
      <c r="I1840" s="27">
        <v>0</v>
      </c>
    </row>
    <row r="1841" spans="3:9">
      <c r="C1841" s="23">
        <v>634</v>
      </c>
      <c r="D1841" s="23" t="s">
        <v>132</v>
      </c>
      <c r="E1841" s="23" t="str">
        <f>Contributions_Data!A619</f>
        <v>DA-003</v>
      </c>
      <c r="F1841" s="23" t="str">
        <f>Contributions_Data!B619</f>
        <v>DA-003-M0052</v>
      </c>
      <c r="G1841" s="24">
        <f>Contributions_Data!C619</f>
        <v>45566</v>
      </c>
      <c r="H1841" s="27">
        <f>Contributions_Data!D619</f>
        <v>14469.16</v>
      </c>
      <c r="I1841" s="27">
        <v>0</v>
      </c>
    </row>
    <row r="1842" spans="3:9">
      <c r="C1842" s="23">
        <v>635</v>
      </c>
      <c r="D1842" s="23" t="s">
        <v>132</v>
      </c>
      <c r="E1842" s="23" t="str">
        <f>Contributions_Data!A950</f>
        <v>DA-003</v>
      </c>
      <c r="F1842" s="23" t="str">
        <f>Contributions_Data!B950</f>
        <v>DA-003-M0080</v>
      </c>
      <c r="G1842" s="24">
        <f>Contributions_Data!C950</f>
        <v>45566</v>
      </c>
      <c r="H1842" s="27">
        <f>Contributions_Data!D950</f>
        <v>15802.18</v>
      </c>
      <c r="I1842" s="27">
        <v>0</v>
      </c>
    </row>
    <row r="1843" spans="3:9">
      <c r="C1843" s="23">
        <v>636</v>
      </c>
      <c r="D1843" s="23" t="s">
        <v>132</v>
      </c>
      <c r="E1843" s="23" t="str">
        <f>Contributions_Data!A997</f>
        <v>DA-001</v>
      </c>
      <c r="F1843" s="23" t="str">
        <f>Contributions_Data!B997</f>
        <v>DA-001-M0083</v>
      </c>
      <c r="G1843" s="24">
        <f>Contributions_Data!C997</f>
        <v>45566</v>
      </c>
      <c r="H1843" s="27">
        <f>Contributions_Data!D997</f>
        <v>9594.06</v>
      </c>
      <c r="I1843" s="27">
        <v>0</v>
      </c>
    </row>
    <row r="1844" spans="3:9">
      <c r="C1844" s="23">
        <v>637</v>
      </c>
      <c r="D1844" s="23" t="s">
        <v>132</v>
      </c>
      <c r="E1844" s="23" t="str">
        <f>Contributions_Data!A1032</f>
        <v>DA-003</v>
      </c>
      <c r="F1844" s="23" t="str">
        <f>Contributions_Data!B1032</f>
        <v>DA-003-M0086</v>
      </c>
      <c r="G1844" s="24">
        <f>Contributions_Data!C1032</f>
        <v>45566</v>
      </c>
      <c r="H1844" s="27">
        <f>Contributions_Data!D1032</f>
        <v>15409.61</v>
      </c>
      <c r="I1844" s="27">
        <v>0</v>
      </c>
    </row>
    <row r="1845" spans="3:9">
      <c r="C1845" s="23">
        <v>638</v>
      </c>
      <c r="D1845" s="23" t="s">
        <v>132</v>
      </c>
      <c r="E1845" s="23" t="str">
        <f>Contributions_Data!A396</f>
        <v>DA-002</v>
      </c>
      <c r="F1845" s="23" t="str">
        <f>Contributions_Data!B396</f>
        <v>DA-002-M0033</v>
      </c>
      <c r="G1845" s="24">
        <f>Contributions_Data!C396</f>
        <v>45567</v>
      </c>
      <c r="H1845" s="27">
        <f>Contributions_Data!D396</f>
        <v>15214.7</v>
      </c>
      <c r="I1845" s="27">
        <v>0</v>
      </c>
    </row>
    <row r="1846" spans="3:9">
      <c r="C1846" s="23">
        <v>639</v>
      </c>
      <c r="D1846" s="23" t="s">
        <v>132</v>
      </c>
      <c r="E1846" s="23" t="str">
        <f>Contributions_Data!A837</f>
        <v>DA-002</v>
      </c>
      <c r="F1846" s="23" t="str">
        <f>Contributions_Data!B837</f>
        <v>DA-002-M0070</v>
      </c>
      <c r="G1846" s="24">
        <f>Contributions_Data!C837</f>
        <v>45567</v>
      </c>
      <c r="H1846" s="27">
        <f>Contributions_Data!D837</f>
        <v>12459.12</v>
      </c>
      <c r="I1846" s="27">
        <v>0</v>
      </c>
    </row>
    <row r="1847" spans="3:9">
      <c r="C1847" s="23">
        <v>640</v>
      </c>
      <c r="D1847" s="23" t="s">
        <v>132</v>
      </c>
      <c r="E1847" s="23" t="str">
        <f>Contributions_Data!A958</f>
        <v>DA-003</v>
      </c>
      <c r="F1847" s="23" t="str">
        <f>Contributions_Data!B958</f>
        <v>DA-003-M0080</v>
      </c>
      <c r="G1847" s="24">
        <f>Contributions_Data!C958</f>
        <v>45567</v>
      </c>
      <c r="H1847" s="27">
        <f>Contributions_Data!D958</f>
        <v>15084.54</v>
      </c>
      <c r="I1847" s="27">
        <v>0</v>
      </c>
    </row>
    <row r="1848" spans="3:9">
      <c r="C1848" s="23">
        <v>641</v>
      </c>
      <c r="D1848" s="23" t="s">
        <v>134</v>
      </c>
      <c r="E1848" s="23" t="str">
        <f>Withdrawals_Data!A15</f>
        <v>DA-001</v>
      </c>
      <c r="F1848" s="23" t="str">
        <f>Withdrawals_Data!B15</f>
        <v>DA-001-M0043</v>
      </c>
      <c r="G1848" s="24">
        <f>Withdrawals_Data!C15</f>
        <v>45567</v>
      </c>
      <c r="H1848" s="27">
        <v>0</v>
      </c>
      <c r="I1848" s="27">
        <f>-Withdrawals_Data!D15</f>
        <v>-14661.9</v>
      </c>
    </row>
    <row r="1849" spans="3:9">
      <c r="C1849" s="23">
        <v>642</v>
      </c>
      <c r="D1849" s="23" t="s">
        <v>134</v>
      </c>
      <c r="E1849" s="23" t="str">
        <f>Withdrawals_Data!A172</f>
        <v>DA-003</v>
      </c>
      <c r="F1849" s="23" t="str">
        <f>Withdrawals_Data!B172</f>
        <v>DA-003-M0029</v>
      </c>
      <c r="G1849" s="24">
        <f>Withdrawals_Data!C172</f>
        <v>45567</v>
      </c>
      <c r="H1849" s="27">
        <v>0</v>
      </c>
      <c r="I1849" s="27">
        <f>-Withdrawals_Data!D172</f>
        <v>-8192.34</v>
      </c>
    </row>
    <row r="1850" spans="3:9">
      <c r="C1850" s="23">
        <v>643</v>
      </c>
      <c r="D1850" s="23" t="s">
        <v>134</v>
      </c>
      <c r="E1850" s="23" t="str">
        <f>Withdrawals_Data!A722</f>
        <v>DA-003</v>
      </c>
      <c r="F1850" s="23" t="str">
        <f>Withdrawals_Data!B722</f>
        <v>DA-003-M0045</v>
      </c>
      <c r="G1850" s="24">
        <f>Withdrawals_Data!C722</f>
        <v>45567</v>
      </c>
      <c r="H1850" s="27">
        <v>0</v>
      </c>
      <c r="I1850" s="27">
        <f>-Withdrawals_Data!D722</f>
        <v>-1903</v>
      </c>
    </row>
    <row r="1851" spans="3:9">
      <c r="C1851" s="23">
        <v>644</v>
      </c>
      <c r="D1851" s="23" t="s">
        <v>134</v>
      </c>
      <c r="E1851" s="23" t="str">
        <f>Withdrawals_Data!A1178</f>
        <v>DA-001</v>
      </c>
      <c r="F1851" s="23" t="str">
        <f>Withdrawals_Data!B1178</f>
        <v>DA-001-M0098</v>
      </c>
      <c r="G1851" s="24">
        <f>Withdrawals_Data!C1178</f>
        <v>45567</v>
      </c>
      <c r="H1851" s="27">
        <v>0</v>
      </c>
      <c r="I1851" s="27">
        <f>-Withdrawals_Data!D1178</f>
        <v>-15494</v>
      </c>
    </row>
    <row r="1852" spans="3:9">
      <c r="C1852" s="23">
        <v>645</v>
      </c>
      <c r="D1852" s="23" t="s">
        <v>132</v>
      </c>
      <c r="E1852" s="23" t="str">
        <f>Contributions_Data!A452</f>
        <v>DA-001</v>
      </c>
      <c r="F1852" s="23" t="str">
        <f>Contributions_Data!B452</f>
        <v>DA-001-M0038</v>
      </c>
      <c r="G1852" s="24">
        <f>Contributions_Data!C452</f>
        <v>45568</v>
      </c>
      <c r="H1852" s="27">
        <f>Contributions_Data!D452</f>
        <v>14901.74</v>
      </c>
      <c r="I1852" s="27">
        <v>0</v>
      </c>
    </row>
    <row r="1853" spans="3:9">
      <c r="C1853" s="23">
        <v>646</v>
      </c>
      <c r="D1853" s="23" t="s">
        <v>132</v>
      </c>
      <c r="E1853" s="23" t="str">
        <f>Contributions_Data!A475</f>
        <v>DA-002</v>
      </c>
      <c r="F1853" s="23" t="str">
        <f>Contributions_Data!B475</f>
        <v>DA-002-M0040</v>
      </c>
      <c r="G1853" s="24">
        <f>Contributions_Data!C475</f>
        <v>45568</v>
      </c>
      <c r="H1853" s="27">
        <f>Contributions_Data!D475</f>
        <v>13917.1</v>
      </c>
      <c r="I1853" s="27">
        <v>0</v>
      </c>
    </row>
    <row r="1854" spans="3:9">
      <c r="C1854" s="23">
        <v>647</v>
      </c>
      <c r="D1854" s="23" t="s">
        <v>132</v>
      </c>
      <c r="E1854" s="23" t="str">
        <f>Contributions_Data!A642</f>
        <v>DA-002</v>
      </c>
      <c r="F1854" s="23" t="str">
        <f>Contributions_Data!B642</f>
        <v>DA-002-M0054</v>
      </c>
      <c r="G1854" s="24">
        <f>Contributions_Data!C642</f>
        <v>45568</v>
      </c>
      <c r="H1854" s="27">
        <f>Contributions_Data!D642</f>
        <v>12549.19</v>
      </c>
      <c r="I1854" s="27">
        <v>0</v>
      </c>
    </row>
    <row r="1855" spans="3:9">
      <c r="C1855" s="23">
        <v>648</v>
      </c>
      <c r="D1855" s="23" t="s">
        <v>134</v>
      </c>
      <c r="E1855" s="23" t="str">
        <f>Withdrawals_Data!A877</f>
        <v>DA-002</v>
      </c>
      <c r="F1855" s="23" t="str">
        <f>Withdrawals_Data!B877</f>
        <v>DA-002-M0063</v>
      </c>
      <c r="G1855" s="24">
        <f>Withdrawals_Data!C877</f>
        <v>45568</v>
      </c>
      <c r="H1855" s="27">
        <v>0</v>
      </c>
      <c r="I1855" s="27">
        <f>-Withdrawals_Data!D877</f>
        <v>-11544</v>
      </c>
    </row>
    <row r="1856" spans="3:9">
      <c r="C1856" s="23">
        <v>649</v>
      </c>
      <c r="D1856" s="23" t="s">
        <v>134</v>
      </c>
      <c r="E1856" s="23" t="str">
        <f>Withdrawals_Data!A953</f>
        <v>DA-002</v>
      </c>
      <c r="F1856" s="23" t="str">
        <f>Withdrawals_Data!B953</f>
        <v>DA-002-M0072</v>
      </c>
      <c r="G1856" s="24">
        <f>Withdrawals_Data!C953</f>
        <v>45568</v>
      </c>
      <c r="H1856" s="27">
        <v>0</v>
      </c>
      <c r="I1856" s="27">
        <f>-Withdrawals_Data!D953</f>
        <v>-8230</v>
      </c>
    </row>
    <row r="1857" spans="3:9">
      <c r="C1857" s="23">
        <v>650</v>
      </c>
      <c r="D1857" s="23" t="s">
        <v>132</v>
      </c>
      <c r="E1857" s="23" t="str">
        <f>Contributions_Data!A265</f>
        <v>DA-001</v>
      </c>
      <c r="F1857" s="23" t="str">
        <f>Contributions_Data!B265</f>
        <v>DA-001-M0022</v>
      </c>
      <c r="G1857" s="24">
        <f>Contributions_Data!C265</f>
        <v>45569</v>
      </c>
      <c r="H1857" s="27">
        <f>Contributions_Data!D265</f>
        <v>17914.71</v>
      </c>
      <c r="I1857" s="27">
        <v>0</v>
      </c>
    </row>
    <row r="1858" spans="3:9">
      <c r="C1858" s="23">
        <v>651</v>
      </c>
      <c r="D1858" s="23" t="s">
        <v>132</v>
      </c>
      <c r="E1858" s="23" t="str">
        <f>Contributions_Data!A561</f>
        <v>DA-003</v>
      </c>
      <c r="F1858" s="23" t="str">
        <f>Contributions_Data!B561</f>
        <v>DA-003-M0047</v>
      </c>
      <c r="G1858" s="24">
        <f>Contributions_Data!C561</f>
        <v>45569</v>
      </c>
      <c r="H1858" s="27">
        <f>Contributions_Data!D561</f>
        <v>18159.46</v>
      </c>
      <c r="I1858" s="27">
        <v>0</v>
      </c>
    </row>
    <row r="1859" spans="3:9">
      <c r="C1859" s="23">
        <v>652</v>
      </c>
      <c r="D1859" s="23" t="s">
        <v>134</v>
      </c>
      <c r="E1859" s="23" t="str">
        <f>Withdrawals_Data!A238</f>
        <v>DA-003</v>
      </c>
      <c r="F1859" s="23" t="str">
        <f>Withdrawals_Data!B238</f>
        <v>DA-003-M0084</v>
      </c>
      <c r="G1859" s="24">
        <f>Withdrawals_Data!C238</f>
        <v>45569</v>
      </c>
      <c r="H1859" s="27">
        <v>0</v>
      </c>
      <c r="I1859" s="27">
        <f>-Withdrawals_Data!D238</f>
        <v>-5815.02</v>
      </c>
    </row>
    <row r="1860" spans="3:9">
      <c r="C1860" s="23">
        <v>653</v>
      </c>
      <c r="D1860" s="23" t="s">
        <v>132</v>
      </c>
      <c r="E1860" s="23" t="str">
        <f>Contributions_Data!A600</f>
        <v>DA-002</v>
      </c>
      <c r="F1860" s="23" t="str">
        <f>Contributions_Data!B600</f>
        <v>DA-002-M0050</v>
      </c>
      <c r="G1860" s="24">
        <f>Contributions_Data!C600</f>
        <v>45570</v>
      </c>
      <c r="H1860" s="27">
        <f>Contributions_Data!D600</f>
        <v>15867.51</v>
      </c>
      <c r="I1860" s="27">
        <v>0</v>
      </c>
    </row>
    <row r="1861" spans="3:9">
      <c r="C1861" s="23">
        <v>654</v>
      </c>
      <c r="D1861" s="23" t="s">
        <v>134</v>
      </c>
      <c r="E1861" s="23" t="str">
        <f>Withdrawals_Data!A533</f>
        <v>DA-001</v>
      </c>
      <c r="F1861" s="23" t="str">
        <f>Withdrawals_Data!B533</f>
        <v>DA-001-M0024</v>
      </c>
      <c r="G1861" s="24">
        <f>Withdrawals_Data!C533</f>
        <v>45570</v>
      </c>
      <c r="H1861" s="27">
        <v>0</v>
      </c>
      <c r="I1861" s="27">
        <f>-Withdrawals_Data!D533</f>
        <v>-17934</v>
      </c>
    </row>
    <row r="1862" spans="3:9">
      <c r="C1862" s="23">
        <v>655</v>
      </c>
      <c r="D1862" s="23" t="s">
        <v>134</v>
      </c>
      <c r="E1862" s="23" t="str">
        <f>Withdrawals_Data!A979</f>
        <v>DA-003</v>
      </c>
      <c r="F1862" s="23" t="str">
        <f>Withdrawals_Data!B979</f>
        <v>DA-003-M0076</v>
      </c>
      <c r="G1862" s="24">
        <f>Withdrawals_Data!C979</f>
        <v>45570</v>
      </c>
      <c r="H1862" s="27">
        <v>0</v>
      </c>
      <c r="I1862" s="27">
        <f>-Withdrawals_Data!D979</f>
        <v>-13117</v>
      </c>
    </row>
    <row r="1863" spans="3:9">
      <c r="C1863" s="23">
        <v>656</v>
      </c>
      <c r="D1863" s="23" t="s">
        <v>132</v>
      </c>
      <c r="E1863" s="23" t="str">
        <f>Contributions_Data!A417</f>
        <v>DA-001</v>
      </c>
      <c r="F1863" s="23" t="str">
        <f>Contributions_Data!B417</f>
        <v>DA-001-M0035</v>
      </c>
      <c r="G1863" s="24">
        <f>Contributions_Data!C417</f>
        <v>45571</v>
      </c>
      <c r="H1863" s="27">
        <f>Contributions_Data!D417</f>
        <v>15387.66</v>
      </c>
      <c r="I1863" s="27">
        <v>0</v>
      </c>
    </row>
    <row r="1864" spans="3:9">
      <c r="C1864" s="23">
        <v>657</v>
      </c>
      <c r="D1864" s="23" t="s">
        <v>132</v>
      </c>
      <c r="E1864" s="23" t="str">
        <f>Contributions_Data!A444</f>
        <v>DA-002</v>
      </c>
      <c r="F1864" s="23" t="str">
        <f>Contributions_Data!B444</f>
        <v>DA-002-M0037</v>
      </c>
      <c r="G1864" s="24">
        <f>Contributions_Data!C444</f>
        <v>45571</v>
      </c>
      <c r="H1864" s="27">
        <f>Contributions_Data!D444</f>
        <v>18379.7</v>
      </c>
      <c r="I1864" s="27">
        <v>0</v>
      </c>
    </row>
    <row r="1865" spans="3:9">
      <c r="C1865" s="23">
        <v>658</v>
      </c>
      <c r="D1865" s="23" t="s">
        <v>132</v>
      </c>
      <c r="E1865" s="23" t="str">
        <f>Contributions_Data!A559</f>
        <v>DA-003</v>
      </c>
      <c r="F1865" s="23" t="str">
        <f>Contributions_Data!B559</f>
        <v>DA-003-M0047</v>
      </c>
      <c r="G1865" s="24">
        <f>Contributions_Data!C559</f>
        <v>45571</v>
      </c>
      <c r="H1865" s="27">
        <f>Contributions_Data!D559</f>
        <v>15814.74</v>
      </c>
      <c r="I1865" s="27">
        <v>0</v>
      </c>
    </row>
    <row r="1866" spans="3:9">
      <c r="C1866" s="23">
        <v>659</v>
      </c>
      <c r="D1866" s="23" t="s">
        <v>134</v>
      </c>
      <c r="E1866" s="23" t="str">
        <f>Withdrawals_Data!A215</f>
        <v>DA-003</v>
      </c>
      <c r="F1866" s="23" t="str">
        <f>Withdrawals_Data!B215</f>
        <v>DA-003-M0012</v>
      </c>
      <c r="G1866" s="24">
        <f>Withdrawals_Data!C215</f>
        <v>45571</v>
      </c>
      <c r="H1866" s="27">
        <v>0</v>
      </c>
      <c r="I1866" s="27">
        <f>-Withdrawals_Data!D215</f>
        <v>-6989.73</v>
      </c>
    </row>
    <row r="1867" spans="3:9">
      <c r="C1867" s="23">
        <v>660</v>
      </c>
      <c r="D1867" s="23" t="s">
        <v>134</v>
      </c>
      <c r="E1867" s="23" t="str">
        <f>Withdrawals_Data!A337</f>
        <v>DA-003</v>
      </c>
      <c r="F1867" s="23" t="str">
        <f>Withdrawals_Data!B337</f>
        <v>DA-003-M0001</v>
      </c>
      <c r="G1867" s="24">
        <f>Withdrawals_Data!C337</f>
        <v>45571</v>
      </c>
      <c r="H1867" s="27">
        <v>0</v>
      </c>
      <c r="I1867" s="27">
        <f>-Withdrawals_Data!D337</f>
        <v>-4696</v>
      </c>
    </row>
    <row r="1868" spans="3:9">
      <c r="C1868" s="23">
        <v>661</v>
      </c>
      <c r="D1868" s="23" t="s">
        <v>132</v>
      </c>
      <c r="E1868" s="23" t="str">
        <f>Contributions_Data!A637</f>
        <v>DA-001</v>
      </c>
      <c r="F1868" s="23" t="str">
        <f>Contributions_Data!B637</f>
        <v>DA-001-M0053</v>
      </c>
      <c r="G1868" s="24">
        <f>Contributions_Data!C637</f>
        <v>45572</v>
      </c>
      <c r="H1868" s="27">
        <f>Contributions_Data!D637</f>
        <v>18200.02</v>
      </c>
      <c r="I1868" s="27">
        <v>0</v>
      </c>
    </row>
    <row r="1869" spans="3:9">
      <c r="C1869" s="23">
        <v>662</v>
      </c>
      <c r="D1869" s="23" t="s">
        <v>132</v>
      </c>
      <c r="E1869" s="23" t="str">
        <f>Contributions_Data!A821</f>
        <v>DA-003</v>
      </c>
      <c r="F1869" s="23" t="str">
        <f>Contributions_Data!B821</f>
        <v>DA-003-M0069</v>
      </c>
      <c r="G1869" s="24">
        <f>Contributions_Data!C821</f>
        <v>45572</v>
      </c>
      <c r="H1869" s="27">
        <f>Contributions_Data!D821</f>
        <v>15986.29</v>
      </c>
      <c r="I1869" s="27">
        <v>0</v>
      </c>
    </row>
    <row r="1870" spans="3:9">
      <c r="C1870" s="23">
        <v>663</v>
      </c>
      <c r="D1870" s="23" t="s">
        <v>134</v>
      </c>
      <c r="E1870" s="23" t="str">
        <f>Withdrawals_Data!A335</f>
        <v>DA-003</v>
      </c>
      <c r="F1870" s="23" t="str">
        <f>Withdrawals_Data!B335</f>
        <v>DA-003-M0032</v>
      </c>
      <c r="G1870" s="24">
        <f>Withdrawals_Data!C335</f>
        <v>45572</v>
      </c>
      <c r="H1870" s="27">
        <v>0</v>
      </c>
      <c r="I1870" s="27">
        <f>-Withdrawals_Data!D335</f>
        <v>-516.83000000000004</v>
      </c>
    </row>
    <row r="1871" spans="3:9">
      <c r="C1871" s="23">
        <v>664</v>
      </c>
      <c r="D1871" s="23" t="s">
        <v>134</v>
      </c>
      <c r="E1871" s="23" t="str">
        <f>Withdrawals_Data!A888</f>
        <v>DA-002</v>
      </c>
      <c r="F1871" s="23" t="str">
        <f>Withdrawals_Data!B888</f>
        <v>DA-002-M0064</v>
      </c>
      <c r="G1871" s="24">
        <f>Withdrawals_Data!C888</f>
        <v>45572</v>
      </c>
      <c r="H1871" s="27">
        <v>0</v>
      </c>
      <c r="I1871" s="27">
        <f>-Withdrawals_Data!D888</f>
        <v>-19505</v>
      </c>
    </row>
    <row r="1872" spans="3:9">
      <c r="C1872" s="23">
        <v>665</v>
      </c>
      <c r="D1872" s="23" t="s">
        <v>134</v>
      </c>
      <c r="E1872" s="23" t="str">
        <f>Withdrawals_Data!A992</f>
        <v>DA-003</v>
      </c>
      <c r="F1872" s="23" t="str">
        <f>Withdrawals_Data!B992</f>
        <v>DA-003-M0077</v>
      </c>
      <c r="G1872" s="24">
        <f>Withdrawals_Data!C992</f>
        <v>45572</v>
      </c>
      <c r="H1872" s="27">
        <v>0</v>
      </c>
      <c r="I1872" s="27">
        <f>-Withdrawals_Data!D992</f>
        <v>-9663</v>
      </c>
    </row>
    <row r="1873" spans="3:9">
      <c r="C1873" s="23">
        <v>666</v>
      </c>
      <c r="D1873" s="23" t="s">
        <v>132</v>
      </c>
      <c r="E1873" s="23" t="str">
        <f>Contributions_Data!A1117</f>
        <v>DA-001</v>
      </c>
      <c r="F1873" s="23" t="str">
        <f>Contributions_Data!B1117</f>
        <v>DA-001-M0093</v>
      </c>
      <c r="G1873" s="24">
        <f>Contributions_Data!C1117</f>
        <v>45573</v>
      </c>
      <c r="H1873" s="27">
        <f>Contributions_Data!D1117</f>
        <v>13640.32</v>
      </c>
      <c r="I1873" s="27">
        <v>0</v>
      </c>
    </row>
    <row r="1874" spans="3:9">
      <c r="C1874" s="23">
        <v>667</v>
      </c>
      <c r="D1874" s="23" t="s">
        <v>134</v>
      </c>
      <c r="E1874" s="23" t="str">
        <f>Withdrawals_Data!A594</f>
        <v>DA-003</v>
      </c>
      <c r="F1874" s="23" t="str">
        <f>Withdrawals_Data!B594</f>
        <v>DA-003-M0032</v>
      </c>
      <c r="G1874" s="24">
        <f>Withdrawals_Data!C594</f>
        <v>45573</v>
      </c>
      <c r="H1874" s="27">
        <v>0</v>
      </c>
      <c r="I1874" s="27">
        <f>-Withdrawals_Data!D594</f>
        <v>-11985</v>
      </c>
    </row>
    <row r="1875" spans="3:9">
      <c r="C1875" s="23">
        <v>668</v>
      </c>
      <c r="D1875" s="23" t="s">
        <v>132</v>
      </c>
      <c r="E1875" s="23" t="str">
        <f>Contributions_Data!A122</f>
        <v>DA-001</v>
      </c>
      <c r="F1875" s="23" t="str">
        <f>Contributions_Data!B122</f>
        <v>DA-001-M0011</v>
      </c>
      <c r="G1875" s="24">
        <f>Contributions_Data!C122</f>
        <v>45574</v>
      </c>
      <c r="H1875" s="27">
        <f>Contributions_Data!D122</f>
        <v>15559.36</v>
      </c>
      <c r="I1875" s="27">
        <v>0</v>
      </c>
    </row>
    <row r="1876" spans="3:9">
      <c r="C1876" s="23">
        <v>669</v>
      </c>
      <c r="D1876" s="23" t="s">
        <v>132</v>
      </c>
      <c r="E1876" s="23" t="str">
        <f>Contributions_Data!A432</f>
        <v>DA-003</v>
      </c>
      <c r="F1876" s="23" t="str">
        <f>Contributions_Data!B432</f>
        <v>DA-003-M0036</v>
      </c>
      <c r="G1876" s="24">
        <f>Contributions_Data!C432</f>
        <v>45574</v>
      </c>
      <c r="H1876" s="27">
        <f>Contributions_Data!D432</f>
        <v>10035.43</v>
      </c>
      <c r="I1876" s="27">
        <v>0</v>
      </c>
    </row>
    <row r="1877" spans="3:9">
      <c r="C1877" s="23">
        <v>670</v>
      </c>
      <c r="D1877" s="23" t="s">
        <v>134</v>
      </c>
      <c r="E1877" s="23" t="str">
        <f>Withdrawals_Data!A276</f>
        <v>DA-001</v>
      </c>
      <c r="F1877" s="23" t="str">
        <f>Withdrawals_Data!B276</f>
        <v>DA-001-M0034</v>
      </c>
      <c r="G1877" s="24">
        <f>Withdrawals_Data!C276</f>
        <v>45574</v>
      </c>
      <c r="H1877" s="27">
        <v>0</v>
      </c>
      <c r="I1877" s="27">
        <f>-Withdrawals_Data!D276</f>
        <v>-4311.34</v>
      </c>
    </row>
    <row r="1878" spans="3:9">
      <c r="C1878" s="23">
        <v>671</v>
      </c>
      <c r="D1878" s="23" t="s">
        <v>134</v>
      </c>
      <c r="E1878" s="23" t="str">
        <f>Withdrawals_Data!A429</f>
        <v>DA-003</v>
      </c>
      <c r="F1878" s="23" t="str">
        <f>Withdrawals_Data!B429</f>
        <v>DA-003-M0012</v>
      </c>
      <c r="G1878" s="24">
        <f>Withdrawals_Data!C429</f>
        <v>45574</v>
      </c>
      <c r="H1878" s="27">
        <v>0</v>
      </c>
      <c r="I1878" s="27">
        <f>-Withdrawals_Data!D429</f>
        <v>-13472</v>
      </c>
    </row>
    <row r="1879" spans="3:9">
      <c r="C1879" s="23">
        <v>672</v>
      </c>
      <c r="D1879" s="23" t="s">
        <v>134</v>
      </c>
      <c r="E1879" s="23" t="str">
        <f>Withdrawals_Data!A460</f>
        <v>DA-002</v>
      </c>
      <c r="F1879" s="23" t="str">
        <f>Withdrawals_Data!B460</f>
        <v>DA-002-M0016</v>
      </c>
      <c r="G1879" s="24">
        <f>Withdrawals_Data!C460</f>
        <v>45574</v>
      </c>
      <c r="H1879" s="27">
        <v>0</v>
      </c>
      <c r="I1879" s="27">
        <f>-Withdrawals_Data!D460</f>
        <v>-10809</v>
      </c>
    </row>
    <row r="1880" spans="3:9">
      <c r="C1880" s="23">
        <v>673</v>
      </c>
      <c r="D1880" s="23" t="s">
        <v>134</v>
      </c>
      <c r="E1880" s="23" t="str">
        <f>Withdrawals_Data!A541</f>
        <v>DA-001</v>
      </c>
      <c r="F1880" s="23" t="str">
        <f>Withdrawals_Data!B541</f>
        <v>DA-001-M0025</v>
      </c>
      <c r="G1880" s="24">
        <f>Withdrawals_Data!C541</f>
        <v>45574</v>
      </c>
      <c r="H1880" s="27">
        <v>0</v>
      </c>
      <c r="I1880" s="27">
        <f>-Withdrawals_Data!D541</f>
        <v>-16403</v>
      </c>
    </row>
    <row r="1881" spans="3:9">
      <c r="C1881" s="23">
        <v>674</v>
      </c>
      <c r="D1881" s="23" t="s">
        <v>134</v>
      </c>
      <c r="E1881" s="23" t="str">
        <f>Withdrawals_Data!A578</f>
        <v>DA-002</v>
      </c>
      <c r="F1881" s="23" t="str">
        <f>Withdrawals_Data!B578</f>
        <v>DA-002-M0030</v>
      </c>
      <c r="G1881" s="24">
        <f>Withdrawals_Data!C578</f>
        <v>45574</v>
      </c>
      <c r="H1881" s="27">
        <v>0</v>
      </c>
      <c r="I1881" s="27">
        <f>-Withdrawals_Data!D578</f>
        <v>-1523</v>
      </c>
    </row>
    <row r="1882" spans="3:9">
      <c r="C1882" s="23">
        <v>675</v>
      </c>
      <c r="D1882" s="23" t="s">
        <v>132</v>
      </c>
      <c r="E1882" s="23" t="str">
        <f>Contributions_Data!A520</f>
        <v>DA-002</v>
      </c>
      <c r="F1882" s="23" t="str">
        <f>Contributions_Data!B520</f>
        <v>DA-002-M0044</v>
      </c>
      <c r="G1882" s="24">
        <f>Contributions_Data!C520</f>
        <v>45575</v>
      </c>
      <c r="H1882" s="27">
        <f>Contributions_Data!D520</f>
        <v>12822.77</v>
      </c>
      <c r="I1882" s="27">
        <v>0</v>
      </c>
    </row>
    <row r="1883" spans="3:9">
      <c r="C1883" s="23">
        <v>676</v>
      </c>
      <c r="D1883" s="23" t="s">
        <v>132</v>
      </c>
      <c r="E1883" s="23" t="str">
        <f>Contributions_Data!A590</f>
        <v>DA-002</v>
      </c>
      <c r="F1883" s="23" t="str">
        <f>Contributions_Data!B590</f>
        <v>DA-002-M0050</v>
      </c>
      <c r="G1883" s="24">
        <f>Contributions_Data!C590</f>
        <v>45575</v>
      </c>
      <c r="H1883" s="27">
        <f>Contributions_Data!D590</f>
        <v>14895.95</v>
      </c>
      <c r="I1883" s="27">
        <v>0</v>
      </c>
    </row>
    <row r="1884" spans="3:9">
      <c r="C1884" s="23">
        <v>677</v>
      </c>
      <c r="D1884" s="23" t="s">
        <v>132</v>
      </c>
      <c r="E1884" s="23" t="str">
        <f>Contributions_Data!A901</f>
        <v>DA-001</v>
      </c>
      <c r="F1884" s="23" t="str">
        <f>Contributions_Data!B901</f>
        <v>DA-001-M0075</v>
      </c>
      <c r="G1884" s="24">
        <f>Contributions_Data!C901</f>
        <v>45575</v>
      </c>
      <c r="H1884" s="27">
        <f>Contributions_Data!D901</f>
        <v>19917.349999999999</v>
      </c>
      <c r="I1884" s="27">
        <v>0</v>
      </c>
    </row>
    <row r="1885" spans="3:9">
      <c r="C1885" s="23">
        <v>678</v>
      </c>
      <c r="D1885" s="23" t="s">
        <v>132</v>
      </c>
      <c r="E1885" s="23" t="str">
        <f>Contributions_Data!A1194</f>
        <v>DA-003</v>
      </c>
      <c r="F1885" s="23" t="str">
        <f>Contributions_Data!B1194</f>
        <v>DA-003-M0100</v>
      </c>
      <c r="G1885" s="24">
        <f>Contributions_Data!C1194</f>
        <v>45575</v>
      </c>
      <c r="H1885" s="27">
        <f>Contributions_Data!D1194</f>
        <v>12140.01</v>
      </c>
      <c r="I1885" s="27">
        <v>0</v>
      </c>
    </row>
    <row r="1886" spans="3:9">
      <c r="C1886" s="23">
        <v>679</v>
      </c>
      <c r="D1886" s="23" t="s">
        <v>134</v>
      </c>
      <c r="E1886" s="23" t="str">
        <f>Withdrawals_Data!A108</f>
        <v>DA-001</v>
      </c>
      <c r="F1886" s="23" t="str">
        <f>Withdrawals_Data!B108</f>
        <v>DA-001-M0075</v>
      </c>
      <c r="G1886" s="24">
        <f>Withdrawals_Data!C108</f>
        <v>45575</v>
      </c>
      <c r="H1886" s="27">
        <v>0</v>
      </c>
      <c r="I1886" s="27">
        <f>-Withdrawals_Data!D108</f>
        <v>-9655.2000000000007</v>
      </c>
    </row>
    <row r="1887" spans="3:9">
      <c r="C1887" s="23">
        <v>680</v>
      </c>
      <c r="D1887" s="23" t="s">
        <v>134</v>
      </c>
      <c r="E1887" s="23" t="str">
        <f>Withdrawals_Data!A195</f>
        <v>DA-001</v>
      </c>
      <c r="F1887" s="23" t="str">
        <f>Withdrawals_Data!B195</f>
        <v>DA-001-M0055</v>
      </c>
      <c r="G1887" s="24">
        <f>Withdrawals_Data!C195</f>
        <v>45575</v>
      </c>
      <c r="H1887" s="27">
        <v>0</v>
      </c>
      <c r="I1887" s="27">
        <f>-Withdrawals_Data!D195</f>
        <v>-7618.82</v>
      </c>
    </row>
    <row r="1888" spans="3:9">
      <c r="C1888" s="23">
        <v>681</v>
      </c>
      <c r="D1888" s="23" t="s">
        <v>134</v>
      </c>
      <c r="E1888" s="23" t="str">
        <f>Withdrawals_Data!A314</f>
        <v>DA-002</v>
      </c>
      <c r="F1888" s="23" t="str">
        <f>Withdrawals_Data!B314</f>
        <v>DA-002-M0054</v>
      </c>
      <c r="G1888" s="24">
        <f>Withdrawals_Data!C314</f>
        <v>45575</v>
      </c>
      <c r="H1888" s="27">
        <v>0</v>
      </c>
      <c r="I1888" s="27">
        <f>-Withdrawals_Data!D314</f>
        <v>-2560.58</v>
      </c>
    </row>
    <row r="1889" spans="3:9">
      <c r="C1889" s="23">
        <v>682</v>
      </c>
      <c r="D1889" s="23" t="s">
        <v>134</v>
      </c>
      <c r="E1889" s="23" t="str">
        <f>Withdrawals_Data!A381</f>
        <v>DA-003</v>
      </c>
      <c r="F1889" s="23" t="str">
        <f>Withdrawals_Data!B381</f>
        <v>DA-003-M0006</v>
      </c>
      <c r="G1889" s="24">
        <f>Withdrawals_Data!C381</f>
        <v>45575</v>
      </c>
      <c r="H1889" s="27">
        <v>0</v>
      </c>
      <c r="I1889" s="27">
        <f>-Withdrawals_Data!D381</f>
        <v>-2440</v>
      </c>
    </row>
    <row r="1890" spans="3:9">
      <c r="C1890" s="23">
        <v>683</v>
      </c>
      <c r="D1890" s="23" t="s">
        <v>134</v>
      </c>
      <c r="E1890" s="23" t="str">
        <f>Withdrawals_Data!A791</f>
        <v>DA-001</v>
      </c>
      <c r="F1890" s="23" t="str">
        <f>Withdrawals_Data!B791</f>
        <v>DA-001-M0053</v>
      </c>
      <c r="G1890" s="24">
        <f>Withdrawals_Data!C791</f>
        <v>45575</v>
      </c>
      <c r="H1890" s="27">
        <v>0</v>
      </c>
      <c r="I1890" s="27">
        <f>-Withdrawals_Data!D791</f>
        <v>-3158</v>
      </c>
    </row>
    <row r="1891" spans="3:9">
      <c r="C1891" s="23">
        <v>684</v>
      </c>
      <c r="D1891" s="23" t="s">
        <v>134</v>
      </c>
      <c r="E1891" s="23" t="str">
        <f>Withdrawals_Data!A999</f>
        <v>DA-002</v>
      </c>
      <c r="F1891" s="23" t="str">
        <f>Withdrawals_Data!B999</f>
        <v>DA-002-M0078</v>
      </c>
      <c r="G1891" s="24">
        <f>Withdrawals_Data!C999</f>
        <v>45575</v>
      </c>
      <c r="H1891" s="27">
        <v>0</v>
      </c>
      <c r="I1891" s="27">
        <f>-Withdrawals_Data!D999</f>
        <v>-5023</v>
      </c>
    </row>
    <row r="1892" spans="3:9">
      <c r="C1892" s="23">
        <v>685</v>
      </c>
      <c r="D1892" s="23" t="s">
        <v>132</v>
      </c>
      <c r="E1892" s="23" t="str">
        <f>Contributions_Data!A438</f>
        <v>DA-002</v>
      </c>
      <c r="F1892" s="23" t="str">
        <f>Contributions_Data!B438</f>
        <v>DA-002-M0037</v>
      </c>
      <c r="G1892" s="24">
        <f>Contributions_Data!C438</f>
        <v>45576</v>
      </c>
      <c r="H1892" s="27">
        <f>Contributions_Data!D438</f>
        <v>14221.23</v>
      </c>
      <c r="I1892" s="27">
        <v>0</v>
      </c>
    </row>
    <row r="1893" spans="3:9">
      <c r="C1893" s="23">
        <v>686</v>
      </c>
      <c r="D1893" s="23" t="s">
        <v>132</v>
      </c>
      <c r="E1893" s="23" t="str">
        <f>Contributions_Data!A818</f>
        <v>DA-003</v>
      </c>
      <c r="F1893" s="23" t="str">
        <f>Contributions_Data!B818</f>
        <v>DA-003-M0069</v>
      </c>
      <c r="G1893" s="24">
        <f>Contributions_Data!C818</f>
        <v>45576</v>
      </c>
      <c r="H1893" s="27">
        <f>Contributions_Data!D818</f>
        <v>19900.29</v>
      </c>
      <c r="I1893" s="27">
        <v>0</v>
      </c>
    </row>
    <row r="1894" spans="3:9">
      <c r="C1894" s="23">
        <v>687</v>
      </c>
      <c r="D1894" s="23" t="s">
        <v>134</v>
      </c>
      <c r="E1894" s="23" t="str">
        <f>Withdrawals_Data!A257</f>
        <v>DA-003</v>
      </c>
      <c r="F1894" s="23" t="str">
        <f>Withdrawals_Data!B257</f>
        <v>DA-003-M0014</v>
      </c>
      <c r="G1894" s="24">
        <f>Withdrawals_Data!C257</f>
        <v>45576</v>
      </c>
      <c r="H1894" s="27">
        <v>0</v>
      </c>
      <c r="I1894" s="27">
        <f>-Withdrawals_Data!D257</f>
        <v>-5228.3599999999997</v>
      </c>
    </row>
    <row r="1895" spans="3:9">
      <c r="C1895" s="23">
        <v>688</v>
      </c>
      <c r="D1895" s="23" t="s">
        <v>134</v>
      </c>
      <c r="E1895" s="23" t="str">
        <f>Withdrawals_Data!A522</f>
        <v>DA-002</v>
      </c>
      <c r="F1895" s="23" t="str">
        <f>Withdrawals_Data!B522</f>
        <v>DA-002-M0023</v>
      </c>
      <c r="G1895" s="24">
        <f>Withdrawals_Data!C522</f>
        <v>45576</v>
      </c>
      <c r="H1895" s="27">
        <v>0</v>
      </c>
      <c r="I1895" s="27">
        <f>-Withdrawals_Data!D522</f>
        <v>-5992</v>
      </c>
    </row>
    <row r="1896" spans="3:9">
      <c r="C1896" s="23">
        <v>689</v>
      </c>
      <c r="D1896" s="23" t="s">
        <v>134</v>
      </c>
      <c r="E1896" s="23" t="str">
        <f>Withdrawals_Data!A840</f>
        <v>DA-003</v>
      </c>
      <c r="F1896" s="23" t="str">
        <f>Withdrawals_Data!B840</f>
        <v>DA-003-M0059</v>
      </c>
      <c r="G1896" s="24">
        <f>Withdrawals_Data!C840</f>
        <v>45576</v>
      </c>
      <c r="H1896" s="27">
        <v>0</v>
      </c>
      <c r="I1896" s="27">
        <f>-Withdrawals_Data!D840</f>
        <v>-1412</v>
      </c>
    </row>
    <row r="1897" spans="3:9">
      <c r="C1897" s="23">
        <v>690</v>
      </c>
      <c r="D1897" s="23" t="s">
        <v>132</v>
      </c>
      <c r="E1897" s="23" t="str">
        <f>Contributions_Data!A852</f>
        <v>DA-001</v>
      </c>
      <c r="F1897" s="23" t="str">
        <f>Contributions_Data!B852</f>
        <v>DA-001-M0071</v>
      </c>
      <c r="G1897" s="24">
        <f>Contributions_Data!C852</f>
        <v>45577</v>
      </c>
      <c r="H1897" s="27">
        <f>Contributions_Data!D852</f>
        <v>16691.73</v>
      </c>
      <c r="I1897" s="27">
        <v>0</v>
      </c>
    </row>
    <row r="1898" spans="3:9">
      <c r="C1898" s="23">
        <v>691</v>
      </c>
      <c r="D1898" s="23" t="s">
        <v>132</v>
      </c>
      <c r="E1898" s="23" t="str">
        <f>Contributions_Data!A1142</f>
        <v>DA-001</v>
      </c>
      <c r="F1898" s="23" t="str">
        <f>Contributions_Data!B1142</f>
        <v>DA-001-M0096</v>
      </c>
      <c r="G1898" s="24">
        <f>Contributions_Data!C1142</f>
        <v>45577</v>
      </c>
      <c r="H1898" s="27">
        <f>Contributions_Data!D1142</f>
        <v>13401.9</v>
      </c>
      <c r="I1898" s="27">
        <v>0</v>
      </c>
    </row>
    <row r="1899" spans="3:9">
      <c r="C1899" s="23">
        <v>692</v>
      </c>
      <c r="D1899" s="23" t="s">
        <v>134</v>
      </c>
      <c r="E1899" s="23" t="str">
        <f>Withdrawals_Data!A105</f>
        <v>DA-003</v>
      </c>
      <c r="F1899" s="23" t="str">
        <f>Withdrawals_Data!B105</f>
        <v>DA-003-M0066</v>
      </c>
      <c r="G1899" s="24">
        <f>Withdrawals_Data!C105</f>
        <v>45577</v>
      </c>
      <c r="H1899" s="27">
        <v>0</v>
      </c>
      <c r="I1899" s="27">
        <f>-Withdrawals_Data!D105</f>
        <v>-9720.17</v>
      </c>
    </row>
    <row r="1900" spans="3:9">
      <c r="C1900" s="23">
        <v>693</v>
      </c>
      <c r="D1900" s="23" t="s">
        <v>134</v>
      </c>
      <c r="E1900" s="23" t="str">
        <f>Withdrawals_Data!A118</f>
        <v>DA-003</v>
      </c>
      <c r="F1900" s="23" t="str">
        <f>Withdrawals_Data!B118</f>
        <v>DA-003-M0005</v>
      </c>
      <c r="G1900" s="24">
        <f>Withdrawals_Data!C118</f>
        <v>45577</v>
      </c>
      <c r="H1900" s="27">
        <v>0</v>
      </c>
      <c r="I1900" s="27">
        <f>-Withdrawals_Data!D118</f>
        <v>-9385.7900000000009</v>
      </c>
    </row>
    <row r="1901" spans="3:9">
      <c r="C1901" s="23">
        <v>694</v>
      </c>
      <c r="D1901" s="23" t="s">
        <v>134</v>
      </c>
      <c r="E1901" s="23" t="str">
        <f>Withdrawals_Data!A440</f>
        <v>DA-003</v>
      </c>
      <c r="F1901" s="23" t="str">
        <f>Withdrawals_Data!B440</f>
        <v>DA-003-M0014</v>
      </c>
      <c r="G1901" s="24">
        <f>Withdrawals_Data!C440</f>
        <v>45577</v>
      </c>
      <c r="H1901" s="27">
        <v>0</v>
      </c>
      <c r="I1901" s="27">
        <f>-Withdrawals_Data!D440</f>
        <v>-10135</v>
      </c>
    </row>
    <row r="1902" spans="3:9">
      <c r="C1902" s="23">
        <v>695</v>
      </c>
      <c r="D1902" s="23" t="s">
        <v>132</v>
      </c>
      <c r="E1902" s="23" t="str">
        <f>Contributions_Data!A728</f>
        <v>DA-003</v>
      </c>
      <c r="F1902" s="23" t="str">
        <f>Contributions_Data!B728</f>
        <v>DA-003-M0061</v>
      </c>
      <c r="G1902" s="24">
        <f>Contributions_Data!C728</f>
        <v>45578</v>
      </c>
      <c r="H1902" s="27">
        <f>Contributions_Data!D728</f>
        <v>17685.580000000002</v>
      </c>
      <c r="I1902" s="27">
        <v>0</v>
      </c>
    </row>
    <row r="1903" spans="3:9">
      <c r="C1903" s="23">
        <v>696</v>
      </c>
      <c r="D1903" s="23" t="s">
        <v>132</v>
      </c>
      <c r="E1903" s="23" t="str">
        <f>Contributions_Data!A772</f>
        <v>DA-001</v>
      </c>
      <c r="F1903" s="23" t="str">
        <f>Contributions_Data!B772</f>
        <v>DA-001-M0065</v>
      </c>
      <c r="G1903" s="24">
        <f>Contributions_Data!C772</f>
        <v>45578</v>
      </c>
      <c r="H1903" s="27">
        <f>Contributions_Data!D772</f>
        <v>13888.16</v>
      </c>
      <c r="I1903" s="27">
        <v>0</v>
      </c>
    </row>
    <row r="1904" spans="3:9">
      <c r="C1904" s="23">
        <v>697</v>
      </c>
      <c r="D1904" s="23" t="s">
        <v>132</v>
      </c>
      <c r="E1904" s="23" t="str">
        <f>Contributions_Data!A826</f>
        <v>DA-003</v>
      </c>
      <c r="F1904" s="23" t="str">
        <f>Contributions_Data!B826</f>
        <v>DA-003-M0069</v>
      </c>
      <c r="G1904" s="24">
        <f>Contributions_Data!C826</f>
        <v>45578</v>
      </c>
      <c r="H1904" s="27">
        <f>Contributions_Data!D826</f>
        <v>17892.259999999998</v>
      </c>
      <c r="I1904" s="27">
        <v>0</v>
      </c>
    </row>
    <row r="1905" spans="3:9">
      <c r="C1905" s="23">
        <v>698</v>
      </c>
      <c r="D1905" s="23" t="s">
        <v>134</v>
      </c>
      <c r="E1905" s="23" t="str">
        <f>Withdrawals_Data!A120</f>
        <v>DA-002</v>
      </c>
      <c r="F1905" s="23" t="str">
        <f>Withdrawals_Data!B120</f>
        <v>DA-002-M0040</v>
      </c>
      <c r="G1905" s="24">
        <f>Withdrawals_Data!C120</f>
        <v>45578</v>
      </c>
      <c r="H1905" s="27">
        <v>0</v>
      </c>
      <c r="I1905" s="27">
        <f>-Withdrawals_Data!D120</f>
        <v>-9304.5300000000007</v>
      </c>
    </row>
    <row r="1906" spans="3:9">
      <c r="C1906" s="23">
        <v>699</v>
      </c>
      <c r="D1906" s="23" t="s">
        <v>134</v>
      </c>
      <c r="E1906" s="23" t="str">
        <f>Withdrawals_Data!A487</f>
        <v>DA-001</v>
      </c>
      <c r="F1906" s="23" t="str">
        <f>Withdrawals_Data!B487</f>
        <v>DA-001-M0019</v>
      </c>
      <c r="G1906" s="24">
        <f>Withdrawals_Data!C487</f>
        <v>45578</v>
      </c>
      <c r="H1906" s="27">
        <v>0</v>
      </c>
      <c r="I1906" s="27">
        <f>-Withdrawals_Data!D487</f>
        <v>-1941</v>
      </c>
    </row>
    <row r="1907" spans="3:9">
      <c r="C1907" s="23">
        <v>700</v>
      </c>
      <c r="D1907" s="23" t="s">
        <v>132</v>
      </c>
      <c r="E1907" s="23" t="str">
        <f>Contributions_Data!A474</f>
        <v>DA-002</v>
      </c>
      <c r="F1907" s="23" t="str">
        <f>Contributions_Data!B474</f>
        <v>DA-002-M0040</v>
      </c>
      <c r="G1907" s="24">
        <f>Contributions_Data!C474</f>
        <v>45579</v>
      </c>
      <c r="H1907" s="27">
        <f>Contributions_Data!D474</f>
        <v>16332.79</v>
      </c>
      <c r="I1907" s="27">
        <v>0</v>
      </c>
    </row>
    <row r="1908" spans="3:9">
      <c r="C1908" s="23">
        <v>701</v>
      </c>
      <c r="D1908" s="23" t="s">
        <v>132</v>
      </c>
      <c r="E1908" s="23" t="str">
        <f>Contributions_Data!A633</f>
        <v>DA-001</v>
      </c>
      <c r="F1908" s="23" t="str">
        <f>Contributions_Data!B633</f>
        <v>DA-001-M0053</v>
      </c>
      <c r="G1908" s="24">
        <f>Contributions_Data!C633</f>
        <v>45579</v>
      </c>
      <c r="H1908" s="27">
        <f>Contributions_Data!D633</f>
        <v>16751.78</v>
      </c>
      <c r="I1908" s="27">
        <v>0</v>
      </c>
    </row>
    <row r="1909" spans="3:9">
      <c r="C1909" s="23">
        <v>702</v>
      </c>
      <c r="D1909" s="23" t="s">
        <v>134</v>
      </c>
      <c r="E1909" s="23" t="str">
        <f>Withdrawals_Data!A523</f>
        <v>DA-002</v>
      </c>
      <c r="F1909" s="23" t="str">
        <f>Withdrawals_Data!B523</f>
        <v>DA-002-M0023</v>
      </c>
      <c r="G1909" s="24">
        <f>Withdrawals_Data!C523</f>
        <v>45579</v>
      </c>
      <c r="H1909" s="27">
        <v>0</v>
      </c>
      <c r="I1909" s="27">
        <f>-Withdrawals_Data!D523</f>
        <v>-7904</v>
      </c>
    </row>
    <row r="1910" spans="3:9">
      <c r="C1910" s="23">
        <v>703</v>
      </c>
      <c r="D1910" s="23" t="s">
        <v>134</v>
      </c>
      <c r="E1910" s="23" t="str">
        <f>Withdrawals_Data!A951</f>
        <v>DA-002</v>
      </c>
      <c r="F1910" s="23" t="str">
        <f>Withdrawals_Data!B951</f>
        <v>DA-002-M0072</v>
      </c>
      <c r="G1910" s="24">
        <f>Withdrawals_Data!C951</f>
        <v>45579</v>
      </c>
      <c r="H1910" s="27">
        <v>0</v>
      </c>
      <c r="I1910" s="27">
        <f>-Withdrawals_Data!D951</f>
        <v>-17345</v>
      </c>
    </row>
    <row r="1911" spans="3:9">
      <c r="C1911" s="23">
        <v>704</v>
      </c>
      <c r="D1911" s="23" t="s">
        <v>134</v>
      </c>
      <c r="E1911" s="23" t="str">
        <f>Withdrawals_Data!A1116</f>
        <v>DA-003</v>
      </c>
      <c r="F1911" s="23" t="str">
        <f>Withdrawals_Data!B1116</f>
        <v>DA-003-M0090</v>
      </c>
      <c r="G1911" s="24">
        <f>Withdrawals_Data!C1116</f>
        <v>45579</v>
      </c>
      <c r="H1911" s="27">
        <v>0</v>
      </c>
      <c r="I1911" s="27">
        <f>-Withdrawals_Data!D1116</f>
        <v>-5929</v>
      </c>
    </row>
    <row r="1912" spans="3:9">
      <c r="C1912" s="23">
        <v>705</v>
      </c>
      <c r="D1912" s="23" t="s">
        <v>132</v>
      </c>
      <c r="E1912" s="23" t="str">
        <f>Contributions_Data!A472</f>
        <v>DA-002</v>
      </c>
      <c r="F1912" s="23" t="str">
        <f>Contributions_Data!B472</f>
        <v>DA-002-M0040</v>
      </c>
      <c r="G1912" s="24">
        <f>Contributions_Data!C472</f>
        <v>45580</v>
      </c>
      <c r="H1912" s="27">
        <f>Contributions_Data!D472</f>
        <v>13875.54</v>
      </c>
      <c r="I1912" s="27">
        <v>0</v>
      </c>
    </row>
    <row r="1913" spans="3:9">
      <c r="C1913" s="23">
        <v>706</v>
      </c>
      <c r="D1913" s="23" t="s">
        <v>132</v>
      </c>
      <c r="E1913" s="23" t="str">
        <f>Contributions_Data!A1101</f>
        <v>DA-001</v>
      </c>
      <c r="F1913" s="23" t="str">
        <f>Contributions_Data!B1101</f>
        <v>DA-001-M0092</v>
      </c>
      <c r="G1913" s="24">
        <f>Contributions_Data!C1101</f>
        <v>45580</v>
      </c>
      <c r="H1913" s="27">
        <f>Contributions_Data!D1101</f>
        <v>20180.89</v>
      </c>
      <c r="I1913" s="27">
        <v>0</v>
      </c>
    </row>
    <row r="1914" spans="3:9">
      <c r="C1914" s="23">
        <v>707</v>
      </c>
      <c r="D1914" s="23" t="s">
        <v>134</v>
      </c>
      <c r="E1914" s="23" t="str">
        <f>Withdrawals_Data!A295</f>
        <v>DA-001</v>
      </c>
      <c r="F1914" s="23" t="str">
        <f>Withdrawals_Data!B295</f>
        <v>DA-001-M0065</v>
      </c>
      <c r="G1914" s="24">
        <f>Withdrawals_Data!C295</f>
        <v>45580</v>
      </c>
      <c r="H1914" s="27">
        <v>0</v>
      </c>
      <c r="I1914" s="27">
        <f>-Withdrawals_Data!D295</f>
        <v>-3521.32</v>
      </c>
    </row>
    <row r="1915" spans="3:9">
      <c r="C1915" s="23">
        <v>708</v>
      </c>
      <c r="D1915" s="23" t="s">
        <v>132</v>
      </c>
      <c r="E1915" s="23" t="str">
        <f>Contributions_Data!A401</f>
        <v>DA-001</v>
      </c>
      <c r="F1915" s="23" t="str">
        <f>Contributions_Data!B401</f>
        <v>DA-001-M0034</v>
      </c>
      <c r="G1915" s="24">
        <f>Contributions_Data!C401</f>
        <v>45581</v>
      </c>
      <c r="H1915" s="27">
        <f>Contributions_Data!D401</f>
        <v>13469.95</v>
      </c>
      <c r="I1915" s="27">
        <v>0</v>
      </c>
    </row>
    <row r="1916" spans="3:9">
      <c r="C1916" s="23">
        <v>709</v>
      </c>
      <c r="D1916" s="23" t="s">
        <v>132</v>
      </c>
      <c r="E1916" s="23" t="str">
        <f>Contributions_Data!A686</f>
        <v>DA-001</v>
      </c>
      <c r="F1916" s="23" t="str">
        <f>Contributions_Data!B686</f>
        <v>DA-001-M0058</v>
      </c>
      <c r="G1916" s="24">
        <f>Contributions_Data!C686</f>
        <v>45581</v>
      </c>
      <c r="H1916" s="27">
        <f>Contributions_Data!D686</f>
        <v>18351.89</v>
      </c>
      <c r="I1916" s="27">
        <v>0</v>
      </c>
    </row>
    <row r="1917" spans="3:9">
      <c r="C1917" s="23">
        <v>710</v>
      </c>
      <c r="D1917" s="23" t="s">
        <v>132</v>
      </c>
      <c r="E1917" s="23" t="str">
        <f>Contributions_Data!A1155</f>
        <v>DA-002</v>
      </c>
      <c r="F1917" s="23" t="str">
        <f>Contributions_Data!B1155</f>
        <v>DA-002-M0097</v>
      </c>
      <c r="G1917" s="24">
        <f>Contributions_Data!C1155</f>
        <v>45581</v>
      </c>
      <c r="H1917" s="27">
        <f>Contributions_Data!D1155</f>
        <v>17740.75</v>
      </c>
      <c r="I1917" s="27">
        <v>0</v>
      </c>
    </row>
    <row r="1918" spans="3:9">
      <c r="C1918" s="23">
        <v>711</v>
      </c>
      <c r="D1918" s="23" t="s">
        <v>134</v>
      </c>
      <c r="E1918" s="23" t="str">
        <f>Withdrawals_Data!A663</f>
        <v>DA-002</v>
      </c>
      <c r="F1918" s="23" t="str">
        <f>Withdrawals_Data!B663</f>
        <v>DA-002-M0039</v>
      </c>
      <c r="G1918" s="24">
        <f>Withdrawals_Data!C663</f>
        <v>45581</v>
      </c>
      <c r="H1918" s="27">
        <v>0</v>
      </c>
      <c r="I1918" s="27">
        <f>-Withdrawals_Data!D663</f>
        <v>-13110</v>
      </c>
    </row>
    <row r="1919" spans="3:9">
      <c r="C1919" s="23">
        <v>712</v>
      </c>
      <c r="D1919" s="23" t="s">
        <v>134</v>
      </c>
      <c r="E1919" s="23" t="str">
        <f>Withdrawals_Data!A805</f>
        <v>DA-001</v>
      </c>
      <c r="F1919" s="23" t="str">
        <f>Withdrawals_Data!B805</f>
        <v>DA-001-M0055</v>
      </c>
      <c r="G1919" s="24">
        <f>Withdrawals_Data!C805</f>
        <v>45581</v>
      </c>
      <c r="H1919" s="27">
        <v>0</v>
      </c>
      <c r="I1919" s="27">
        <f>-Withdrawals_Data!D805</f>
        <v>-10096</v>
      </c>
    </row>
    <row r="1920" spans="3:9">
      <c r="C1920" s="23">
        <v>713</v>
      </c>
      <c r="D1920" s="23" t="s">
        <v>132</v>
      </c>
      <c r="E1920" s="23" t="str">
        <f>Contributions_Data!A40</f>
        <v>DA-001</v>
      </c>
      <c r="F1920" s="23" t="str">
        <f>Contributions_Data!B40</f>
        <v>DA-001-M0004</v>
      </c>
      <c r="G1920" s="24">
        <f>Contributions_Data!C40</f>
        <v>45582</v>
      </c>
      <c r="H1920" s="27">
        <f>Contributions_Data!D40</f>
        <v>12028.39</v>
      </c>
      <c r="I1920" s="27">
        <v>0</v>
      </c>
    </row>
    <row r="1921" spans="3:9">
      <c r="C1921" s="23">
        <v>714</v>
      </c>
      <c r="D1921" s="23" t="s">
        <v>132</v>
      </c>
      <c r="E1921" s="23" t="str">
        <f>Contributions_Data!A576</f>
        <v>DA-003</v>
      </c>
      <c r="F1921" s="23" t="str">
        <f>Contributions_Data!B576</f>
        <v>DA-003-M0048</v>
      </c>
      <c r="G1921" s="24">
        <f>Contributions_Data!C576</f>
        <v>45582</v>
      </c>
      <c r="H1921" s="27">
        <f>Contributions_Data!D576</f>
        <v>17668.89</v>
      </c>
      <c r="I1921" s="27">
        <v>0</v>
      </c>
    </row>
    <row r="1922" spans="3:9">
      <c r="C1922" s="23">
        <v>715</v>
      </c>
      <c r="D1922" s="23" t="s">
        <v>132</v>
      </c>
      <c r="E1922" s="23" t="str">
        <f>Contributions_Data!A1119</f>
        <v>DA-002</v>
      </c>
      <c r="F1922" s="23" t="str">
        <f>Contributions_Data!B1119</f>
        <v>DA-002-M0094</v>
      </c>
      <c r="G1922" s="24">
        <f>Contributions_Data!C1119</f>
        <v>45582</v>
      </c>
      <c r="H1922" s="27">
        <f>Contributions_Data!D1119</f>
        <v>19432.59</v>
      </c>
      <c r="I1922" s="27">
        <v>0</v>
      </c>
    </row>
    <row r="1923" spans="3:9">
      <c r="C1923" s="23">
        <v>716</v>
      </c>
      <c r="D1923" s="23" t="s">
        <v>134</v>
      </c>
      <c r="E1923" s="23" t="str">
        <f>Withdrawals_Data!A384</f>
        <v>DA-003</v>
      </c>
      <c r="F1923" s="23" t="str">
        <f>Withdrawals_Data!B384</f>
        <v>DA-003-M0007</v>
      </c>
      <c r="G1923" s="24">
        <f>Withdrawals_Data!C384</f>
        <v>45582</v>
      </c>
      <c r="H1923" s="27">
        <v>0</v>
      </c>
      <c r="I1923" s="27">
        <f>-Withdrawals_Data!D384</f>
        <v>-16620</v>
      </c>
    </row>
    <row r="1924" spans="3:9">
      <c r="C1924" s="23">
        <v>717</v>
      </c>
      <c r="D1924" s="23" t="s">
        <v>134</v>
      </c>
      <c r="E1924" s="23" t="str">
        <f>Withdrawals_Data!A589</f>
        <v>DA-003</v>
      </c>
      <c r="F1924" s="23" t="str">
        <f>Withdrawals_Data!B589</f>
        <v>DA-003-M0031</v>
      </c>
      <c r="G1924" s="24">
        <f>Withdrawals_Data!C589</f>
        <v>45582</v>
      </c>
      <c r="H1924" s="27">
        <v>0</v>
      </c>
      <c r="I1924" s="27">
        <f>-Withdrawals_Data!D589</f>
        <v>-3670</v>
      </c>
    </row>
    <row r="1925" spans="3:9">
      <c r="C1925" s="23">
        <v>718</v>
      </c>
      <c r="D1925" s="23" t="s">
        <v>134</v>
      </c>
      <c r="E1925" s="23" t="str">
        <f>Withdrawals_Data!A972</f>
        <v>DA-001</v>
      </c>
      <c r="F1925" s="23" t="str">
        <f>Withdrawals_Data!B972</f>
        <v>DA-001-M0074</v>
      </c>
      <c r="G1925" s="24">
        <f>Withdrawals_Data!C972</f>
        <v>45582</v>
      </c>
      <c r="H1925" s="27">
        <v>0</v>
      </c>
      <c r="I1925" s="27">
        <f>-Withdrawals_Data!D972</f>
        <v>-20313</v>
      </c>
    </row>
    <row r="1926" spans="3:9">
      <c r="C1926" s="23">
        <v>719</v>
      </c>
      <c r="D1926" s="23" t="s">
        <v>134</v>
      </c>
      <c r="E1926" s="23" t="str">
        <f>Withdrawals_Data!A1004</f>
        <v>DA-002</v>
      </c>
      <c r="F1926" s="23" t="str">
        <f>Withdrawals_Data!B1004</f>
        <v>DA-002-M0078</v>
      </c>
      <c r="G1926" s="24">
        <f>Withdrawals_Data!C1004</f>
        <v>45582</v>
      </c>
      <c r="H1926" s="27">
        <v>0</v>
      </c>
      <c r="I1926" s="27">
        <f>-Withdrawals_Data!D1004</f>
        <v>-20498</v>
      </c>
    </row>
    <row r="1927" spans="3:9">
      <c r="C1927" s="23">
        <v>720</v>
      </c>
      <c r="D1927" s="23" t="s">
        <v>134</v>
      </c>
      <c r="E1927" s="23" t="str">
        <f>Withdrawals_Data!A1173</f>
        <v>DA-002</v>
      </c>
      <c r="F1927" s="23" t="str">
        <f>Withdrawals_Data!B1173</f>
        <v>DA-002-M0097</v>
      </c>
      <c r="G1927" s="24">
        <f>Withdrawals_Data!C1173</f>
        <v>45582</v>
      </c>
      <c r="H1927" s="27">
        <v>0</v>
      </c>
      <c r="I1927" s="27">
        <f>-Withdrawals_Data!D1173</f>
        <v>-20539</v>
      </c>
    </row>
    <row r="1928" spans="3:9">
      <c r="C1928" s="23">
        <v>721</v>
      </c>
      <c r="D1928" s="23" t="s">
        <v>132</v>
      </c>
      <c r="E1928" s="23" t="str">
        <f>Contributions_Data!A15</f>
        <v>DA-001</v>
      </c>
      <c r="F1928" s="23" t="str">
        <f>Contributions_Data!B15</f>
        <v>DA-001-M0002</v>
      </c>
      <c r="G1928" s="24">
        <f>Contributions_Data!C15</f>
        <v>45583</v>
      </c>
      <c r="H1928" s="27">
        <f>Contributions_Data!D15</f>
        <v>14017.01</v>
      </c>
      <c r="I1928" s="27">
        <v>0</v>
      </c>
    </row>
    <row r="1929" spans="3:9">
      <c r="C1929" s="23">
        <v>722</v>
      </c>
      <c r="D1929" s="23" t="s">
        <v>132</v>
      </c>
      <c r="E1929" s="23" t="str">
        <f>Contributions_Data!A947</f>
        <v>DA-003</v>
      </c>
      <c r="F1929" s="23" t="str">
        <f>Contributions_Data!B947</f>
        <v>DA-003-M0079</v>
      </c>
      <c r="G1929" s="24">
        <f>Contributions_Data!C947</f>
        <v>45583</v>
      </c>
      <c r="H1929" s="27">
        <f>Contributions_Data!D947</f>
        <v>15245.49</v>
      </c>
      <c r="I1929" s="27">
        <v>0</v>
      </c>
    </row>
    <row r="1930" spans="3:9">
      <c r="C1930" s="23">
        <v>723</v>
      </c>
      <c r="D1930" s="23" t="s">
        <v>134</v>
      </c>
      <c r="E1930" s="23" t="str">
        <f>Withdrawals_Data!A249</f>
        <v>DA-002</v>
      </c>
      <c r="F1930" s="23" t="str">
        <f>Withdrawals_Data!B249</f>
        <v>DA-002-M0051</v>
      </c>
      <c r="G1930" s="24">
        <f>Withdrawals_Data!C249</f>
        <v>45583</v>
      </c>
      <c r="H1930" s="27">
        <v>0</v>
      </c>
      <c r="I1930" s="27">
        <f>-Withdrawals_Data!D249</f>
        <v>-5450.45</v>
      </c>
    </row>
    <row r="1931" spans="3:9">
      <c r="C1931" s="23">
        <v>724</v>
      </c>
      <c r="D1931" s="23" t="s">
        <v>134</v>
      </c>
      <c r="E1931" s="23" t="str">
        <f>Withdrawals_Data!A358</f>
        <v>DA-002</v>
      </c>
      <c r="F1931" s="23" t="str">
        <f>Withdrawals_Data!B358</f>
        <v>DA-002-M0003</v>
      </c>
      <c r="G1931" s="24">
        <f>Withdrawals_Data!C358</f>
        <v>45583</v>
      </c>
      <c r="H1931" s="27">
        <v>0</v>
      </c>
      <c r="I1931" s="27">
        <f>-Withdrawals_Data!D358</f>
        <v>-7126</v>
      </c>
    </row>
    <row r="1932" spans="3:9">
      <c r="C1932" s="23">
        <v>725</v>
      </c>
      <c r="D1932" s="23" t="s">
        <v>134</v>
      </c>
      <c r="E1932" s="23" t="str">
        <f>Withdrawals_Data!A964</f>
        <v>DA-001</v>
      </c>
      <c r="F1932" s="23" t="str">
        <f>Withdrawals_Data!B964</f>
        <v>DA-001-M0073</v>
      </c>
      <c r="G1932" s="24">
        <f>Withdrawals_Data!C964</f>
        <v>45583</v>
      </c>
      <c r="H1932" s="27">
        <v>0</v>
      </c>
      <c r="I1932" s="27">
        <f>-Withdrawals_Data!D964</f>
        <v>-2736</v>
      </c>
    </row>
    <row r="1933" spans="3:9">
      <c r="C1933" s="23">
        <v>726</v>
      </c>
      <c r="D1933" s="23" t="s">
        <v>134</v>
      </c>
      <c r="E1933" s="23" t="str">
        <f>Withdrawals_Data!A1194</f>
        <v>DA-003</v>
      </c>
      <c r="F1933" s="23" t="str">
        <f>Withdrawals_Data!B1194</f>
        <v>DA-003-M0100</v>
      </c>
      <c r="G1933" s="24">
        <f>Withdrawals_Data!C1194</f>
        <v>45583</v>
      </c>
      <c r="H1933" s="27">
        <v>0</v>
      </c>
      <c r="I1933" s="27">
        <f>-Withdrawals_Data!D1194</f>
        <v>-17290</v>
      </c>
    </row>
    <row r="1934" spans="3:9">
      <c r="C1934" s="23">
        <v>727</v>
      </c>
      <c r="D1934" s="23" t="s">
        <v>132</v>
      </c>
      <c r="E1934" s="23" t="str">
        <f>Contributions_Data!A717</f>
        <v>DA-002</v>
      </c>
      <c r="F1934" s="23" t="str">
        <f>Contributions_Data!B717</f>
        <v>DA-002-M0060</v>
      </c>
      <c r="G1934" s="24">
        <f>Contributions_Data!C717</f>
        <v>45584</v>
      </c>
      <c r="H1934" s="27">
        <f>Contributions_Data!D717</f>
        <v>14258.47</v>
      </c>
      <c r="I1934" s="27">
        <v>0</v>
      </c>
    </row>
    <row r="1935" spans="3:9">
      <c r="C1935" s="23">
        <v>728</v>
      </c>
      <c r="D1935" s="23" t="s">
        <v>132</v>
      </c>
      <c r="E1935" s="23" t="str">
        <f>Contributions_Data!A1020</f>
        <v>DA-002</v>
      </c>
      <c r="F1935" s="23" t="str">
        <f>Contributions_Data!B1020</f>
        <v>DA-002-M0085</v>
      </c>
      <c r="G1935" s="24">
        <f>Contributions_Data!C1020</f>
        <v>45584</v>
      </c>
      <c r="H1935" s="27">
        <f>Contributions_Data!D1020</f>
        <v>20478.03</v>
      </c>
      <c r="I1935" s="27">
        <v>0</v>
      </c>
    </row>
    <row r="1936" spans="3:9">
      <c r="C1936" s="23">
        <v>729</v>
      </c>
      <c r="D1936" s="23" t="s">
        <v>132</v>
      </c>
      <c r="E1936" s="23" t="str">
        <f>Contributions_Data!A1126</f>
        <v>DA-002</v>
      </c>
      <c r="F1936" s="23" t="str">
        <f>Contributions_Data!B1126</f>
        <v>DA-002-M0094</v>
      </c>
      <c r="G1936" s="24">
        <f>Contributions_Data!C1126</f>
        <v>45584</v>
      </c>
      <c r="H1936" s="27">
        <f>Contributions_Data!D1126</f>
        <v>11927.44</v>
      </c>
      <c r="I1936" s="27">
        <v>0</v>
      </c>
    </row>
    <row r="1937" spans="3:9">
      <c r="C1937" s="23">
        <v>730</v>
      </c>
      <c r="D1937" s="23" t="s">
        <v>134</v>
      </c>
      <c r="E1937" s="23" t="str">
        <f>Withdrawals_Data!A212</f>
        <v>DA-002</v>
      </c>
      <c r="F1937" s="23" t="str">
        <f>Withdrawals_Data!B212</f>
        <v>DA-002-M0057</v>
      </c>
      <c r="G1937" s="24">
        <f>Withdrawals_Data!C212</f>
        <v>45584</v>
      </c>
      <c r="H1937" s="27">
        <v>0</v>
      </c>
      <c r="I1937" s="27">
        <f>-Withdrawals_Data!D212</f>
        <v>-7035.06</v>
      </c>
    </row>
    <row r="1938" spans="3:9">
      <c r="C1938" s="23">
        <v>731</v>
      </c>
      <c r="D1938" s="23" t="s">
        <v>134</v>
      </c>
      <c r="E1938" s="23" t="str">
        <f>Withdrawals_Data!A339</f>
        <v>DA-003</v>
      </c>
      <c r="F1938" s="23" t="str">
        <f>Withdrawals_Data!B339</f>
        <v>DA-003-M0001</v>
      </c>
      <c r="G1938" s="24">
        <f>Withdrawals_Data!C339</f>
        <v>45584</v>
      </c>
      <c r="H1938" s="27">
        <v>0</v>
      </c>
      <c r="I1938" s="27">
        <f>-Withdrawals_Data!D339</f>
        <v>-1553</v>
      </c>
    </row>
    <row r="1939" spans="3:9">
      <c r="C1939" s="23">
        <v>732</v>
      </c>
      <c r="D1939" s="23" t="s">
        <v>134</v>
      </c>
      <c r="E1939" s="23" t="str">
        <f>Withdrawals_Data!A505</f>
        <v>DA-002</v>
      </c>
      <c r="F1939" s="23" t="str">
        <f>Withdrawals_Data!B505</f>
        <v>DA-002-M0021</v>
      </c>
      <c r="G1939" s="24">
        <f>Withdrawals_Data!C505</f>
        <v>45584</v>
      </c>
      <c r="H1939" s="27">
        <v>0</v>
      </c>
      <c r="I1939" s="27">
        <f>-Withdrawals_Data!D505</f>
        <v>-6171</v>
      </c>
    </row>
    <row r="1940" spans="3:9">
      <c r="C1940" s="23">
        <v>733</v>
      </c>
      <c r="D1940" s="23" t="s">
        <v>134</v>
      </c>
      <c r="E1940" s="23" t="str">
        <f>Withdrawals_Data!A903</f>
        <v>DA-003</v>
      </c>
      <c r="F1940" s="23" t="str">
        <f>Withdrawals_Data!B903</f>
        <v>DA-003-M0066</v>
      </c>
      <c r="G1940" s="24">
        <f>Withdrawals_Data!C903</f>
        <v>45584</v>
      </c>
      <c r="H1940" s="27">
        <v>0</v>
      </c>
      <c r="I1940" s="27">
        <f>-Withdrawals_Data!D903</f>
        <v>-11175</v>
      </c>
    </row>
    <row r="1941" spans="3:9">
      <c r="C1941" s="23">
        <v>734</v>
      </c>
      <c r="D1941" s="23" t="s">
        <v>132</v>
      </c>
      <c r="E1941" s="23" t="str">
        <f>Contributions_Data!A877</f>
        <v>DA-001</v>
      </c>
      <c r="F1941" s="23" t="str">
        <f>Contributions_Data!B877</f>
        <v>DA-001-M0073</v>
      </c>
      <c r="G1941" s="24">
        <f>Contributions_Data!C877</f>
        <v>45585</v>
      </c>
      <c r="H1941" s="27">
        <f>Contributions_Data!D877</f>
        <v>13711.78</v>
      </c>
      <c r="I1941" s="27">
        <v>0</v>
      </c>
    </row>
    <row r="1942" spans="3:9">
      <c r="C1942" s="23">
        <v>735</v>
      </c>
      <c r="D1942" s="23" t="s">
        <v>134</v>
      </c>
      <c r="E1942" s="23" t="str">
        <f>Withdrawals_Data!A620</f>
        <v>DA-001</v>
      </c>
      <c r="F1942" s="23" t="str">
        <f>Withdrawals_Data!B620</f>
        <v>DA-001-M0034</v>
      </c>
      <c r="G1942" s="24">
        <f>Withdrawals_Data!C620</f>
        <v>45585</v>
      </c>
      <c r="H1942" s="27">
        <v>0</v>
      </c>
      <c r="I1942" s="27">
        <f>-Withdrawals_Data!D620</f>
        <v>-11810</v>
      </c>
    </row>
    <row r="1943" spans="3:9">
      <c r="C1943" s="23">
        <v>736</v>
      </c>
      <c r="D1943" s="23" t="s">
        <v>134</v>
      </c>
      <c r="E1943" s="23" t="str">
        <f>Withdrawals_Data!A639</f>
        <v>DA-003</v>
      </c>
      <c r="F1943" s="23" t="str">
        <f>Withdrawals_Data!B639</f>
        <v>DA-003-M0036</v>
      </c>
      <c r="G1943" s="24">
        <f>Withdrawals_Data!C639</f>
        <v>45585</v>
      </c>
      <c r="H1943" s="27">
        <v>0</v>
      </c>
      <c r="I1943" s="27">
        <f>-Withdrawals_Data!D639</f>
        <v>-3615</v>
      </c>
    </row>
    <row r="1944" spans="3:9">
      <c r="C1944" s="23">
        <v>737</v>
      </c>
      <c r="D1944" s="23" t="s">
        <v>134</v>
      </c>
      <c r="E1944" s="23" t="str">
        <f>Withdrawals_Data!A1020</f>
        <v>DA-003</v>
      </c>
      <c r="F1944" s="23" t="str">
        <f>Withdrawals_Data!B1020</f>
        <v>DA-003-M0080</v>
      </c>
      <c r="G1944" s="24">
        <f>Withdrawals_Data!C1020</f>
        <v>45585</v>
      </c>
      <c r="H1944" s="27">
        <v>0</v>
      </c>
      <c r="I1944" s="27">
        <f>-Withdrawals_Data!D1020</f>
        <v>-8729</v>
      </c>
    </row>
    <row r="1945" spans="3:9">
      <c r="C1945" s="23">
        <v>738</v>
      </c>
      <c r="D1945" s="23" t="s">
        <v>132</v>
      </c>
      <c r="E1945" s="23" t="str">
        <f>Contributions_Data!A752</f>
        <v>DA-002</v>
      </c>
      <c r="F1945" s="23" t="str">
        <f>Contributions_Data!B752</f>
        <v>DA-002-M0063</v>
      </c>
      <c r="G1945" s="24">
        <f>Contributions_Data!C752</f>
        <v>45586</v>
      </c>
      <c r="H1945" s="27">
        <f>Contributions_Data!D752</f>
        <v>16941.59</v>
      </c>
      <c r="I1945" s="27">
        <v>0</v>
      </c>
    </row>
    <row r="1946" spans="3:9">
      <c r="C1946" s="23">
        <v>739</v>
      </c>
      <c r="D1946" s="23" t="s">
        <v>132</v>
      </c>
      <c r="E1946" s="23" t="str">
        <f>Contributions_Data!A811</f>
        <v>DA-003</v>
      </c>
      <c r="F1946" s="23" t="str">
        <f>Contributions_Data!B811</f>
        <v>DA-003-M0068</v>
      </c>
      <c r="G1946" s="24">
        <f>Contributions_Data!C811</f>
        <v>45586</v>
      </c>
      <c r="H1946" s="27">
        <f>Contributions_Data!D811</f>
        <v>15451.26</v>
      </c>
      <c r="I1946" s="27">
        <v>0</v>
      </c>
    </row>
    <row r="1947" spans="3:9">
      <c r="C1947" s="23">
        <v>740</v>
      </c>
      <c r="D1947" s="23" t="s">
        <v>132</v>
      </c>
      <c r="E1947" s="23" t="str">
        <f>Contributions_Data!A1008</f>
        <v>DA-003</v>
      </c>
      <c r="F1947" s="23" t="str">
        <f>Contributions_Data!B1008</f>
        <v>DA-003-M0084</v>
      </c>
      <c r="G1947" s="24">
        <f>Contributions_Data!C1008</f>
        <v>45586</v>
      </c>
      <c r="H1947" s="27">
        <f>Contributions_Data!D1008</f>
        <v>14524.41</v>
      </c>
      <c r="I1947" s="27">
        <v>0</v>
      </c>
    </row>
    <row r="1948" spans="3:9">
      <c r="C1948" s="23">
        <v>741</v>
      </c>
      <c r="D1948" s="23" t="s">
        <v>134</v>
      </c>
      <c r="E1948" s="23" t="str">
        <f>Withdrawals_Data!A101</f>
        <v>DA-001</v>
      </c>
      <c r="F1948" s="23" t="str">
        <f>Withdrawals_Data!B101</f>
        <v>DA-001-M0096</v>
      </c>
      <c r="G1948" s="24">
        <f>Withdrawals_Data!C101</f>
        <v>45586</v>
      </c>
      <c r="H1948" s="27">
        <v>0</v>
      </c>
      <c r="I1948" s="27">
        <f>-Withdrawals_Data!D101</f>
        <v>-9875.1</v>
      </c>
    </row>
    <row r="1949" spans="3:9">
      <c r="C1949" s="23">
        <v>742</v>
      </c>
      <c r="D1949" s="23" t="s">
        <v>134</v>
      </c>
      <c r="E1949" s="23" t="str">
        <f>Withdrawals_Data!A104</f>
        <v>DA-001</v>
      </c>
      <c r="F1949" s="23" t="str">
        <f>Withdrawals_Data!B104</f>
        <v>DA-001-M0083</v>
      </c>
      <c r="G1949" s="24">
        <f>Withdrawals_Data!C104</f>
        <v>45586</v>
      </c>
      <c r="H1949" s="27">
        <v>0</v>
      </c>
      <c r="I1949" s="27">
        <f>-Withdrawals_Data!D104</f>
        <v>-9747.75</v>
      </c>
    </row>
    <row r="1950" spans="3:9">
      <c r="C1950" s="23">
        <v>743</v>
      </c>
      <c r="D1950" s="23" t="s">
        <v>132</v>
      </c>
      <c r="E1950" s="23" t="str">
        <f>Contributions_Data!A1140</f>
        <v>DA-003</v>
      </c>
      <c r="F1950" s="23" t="str">
        <f>Contributions_Data!B1140</f>
        <v>DA-003-M0095</v>
      </c>
      <c r="G1950" s="24">
        <f>Contributions_Data!C1140</f>
        <v>45587</v>
      </c>
      <c r="H1950" s="27">
        <f>Contributions_Data!D1140</f>
        <v>10215.89</v>
      </c>
      <c r="I1950" s="27">
        <v>0</v>
      </c>
    </row>
    <row r="1951" spans="3:9">
      <c r="C1951" s="23">
        <v>744</v>
      </c>
      <c r="D1951" s="23" t="s">
        <v>134</v>
      </c>
      <c r="E1951" s="23" t="str">
        <f>Withdrawals_Data!A153</f>
        <v>DA-003</v>
      </c>
      <c r="F1951" s="23" t="str">
        <f>Withdrawals_Data!B153</f>
        <v>DA-003-M0059</v>
      </c>
      <c r="G1951" s="24">
        <f>Withdrawals_Data!C153</f>
        <v>45587</v>
      </c>
      <c r="H1951" s="27">
        <v>0</v>
      </c>
      <c r="I1951" s="27">
        <f>-Withdrawals_Data!D153</f>
        <v>-8512.42</v>
      </c>
    </row>
    <row r="1952" spans="3:9">
      <c r="C1952" s="23">
        <v>745</v>
      </c>
      <c r="D1952" s="23" t="s">
        <v>134</v>
      </c>
      <c r="E1952" s="23" t="str">
        <f>Withdrawals_Data!A1106</f>
        <v>DA-002</v>
      </c>
      <c r="F1952" s="23" t="str">
        <f>Withdrawals_Data!B1106</f>
        <v>DA-002-M0089</v>
      </c>
      <c r="G1952" s="24">
        <f>Withdrawals_Data!C1106</f>
        <v>45587</v>
      </c>
      <c r="H1952" s="27">
        <v>0</v>
      </c>
      <c r="I1952" s="27">
        <f>-Withdrawals_Data!D1106</f>
        <v>-16663</v>
      </c>
    </row>
    <row r="1953" spans="3:9">
      <c r="C1953" s="23">
        <v>746</v>
      </c>
      <c r="D1953" s="23" t="s">
        <v>132</v>
      </c>
      <c r="E1953" s="23" t="str">
        <f>Contributions_Data!A207</f>
        <v>DA-002</v>
      </c>
      <c r="F1953" s="23" t="str">
        <f>Contributions_Data!B207</f>
        <v>DA-002-M0018</v>
      </c>
      <c r="G1953" s="24">
        <f>Contributions_Data!C207</f>
        <v>45588</v>
      </c>
      <c r="H1953" s="27">
        <f>Contributions_Data!D207</f>
        <v>15932.72</v>
      </c>
      <c r="I1953" s="27">
        <v>0</v>
      </c>
    </row>
    <row r="1954" spans="3:9">
      <c r="C1954" s="23">
        <v>747</v>
      </c>
      <c r="D1954" s="23" t="s">
        <v>132</v>
      </c>
      <c r="E1954" s="23" t="str">
        <f>Contributions_Data!A708</f>
        <v>DA-003</v>
      </c>
      <c r="F1954" s="23" t="str">
        <f>Contributions_Data!B708</f>
        <v>DA-003-M0059</v>
      </c>
      <c r="G1954" s="24">
        <f>Contributions_Data!C708</f>
        <v>45588</v>
      </c>
      <c r="H1954" s="27">
        <f>Contributions_Data!D708</f>
        <v>17357.400000000001</v>
      </c>
      <c r="I1954" s="27">
        <v>0</v>
      </c>
    </row>
    <row r="1955" spans="3:9">
      <c r="C1955" s="23">
        <v>748</v>
      </c>
      <c r="D1955" s="23" t="s">
        <v>132</v>
      </c>
      <c r="E1955" s="23" t="str">
        <f>Contributions_Data!A832</f>
        <v>DA-002</v>
      </c>
      <c r="F1955" s="23" t="str">
        <f>Contributions_Data!B832</f>
        <v>DA-002-M0070</v>
      </c>
      <c r="G1955" s="24">
        <f>Contributions_Data!C832</f>
        <v>45588</v>
      </c>
      <c r="H1955" s="27">
        <f>Contributions_Data!D832</f>
        <v>19127.12</v>
      </c>
      <c r="I1955" s="27">
        <v>0</v>
      </c>
    </row>
    <row r="1956" spans="3:9">
      <c r="C1956" s="23">
        <v>749</v>
      </c>
      <c r="D1956" s="23" t="s">
        <v>132</v>
      </c>
      <c r="E1956" s="23" t="str">
        <f>Contributions_Data!A881</f>
        <v>DA-001</v>
      </c>
      <c r="F1956" s="23" t="str">
        <f>Contributions_Data!B881</f>
        <v>DA-001-M0074</v>
      </c>
      <c r="G1956" s="24">
        <f>Contributions_Data!C881</f>
        <v>45588</v>
      </c>
      <c r="H1956" s="27">
        <f>Contributions_Data!D881</f>
        <v>13011.3</v>
      </c>
      <c r="I1956" s="27">
        <v>0</v>
      </c>
    </row>
    <row r="1957" spans="3:9">
      <c r="C1957" s="23">
        <v>750</v>
      </c>
      <c r="D1957" s="23" t="s">
        <v>132</v>
      </c>
      <c r="E1957" s="23" t="str">
        <f>Contributions_Data!A1024</f>
        <v>DA-003</v>
      </c>
      <c r="F1957" s="23" t="str">
        <f>Contributions_Data!B1024</f>
        <v>DA-003-M0086</v>
      </c>
      <c r="G1957" s="24">
        <f>Contributions_Data!C1024</f>
        <v>45588</v>
      </c>
      <c r="H1957" s="27">
        <f>Contributions_Data!D1024</f>
        <v>13182.86</v>
      </c>
      <c r="I1957" s="27">
        <v>0</v>
      </c>
    </row>
    <row r="1958" spans="3:9">
      <c r="C1958" s="23">
        <v>751</v>
      </c>
      <c r="D1958" s="23" t="s">
        <v>132</v>
      </c>
      <c r="E1958" s="23" t="str">
        <f>Contributions_Data!A1051</f>
        <v>DA-002</v>
      </c>
      <c r="F1958" s="23" t="str">
        <f>Contributions_Data!B1051</f>
        <v>DA-002-M0088</v>
      </c>
      <c r="G1958" s="24">
        <f>Contributions_Data!C1051</f>
        <v>45588</v>
      </c>
      <c r="H1958" s="27">
        <f>Contributions_Data!D1051</f>
        <v>19585.41</v>
      </c>
      <c r="I1958" s="27">
        <v>0</v>
      </c>
    </row>
    <row r="1959" spans="3:9">
      <c r="C1959" s="23">
        <v>752</v>
      </c>
      <c r="D1959" s="23" t="s">
        <v>132</v>
      </c>
      <c r="E1959" s="23" t="str">
        <f>Contributions_Data!A1120</f>
        <v>DA-002</v>
      </c>
      <c r="F1959" s="23" t="str">
        <f>Contributions_Data!B1120</f>
        <v>DA-002-M0094</v>
      </c>
      <c r="G1959" s="24">
        <f>Contributions_Data!C1120</f>
        <v>45588</v>
      </c>
      <c r="H1959" s="27">
        <f>Contributions_Data!D1120</f>
        <v>14419.02</v>
      </c>
      <c r="I1959" s="27">
        <v>0</v>
      </c>
    </row>
    <row r="1960" spans="3:9">
      <c r="C1960" s="23">
        <v>753</v>
      </c>
      <c r="D1960" s="23" t="s">
        <v>134</v>
      </c>
      <c r="E1960" s="23" t="str">
        <f>Withdrawals_Data!A561</f>
        <v>DA-002</v>
      </c>
      <c r="F1960" s="23" t="str">
        <f>Withdrawals_Data!B561</f>
        <v>DA-002-M0027</v>
      </c>
      <c r="G1960" s="24">
        <f>Withdrawals_Data!C561</f>
        <v>45588</v>
      </c>
      <c r="H1960" s="27">
        <v>0</v>
      </c>
      <c r="I1960" s="27">
        <f>-Withdrawals_Data!D561</f>
        <v>-9827</v>
      </c>
    </row>
    <row r="1961" spans="3:9">
      <c r="C1961" s="23">
        <v>754</v>
      </c>
      <c r="D1961" s="23" t="s">
        <v>132</v>
      </c>
      <c r="E1961" s="23" t="str">
        <f>Contributions_Data!A267</f>
        <v>DA-002</v>
      </c>
      <c r="F1961" s="23" t="str">
        <f>Contributions_Data!B267</f>
        <v>DA-002-M0023</v>
      </c>
      <c r="G1961" s="24">
        <f>Contributions_Data!C267</f>
        <v>45589</v>
      </c>
      <c r="H1961" s="27">
        <f>Contributions_Data!D267</f>
        <v>12105.23</v>
      </c>
      <c r="I1961" s="27">
        <v>0</v>
      </c>
    </row>
    <row r="1962" spans="3:9">
      <c r="C1962" s="23">
        <v>755</v>
      </c>
      <c r="D1962" s="23" t="s">
        <v>132</v>
      </c>
      <c r="E1962" s="23" t="str">
        <f>Contributions_Data!A754</f>
        <v>DA-002</v>
      </c>
      <c r="F1962" s="23" t="str">
        <f>Contributions_Data!B754</f>
        <v>DA-002-M0063</v>
      </c>
      <c r="G1962" s="24">
        <f>Contributions_Data!C754</f>
        <v>45589</v>
      </c>
      <c r="H1962" s="27">
        <f>Contributions_Data!D754</f>
        <v>19721.96</v>
      </c>
      <c r="I1962" s="27">
        <v>0</v>
      </c>
    </row>
    <row r="1963" spans="3:9">
      <c r="C1963" s="23">
        <v>756</v>
      </c>
      <c r="D1963" s="23" t="s">
        <v>132</v>
      </c>
      <c r="E1963" s="23" t="str">
        <f>Contributions_Data!A787</f>
        <v>DA-003</v>
      </c>
      <c r="F1963" s="23" t="str">
        <f>Contributions_Data!B787</f>
        <v>DA-003-M0066</v>
      </c>
      <c r="G1963" s="24">
        <f>Contributions_Data!C787</f>
        <v>45589</v>
      </c>
      <c r="H1963" s="27">
        <f>Contributions_Data!D787</f>
        <v>13952.23</v>
      </c>
      <c r="I1963" s="27">
        <v>0</v>
      </c>
    </row>
    <row r="1964" spans="3:9">
      <c r="C1964" s="23">
        <v>757</v>
      </c>
      <c r="D1964" s="23" t="s">
        <v>134</v>
      </c>
      <c r="E1964" s="23" t="str">
        <f>Withdrawals_Data!A443</f>
        <v>DA-003</v>
      </c>
      <c r="F1964" s="23" t="str">
        <f>Withdrawals_Data!B443</f>
        <v>DA-003-M0014</v>
      </c>
      <c r="G1964" s="24">
        <f>Withdrawals_Data!C443</f>
        <v>45589</v>
      </c>
      <c r="H1964" s="27">
        <v>0</v>
      </c>
      <c r="I1964" s="27">
        <f>-Withdrawals_Data!D443</f>
        <v>-16232</v>
      </c>
    </row>
    <row r="1965" spans="3:9">
      <c r="C1965" s="23">
        <v>758</v>
      </c>
      <c r="D1965" s="23" t="s">
        <v>132</v>
      </c>
      <c r="E1965" s="23" t="str">
        <f>Contributions_Data!A276</f>
        <v>DA-002</v>
      </c>
      <c r="F1965" s="23" t="str">
        <f>Contributions_Data!B276</f>
        <v>DA-002-M0023</v>
      </c>
      <c r="G1965" s="24">
        <f>Contributions_Data!C276</f>
        <v>45590</v>
      </c>
      <c r="H1965" s="27">
        <f>Contributions_Data!D276</f>
        <v>15222.28</v>
      </c>
      <c r="I1965" s="27">
        <v>0</v>
      </c>
    </row>
    <row r="1966" spans="3:9">
      <c r="C1966" s="23">
        <v>759</v>
      </c>
      <c r="D1966" s="23" t="s">
        <v>134</v>
      </c>
      <c r="E1966" s="23" t="str">
        <f>Withdrawals_Data!A502</f>
        <v>DA-002</v>
      </c>
      <c r="F1966" s="23" t="str">
        <f>Withdrawals_Data!B502</f>
        <v>DA-002-M0021</v>
      </c>
      <c r="G1966" s="24">
        <f>Withdrawals_Data!C502</f>
        <v>45590</v>
      </c>
      <c r="H1966" s="27">
        <v>0</v>
      </c>
      <c r="I1966" s="27">
        <f>-Withdrawals_Data!D502</f>
        <v>-12956</v>
      </c>
    </row>
    <row r="1967" spans="3:9">
      <c r="C1967" s="23">
        <v>760</v>
      </c>
      <c r="D1967" s="23" t="s">
        <v>134</v>
      </c>
      <c r="E1967" s="23" t="str">
        <f>Withdrawals_Data!A890</f>
        <v>DA-002</v>
      </c>
      <c r="F1967" s="23" t="str">
        <f>Withdrawals_Data!B890</f>
        <v>DA-002-M0064</v>
      </c>
      <c r="G1967" s="24">
        <f>Withdrawals_Data!C890</f>
        <v>45590</v>
      </c>
      <c r="H1967" s="27">
        <v>0</v>
      </c>
      <c r="I1967" s="27">
        <f>-Withdrawals_Data!D890</f>
        <v>-3561</v>
      </c>
    </row>
    <row r="1968" spans="3:9">
      <c r="C1968" s="23">
        <v>761</v>
      </c>
      <c r="D1968" s="23" t="s">
        <v>132</v>
      </c>
      <c r="E1968" s="23" t="str">
        <f>Contributions_Data!A14</f>
        <v>DA-001</v>
      </c>
      <c r="F1968" s="23" t="str">
        <f>Contributions_Data!B14</f>
        <v>DA-001-M0002</v>
      </c>
      <c r="G1968" s="24">
        <f>Contributions_Data!C14</f>
        <v>45591</v>
      </c>
      <c r="H1968" s="27">
        <f>Contributions_Data!D14</f>
        <v>12893.84</v>
      </c>
      <c r="I1968" s="27">
        <v>0</v>
      </c>
    </row>
    <row r="1969" spans="3:9">
      <c r="C1969" s="23">
        <v>762</v>
      </c>
      <c r="D1969" s="23" t="s">
        <v>132</v>
      </c>
      <c r="E1969" s="23" t="str">
        <f>Contributions_Data!A180</f>
        <v>DA-003</v>
      </c>
      <c r="F1969" s="23" t="str">
        <f>Contributions_Data!B180</f>
        <v>DA-003-M0015</v>
      </c>
      <c r="G1969" s="24">
        <f>Contributions_Data!C180</f>
        <v>45591</v>
      </c>
      <c r="H1969" s="27">
        <f>Contributions_Data!D180</f>
        <v>15063.01</v>
      </c>
      <c r="I1969" s="27">
        <v>0</v>
      </c>
    </row>
    <row r="1970" spans="3:9">
      <c r="C1970" s="23">
        <v>763</v>
      </c>
      <c r="D1970" s="23" t="s">
        <v>132</v>
      </c>
      <c r="E1970" s="23" t="str">
        <f>Contributions_Data!A189</f>
        <v>DA-002</v>
      </c>
      <c r="F1970" s="23" t="str">
        <f>Contributions_Data!B189</f>
        <v>DA-002-M0016</v>
      </c>
      <c r="G1970" s="24">
        <f>Contributions_Data!C189</f>
        <v>45591</v>
      </c>
      <c r="H1970" s="27">
        <f>Contributions_Data!D189</f>
        <v>16872.36</v>
      </c>
      <c r="I1970" s="27">
        <v>0</v>
      </c>
    </row>
    <row r="1971" spans="3:9">
      <c r="C1971" s="23">
        <v>764</v>
      </c>
      <c r="D1971" s="23" t="s">
        <v>132</v>
      </c>
      <c r="E1971" s="23" t="str">
        <f>Contributions_Data!A249</f>
        <v>DA-002</v>
      </c>
      <c r="F1971" s="23" t="str">
        <f>Contributions_Data!B249</f>
        <v>DA-002-M0021</v>
      </c>
      <c r="G1971" s="24">
        <f>Contributions_Data!C249</f>
        <v>45591</v>
      </c>
      <c r="H1971" s="27">
        <f>Contributions_Data!D249</f>
        <v>15140.94</v>
      </c>
      <c r="I1971" s="27">
        <v>0</v>
      </c>
    </row>
    <row r="1972" spans="3:9">
      <c r="C1972" s="23">
        <v>765</v>
      </c>
      <c r="D1972" s="23" t="s">
        <v>132</v>
      </c>
      <c r="E1972" s="23" t="str">
        <f>Contributions_Data!A372</f>
        <v>DA-003</v>
      </c>
      <c r="F1972" s="23" t="str">
        <f>Contributions_Data!B372</f>
        <v>DA-003-M0031</v>
      </c>
      <c r="G1972" s="24">
        <f>Contributions_Data!C372</f>
        <v>45591</v>
      </c>
      <c r="H1972" s="27">
        <f>Contributions_Data!D372</f>
        <v>21226.2</v>
      </c>
      <c r="I1972" s="27">
        <v>0</v>
      </c>
    </row>
    <row r="1973" spans="3:9">
      <c r="C1973" s="23">
        <v>766</v>
      </c>
      <c r="D1973" s="23" t="s">
        <v>132</v>
      </c>
      <c r="E1973" s="23" t="str">
        <f>Contributions_Data!A376</f>
        <v>DA-003</v>
      </c>
      <c r="F1973" s="23" t="str">
        <f>Contributions_Data!B376</f>
        <v>DA-003-M0032</v>
      </c>
      <c r="G1973" s="24">
        <f>Contributions_Data!C376</f>
        <v>45591</v>
      </c>
      <c r="H1973" s="27">
        <f>Contributions_Data!D376</f>
        <v>13775.77</v>
      </c>
      <c r="I1973" s="27">
        <v>0</v>
      </c>
    </row>
    <row r="1974" spans="3:9">
      <c r="C1974" s="23">
        <v>767</v>
      </c>
      <c r="D1974" s="23" t="s">
        <v>132</v>
      </c>
      <c r="E1974" s="23" t="str">
        <f>Contributions_Data!A722</f>
        <v>DA-003</v>
      </c>
      <c r="F1974" s="23" t="str">
        <f>Contributions_Data!B722</f>
        <v>DA-003-M0061</v>
      </c>
      <c r="G1974" s="24">
        <f>Contributions_Data!C722</f>
        <v>45591</v>
      </c>
      <c r="H1974" s="27">
        <f>Contributions_Data!D722</f>
        <v>16717.75</v>
      </c>
      <c r="I1974" s="27">
        <v>0</v>
      </c>
    </row>
    <row r="1975" spans="3:9">
      <c r="C1975" s="23">
        <v>768</v>
      </c>
      <c r="D1975" s="23" t="s">
        <v>134</v>
      </c>
      <c r="E1975" s="23" t="str">
        <f>Withdrawals_Data!A227</f>
        <v>DA-001</v>
      </c>
      <c r="F1975" s="23" t="str">
        <f>Withdrawals_Data!B227</f>
        <v>DA-001-M0092</v>
      </c>
      <c r="G1975" s="24">
        <f>Withdrawals_Data!C227</f>
        <v>45591</v>
      </c>
      <c r="H1975" s="27">
        <v>0</v>
      </c>
      <c r="I1975" s="27">
        <f>-Withdrawals_Data!D227</f>
        <v>-6250.17</v>
      </c>
    </row>
    <row r="1976" spans="3:9">
      <c r="C1976" s="23">
        <v>769</v>
      </c>
      <c r="D1976" s="23" t="s">
        <v>134</v>
      </c>
      <c r="E1976" s="23" t="str">
        <f>Withdrawals_Data!A305</f>
        <v>DA-002</v>
      </c>
      <c r="F1976" s="23" t="str">
        <f>Withdrawals_Data!B305</f>
        <v>DA-002-M0030</v>
      </c>
      <c r="G1976" s="24">
        <f>Withdrawals_Data!C305</f>
        <v>45591</v>
      </c>
      <c r="H1976" s="27">
        <v>0</v>
      </c>
      <c r="I1976" s="27">
        <f>-Withdrawals_Data!D305</f>
        <v>-3155.94</v>
      </c>
    </row>
    <row r="1977" spans="3:9">
      <c r="C1977" s="23">
        <v>770</v>
      </c>
      <c r="D1977" s="23" t="s">
        <v>134</v>
      </c>
      <c r="E1977" s="23" t="str">
        <f>Withdrawals_Data!A897</f>
        <v>DA-001</v>
      </c>
      <c r="F1977" s="23" t="str">
        <f>Withdrawals_Data!B897</f>
        <v>DA-001-M0065</v>
      </c>
      <c r="G1977" s="24">
        <f>Withdrawals_Data!C897</f>
        <v>45591</v>
      </c>
      <c r="H1977" s="27">
        <v>0</v>
      </c>
      <c r="I1977" s="27">
        <f>-Withdrawals_Data!D897</f>
        <v>-10240</v>
      </c>
    </row>
    <row r="1978" spans="3:9">
      <c r="C1978" s="23">
        <v>771</v>
      </c>
      <c r="D1978" s="23" t="s">
        <v>134</v>
      </c>
      <c r="E1978" s="23" t="str">
        <f>Withdrawals_Data!A1127</f>
        <v>DA-001</v>
      </c>
      <c r="F1978" s="23" t="str">
        <f>Withdrawals_Data!B1127</f>
        <v>DA-001-M0092</v>
      </c>
      <c r="G1978" s="24">
        <f>Withdrawals_Data!C1127</f>
        <v>45591</v>
      </c>
      <c r="H1978" s="27">
        <v>0</v>
      </c>
      <c r="I1978" s="27">
        <f>-Withdrawals_Data!D1127</f>
        <v>-10833</v>
      </c>
    </row>
    <row r="1979" spans="3:9">
      <c r="C1979" s="23">
        <v>772</v>
      </c>
      <c r="D1979" s="23" t="s">
        <v>132</v>
      </c>
      <c r="E1979" s="23" t="str">
        <f>Contributions_Data!A316</f>
        <v>DA-002</v>
      </c>
      <c r="F1979" s="23" t="str">
        <f>Contributions_Data!B316</f>
        <v>DA-002-M0027</v>
      </c>
      <c r="G1979" s="24">
        <f>Contributions_Data!C316</f>
        <v>45592</v>
      </c>
      <c r="H1979" s="27">
        <f>Contributions_Data!D316</f>
        <v>20061.419999999998</v>
      </c>
      <c r="I1979" s="27">
        <v>0</v>
      </c>
    </row>
    <row r="1980" spans="3:9">
      <c r="C1980" s="23">
        <v>773</v>
      </c>
      <c r="D1980" s="23" t="s">
        <v>132</v>
      </c>
      <c r="E1980" s="23" t="str">
        <f>Contributions_Data!A621</f>
        <v>DA-003</v>
      </c>
      <c r="F1980" s="23" t="str">
        <f>Contributions_Data!B621</f>
        <v>DA-003-M0052</v>
      </c>
      <c r="G1980" s="24">
        <f>Contributions_Data!C621</f>
        <v>45592</v>
      </c>
      <c r="H1980" s="27">
        <f>Contributions_Data!D621</f>
        <v>10862.04</v>
      </c>
      <c r="I1980" s="27">
        <v>0</v>
      </c>
    </row>
    <row r="1981" spans="3:9">
      <c r="C1981" s="23">
        <v>774</v>
      </c>
      <c r="D1981" s="23" t="s">
        <v>132</v>
      </c>
      <c r="E1981" s="23" t="str">
        <f>Contributions_Data!A634</f>
        <v>DA-001</v>
      </c>
      <c r="F1981" s="23" t="str">
        <f>Contributions_Data!B634</f>
        <v>DA-001-M0053</v>
      </c>
      <c r="G1981" s="24">
        <f>Contributions_Data!C634</f>
        <v>45592</v>
      </c>
      <c r="H1981" s="27">
        <f>Contributions_Data!D634</f>
        <v>13922.12</v>
      </c>
      <c r="I1981" s="27">
        <v>0</v>
      </c>
    </row>
    <row r="1982" spans="3:9">
      <c r="C1982" s="23">
        <v>775</v>
      </c>
      <c r="D1982" s="23" t="s">
        <v>132</v>
      </c>
      <c r="E1982" s="23" t="str">
        <f>Contributions_Data!A691</f>
        <v>DA-001</v>
      </c>
      <c r="F1982" s="23" t="str">
        <f>Contributions_Data!B691</f>
        <v>DA-001-M0058</v>
      </c>
      <c r="G1982" s="24">
        <f>Contributions_Data!C691</f>
        <v>45592</v>
      </c>
      <c r="H1982" s="27">
        <f>Contributions_Data!D691</f>
        <v>16928.169999999998</v>
      </c>
      <c r="I1982" s="27">
        <v>0</v>
      </c>
    </row>
    <row r="1983" spans="3:9">
      <c r="C1983" s="23">
        <v>776</v>
      </c>
      <c r="D1983" s="23" t="s">
        <v>132</v>
      </c>
      <c r="E1983" s="23" t="str">
        <f>Contributions_Data!A1116</f>
        <v>DA-001</v>
      </c>
      <c r="F1983" s="23" t="str">
        <f>Contributions_Data!B1116</f>
        <v>DA-001-M0093</v>
      </c>
      <c r="G1983" s="24">
        <f>Contributions_Data!C1116</f>
        <v>45592</v>
      </c>
      <c r="H1983" s="27">
        <f>Contributions_Data!D1116</f>
        <v>14989.88</v>
      </c>
      <c r="I1983" s="27">
        <v>0</v>
      </c>
    </row>
    <row r="1984" spans="3:9">
      <c r="C1984" s="23">
        <v>777</v>
      </c>
      <c r="D1984" s="23" t="s">
        <v>134</v>
      </c>
      <c r="E1984" s="23" t="str">
        <f>Withdrawals_Data!A961</f>
        <v>DA-001</v>
      </c>
      <c r="F1984" s="23" t="str">
        <f>Withdrawals_Data!B961</f>
        <v>DA-001-M0073</v>
      </c>
      <c r="G1984" s="24">
        <f>Withdrawals_Data!C961</f>
        <v>45592</v>
      </c>
      <c r="H1984" s="27">
        <v>0</v>
      </c>
      <c r="I1984" s="27">
        <f>-Withdrawals_Data!D961</f>
        <v>-11692</v>
      </c>
    </row>
    <row r="1985" spans="3:9">
      <c r="C1985" s="23">
        <v>778</v>
      </c>
      <c r="D1985" s="23" t="s">
        <v>132</v>
      </c>
      <c r="E1985" s="23" t="str">
        <f>Contributions_Data!A489</f>
        <v>DA-002</v>
      </c>
      <c r="F1985" s="23" t="str">
        <f>Contributions_Data!B489</f>
        <v>DA-002-M0041</v>
      </c>
      <c r="G1985" s="24">
        <f>Contributions_Data!C489</f>
        <v>45593</v>
      </c>
      <c r="H1985" s="27">
        <f>Contributions_Data!D489</f>
        <v>15633.05</v>
      </c>
      <c r="I1985" s="27">
        <v>0</v>
      </c>
    </row>
    <row r="1986" spans="3:9">
      <c r="C1986" s="23">
        <v>779</v>
      </c>
      <c r="D1986" s="23" t="s">
        <v>132</v>
      </c>
      <c r="E1986" s="23" t="str">
        <f>Contributions_Data!A783</f>
        <v>DA-003</v>
      </c>
      <c r="F1986" s="23" t="str">
        <f>Contributions_Data!B783</f>
        <v>DA-003-M0066</v>
      </c>
      <c r="G1986" s="24">
        <f>Contributions_Data!C783</f>
        <v>45593</v>
      </c>
      <c r="H1986" s="27">
        <f>Contributions_Data!D783</f>
        <v>13518.73</v>
      </c>
      <c r="I1986" s="27">
        <v>0</v>
      </c>
    </row>
    <row r="1987" spans="3:9">
      <c r="C1987" s="23">
        <v>780</v>
      </c>
      <c r="D1987" s="23" t="s">
        <v>132</v>
      </c>
      <c r="E1987" s="23" t="str">
        <f>Contributions_Data!A949</f>
        <v>DA-003</v>
      </c>
      <c r="F1987" s="23" t="str">
        <f>Contributions_Data!B949</f>
        <v>DA-003-M0079</v>
      </c>
      <c r="G1987" s="24">
        <f>Contributions_Data!C949</f>
        <v>45593</v>
      </c>
      <c r="H1987" s="27">
        <f>Contributions_Data!D949</f>
        <v>14129.18</v>
      </c>
      <c r="I1987" s="27">
        <v>0</v>
      </c>
    </row>
    <row r="1988" spans="3:9">
      <c r="C1988" s="23">
        <v>781</v>
      </c>
      <c r="D1988" s="23" t="s">
        <v>132</v>
      </c>
      <c r="E1988" s="23" t="str">
        <f>Contributions_Data!A998</f>
        <v>DA-003</v>
      </c>
      <c r="F1988" s="23" t="str">
        <f>Contributions_Data!B998</f>
        <v>DA-003-M0084</v>
      </c>
      <c r="G1988" s="24">
        <f>Contributions_Data!C998</f>
        <v>45593</v>
      </c>
      <c r="H1988" s="27">
        <f>Contributions_Data!D998</f>
        <v>16624.39</v>
      </c>
      <c r="I1988" s="27">
        <v>0</v>
      </c>
    </row>
    <row r="1989" spans="3:9">
      <c r="C1989" s="23">
        <v>782</v>
      </c>
      <c r="D1989" s="23" t="s">
        <v>134</v>
      </c>
      <c r="E1989" s="23" t="str">
        <f>Withdrawals_Data!A307</f>
        <v>DA-002</v>
      </c>
      <c r="F1989" s="23" t="str">
        <f>Withdrawals_Data!B307</f>
        <v>DA-002-M0063</v>
      </c>
      <c r="G1989" s="24">
        <f>Withdrawals_Data!C307</f>
        <v>45593</v>
      </c>
      <c r="H1989" s="27">
        <v>0</v>
      </c>
      <c r="I1989" s="27">
        <f>-Withdrawals_Data!D307</f>
        <v>-3096.94</v>
      </c>
    </row>
    <row r="1990" spans="3:9">
      <c r="C1990" s="23">
        <v>783</v>
      </c>
      <c r="D1990" s="23" t="s">
        <v>134</v>
      </c>
      <c r="E1990" s="23" t="str">
        <f>Withdrawals_Data!A446</f>
        <v>DA-003</v>
      </c>
      <c r="F1990" s="23" t="str">
        <f>Withdrawals_Data!B446</f>
        <v>DA-003-M0014</v>
      </c>
      <c r="G1990" s="24">
        <f>Withdrawals_Data!C446</f>
        <v>45593</v>
      </c>
      <c r="H1990" s="27">
        <v>0</v>
      </c>
      <c r="I1990" s="27">
        <f>-Withdrawals_Data!D446</f>
        <v>-11900</v>
      </c>
    </row>
    <row r="1991" spans="3:9">
      <c r="C1991" s="23">
        <v>784</v>
      </c>
      <c r="D1991" s="23" t="s">
        <v>134</v>
      </c>
      <c r="E1991" s="23" t="str">
        <f>Withdrawals_Data!A474</f>
        <v>DA-002</v>
      </c>
      <c r="F1991" s="23" t="str">
        <f>Withdrawals_Data!B474</f>
        <v>DA-002-M0018</v>
      </c>
      <c r="G1991" s="24">
        <f>Withdrawals_Data!C474</f>
        <v>45593</v>
      </c>
      <c r="H1991" s="27">
        <v>0</v>
      </c>
      <c r="I1991" s="27">
        <f>-Withdrawals_Data!D474</f>
        <v>-4292</v>
      </c>
    </row>
    <row r="1992" spans="3:9">
      <c r="C1992" s="23">
        <v>785</v>
      </c>
      <c r="D1992" s="23" t="s">
        <v>134</v>
      </c>
      <c r="E1992" s="23" t="str">
        <f>Withdrawals_Data!A917</f>
        <v>DA-003</v>
      </c>
      <c r="F1992" s="23" t="str">
        <f>Withdrawals_Data!B917</f>
        <v>DA-003-M0068</v>
      </c>
      <c r="G1992" s="24">
        <f>Withdrawals_Data!C917</f>
        <v>45593</v>
      </c>
      <c r="H1992" s="27">
        <v>0</v>
      </c>
      <c r="I1992" s="27">
        <f>-Withdrawals_Data!D917</f>
        <v>-14378</v>
      </c>
    </row>
    <row r="1993" spans="3:9">
      <c r="C1993" s="23">
        <v>786</v>
      </c>
      <c r="D1993" s="23" t="s">
        <v>132</v>
      </c>
      <c r="E1993" s="23" t="str">
        <f>Contributions_Data!A138</f>
        <v>DA-003</v>
      </c>
      <c r="F1993" s="23" t="str">
        <f>Contributions_Data!B138</f>
        <v>DA-003-M0012</v>
      </c>
      <c r="G1993" s="24">
        <f>Contributions_Data!C138</f>
        <v>45594</v>
      </c>
      <c r="H1993" s="27">
        <f>Contributions_Data!D138</f>
        <v>17323.900000000001</v>
      </c>
      <c r="I1993" s="27">
        <v>0</v>
      </c>
    </row>
    <row r="1994" spans="3:9">
      <c r="C1994" s="23">
        <v>787</v>
      </c>
      <c r="D1994" s="23" t="s">
        <v>132</v>
      </c>
      <c r="E1994" s="23" t="str">
        <f>Contributions_Data!A747</f>
        <v>DA-002</v>
      </c>
      <c r="F1994" s="23" t="str">
        <f>Contributions_Data!B747</f>
        <v>DA-002-M0063</v>
      </c>
      <c r="G1994" s="24">
        <f>Contributions_Data!C747</f>
        <v>45594</v>
      </c>
      <c r="H1994" s="27">
        <f>Contributions_Data!D747</f>
        <v>16840.55</v>
      </c>
      <c r="I1994" s="27">
        <v>0</v>
      </c>
    </row>
    <row r="1995" spans="3:9">
      <c r="C1995" s="23">
        <v>788</v>
      </c>
      <c r="D1995" s="23" t="s">
        <v>132</v>
      </c>
      <c r="E1995" s="23" t="str">
        <f>Contributions_Data!A846</f>
        <v>DA-001</v>
      </c>
      <c r="F1995" s="23" t="str">
        <f>Contributions_Data!B846</f>
        <v>DA-001-M0071</v>
      </c>
      <c r="G1995" s="24">
        <f>Contributions_Data!C846</f>
        <v>45594</v>
      </c>
      <c r="H1995" s="27">
        <f>Contributions_Data!D846</f>
        <v>7501.78</v>
      </c>
      <c r="I1995" s="27">
        <v>0</v>
      </c>
    </row>
    <row r="1996" spans="3:9">
      <c r="C1996" s="23">
        <v>789</v>
      </c>
      <c r="D1996" s="23" t="s">
        <v>134</v>
      </c>
      <c r="E1996" s="23" t="str">
        <f>Withdrawals_Data!A100</f>
        <v>DA-002</v>
      </c>
      <c r="F1996" s="23" t="str">
        <f>Withdrawals_Data!B100</f>
        <v>DA-002-M0051</v>
      </c>
      <c r="G1996" s="24">
        <f>Withdrawals_Data!C100</f>
        <v>45594</v>
      </c>
      <c r="H1996" s="27">
        <v>0</v>
      </c>
      <c r="I1996" s="27">
        <f>-Withdrawals_Data!D100</f>
        <v>-9885.66</v>
      </c>
    </row>
    <row r="1997" spans="3:9">
      <c r="C1997" s="23">
        <v>790</v>
      </c>
      <c r="D1997" s="23" t="s">
        <v>134</v>
      </c>
      <c r="E1997" s="23" t="str">
        <f>Withdrawals_Data!A431</f>
        <v>DA-003</v>
      </c>
      <c r="F1997" s="23" t="str">
        <f>Withdrawals_Data!B431</f>
        <v>DA-003-M0013</v>
      </c>
      <c r="G1997" s="24">
        <f>Withdrawals_Data!C431</f>
        <v>45594</v>
      </c>
      <c r="H1997" s="27">
        <v>0</v>
      </c>
      <c r="I1997" s="27">
        <f>-Withdrawals_Data!D431</f>
        <v>-12005</v>
      </c>
    </row>
    <row r="1998" spans="3:9">
      <c r="C1998" s="23">
        <v>791</v>
      </c>
      <c r="D1998" s="23" t="s">
        <v>134</v>
      </c>
      <c r="E1998" s="23" t="str">
        <f>Withdrawals_Data!A529</f>
        <v>DA-001</v>
      </c>
      <c r="F1998" s="23" t="str">
        <f>Withdrawals_Data!B529</f>
        <v>DA-001-M0024</v>
      </c>
      <c r="G1998" s="24">
        <f>Withdrawals_Data!C529</f>
        <v>45594</v>
      </c>
      <c r="H1998" s="27">
        <v>0</v>
      </c>
      <c r="I1998" s="27">
        <f>-Withdrawals_Data!D529</f>
        <v>-16410</v>
      </c>
    </row>
    <row r="1999" spans="3:9">
      <c r="C1999" s="23">
        <v>792</v>
      </c>
      <c r="D1999" s="23" t="s">
        <v>134</v>
      </c>
      <c r="E1999" s="23" t="str">
        <f>Withdrawals_Data!A1097</f>
        <v>DA-002</v>
      </c>
      <c r="F1999" s="23" t="str">
        <f>Withdrawals_Data!B1097</f>
        <v>DA-002-M0088</v>
      </c>
      <c r="G1999" s="24">
        <f>Withdrawals_Data!C1097</f>
        <v>45594</v>
      </c>
      <c r="H1999" s="27">
        <v>0</v>
      </c>
      <c r="I1999" s="27">
        <f>-Withdrawals_Data!D1097</f>
        <v>-7735</v>
      </c>
    </row>
    <row r="2000" spans="3:9">
      <c r="C2000" s="23">
        <v>793</v>
      </c>
      <c r="D2000" s="23" t="s">
        <v>132</v>
      </c>
      <c r="E2000" s="23" t="str">
        <f>Contributions_Data!A588</f>
        <v>DA-001</v>
      </c>
      <c r="F2000" s="23" t="str">
        <f>Contributions_Data!B588</f>
        <v>DA-001-M0049</v>
      </c>
      <c r="G2000" s="24">
        <f>Contributions_Data!C588</f>
        <v>45595</v>
      </c>
      <c r="H2000" s="27">
        <f>Contributions_Data!D588</f>
        <v>11987.58</v>
      </c>
      <c r="I2000" s="27">
        <v>0</v>
      </c>
    </row>
    <row r="2001" spans="3:9">
      <c r="C2001" s="23">
        <v>794</v>
      </c>
      <c r="D2001" s="23" t="s">
        <v>132</v>
      </c>
      <c r="E2001" s="23" t="str">
        <f>Contributions_Data!A695</f>
        <v>DA-001</v>
      </c>
      <c r="F2001" s="23" t="str">
        <f>Contributions_Data!B695</f>
        <v>DA-001-M0058</v>
      </c>
      <c r="G2001" s="24">
        <f>Contributions_Data!C695</f>
        <v>45595</v>
      </c>
      <c r="H2001" s="27">
        <f>Contributions_Data!D695</f>
        <v>14730.79</v>
      </c>
      <c r="I2001" s="27">
        <v>0</v>
      </c>
    </row>
    <row r="2002" spans="3:9">
      <c r="C2002" s="23">
        <v>795</v>
      </c>
      <c r="D2002" s="23" t="s">
        <v>132</v>
      </c>
      <c r="E2002" s="23" t="str">
        <f>Contributions_Data!A749</f>
        <v>DA-002</v>
      </c>
      <c r="F2002" s="23" t="str">
        <f>Contributions_Data!B749</f>
        <v>DA-002-M0063</v>
      </c>
      <c r="G2002" s="24">
        <f>Contributions_Data!C749</f>
        <v>45595</v>
      </c>
      <c r="H2002" s="27">
        <f>Contributions_Data!D749</f>
        <v>14227.87</v>
      </c>
      <c r="I2002" s="27">
        <v>0</v>
      </c>
    </row>
    <row r="2003" spans="3:9">
      <c r="C2003" s="23">
        <v>796</v>
      </c>
      <c r="D2003" s="23" t="s">
        <v>132</v>
      </c>
      <c r="E2003" s="23" t="str">
        <f>Contributions_Data!A781</f>
        <v>DA-001</v>
      </c>
      <c r="F2003" s="23" t="str">
        <f>Contributions_Data!B781</f>
        <v>DA-001-M0065</v>
      </c>
      <c r="G2003" s="24">
        <f>Contributions_Data!C781</f>
        <v>45595</v>
      </c>
      <c r="H2003" s="27">
        <f>Contributions_Data!D781</f>
        <v>11151.02</v>
      </c>
      <c r="I2003" s="27">
        <v>0</v>
      </c>
    </row>
    <row r="2004" spans="3:9">
      <c r="C2004" s="23">
        <v>797</v>
      </c>
      <c r="D2004" s="23" t="s">
        <v>134</v>
      </c>
      <c r="E2004" s="23" t="str">
        <f>Withdrawals_Data!A225</f>
        <v>DA-003</v>
      </c>
      <c r="F2004" s="23" t="str">
        <f>Withdrawals_Data!B225</f>
        <v>DA-003-M0052</v>
      </c>
      <c r="G2004" s="24">
        <f>Withdrawals_Data!C225</f>
        <v>45595</v>
      </c>
      <c r="H2004" s="27">
        <v>0</v>
      </c>
      <c r="I2004" s="27">
        <f>-Withdrawals_Data!D225</f>
        <v>-6449.19</v>
      </c>
    </row>
    <row r="2005" spans="3:9">
      <c r="C2005" s="23">
        <v>798</v>
      </c>
      <c r="D2005" s="23" t="s">
        <v>134</v>
      </c>
      <c r="E2005" s="23" t="str">
        <f>Withdrawals_Data!A428</f>
        <v>DA-003</v>
      </c>
      <c r="F2005" s="23" t="str">
        <f>Withdrawals_Data!B428</f>
        <v>DA-003-M0012</v>
      </c>
      <c r="G2005" s="24">
        <f>Withdrawals_Data!C428</f>
        <v>45595</v>
      </c>
      <c r="H2005" s="27">
        <v>0</v>
      </c>
      <c r="I2005" s="27">
        <f>-Withdrawals_Data!D428</f>
        <v>-11821</v>
      </c>
    </row>
    <row r="2006" spans="3:9">
      <c r="C2006" s="23">
        <v>799</v>
      </c>
      <c r="D2006" s="23" t="s">
        <v>134</v>
      </c>
      <c r="E2006" s="23" t="str">
        <f>Withdrawals_Data!A649</f>
        <v>DA-001</v>
      </c>
      <c r="F2006" s="23" t="str">
        <f>Withdrawals_Data!B649</f>
        <v>DA-001-M0038</v>
      </c>
      <c r="G2006" s="24">
        <f>Withdrawals_Data!C649</f>
        <v>45595</v>
      </c>
      <c r="H2006" s="27">
        <v>0</v>
      </c>
      <c r="I2006" s="27">
        <f>-Withdrawals_Data!D649</f>
        <v>-20254</v>
      </c>
    </row>
    <row r="2007" spans="3:9">
      <c r="C2007" s="23">
        <v>800</v>
      </c>
      <c r="D2007" s="23" t="s">
        <v>134</v>
      </c>
      <c r="E2007" s="23" t="str">
        <f>Withdrawals_Data!A955</f>
        <v>DA-002</v>
      </c>
      <c r="F2007" s="23" t="str">
        <f>Withdrawals_Data!B955</f>
        <v>DA-002-M0072</v>
      </c>
      <c r="G2007" s="24">
        <f>Withdrawals_Data!C955</f>
        <v>45595</v>
      </c>
      <c r="H2007" s="27">
        <v>0</v>
      </c>
      <c r="I2007" s="27">
        <f>-Withdrawals_Data!D955</f>
        <v>-16990</v>
      </c>
    </row>
    <row r="2008" spans="3:9">
      <c r="C2008" s="23">
        <v>801</v>
      </c>
      <c r="D2008" s="23" t="s">
        <v>134</v>
      </c>
      <c r="E2008" s="23" t="str">
        <f>Withdrawals_Data!A995</f>
        <v>DA-003</v>
      </c>
      <c r="F2008" s="23" t="str">
        <f>Withdrawals_Data!B995</f>
        <v>DA-003-M0077</v>
      </c>
      <c r="G2008" s="24">
        <f>Withdrawals_Data!C995</f>
        <v>45595</v>
      </c>
      <c r="H2008" s="27">
        <v>0</v>
      </c>
      <c r="I2008" s="27">
        <f>-Withdrawals_Data!D995</f>
        <v>-15009</v>
      </c>
    </row>
    <row r="2009" spans="3:9">
      <c r="C2009" s="23">
        <v>802</v>
      </c>
      <c r="D2009" s="23" t="s">
        <v>132</v>
      </c>
      <c r="E2009" s="23" t="str">
        <f>Contributions_Data!A659</f>
        <v>DA-001</v>
      </c>
      <c r="F2009" s="23" t="str">
        <f>Contributions_Data!B659</f>
        <v>DA-001-M0055</v>
      </c>
      <c r="G2009" s="24">
        <f>Contributions_Data!C659</f>
        <v>45596</v>
      </c>
      <c r="H2009" s="27">
        <f>Contributions_Data!D659</f>
        <v>12899.64</v>
      </c>
      <c r="I2009" s="27">
        <v>0</v>
      </c>
    </row>
    <row r="2010" spans="3:9">
      <c r="C2010" s="23">
        <v>803</v>
      </c>
      <c r="D2010" s="23" t="s">
        <v>132</v>
      </c>
      <c r="E2010" s="23" t="str">
        <f>Contributions_Data!A1044</f>
        <v>DA-001</v>
      </c>
      <c r="F2010" s="23" t="str">
        <f>Contributions_Data!B1044</f>
        <v>DA-001-M0087</v>
      </c>
      <c r="G2010" s="24">
        <f>Contributions_Data!C1044</f>
        <v>45596</v>
      </c>
      <c r="H2010" s="27">
        <f>Contributions_Data!D1044</f>
        <v>14031.96</v>
      </c>
      <c r="I2010" s="27">
        <v>0</v>
      </c>
    </row>
    <row r="2011" spans="3:9">
      <c r="C2011" s="23">
        <v>804</v>
      </c>
      <c r="D2011" s="23" t="s">
        <v>134</v>
      </c>
      <c r="E2011" s="23" t="str">
        <f>Withdrawals_Data!A226</f>
        <v>DA-003</v>
      </c>
      <c r="F2011" s="23" t="str">
        <f>Withdrawals_Data!B226</f>
        <v>DA-003-M0048</v>
      </c>
      <c r="G2011" s="24">
        <f>Withdrawals_Data!C226</f>
        <v>45596</v>
      </c>
      <c r="H2011" s="27">
        <v>0</v>
      </c>
      <c r="I2011" s="27">
        <f>-Withdrawals_Data!D226</f>
        <v>-6262.02</v>
      </c>
    </row>
    <row r="2012" spans="3:9">
      <c r="C2012" s="23">
        <v>805</v>
      </c>
      <c r="D2012" s="23" t="s">
        <v>134</v>
      </c>
      <c r="E2012" s="23" t="str">
        <f>Withdrawals_Data!A378</f>
        <v>DA-003</v>
      </c>
      <c r="F2012" s="23" t="str">
        <f>Withdrawals_Data!B378</f>
        <v>DA-003-M0006</v>
      </c>
      <c r="G2012" s="24">
        <f>Withdrawals_Data!C378</f>
        <v>45596</v>
      </c>
      <c r="H2012" s="27">
        <v>0</v>
      </c>
      <c r="I2012" s="27">
        <f>-Withdrawals_Data!D378</f>
        <v>-20552</v>
      </c>
    </row>
    <row r="2013" spans="3:9">
      <c r="C2013" s="23">
        <v>806</v>
      </c>
      <c r="D2013" s="23" t="s">
        <v>134</v>
      </c>
      <c r="E2013" s="23" t="str">
        <f>Withdrawals_Data!A422</f>
        <v>DA-001</v>
      </c>
      <c r="F2013" s="23" t="str">
        <f>Withdrawals_Data!B422</f>
        <v>DA-001-M0011</v>
      </c>
      <c r="G2013" s="24">
        <f>Withdrawals_Data!C422</f>
        <v>45596</v>
      </c>
      <c r="H2013" s="27">
        <v>0</v>
      </c>
      <c r="I2013" s="27">
        <f>-Withdrawals_Data!D422</f>
        <v>-14565</v>
      </c>
    </row>
    <row r="2014" spans="3:9">
      <c r="C2014" s="23">
        <v>807</v>
      </c>
      <c r="D2014" s="23" t="s">
        <v>134</v>
      </c>
      <c r="E2014" s="23" t="str">
        <f>Withdrawals_Data!A513</f>
        <v>DA-001</v>
      </c>
      <c r="F2014" s="23" t="str">
        <f>Withdrawals_Data!B513</f>
        <v>DA-001-M0022</v>
      </c>
      <c r="G2014" s="24">
        <f>Withdrawals_Data!C513</f>
        <v>45596</v>
      </c>
      <c r="H2014" s="27">
        <v>0</v>
      </c>
      <c r="I2014" s="27">
        <f>-Withdrawals_Data!D513</f>
        <v>-17020</v>
      </c>
    </row>
    <row r="2015" spans="3:9">
      <c r="C2015" s="23">
        <v>808</v>
      </c>
      <c r="D2015" s="23" t="s">
        <v>134</v>
      </c>
      <c r="E2015" s="23" t="str">
        <f>Withdrawals_Data!A650</f>
        <v>DA-001</v>
      </c>
      <c r="F2015" s="23" t="str">
        <f>Withdrawals_Data!B650</f>
        <v>DA-001-M0038</v>
      </c>
      <c r="G2015" s="24">
        <f>Withdrawals_Data!C650</f>
        <v>45596</v>
      </c>
      <c r="H2015" s="27">
        <v>0</v>
      </c>
      <c r="I2015" s="27">
        <f>-Withdrawals_Data!D650</f>
        <v>-17909</v>
      </c>
    </row>
    <row r="2016" spans="3:9">
      <c r="C2016" s="23">
        <v>809</v>
      </c>
      <c r="D2016" s="23" t="s">
        <v>134</v>
      </c>
      <c r="E2016" s="23" t="str">
        <f>Withdrawals_Data!A719</f>
        <v>DA-003</v>
      </c>
      <c r="F2016" s="23" t="str">
        <f>Withdrawals_Data!B719</f>
        <v>DA-003-M0045</v>
      </c>
      <c r="G2016" s="24">
        <f>Withdrawals_Data!C719</f>
        <v>45596</v>
      </c>
      <c r="H2016" s="27">
        <v>0</v>
      </c>
      <c r="I2016" s="27">
        <f>-Withdrawals_Data!D719</f>
        <v>-8370</v>
      </c>
    </row>
    <row r="2017" spans="3:9">
      <c r="C2017" s="23">
        <v>810</v>
      </c>
      <c r="D2017" s="23" t="s">
        <v>134</v>
      </c>
      <c r="E2017" s="23" t="str">
        <f>Withdrawals_Data!A927</f>
        <v>DA-003</v>
      </c>
      <c r="F2017" s="23" t="str">
        <f>Withdrawals_Data!B927</f>
        <v>DA-003-M0069</v>
      </c>
      <c r="G2017" s="24">
        <f>Withdrawals_Data!C927</f>
        <v>45596</v>
      </c>
      <c r="H2017" s="27">
        <v>0</v>
      </c>
      <c r="I2017" s="27">
        <f>-Withdrawals_Data!D927</f>
        <v>-11993</v>
      </c>
    </row>
    <row r="2018" spans="3:9">
      <c r="C2018" s="23">
        <v>811</v>
      </c>
      <c r="D2018" s="23" t="s">
        <v>134</v>
      </c>
      <c r="E2018" s="23" t="str">
        <f>Withdrawals_Data!A1003</f>
        <v>DA-002</v>
      </c>
      <c r="F2018" s="23" t="str">
        <f>Withdrawals_Data!B1003</f>
        <v>DA-002-M0078</v>
      </c>
      <c r="G2018" s="24">
        <f>Withdrawals_Data!C1003</f>
        <v>45596</v>
      </c>
      <c r="H2018" s="27">
        <v>0</v>
      </c>
      <c r="I2018" s="27">
        <f>-Withdrawals_Data!D1003</f>
        <v>-10425</v>
      </c>
    </row>
    <row r="2019" spans="3:9">
      <c r="C2019" s="23">
        <v>812</v>
      </c>
      <c r="D2019" s="23" t="s">
        <v>132</v>
      </c>
      <c r="E2019" s="23" t="str">
        <f>Contributions_Data!A1169</f>
        <v>DA-001</v>
      </c>
      <c r="F2019" s="23" t="str">
        <f>Contributions_Data!B1169</f>
        <v>DA-001-M0098</v>
      </c>
      <c r="G2019" s="24">
        <f>Contributions_Data!C1169</f>
        <v>45597</v>
      </c>
      <c r="H2019" s="27">
        <f>Contributions_Data!D1169</f>
        <v>10930.25</v>
      </c>
      <c r="I2019" s="27">
        <v>0</v>
      </c>
    </row>
    <row r="2020" spans="3:9">
      <c r="C2020" s="23">
        <v>813</v>
      </c>
      <c r="D2020" s="23" t="s">
        <v>134</v>
      </c>
      <c r="E2020" s="23" t="str">
        <f>Withdrawals_Data!A12</f>
        <v>DA-003</v>
      </c>
      <c r="F2020" s="23" t="str">
        <f>Withdrawals_Data!B12</f>
        <v>DA-003-M0028</v>
      </c>
      <c r="G2020" s="24">
        <f>Withdrawals_Data!C12</f>
        <v>45597</v>
      </c>
      <c r="H2020" s="27">
        <v>0</v>
      </c>
      <c r="I2020" s="27">
        <f>-Withdrawals_Data!D12</f>
        <v>-15637.67</v>
      </c>
    </row>
    <row r="2021" spans="3:9">
      <c r="C2021" s="23">
        <v>814</v>
      </c>
      <c r="D2021" s="23" t="s">
        <v>134</v>
      </c>
      <c r="E2021" s="23" t="str">
        <f>Withdrawals_Data!A125</f>
        <v>DA-003</v>
      </c>
      <c r="F2021" s="23" t="str">
        <f>Withdrawals_Data!B125</f>
        <v>DA-003-M0005</v>
      </c>
      <c r="G2021" s="24">
        <f>Withdrawals_Data!C125</f>
        <v>45597</v>
      </c>
      <c r="H2021" s="27">
        <v>0</v>
      </c>
      <c r="I2021" s="27">
        <f>-Withdrawals_Data!D125</f>
        <v>-9187.94</v>
      </c>
    </row>
    <row r="2022" spans="3:9">
      <c r="C2022" s="23">
        <v>815</v>
      </c>
      <c r="D2022" s="23" t="s">
        <v>134</v>
      </c>
      <c r="E2022" s="23" t="str">
        <f>Withdrawals_Data!A1014</f>
        <v>DA-003</v>
      </c>
      <c r="F2022" s="23" t="str">
        <f>Withdrawals_Data!B1014</f>
        <v>DA-003-M0080</v>
      </c>
      <c r="G2022" s="24">
        <f>Withdrawals_Data!C1014</f>
        <v>45597</v>
      </c>
      <c r="H2022" s="27">
        <v>0</v>
      </c>
      <c r="I2022" s="27">
        <f>-Withdrawals_Data!D1014</f>
        <v>-7341</v>
      </c>
    </row>
    <row r="2023" spans="3:9">
      <c r="C2023" s="23">
        <v>816</v>
      </c>
      <c r="D2023" s="23" t="s">
        <v>134</v>
      </c>
      <c r="E2023" s="23" t="str">
        <f>Withdrawals_Data!A1096</f>
        <v>DA-002</v>
      </c>
      <c r="F2023" s="23" t="str">
        <f>Withdrawals_Data!B1096</f>
        <v>DA-002-M0088</v>
      </c>
      <c r="G2023" s="24">
        <f>Withdrawals_Data!C1096</f>
        <v>45597</v>
      </c>
      <c r="H2023" s="27">
        <v>0</v>
      </c>
      <c r="I2023" s="27">
        <f>-Withdrawals_Data!D1096</f>
        <v>-3630</v>
      </c>
    </row>
    <row r="2024" spans="3:9">
      <c r="C2024" s="23">
        <v>817</v>
      </c>
      <c r="D2024" s="23" t="s">
        <v>132</v>
      </c>
      <c r="E2024" s="23" t="str">
        <f>Contributions_Data!A962</f>
        <v>DA-003</v>
      </c>
      <c r="F2024" s="23" t="str">
        <f>Contributions_Data!B962</f>
        <v>DA-003-M0081</v>
      </c>
      <c r="G2024" s="24">
        <f>Contributions_Data!C962</f>
        <v>45598</v>
      </c>
      <c r="H2024" s="27">
        <f>Contributions_Data!D962</f>
        <v>14924.92</v>
      </c>
      <c r="I2024" s="27">
        <v>0</v>
      </c>
    </row>
    <row r="2025" spans="3:9">
      <c r="C2025" s="23">
        <v>818</v>
      </c>
      <c r="D2025" s="23" t="s">
        <v>132</v>
      </c>
      <c r="E2025" s="23" t="str">
        <f>Contributions_Data!A147</f>
        <v>DA-003</v>
      </c>
      <c r="F2025" s="23" t="str">
        <f>Contributions_Data!B147</f>
        <v>DA-003-M0013</v>
      </c>
      <c r="G2025" s="24">
        <f>Contributions_Data!C147</f>
        <v>45599</v>
      </c>
      <c r="H2025" s="27">
        <f>Contributions_Data!D147</f>
        <v>18489.490000000002</v>
      </c>
      <c r="I2025" s="27">
        <v>0</v>
      </c>
    </row>
    <row r="2026" spans="3:9">
      <c r="C2026" s="23">
        <v>819</v>
      </c>
      <c r="D2026" s="23" t="s">
        <v>132</v>
      </c>
      <c r="E2026" s="23" t="str">
        <f>Contributions_Data!A287</f>
        <v>DA-001</v>
      </c>
      <c r="F2026" s="23" t="str">
        <f>Contributions_Data!B287</f>
        <v>DA-001-M0024</v>
      </c>
      <c r="G2026" s="24">
        <f>Contributions_Data!C287</f>
        <v>45599</v>
      </c>
      <c r="H2026" s="27">
        <f>Contributions_Data!D287</f>
        <v>11822.36</v>
      </c>
      <c r="I2026" s="27">
        <v>0</v>
      </c>
    </row>
    <row r="2027" spans="3:9">
      <c r="C2027" s="23">
        <v>820</v>
      </c>
      <c r="D2027" s="23" t="s">
        <v>132</v>
      </c>
      <c r="E2027" s="23" t="str">
        <f>Contributions_Data!A478</f>
        <v>DA-002</v>
      </c>
      <c r="F2027" s="23" t="str">
        <f>Contributions_Data!B478</f>
        <v>DA-002-M0040</v>
      </c>
      <c r="G2027" s="24">
        <f>Contributions_Data!C478</f>
        <v>45599</v>
      </c>
      <c r="H2027" s="27">
        <f>Contributions_Data!D478</f>
        <v>14071.36</v>
      </c>
      <c r="I2027" s="27">
        <v>0</v>
      </c>
    </row>
    <row r="2028" spans="3:9">
      <c r="C2028" s="23">
        <v>821</v>
      </c>
      <c r="D2028" s="23" t="s">
        <v>132</v>
      </c>
      <c r="E2028" s="23" t="str">
        <f>Contributions_Data!A584</f>
        <v>DA-001</v>
      </c>
      <c r="F2028" s="23" t="str">
        <f>Contributions_Data!B584</f>
        <v>DA-001-M0049</v>
      </c>
      <c r="G2028" s="24">
        <f>Contributions_Data!C584</f>
        <v>45599</v>
      </c>
      <c r="H2028" s="27">
        <f>Contributions_Data!D584</f>
        <v>13739.44</v>
      </c>
      <c r="I2028" s="27">
        <v>0</v>
      </c>
    </row>
    <row r="2029" spans="3:9">
      <c r="C2029" s="23">
        <v>822</v>
      </c>
      <c r="D2029" s="23" t="s">
        <v>132</v>
      </c>
      <c r="E2029" s="23" t="str">
        <f>Contributions_Data!A1124</f>
        <v>DA-002</v>
      </c>
      <c r="F2029" s="23" t="str">
        <f>Contributions_Data!B1124</f>
        <v>DA-002-M0094</v>
      </c>
      <c r="G2029" s="24">
        <f>Contributions_Data!C1124</f>
        <v>45599</v>
      </c>
      <c r="H2029" s="27">
        <f>Contributions_Data!D1124</f>
        <v>19540.349999999999</v>
      </c>
      <c r="I2029" s="27">
        <v>0</v>
      </c>
    </row>
    <row r="2030" spans="3:9">
      <c r="C2030" s="23">
        <v>823</v>
      </c>
      <c r="D2030" s="23" t="s">
        <v>134</v>
      </c>
      <c r="E2030" s="23" t="str">
        <f>Withdrawals_Data!A89</f>
        <v>DA-003</v>
      </c>
      <c r="F2030" s="23" t="str">
        <f>Withdrawals_Data!B89</f>
        <v>DA-003-M0090</v>
      </c>
      <c r="G2030" s="24">
        <f>Withdrawals_Data!C89</f>
        <v>45599</v>
      </c>
      <c r="H2030" s="27">
        <v>0</v>
      </c>
      <c r="I2030" s="27">
        <f>-Withdrawals_Data!D89</f>
        <v>-10262.040000000001</v>
      </c>
    </row>
    <row r="2031" spans="3:9">
      <c r="C2031" s="23">
        <v>824</v>
      </c>
      <c r="D2031" s="23" t="s">
        <v>134</v>
      </c>
      <c r="E2031" s="23" t="str">
        <f>Withdrawals_Data!A147</f>
        <v>DA-003</v>
      </c>
      <c r="F2031" s="23" t="str">
        <f>Withdrawals_Data!B147</f>
        <v>DA-003-M0077</v>
      </c>
      <c r="G2031" s="24">
        <f>Withdrawals_Data!C147</f>
        <v>45599</v>
      </c>
      <c r="H2031" s="27">
        <v>0</v>
      </c>
      <c r="I2031" s="27">
        <f>-Withdrawals_Data!D147</f>
        <v>-8677.44</v>
      </c>
    </row>
    <row r="2032" spans="3:9">
      <c r="C2032" s="23">
        <v>825</v>
      </c>
      <c r="D2032" s="23" t="s">
        <v>134</v>
      </c>
      <c r="E2032" s="23" t="str">
        <f>Withdrawals_Data!A491</f>
        <v>DA-002</v>
      </c>
      <c r="F2032" s="23" t="str">
        <f>Withdrawals_Data!B491</f>
        <v>DA-002-M0020</v>
      </c>
      <c r="G2032" s="24">
        <f>Withdrawals_Data!C491</f>
        <v>45599</v>
      </c>
      <c r="H2032" s="27">
        <v>0</v>
      </c>
      <c r="I2032" s="27">
        <f>-Withdrawals_Data!D491</f>
        <v>-16786</v>
      </c>
    </row>
    <row r="2033" spans="3:9">
      <c r="C2033" s="23">
        <v>826</v>
      </c>
      <c r="D2033" s="23" t="s">
        <v>134</v>
      </c>
      <c r="E2033" s="23" t="str">
        <f>Withdrawals_Data!A637</f>
        <v>DA-003</v>
      </c>
      <c r="F2033" s="23" t="str">
        <f>Withdrawals_Data!B637</f>
        <v>DA-003-M0036</v>
      </c>
      <c r="G2033" s="24">
        <f>Withdrawals_Data!C637</f>
        <v>45599</v>
      </c>
      <c r="H2033" s="27">
        <v>0</v>
      </c>
      <c r="I2033" s="27">
        <f>-Withdrawals_Data!D637</f>
        <v>-13085</v>
      </c>
    </row>
    <row r="2034" spans="3:9">
      <c r="C2034" s="23">
        <v>827</v>
      </c>
      <c r="D2034" s="23" t="s">
        <v>134</v>
      </c>
      <c r="E2034" s="23" t="str">
        <f>Withdrawals_Data!A734</f>
        <v>DA-003</v>
      </c>
      <c r="F2034" s="23" t="str">
        <f>Withdrawals_Data!B734</f>
        <v>DA-003-M0047</v>
      </c>
      <c r="G2034" s="24">
        <f>Withdrawals_Data!C734</f>
        <v>45599</v>
      </c>
      <c r="H2034" s="27">
        <v>0</v>
      </c>
      <c r="I2034" s="27">
        <f>-Withdrawals_Data!D734</f>
        <v>-12904</v>
      </c>
    </row>
    <row r="2035" spans="3:9">
      <c r="C2035" s="23">
        <v>828</v>
      </c>
      <c r="D2035" s="23" t="s">
        <v>132</v>
      </c>
      <c r="E2035" s="23" t="str">
        <f>Contributions_Data!A35</f>
        <v>DA-002</v>
      </c>
      <c r="F2035" s="23" t="str">
        <f>Contributions_Data!B35</f>
        <v>DA-002-M0003</v>
      </c>
      <c r="G2035" s="24">
        <f>Contributions_Data!C35</f>
        <v>45600</v>
      </c>
      <c r="H2035" s="27">
        <f>Contributions_Data!D35</f>
        <v>18428.47</v>
      </c>
      <c r="I2035" s="27">
        <v>0</v>
      </c>
    </row>
    <row r="2036" spans="3:9">
      <c r="C2036" s="23">
        <v>829</v>
      </c>
      <c r="D2036" s="23" t="s">
        <v>132</v>
      </c>
      <c r="E2036" s="23" t="str">
        <f>Contributions_Data!A337</f>
        <v>DA-003</v>
      </c>
      <c r="F2036" s="23" t="str">
        <f>Contributions_Data!B337</f>
        <v>DA-003-M0028</v>
      </c>
      <c r="G2036" s="24">
        <f>Contributions_Data!C337</f>
        <v>45600</v>
      </c>
      <c r="H2036" s="27">
        <f>Contributions_Data!D337</f>
        <v>13269.69</v>
      </c>
      <c r="I2036" s="27">
        <v>0</v>
      </c>
    </row>
    <row r="2037" spans="3:9">
      <c r="C2037" s="23">
        <v>830</v>
      </c>
      <c r="D2037" s="23" t="s">
        <v>132</v>
      </c>
      <c r="E2037" s="23" t="str">
        <f>Contributions_Data!A430</f>
        <v>DA-003</v>
      </c>
      <c r="F2037" s="23" t="str">
        <f>Contributions_Data!B430</f>
        <v>DA-003-M0036</v>
      </c>
      <c r="G2037" s="24">
        <f>Contributions_Data!C430</f>
        <v>45600</v>
      </c>
      <c r="H2037" s="27">
        <f>Contributions_Data!D430</f>
        <v>14525.98</v>
      </c>
      <c r="I2037" s="27">
        <v>0</v>
      </c>
    </row>
    <row r="2038" spans="3:9">
      <c r="C2038" s="23">
        <v>831</v>
      </c>
      <c r="D2038" s="23" t="s">
        <v>132</v>
      </c>
      <c r="E2038" s="23" t="str">
        <f>Contributions_Data!A519</f>
        <v>DA-002</v>
      </c>
      <c r="F2038" s="23" t="str">
        <f>Contributions_Data!B519</f>
        <v>DA-002-M0044</v>
      </c>
      <c r="G2038" s="24">
        <f>Contributions_Data!C519</f>
        <v>45600</v>
      </c>
      <c r="H2038" s="27">
        <f>Contributions_Data!D519</f>
        <v>16552.98</v>
      </c>
      <c r="I2038" s="27">
        <v>0</v>
      </c>
    </row>
    <row r="2039" spans="3:9">
      <c r="C2039" s="23">
        <v>832</v>
      </c>
      <c r="D2039" s="23" t="s">
        <v>132</v>
      </c>
      <c r="E2039" s="23" t="str">
        <f>Contributions_Data!A940</f>
        <v>DA-003</v>
      </c>
      <c r="F2039" s="23" t="str">
        <f>Contributions_Data!B940</f>
        <v>DA-003-M0079</v>
      </c>
      <c r="G2039" s="24">
        <f>Contributions_Data!C940</f>
        <v>45600</v>
      </c>
      <c r="H2039" s="27">
        <f>Contributions_Data!D940</f>
        <v>11006.3</v>
      </c>
      <c r="I2039" s="27">
        <v>0</v>
      </c>
    </row>
    <row r="2040" spans="3:9">
      <c r="C2040" s="23">
        <v>833</v>
      </c>
      <c r="D2040" s="23" t="s">
        <v>132</v>
      </c>
      <c r="E2040" s="23" t="str">
        <f>Contributions_Data!A1040</f>
        <v>DA-001</v>
      </c>
      <c r="F2040" s="23" t="str">
        <f>Contributions_Data!B1040</f>
        <v>DA-001-M0087</v>
      </c>
      <c r="G2040" s="24">
        <f>Contributions_Data!C1040</f>
        <v>45600</v>
      </c>
      <c r="H2040" s="27">
        <f>Contributions_Data!D1040</f>
        <v>17156.86</v>
      </c>
      <c r="I2040" s="27">
        <v>0</v>
      </c>
    </row>
    <row r="2041" spans="3:9">
      <c r="C2041" s="23">
        <v>834</v>
      </c>
      <c r="D2041" s="23" t="s">
        <v>132</v>
      </c>
      <c r="E2041" s="23" t="str">
        <f>Contributions_Data!A1062</f>
        <v>DA-002</v>
      </c>
      <c r="F2041" s="23" t="str">
        <f>Contributions_Data!B1062</f>
        <v>DA-002-M0089</v>
      </c>
      <c r="G2041" s="24">
        <f>Contributions_Data!C1062</f>
        <v>45600</v>
      </c>
      <c r="H2041" s="27">
        <f>Contributions_Data!D1062</f>
        <v>15922.22</v>
      </c>
      <c r="I2041" s="27">
        <v>0</v>
      </c>
    </row>
    <row r="2042" spans="3:9">
      <c r="C2042" s="23">
        <v>835</v>
      </c>
      <c r="D2042" s="23" t="s">
        <v>134</v>
      </c>
      <c r="E2042" s="23" t="str">
        <f>Withdrawals_Data!A171</f>
        <v>DA-002</v>
      </c>
      <c r="F2042" s="23" t="str">
        <f>Withdrawals_Data!B171</f>
        <v>DA-002-M0088</v>
      </c>
      <c r="G2042" s="24">
        <f>Withdrawals_Data!C171</f>
        <v>45600</v>
      </c>
      <c r="H2042" s="27">
        <v>0</v>
      </c>
      <c r="I2042" s="27">
        <f>-Withdrawals_Data!D171</f>
        <v>-8228.0499999999993</v>
      </c>
    </row>
    <row r="2043" spans="3:9">
      <c r="C2043" s="23">
        <v>836</v>
      </c>
      <c r="D2043" s="23" t="s">
        <v>134</v>
      </c>
      <c r="E2043" s="23" t="str">
        <f>Withdrawals_Data!A330</f>
        <v>DA-001</v>
      </c>
      <c r="F2043" s="23" t="str">
        <f>Withdrawals_Data!B330</f>
        <v>DA-001-M0071</v>
      </c>
      <c r="G2043" s="24">
        <f>Withdrawals_Data!C330</f>
        <v>45600</v>
      </c>
      <c r="H2043" s="27">
        <v>0</v>
      </c>
      <c r="I2043" s="27">
        <f>-Withdrawals_Data!D330</f>
        <v>-1418.41</v>
      </c>
    </row>
    <row r="2044" spans="3:9">
      <c r="C2044" s="23">
        <v>837</v>
      </c>
      <c r="D2044" s="23" t="s">
        <v>132</v>
      </c>
      <c r="E2044" s="23" t="str">
        <f>Contributions_Data!A596</f>
        <v>DA-002</v>
      </c>
      <c r="F2044" s="23" t="str">
        <f>Contributions_Data!B596</f>
        <v>DA-002-M0050</v>
      </c>
      <c r="G2044" s="24">
        <f>Contributions_Data!C596</f>
        <v>45601</v>
      </c>
      <c r="H2044" s="27">
        <f>Contributions_Data!D596</f>
        <v>17024.46</v>
      </c>
      <c r="I2044" s="27">
        <v>0</v>
      </c>
    </row>
    <row r="2045" spans="3:9">
      <c r="C2045" s="23">
        <v>838</v>
      </c>
      <c r="D2045" s="23" t="s">
        <v>132</v>
      </c>
      <c r="E2045" s="23" t="str">
        <f>Contributions_Data!A605</f>
        <v>DA-002</v>
      </c>
      <c r="F2045" s="23" t="str">
        <f>Contributions_Data!B605</f>
        <v>DA-002-M0051</v>
      </c>
      <c r="G2045" s="24">
        <f>Contributions_Data!C605</f>
        <v>45601</v>
      </c>
      <c r="H2045" s="27">
        <f>Contributions_Data!D605</f>
        <v>13333.57</v>
      </c>
      <c r="I2045" s="27">
        <v>0</v>
      </c>
    </row>
    <row r="2046" spans="3:9">
      <c r="C2046" s="23">
        <v>839</v>
      </c>
      <c r="D2046" s="23" t="s">
        <v>132</v>
      </c>
      <c r="E2046" s="23" t="str">
        <f>Contributions_Data!A706</f>
        <v>DA-003</v>
      </c>
      <c r="F2046" s="23" t="str">
        <f>Contributions_Data!B706</f>
        <v>DA-003-M0059</v>
      </c>
      <c r="G2046" s="24">
        <f>Contributions_Data!C706</f>
        <v>45601</v>
      </c>
      <c r="H2046" s="27">
        <f>Contributions_Data!D706</f>
        <v>10248.290000000001</v>
      </c>
      <c r="I2046" s="27">
        <v>0</v>
      </c>
    </row>
    <row r="2047" spans="3:9">
      <c r="C2047" s="23">
        <v>840</v>
      </c>
      <c r="D2047" s="23" t="s">
        <v>132</v>
      </c>
      <c r="E2047" s="23" t="str">
        <f>Contributions_Data!A1061</f>
        <v>DA-002</v>
      </c>
      <c r="F2047" s="23" t="str">
        <f>Contributions_Data!B1061</f>
        <v>DA-002-M0089</v>
      </c>
      <c r="G2047" s="24">
        <f>Contributions_Data!C1061</f>
        <v>45601</v>
      </c>
      <c r="H2047" s="27">
        <f>Contributions_Data!D1061</f>
        <v>14169.56</v>
      </c>
      <c r="I2047" s="27">
        <v>0</v>
      </c>
    </row>
    <row r="2048" spans="3:9">
      <c r="C2048" s="23">
        <v>841</v>
      </c>
      <c r="D2048" s="23" t="s">
        <v>134</v>
      </c>
      <c r="E2048" s="23" t="str">
        <f>Withdrawals_Data!A818</f>
        <v>DA-002</v>
      </c>
      <c r="F2048" s="23" t="str">
        <f>Withdrawals_Data!B818</f>
        <v>DA-002-M0057</v>
      </c>
      <c r="G2048" s="24">
        <f>Withdrawals_Data!C818</f>
        <v>45601</v>
      </c>
      <c r="H2048" s="27">
        <v>0</v>
      </c>
      <c r="I2048" s="27">
        <f>-Withdrawals_Data!D818</f>
        <v>-3635</v>
      </c>
    </row>
    <row r="2049" spans="3:9">
      <c r="C2049" s="23">
        <v>842</v>
      </c>
      <c r="D2049" s="23" t="s">
        <v>134</v>
      </c>
      <c r="E2049" s="23" t="str">
        <f>Withdrawals_Data!A941</f>
        <v>DA-001</v>
      </c>
      <c r="F2049" s="23" t="str">
        <f>Withdrawals_Data!B941</f>
        <v>DA-001-M0071</v>
      </c>
      <c r="G2049" s="24">
        <f>Withdrawals_Data!C941</f>
        <v>45601</v>
      </c>
      <c r="H2049" s="27">
        <v>0</v>
      </c>
      <c r="I2049" s="27">
        <f>-Withdrawals_Data!D941</f>
        <v>-17102</v>
      </c>
    </row>
    <row r="2050" spans="3:9">
      <c r="C2050" s="23">
        <v>843</v>
      </c>
      <c r="D2050" s="23" t="s">
        <v>134</v>
      </c>
      <c r="E2050" s="23" t="str">
        <f>Withdrawals_Data!A984</f>
        <v>DA-003</v>
      </c>
      <c r="F2050" s="23" t="str">
        <f>Withdrawals_Data!B984</f>
        <v>DA-003-M0076</v>
      </c>
      <c r="G2050" s="24">
        <f>Withdrawals_Data!C984</f>
        <v>45601</v>
      </c>
      <c r="H2050" s="27">
        <v>0</v>
      </c>
      <c r="I2050" s="27">
        <f>-Withdrawals_Data!D984</f>
        <v>-21427</v>
      </c>
    </row>
    <row r="2051" spans="3:9">
      <c r="C2051" s="23">
        <v>844</v>
      </c>
      <c r="D2051" s="23" t="s">
        <v>134</v>
      </c>
      <c r="E2051" s="23" t="str">
        <f>Withdrawals_Data!A1137</f>
        <v>DA-001</v>
      </c>
      <c r="F2051" s="23" t="str">
        <f>Withdrawals_Data!B1137</f>
        <v>DA-001-M0093</v>
      </c>
      <c r="G2051" s="24">
        <f>Withdrawals_Data!C1137</f>
        <v>45601</v>
      </c>
      <c r="H2051" s="27">
        <v>0</v>
      </c>
      <c r="I2051" s="27">
        <f>-Withdrawals_Data!D1137</f>
        <v>-10098</v>
      </c>
    </row>
    <row r="2052" spans="3:9">
      <c r="C2052" s="23">
        <v>845</v>
      </c>
      <c r="D2052" s="23" t="s">
        <v>134</v>
      </c>
      <c r="E2052" s="23" t="str">
        <f>Withdrawals_Data!A135</f>
        <v>DA-003</v>
      </c>
      <c r="F2052" s="23" t="str">
        <f>Withdrawals_Data!B135</f>
        <v>DA-003-M0066</v>
      </c>
      <c r="G2052" s="24">
        <f>Withdrawals_Data!C135</f>
        <v>45602</v>
      </c>
      <c r="H2052" s="27">
        <v>0</v>
      </c>
      <c r="I2052" s="27">
        <f>-Withdrawals_Data!D135</f>
        <v>-8955.16</v>
      </c>
    </row>
    <row r="2053" spans="3:9">
      <c r="C2053" s="23">
        <v>846</v>
      </c>
      <c r="D2053" s="23" t="s">
        <v>134</v>
      </c>
      <c r="E2053" s="23" t="str">
        <f>Withdrawals_Data!A1197</f>
        <v>DA-003</v>
      </c>
      <c r="F2053" s="23" t="str">
        <f>Withdrawals_Data!B1197</f>
        <v>DA-003-M0100</v>
      </c>
      <c r="G2053" s="24">
        <f>Withdrawals_Data!C1197</f>
        <v>45602</v>
      </c>
      <c r="H2053" s="27">
        <v>0</v>
      </c>
      <c r="I2053" s="27">
        <f>-Withdrawals_Data!D1197</f>
        <v>-17804</v>
      </c>
    </row>
    <row r="2054" spans="3:9">
      <c r="C2054" s="23">
        <v>847</v>
      </c>
      <c r="D2054" s="23" t="s">
        <v>132</v>
      </c>
      <c r="E2054" s="23" t="str">
        <f>Contributions_Data!A116</f>
        <v>DA-001</v>
      </c>
      <c r="F2054" s="23" t="str">
        <f>Contributions_Data!B116</f>
        <v>DA-001-M0010</v>
      </c>
      <c r="G2054" s="24">
        <f>Contributions_Data!C116</f>
        <v>45603</v>
      </c>
      <c r="H2054" s="27">
        <f>Contributions_Data!D116</f>
        <v>12808.9</v>
      </c>
      <c r="I2054" s="27">
        <v>0</v>
      </c>
    </row>
    <row r="2055" spans="3:9">
      <c r="C2055" s="23">
        <v>848</v>
      </c>
      <c r="D2055" s="23" t="s">
        <v>132</v>
      </c>
      <c r="E2055" s="23" t="str">
        <f>Contributions_Data!A611</f>
        <v>DA-002</v>
      </c>
      <c r="F2055" s="23" t="str">
        <f>Contributions_Data!B611</f>
        <v>DA-002-M0051</v>
      </c>
      <c r="G2055" s="24">
        <f>Contributions_Data!C611</f>
        <v>45603</v>
      </c>
      <c r="H2055" s="27">
        <f>Contributions_Data!D611</f>
        <v>15608.77</v>
      </c>
      <c r="I2055" s="27">
        <v>0</v>
      </c>
    </row>
    <row r="2056" spans="3:9">
      <c r="C2056" s="23">
        <v>849</v>
      </c>
      <c r="D2056" s="23" t="s">
        <v>132</v>
      </c>
      <c r="E2056" s="23" t="str">
        <f>Contributions_Data!A737</f>
        <v>DA-002</v>
      </c>
      <c r="F2056" s="23" t="str">
        <f>Contributions_Data!B737</f>
        <v>DA-002-M0062</v>
      </c>
      <c r="G2056" s="24">
        <f>Contributions_Data!C737</f>
        <v>45603</v>
      </c>
      <c r="H2056" s="27">
        <f>Contributions_Data!D737</f>
        <v>15593.73</v>
      </c>
      <c r="I2056" s="27">
        <v>0</v>
      </c>
    </row>
    <row r="2057" spans="3:9">
      <c r="C2057" s="23">
        <v>850</v>
      </c>
      <c r="D2057" s="23" t="s">
        <v>132</v>
      </c>
      <c r="E2057" s="23" t="str">
        <f>Contributions_Data!A937</f>
        <v>DA-002</v>
      </c>
      <c r="F2057" s="23" t="str">
        <f>Contributions_Data!B937</f>
        <v>DA-002-M0078</v>
      </c>
      <c r="G2057" s="24">
        <f>Contributions_Data!C937</f>
        <v>45603</v>
      </c>
      <c r="H2057" s="27">
        <f>Contributions_Data!D937</f>
        <v>14542.59</v>
      </c>
      <c r="I2057" s="27">
        <v>0</v>
      </c>
    </row>
    <row r="2058" spans="3:9">
      <c r="C2058" s="23">
        <v>851</v>
      </c>
      <c r="D2058" s="23" t="s">
        <v>134</v>
      </c>
      <c r="E2058" s="23" t="str">
        <f>Withdrawals_Data!A114</f>
        <v>DA-002</v>
      </c>
      <c r="F2058" s="23" t="str">
        <f>Withdrawals_Data!B114</f>
        <v>DA-002-M0097</v>
      </c>
      <c r="G2058" s="24">
        <f>Withdrawals_Data!C114</f>
        <v>45603</v>
      </c>
      <c r="H2058" s="27">
        <v>0</v>
      </c>
      <c r="I2058" s="27">
        <f>-Withdrawals_Data!D114</f>
        <v>-9469.4599999999991</v>
      </c>
    </row>
    <row r="2059" spans="3:9">
      <c r="C2059" s="23">
        <v>852</v>
      </c>
      <c r="D2059" s="23" t="s">
        <v>134</v>
      </c>
      <c r="E2059" s="23" t="str">
        <f>Withdrawals_Data!A1113</f>
        <v>DA-003</v>
      </c>
      <c r="F2059" s="23" t="str">
        <f>Withdrawals_Data!B1113</f>
        <v>DA-003-M0090</v>
      </c>
      <c r="G2059" s="24">
        <f>Withdrawals_Data!C1113</f>
        <v>45603</v>
      </c>
      <c r="H2059" s="27">
        <v>0</v>
      </c>
      <c r="I2059" s="27">
        <f>-Withdrawals_Data!D1113</f>
        <v>-16159</v>
      </c>
    </row>
    <row r="2060" spans="3:9">
      <c r="C2060" s="23">
        <v>853</v>
      </c>
      <c r="D2060" s="23" t="s">
        <v>132</v>
      </c>
      <c r="E2060" s="23" t="str">
        <f>Contributions_Data!A514</f>
        <v>DA-001</v>
      </c>
      <c r="F2060" s="23" t="str">
        <f>Contributions_Data!B514</f>
        <v>DA-001-M0043</v>
      </c>
      <c r="G2060" s="24">
        <f>Contributions_Data!C514</f>
        <v>45604</v>
      </c>
      <c r="H2060" s="27">
        <f>Contributions_Data!D514</f>
        <v>18043.11</v>
      </c>
      <c r="I2060" s="27">
        <v>0</v>
      </c>
    </row>
    <row r="2061" spans="3:9">
      <c r="C2061" s="23">
        <v>854</v>
      </c>
      <c r="D2061" s="23" t="s">
        <v>132</v>
      </c>
      <c r="E2061" s="23" t="str">
        <f>Contributions_Data!A1082</f>
        <v>DA-002</v>
      </c>
      <c r="F2061" s="23" t="str">
        <f>Contributions_Data!B1082</f>
        <v>DA-002-M0091</v>
      </c>
      <c r="G2061" s="24">
        <f>Contributions_Data!C1082</f>
        <v>45604</v>
      </c>
      <c r="H2061" s="27">
        <f>Contributions_Data!D1082</f>
        <v>17019.54</v>
      </c>
      <c r="I2061" s="27">
        <v>0</v>
      </c>
    </row>
    <row r="2062" spans="3:9">
      <c r="C2062" s="23">
        <v>855</v>
      </c>
      <c r="D2062" s="23" t="s">
        <v>132</v>
      </c>
      <c r="E2062" s="23" t="str">
        <f>Contributions_Data!A1161</f>
        <v>DA-002</v>
      </c>
      <c r="F2062" s="23" t="str">
        <f>Contributions_Data!B1161</f>
        <v>DA-002-M0097</v>
      </c>
      <c r="G2062" s="24">
        <f>Contributions_Data!C1161</f>
        <v>45604</v>
      </c>
      <c r="H2062" s="27">
        <f>Contributions_Data!D1161</f>
        <v>17210.53</v>
      </c>
      <c r="I2062" s="27">
        <v>0</v>
      </c>
    </row>
    <row r="2063" spans="3:9">
      <c r="C2063" s="23">
        <v>856</v>
      </c>
      <c r="D2063" s="23" t="s">
        <v>134</v>
      </c>
      <c r="E2063" s="23" t="str">
        <f>Withdrawals_Data!A566</f>
        <v>DA-003</v>
      </c>
      <c r="F2063" s="23" t="str">
        <f>Withdrawals_Data!B566</f>
        <v>DA-003-M0028</v>
      </c>
      <c r="G2063" s="24">
        <f>Withdrawals_Data!C566</f>
        <v>45604</v>
      </c>
      <c r="H2063" s="27">
        <v>0</v>
      </c>
      <c r="I2063" s="27">
        <f>-Withdrawals_Data!D566</f>
        <v>-14103</v>
      </c>
    </row>
    <row r="2064" spans="3:9">
      <c r="C2064" s="23">
        <v>857</v>
      </c>
      <c r="D2064" s="23" t="s">
        <v>134</v>
      </c>
      <c r="E2064" s="23" t="str">
        <f>Withdrawals_Data!A842</f>
        <v>DA-003</v>
      </c>
      <c r="F2064" s="23" t="str">
        <f>Withdrawals_Data!B842</f>
        <v>DA-003-M0059</v>
      </c>
      <c r="G2064" s="24">
        <f>Withdrawals_Data!C842</f>
        <v>45604</v>
      </c>
      <c r="H2064" s="27">
        <v>0</v>
      </c>
      <c r="I2064" s="27">
        <f>-Withdrawals_Data!D842</f>
        <v>-14917</v>
      </c>
    </row>
    <row r="2065" spans="3:9">
      <c r="C2065" s="23">
        <v>858</v>
      </c>
      <c r="D2065" s="23" t="s">
        <v>134</v>
      </c>
      <c r="E2065" s="23" t="str">
        <f>Withdrawals_Data!A988</f>
        <v>DA-003</v>
      </c>
      <c r="F2065" s="23" t="str">
        <f>Withdrawals_Data!B988</f>
        <v>DA-003-M0077</v>
      </c>
      <c r="G2065" s="24">
        <f>Withdrawals_Data!C988</f>
        <v>45604</v>
      </c>
      <c r="H2065" s="27">
        <v>0</v>
      </c>
      <c r="I2065" s="27">
        <f>-Withdrawals_Data!D988</f>
        <v>-16055</v>
      </c>
    </row>
    <row r="2066" spans="3:9">
      <c r="C2066" s="23">
        <v>859</v>
      </c>
      <c r="D2066" s="23" t="s">
        <v>132</v>
      </c>
      <c r="E2066" s="23" t="str">
        <f>Contributions_Data!A38</f>
        <v>DA-001</v>
      </c>
      <c r="F2066" s="23" t="str">
        <f>Contributions_Data!B38</f>
        <v>DA-001-M0004</v>
      </c>
      <c r="G2066" s="24">
        <f>Contributions_Data!C38</f>
        <v>45605</v>
      </c>
      <c r="H2066" s="27">
        <f>Contributions_Data!D38</f>
        <v>10794.45</v>
      </c>
      <c r="I2066" s="27">
        <v>0</v>
      </c>
    </row>
    <row r="2067" spans="3:9">
      <c r="C2067" s="23">
        <v>860</v>
      </c>
      <c r="D2067" s="23" t="s">
        <v>132</v>
      </c>
      <c r="E2067" s="23" t="str">
        <f>Contributions_Data!A176</f>
        <v>DA-003</v>
      </c>
      <c r="F2067" s="23" t="str">
        <f>Contributions_Data!B176</f>
        <v>DA-003-M0015</v>
      </c>
      <c r="G2067" s="24">
        <f>Contributions_Data!C176</f>
        <v>45605</v>
      </c>
      <c r="H2067" s="27">
        <f>Contributions_Data!D176</f>
        <v>16641.29</v>
      </c>
      <c r="I2067" s="27">
        <v>0</v>
      </c>
    </row>
    <row r="2068" spans="3:9">
      <c r="C2068" s="23">
        <v>861</v>
      </c>
      <c r="D2068" s="23" t="s">
        <v>132</v>
      </c>
      <c r="E2068" s="23" t="str">
        <f>Contributions_Data!A879</f>
        <v>DA-001</v>
      </c>
      <c r="F2068" s="23" t="str">
        <f>Contributions_Data!B879</f>
        <v>DA-001-M0074</v>
      </c>
      <c r="G2068" s="24">
        <f>Contributions_Data!C879</f>
        <v>45605</v>
      </c>
      <c r="H2068" s="27">
        <f>Contributions_Data!D879</f>
        <v>15146.58</v>
      </c>
      <c r="I2068" s="27">
        <v>0</v>
      </c>
    </row>
    <row r="2069" spans="3:9">
      <c r="C2069" s="23">
        <v>862</v>
      </c>
      <c r="D2069" s="23" t="s">
        <v>132</v>
      </c>
      <c r="E2069" s="23" t="str">
        <f>Contributions_Data!A1019</f>
        <v>DA-002</v>
      </c>
      <c r="F2069" s="23" t="str">
        <f>Contributions_Data!B1019</f>
        <v>DA-002-M0085</v>
      </c>
      <c r="G2069" s="24">
        <f>Contributions_Data!C1019</f>
        <v>45605</v>
      </c>
      <c r="H2069" s="27">
        <f>Contributions_Data!D1019</f>
        <v>13183.15</v>
      </c>
      <c r="I2069" s="27">
        <v>0</v>
      </c>
    </row>
    <row r="2070" spans="3:9">
      <c r="C2070" s="23">
        <v>863</v>
      </c>
      <c r="D2070" s="23" t="s">
        <v>134</v>
      </c>
      <c r="E2070" s="23" t="str">
        <f>Withdrawals_Data!A336</f>
        <v>DA-002</v>
      </c>
      <c r="F2070" s="23" t="str">
        <f>Withdrawals_Data!B336</f>
        <v>DA-002-M0067</v>
      </c>
      <c r="G2070" s="24">
        <f>Withdrawals_Data!C336</f>
        <v>45605</v>
      </c>
      <c r="H2070" s="27">
        <v>0</v>
      </c>
      <c r="I2070" s="27">
        <f>-Withdrawals_Data!D336</f>
        <v>-20222</v>
      </c>
    </row>
    <row r="2071" spans="3:9">
      <c r="C2071" s="23">
        <v>864</v>
      </c>
      <c r="D2071" s="23" t="s">
        <v>134</v>
      </c>
      <c r="E2071" s="23" t="str">
        <f>Withdrawals_Data!A752</f>
        <v>DA-001</v>
      </c>
      <c r="F2071" s="23" t="str">
        <f>Withdrawals_Data!B752</f>
        <v>DA-001-M0049</v>
      </c>
      <c r="G2071" s="24">
        <f>Withdrawals_Data!C752</f>
        <v>45605</v>
      </c>
      <c r="H2071" s="27">
        <v>0</v>
      </c>
      <c r="I2071" s="27">
        <f>-Withdrawals_Data!D752</f>
        <v>-3246</v>
      </c>
    </row>
    <row r="2072" spans="3:9">
      <c r="C2072" s="23">
        <v>865</v>
      </c>
      <c r="D2072" s="23" t="s">
        <v>134</v>
      </c>
      <c r="E2072" s="23" t="str">
        <f>Withdrawals_Data!A957</f>
        <v>DA-002</v>
      </c>
      <c r="F2072" s="23" t="str">
        <f>Withdrawals_Data!B957</f>
        <v>DA-002-M0072</v>
      </c>
      <c r="G2072" s="24">
        <f>Withdrawals_Data!C957</f>
        <v>45605</v>
      </c>
      <c r="H2072" s="27">
        <v>0</v>
      </c>
      <c r="I2072" s="27">
        <f>-Withdrawals_Data!D957</f>
        <v>-20383</v>
      </c>
    </row>
    <row r="2073" spans="3:9">
      <c r="C2073" s="23">
        <v>866</v>
      </c>
      <c r="D2073" s="23" t="s">
        <v>132</v>
      </c>
      <c r="E2073" s="23" t="str">
        <f>Contributions_Data!A320</f>
        <v>DA-002</v>
      </c>
      <c r="F2073" s="23" t="str">
        <f>Contributions_Data!B320</f>
        <v>DA-002-M0027</v>
      </c>
      <c r="G2073" s="24">
        <f>Contributions_Data!C320</f>
        <v>45606</v>
      </c>
      <c r="H2073" s="27">
        <f>Contributions_Data!D320</f>
        <v>15232.1</v>
      </c>
      <c r="I2073" s="27">
        <v>0</v>
      </c>
    </row>
    <row r="2074" spans="3:9">
      <c r="C2074" s="23">
        <v>867</v>
      </c>
      <c r="D2074" s="23" t="s">
        <v>132</v>
      </c>
      <c r="E2074" s="23" t="str">
        <f>Contributions_Data!A662</f>
        <v>DA-001</v>
      </c>
      <c r="F2074" s="23" t="str">
        <f>Contributions_Data!B662</f>
        <v>DA-001-M0056</v>
      </c>
      <c r="G2074" s="24">
        <f>Contributions_Data!C662</f>
        <v>45606</v>
      </c>
      <c r="H2074" s="27">
        <f>Contributions_Data!D662</f>
        <v>16131.64</v>
      </c>
      <c r="I2074" s="27">
        <v>0</v>
      </c>
    </row>
    <row r="2075" spans="3:9">
      <c r="C2075" s="23">
        <v>868</v>
      </c>
      <c r="D2075" s="23" t="s">
        <v>132</v>
      </c>
      <c r="E2075" s="23" t="str">
        <f>Contributions_Data!A1004</f>
        <v>DA-003</v>
      </c>
      <c r="F2075" s="23" t="str">
        <f>Contributions_Data!B1004</f>
        <v>DA-003-M0084</v>
      </c>
      <c r="G2075" s="24">
        <f>Contributions_Data!C1004</f>
        <v>45606</v>
      </c>
      <c r="H2075" s="27">
        <f>Contributions_Data!D1004</f>
        <v>16737.87</v>
      </c>
      <c r="I2075" s="27">
        <v>0</v>
      </c>
    </row>
    <row r="2076" spans="3:9">
      <c r="C2076" s="23">
        <v>869</v>
      </c>
      <c r="D2076" s="23" t="s">
        <v>134</v>
      </c>
      <c r="E2076" s="23" t="str">
        <f>Withdrawals_Data!A30</f>
        <v>DA-002</v>
      </c>
      <c r="F2076" s="23" t="str">
        <f>Withdrawals_Data!B30</f>
        <v>DA-002-M0026</v>
      </c>
      <c r="G2076" s="24">
        <f>Withdrawals_Data!C30</f>
        <v>45606</v>
      </c>
      <c r="H2076" s="27">
        <v>0</v>
      </c>
      <c r="I2076" s="27">
        <f>-Withdrawals_Data!D30</f>
        <v>-13467.5</v>
      </c>
    </row>
    <row r="2077" spans="3:9">
      <c r="C2077" s="23">
        <v>870</v>
      </c>
      <c r="D2077" s="23" t="s">
        <v>134</v>
      </c>
      <c r="E2077" s="23" t="str">
        <f>Withdrawals_Data!A58</f>
        <v>DA-003</v>
      </c>
      <c r="F2077" s="23" t="str">
        <f>Withdrawals_Data!B58</f>
        <v>DA-003-M0001</v>
      </c>
      <c r="G2077" s="24">
        <f>Withdrawals_Data!C58</f>
        <v>45606</v>
      </c>
      <c r="H2077" s="27">
        <v>0</v>
      </c>
      <c r="I2077" s="27">
        <f>-Withdrawals_Data!D58</f>
        <v>-11661.61</v>
      </c>
    </row>
    <row r="2078" spans="3:9">
      <c r="C2078" s="23">
        <v>871</v>
      </c>
      <c r="D2078" s="23" t="s">
        <v>132</v>
      </c>
      <c r="E2078" s="23" t="str">
        <f>Contributions_Data!A248</f>
        <v>DA-002</v>
      </c>
      <c r="F2078" s="23" t="str">
        <f>Contributions_Data!B248</f>
        <v>DA-002-M0021</v>
      </c>
      <c r="G2078" s="24">
        <f>Contributions_Data!C248</f>
        <v>45607</v>
      </c>
      <c r="H2078" s="27">
        <f>Contributions_Data!D248</f>
        <v>15015.73</v>
      </c>
      <c r="I2078" s="27">
        <v>0</v>
      </c>
    </row>
    <row r="2079" spans="3:9">
      <c r="C2079" s="23">
        <v>872</v>
      </c>
      <c r="D2079" s="23" t="s">
        <v>134</v>
      </c>
      <c r="E2079" s="23" t="str">
        <f>Withdrawals_Data!A393</f>
        <v>DA-003</v>
      </c>
      <c r="F2079" s="23" t="str">
        <f>Withdrawals_Data!B393</f>
        <v>DA-003-M0008</v>
      </c>
      <c r="G2079" s="24">
        <f>Withdrawals_Data!C393</f>
        <v>45607</v>
      </c>
      <c r="H2079" s="27">
        <v>0</v>
      </c>
      <c r="I2079" s="27">
        <f>-Withdrawals_Data!D393</f>
        <v>-4027</v>
      </c>
    </row>
    <row r="2080" spans="3:9">
      <c r="C2080" s="23">
        <v>873</v>
      </c>
      <c r="D2080" s="23" t="s">
        <v>134</v>
      </c>
      <c r="E2080" s="23" t="str">
        <f>Withdrawals_Data!A1018</f>
        <v>DA-003</v>
      </c>
      <c r="F2080" s="23" t="str">
        <f>Withdrawals_Data!B1018</f>
        <v>DA-003-M0080</v>
      </c>
      <c r="G2080" s="24">
        <f>Withdrawals_Data!C1018</f>
        <v>45607</v>
      </c>
      <c r="H2080" s="27">
        <v>0</v>
      </c>
      <c r="I2080" s="27">
        <f>-Withdrawals_Data!D1018</f>
        <v>-5909</v>
      </c>
    </row>
    <row r="2081" spans="3:9">
      <c r="C2081" s="23">
        <v>874</v>
      </c>
      <c r="D2081" s="23" t="s">
        <v>132</v>
      </c>
      <c r="E2081" s="23" t="str">
        <f>Contributions_Data!A20</f>
        <v>DA-001</v>
      </c>
      <c r="F2081" s="23" t="str">
        <f>Contributions_Data!B20</f>
        <v>DA-001-M0002</v>
      </c>
      <c r="G2081" s="24">
        <f>Contributions_Data!C20</f>
        <v>45608</v>
      </c>
      <c r="H2081" s="27">
        <f>Contributions_Data!D20</f>
        <v>14296.24</v>
      </c>
      <c r="I2081" s="27">
        <v>0</v>
      </c>
    </row>
    <row r="2082" spans="3:9">
      <c r="C2082" s="23">
        <v>875</v>
      </c>
      <c r="D2082" s="23" t="s">
        <v>132</v>
      </c>
      <c r="E2082" s="23" t="str">
        <f>Contributions_Data!A304</f>
        <v>DA-002</v>
      </c>
      <c r="F2082" s="23" t="str">
        <f>Contributions_Data!B304</f>
        <v>DA-002-M0026</v>
      </c>
      <c r="G2082" s="24">
        <f>Contributions_Data!C304</f>
        <v>45608</v>
      </c>
      <c r="H2082" s="27">
        <f>Contributions_Data!D304</f>
        <v>8094.24</v>
      </c>
      <c r="I2082" s="27">
        <v>0</v>
      </c>
    </row>
    <row r="2083" spans="3:9">
      <c r="C2083" s="23">
        <v>876</v>
      </c>
      <c r="D2083" s="23" t="s">
        <v>132</v>
      </c>
      <c r="E2083" s="23" t="str">
        <f>Contributions_Data!A351</f>
        <v>DA-002</v>
      </c>
      <c r="F2083" s="23" t="str">
        <f>Contributions_Data!B351</f>
        <v>DA-002-M0030</v>
      </c>
      <c r="G2083" s="24">
        <f>Contributions_Data!C351</f>
        <v>45608</v>
      </c>
      <c r="H2083" s="27">
        <f>Contributions_Data!D351</f>
        <v>13044.49</v>
      </c>
      <c r="I2083" s="27">
        <v>0</v>
      </c>
    </row>
    <row r="2084" spans="3:9">
      <c r="C2084" s="23">
        <v>877</v>
      </c>
      <c r="D2084" s="23" t="s">
        <v>134</v>
      </c>
      <c r="E2084" s="23" t="str">
        <f>Withdrawals_Data!A90</f>
        <v>DA-003</v>
      </c>
      <c r="F2084" s="23" t="str">
        <f>Withdrawals_Data!B90</f>
        <v>DA-003-M0028</v>
      </c>
      <c r="G2084" s="24">
        <f>Withdrawals_Data!C90</f>
        <v>45608</v>
      </c>
      <c r="H2084" s="27">
        <v>0</v>
      </c>
      <c r="I2084" s="27">
        <f>-Withdrawals_Data!D90</f>
        <v>-10251.879999999999</v>
      </c>
    </row>
    <row r="2085" spans="3:9">
      <c r="C2085" s="23">
        <v>878</v>
      </c>
      <c r="D2085" s="23" t="s">
        <v>132</v>
      </c>
      <c r="E2085" s="23" t="str">
        <f>Contributions_Data!A45</f>
        <v>DA-001</v>
      </c>
      <c r="F2085" s="23" t="str">
        <f>Contributions_Data!B45</f>
        <v>DA-001-M0004</v>
      </c>
      <c r="G2085" s="24">
        <f>Contributions_Data!C45</f>
        <v>45609</v>
      </c>
      <c r="H2085" s="27">
        <f>Contributions_Data!D45</f>
        <v>16420.78</v>
      </c>
      <c r="I2085" s="27">
        <v>0</v>
      </c>
    </row>
    <row r="2086" spans="3:9">
      <c r="C2086" s="23">
        <v>879</v>
      </c>
      <c r="D2086" s="23" t="s">
        <v>132</v>
      </c>
      <c r="E2086" s="23" t="str">
        <f>Contributions_Data!A370</f>
        <v>DA-003</v>
      </c>
      <c r="F2086" s="23" t="str">
        <f>Contributions_Data!B370</f>
        <v>DA-003-M0031</v>
      </c>
      <c r="G2086" s="24">
        <f>Contributions_Data!C370</f>
        <v>45609</v>
      </c>
      <c r="H2086" s="27">
        <f>Contributions_Data!D370</f>
        <v>16183.36</v>
      </c>
      <c r="I2086" s="27">
        <v>0</v>
      </c>
    </row>
    <row r="2087" spans="3:9">
      <c r="C2087" s="23">
        <v>880</v>
      </c>
      <c r="D2087" s="23" t="s">
        <v>132</v>
      </c>
      <c r="E2087" s="23" t="str">
        <f>Contributions_Data!A378</f>
        <v>DA-003</v>
      </c>
      <c r="F2087" s="23" t="str">
        <f>Contributions_Data!B378</f>
        <v>DA-003-M0032</v>
      </c>
      <c r="G2087" s="24">
        <f>Contributions_Data!C378</f>
        <v>45609</v>
      </c>
      <c r="H2087" s="27">
        <f>Contributions_Data!D378</f>
        <v>11975.74</v>
      </c>
      <c r="I2087" s="27">
        <v>0</v>
      </c>
    </row>
    <row r="2088" spans="3:9">
      <c r="C2088" s="23">
        <v>881</v>
      </c>
      <c r="D2088" s="23" t="s">
        <v>132</v>
      </c>
      <c r="E2088" s="23" t="str">
        <f>Contributions_Data!A701</f>
        <v>DA-003</v>
      </c>
      <c r="F2088" s="23" t="str">
        <f>Contributions_Data!B701</f>
        <v>DA-003-M0059</v>
      </c>
      <c r="G2088" s="24">
        <f>Contributions_Data!C701</f>
        <v>45609</v>
      </c>
      <c r="H2088" s="27">
        <f>Contributions_Data!D701</f>
        <v>17521.93</v>
      </c>
      <c r="I2088" s="27">
        <v>0</v>
      </c>
    </row>
    <row r="2089" spans="3:9">
      <c r="C2089" s="23">
        <v>882</v>
      </c>
      <c r="D2089" s="23" t="s">
        <v>132</v>
      </c>
      <c r="E2089" s="23" t="str">
        <f>Contributions_Data!A996</f>
        <v>DA-001</v>
      </c>
      <c r="F2089" s="23" t="str">
        <f>Contributions_Data!B996</f>
        <v>DA-001-M0083</v>
      </c>
      <c r="G2089" s="24">
        <f>Contributions_Data!C996</f>
        <v>45609</v>
      </c>
      <c r="H2089" s="27">
        <f>Contributions_Data!D996</f>
        <v>11489.66</v>
      </c>
      <c r="I2089" s="27">
        <v>0</v>
      </c>
    </row>
    <row r="2090" spans="3:9">
      <c r="C2090" s="23">
        <v>883</v>
      </c>
      <c r="D2090" s="23" t="s">
        <v>132</v>
      </c>
      <c r="E2090" s="23" t="str">
        <f>Contributions_Data!A1035</f>
        <v>DA-001</v>
      </c>
      <c r="F2090" s="23" t="str">
        <f>Contributions_Data!B1035</f>
        <v>DA-001-M0087</v>
      </c>
      <c r="G2090" s="24">
        <f>Contributions_Data!C1035</f>
        <v>45609</v>
      </c>
      <c r="H2090" s="27">
        <f>Contributions_Data!D1035</f>
        <v>18601.240000000002</v>
      </c>
      <c r="I2090" s="27">
        <v>0</v>
      </c>
    </row>
    <row r="2091" spans="3:9">
      <c r="C2091" s="23">
        <v>884</v>
      </c>
      <c r="D2091" s="23" t="s">
        <v>134</v>
      </c>
      <c r="E2091" s="23" t="str">
        <f>Withdrawals_Data!A623</f>
        <v>DA-001</v>
      </c>
      <c r="F2091" s="23" t="str">
        <f>Withdrawals_Data!B623</f>
        <v>DA-001-M0035</v>
      </c>
      <c r="G2091" s="24">
        <f>Withdrawals_Data!C623</f>
        <v>45609</v>
      </c>
      <c r="H2091" s="27">
        <v>0</v>
      </c>
      <c r="I2091" s="27">
        <f>-Withdrawals_Data!D623</f>
        <v>-13630</v>
      </c>
    </row>
    <row r="2092" spans="3:9">
      <c r="C2092" s="23">
        <v>885</v>
      </c>
      <c r="D2092" s="23" t="s">
        <v>132</v>
      </c>
      <c r="E2092" s="23" t="str">
        <f>Contributions_Data!A85</f>
        <v>DA-003</v>
      </c>
      <c r="F2092" s="23" t="str">
        <f>Contributions_Data!B85</f>
        <v>DA-003-M0007</v>
      </c>
      <c r="G2092" s="24">
        <f>Contributions_Data!C85</f>
        <v>45610</v>
      </c>
      <c r="H2092" s="27">
        <f>Contributions_Data!D85</f>
        <v>14781.51</v>
      </c>
      <c r="I2092" s="27">
        <v>0</v>
      </c>
    </row>
    <row r="2093" spans="3:9">
      <c r="C2093" s="23">
        <v>886</v>
      </c>
      <c r="D2093" s="23" t="s">
        <v>132</v>
      </c>
      <c r="E2093" s="23" t="str">
        <f>Contributions_Data!A171</f>
        <v>DA-003</v>
      </c>
      <c r="F2093" s="23" t="str">
        <f>Contributions_Data!B171</f>
        <v>DA-003-M0015</v>
      </c>
      <c r="G2093" s="24">
        <f>Contributions_Data!C171</f>
        <v>45610</v>
      </c>
      <c r="H2093" s="27">
        <f>Contributions_Data!D171</f>
        <v>17241.88</v>
      </c>
      <c r="I2093" s="27">
        <v>0</v>
      </c>
    </row>
    <row r="2094" spans="3:9">
      <c r="C2094" s="23">
        <v>887</v>
      </c>
      <c r="D2094" s="23" t="s">
        <v>134</v>
      </c>
      <c r="E2094" s="23" t="str">
        <f>Withdrawals_Data!A168</f>
        <v>DA-003</v>
      </c>
      <c r="F2094" s="23" t="str">
        <f>Withdrawals_Data!B168</f>
        <v>DA-003-M0013</v>
      </c>
      <c r="G2094" s="24">
        <f>Withdrawals_Data!C168</f>
        <v>45610</v>
      </c>
      <c r="H2094" s="27">
        <v>0</v>
      </c>
      <c r="I2094" s="27">
        <f>-Withdrawals_Data!D168</f>
        <v>-8279.2099999999991</v>
      </c>
    </row>
    <row r="2095" spans="3:9">
      <c r="C2095" s="23">
        <v>888</v>
      </c>
      <c r="D2095" s="23" t="s">
        <v>134</v>
      </c>
      <c r="E2095" s="23" t="str">
        <f>Withdrawals_Data!A611</f>
        <v>DA-002</v>
      </c>
      <c r="F2095" s="23" t="str">
        <f>Withdrawals_Data!B611</f>
        <v>DA-002-M0033</v>
      </c>
      <c r="G2095" s="24">
        <f>Withdrawals_Data!C611</f>
        <v>45610</v>
      </c>
      <c r="H2095" s="27">
        <v>0</v>
      </c>
      <c r="I2095" s="27">
        <f>-Withdrawals_Data!D611</f>
        <v>-12859</v>
      </c>
    </row>
    <row r="2096" spans="3:9">
      <c r="C2096" s="23">
        <v>889</v>
      </c>
      <c r="D2096" s="23" t="s">
        <v>132</v>
      </c>
      <c r="E2096" s="23" t="str">
        <f>Contributions_Data!A392</f>
        <v>DA-002</v>
      </c>
      <c r="F2096" s="23" t="str">
        <f>Contributions_Data!B392</f>
        <v>DA-002-M0033</v>
      </c>
      <c r="G2096" s="24">
        <f>Contributions_Data!C392</f>
        <v>45611</v>
      </c>
      <c r="H2096" s="27">
        <f>Contributions_Data!D392</f>
        <v>21812.080000000002</v>
      </c>
      <c r="I2096" s="27">
        <v>0</v>
      </c>
    </row>
    <row r="2097" spans="3:9">
      <c r="C2097" s="23">
        <v>890</v>
      </c>
      <c r="D2097" s="23" t="s">
        <v>134</v>
      </c>
      <c r="E2097" s="23" t="str">
        <f>Withdrawals_Data!A146</f>
        <v>DA-002</v>
      </c>
      <c r="F2097" s="23" t="str">
        <f>Withdrawals_Data!B146</f>
        <v>DA-002-M0033</v>
      </c>
      <c r="G2097" s="24">
        <f>Withdrawals_Data!C146</f>
        <v>45611</v>
      </c>
      <c r="H2097" s="27">
        <v>0</v>
      </c>
      <c r="I2097" s="27">
        <f>-Withdrawals_Data!D146</f>
        <v>-8727.4699999999993</v>
      </c>
    </row>
    <row r="2098" spans="3:9">
      <c r="C2098" s="23">
        <v>891</v>
      </c>
      <c r="D2098" s="23" t="s">
        <v>134</v>
      </c>
      <c r="E2098" s="23" t="str">
        <f>Withdrawals_Data!A213</f>
        <v>DA-001</v>
      </c>
      <c r="F2098" s="23" t="str">
        <f>Withdrawals_Data!B213</f>
        <v>DA-001-M0022</v>
      </c>
      <c r="G2098" s="24">
        <f>Withdrawals_Data!C213</f>
        <v>45611</v>
      </c>
      <c r="H2098" s="27">
        <v>0</v>
      </c>
      <c r="I2098" s="27">
        <f>-Withdrawals_Data!D213</f>
        <v>-7004.14</v>
      </c>
    </row>
    <row r="2099" spans="3:9">
      <c r="C2099" s="23">
        <v>892</v>
      </c>
      <c r="D2099" s="23" t="s">
        <v>134</v>
      </c>
      <c r="E2099" s="23" t="str">
        <f>Withdrawals_Data!A640</f>
        <v>DA-002</v>
      </c>
      <c r="F2099" s="23" t="str">
        <f>Withdrawals_Data!B640</f>
        <v>DA-002-M0037</v>
      </c>
      <c r="G2099" s="24">
        <f>Withdrawals_Data!C640</f>
        <v>45611</v>
      </c>
      <c r="H2099" s="27">
        <v>0</v>
      </c>
      <c r="I2099" s="27">
        <f>-Withdrawals_Data!D640</f>
        <v>-20127</v>
      </c>
    </row>
    <row r="2100" spans="3:9">
      <c r="C2100" s="23">
        <v>893</v>
      </c>
      <c r="D2100" s="23" t="s">
        <v>134</v>
      </c>
      <c r="E2100" s="23" t="str">
        <f>Withdrawals_Data!A749</f>
        <v>DA-001</v>
      </c>
      <c r="F2100" s="23" t="str">
        <f>Withdrawals_Data!B749</f>
        <v>DA-001-M0049</v>
      </c>
      <c r="G2100" s="24">
        <f>Withdrawals_Data!C749</f>
        <v>45611</v>
      </c>
      <c r="H2100" s="27">
        <v>0</v>
      </c>
      <c r="I2100" s="27">
        <f>-Withdrawals_Data!D749</f>
        <v>-13359</v>
      </c>
    </row>
    <row r="2101" spans="3:9">
      <c r="C2101" s="23">
        <v>894</v>
      </c>
      <c r="D2101" s="23" t="s">
        <v>132</v>
      </c>
      <c r="E2101" s="23" t="str">
        <f>Contributions_Data!A124</f>
        <v>DA-001</v>
      </c>
      <c r="F2101" s="23" t="str">
        <f>Contributions_Data!B124</f>
        <v>DA-001-M0011</v>
      </c>
      <c r="G2101" s="24">
        <f>Contributions_Data!C124</f>
        <v>45612</v>
      </c>
      <c r="H2101" s="27">
        <f>Contributions_Data!D124</f>
        <v>17557.3</v>
      </c>
      <c r="I2101" s="27">
        <v>0</v>
      </c>
    </row>
    <row r="2102" spans="3:9">
      <c r="C2102" s="23">
        <v>895</v>
      </c>
      <c r="D2102" s="23" t="s">
        <v>132</v>
      </c>
      <c r="E2102" s="23" t="str">
        <f>Contributions_Data!A521</f>
        <v>DA-002</v>
      </c>
      <c r="F2102" s="23" t="str">
        <f>Contributions_Data!B521</f>
        <v>DA-002-M0044</v>
      </c>
      <c r="G2102" s="24">
        <f>Contributions_Data!C521</f>
        <v>45612</v>
      </c>
      <c r="H2102" s="27">
        <f>Contributions_Data!D521</f>
        <v>12733.85</v>
      </c>
      <c r="I2102" s="27">
        <v>0</v>
      </c>
    </row>
    <row r="2103" spans="3:9">
      <c r="C2103" s="23">
        <v>896</v>
      </c>
      <c r="D2103" s="23" t="s">
        <v>134</v>
      </c>
      <c r="E2103" s="23" t="str">
        <f>Withdrawals_Data!A97</f>
        <v>DA-003</v>
      </c>
      <c r="F2103" s="23" t="str">
        <f>Withdrawals_Data!B97</f>
        <v>DA-003-M0029</v>
      </c>
      <c r="G2103" s="24">
        <f>Withdrawals_Data!C97</f>
        <v>45612</v>
      </c>
      <c r="H2103" s="27">
        <v>0</v>
      </c>
      <c r="I2103" s="27">
        <f>-Withdrawals_Data!D97</f>
        <v>-10003.67</v>
      </c>
    </row>
    <row r="2104" spans="3:9">
      <c r="C2104" s="23">
        <v>897</v>
      </c>
      <c r="D2104" s="23" t="s">
        <v>134</v>
      </c>
      <c r="E2104" s="23" t="str">
        <f>Withdrawals_Data!A230</f>
        <v>DA-002</v>
      </c>
      <c r="F2104" s="23" t="str">
        <f>Withdrawals_Data!B230</f>
        <v>DA-002-M0033</v>
      </c>
      <c r="G2104" s="24">
        <f>Withdrawals_Data!C230</f>
        <v>45612</v>
      </c>
      <c r="H2104" s="27">
        <v>0</v>
      </c>
      <c r="I2104" s="27">
        <f>-Withdrawals_Data!D230</f>
        <v>-6162.56</v>
      </c>
    </row>
    <row r="2105" spans="3:9">
      <c r="C2105" s="23">
        <v>898</v>
      </c>
      <c r="D2105" s="23" t="s">
        <v>134</v>
      </c>
      <c r="E2105" s="23" t="str">
        <f>Withdrawals_Data!A497</f>
        <v>DA-002</v>
      </c>
      <c r="F2105" s="23" t="str">
        <f>Withdrawals_Data!B497</f>
        <v>DA-002-M0020</v>
      </c>
      <c r="G2105" s="24">
        <f>Withdrawals_Data!C497</f>
        <v>45612</v>
      </c>
      <c r="H2105" s="27">
        <v>0</v>
      </c>
      <c r="I2105" s="27">
        <f>-Withdrawals_Data!D497</f>
        <v>-17176</v>
      </c>
    </row>
    <row r="2106" spans="3:9">
      <c r="C2106" s="23">
        <v>899</v>
      </c>
      <c r="D2106" s="23" t="s">
        <v>134</v>
      </c>
      <c r="E2106" s="23" t="str">
        <f>Withdrawals_Data!A683</f>
        <v>DA-002</v>
      </c>
      <c r="F2106" s="23" t="str">
        <f>Withdrawals_Data!B683</f>
        <v>DA-002-M0041</v>
      </c>
      <c r="G2106" s="24">
        <f>Withdrawals_Data!C683</f>
        <v>45612</v>
      </c>
      <c r="H2106" s="27">
        <v>0</v>
      </c>
      <c r="I2106" s="27">
        <f>-Withdrawals_Data!D683</f>
        <v>-19243</v>
      </c>
    </row>
    <row r="2107" spans="3:9">
      <c r="C2107" s="23">
        <v>900</v>
      </c>
      <c r="D2107" s="23" t="s">
        <v>134</v>
      </c>
      <c r="E2107" s="23" t="str">
        <f>Withdrawals_Data!A1162</f>
        <v>DA-001</v>
      </c>
      <c r="F2107" s="23" t="str">
        <f>Withdrawals_Data!B1162</f>
        <v>DA-001-M0096</v>
      </c>
      <c r="G2107" s="24">
        <f>Withdrawals_Data!C1162</f>
        <v>45612</v>
      </c>
      <c r="H2107" s="27">
        <v>0</v>
      </c>
      <c r="I2107" s="27">
        <f>-Withdrawals_Data!D1162</f>
        <v>-6198</v>
      </c>
    </row>
    <row r="2108" spans="3:9">
      <c r="C2108" s="23">
        <v>901</v>
      </c>
      <c r="D2108" s="23" t="s">
        <v>132</v>
      </c>
      <c r="E2108" s="23" t="str">
        <f>Contributions_Data!A26</f>
        <v>DA-002</v>
      </c>
      <c r="F2108" s="23" t="str">
        <f>Contributions_Data!B26</f>
        <v>DA-002-M0003</v>
      </c>
      <c r="G2108" s="24">
        <f>Contributions_Data!C26</f>
        <v>45613</v>
      </c>
      <c r="H2108" s="27">
        <f>Contributions_Data!D26</f>
        <v>16212.15</v>
      </c>
      <c r="I2108" s="27">
        <v>0</v>
      </c>
    </row>
    <row r="2109" spans="3:9">
      <c r="C2109" s="23">
        <v>902</v>
      </c>
      <c r="D2109" s="23" t="s">
        <v>132</v>
      </c>
      <c r="E2109" s="23" t="str">
        <f>Contributions_Data!A556</f>
        <v>DA-003</v>
      </c>
      <c r="F2109" s="23" t="str">
        <f>Contributions_Data!B556</f>
        <v>DA-003-M0047</v>
      </c>
      <c r="G2109" s="24">
        <f>Contributions_Data!C556</f>
        <v>45613</v>
      </c>
      <c r="H2109" s="27">
        <f>Contributions_Data!D556</f>
        <v>14789.5</v>
      </c>
      <c r="I2109" s="27">
        <v>0</v>
      </c>
    </row>
    <row r="2110" spans="3:9">
      <c r="C2110" s="23">
        <v>903</v>
      </c>
      <c r="D2110" s="23" t="s">
        <v>132</v>
      </c>
      <c r="E2110" s="23" t="str">
        <f>Contributions_Data!A739</f>
        <v>DA-002</v>
      </c>
      <c r="F2110" s="23" t="str">
        <f>Contributions_Data!B739</f>
        <v>DA-002-M0062</v>
      </c>
      <c r="G2110" s="24">
        <f>Contributions_Data!C739</f>
        <v>45613</v>
      </c>
      <c r="H2110" s="27">
        <f>Contributions_Data!D739</f>
        <v>14038.96</v>
      </c>
      <c r="I2110" s="27">
        <v>0</v>
      </c>
    </row>
    <row r="2111" spans="3:9">
      <c r="C2111" s="23">
        <v>904</v>
      </c>
      <c r="D2111" s="23" t="s">
        <v>132</v>
      </c>
      <c r="E2111" s="23" t="str">
        <f>Contributions_Data!A756</f>
        <v>DA-002</v>
      </c>
      <c r="F2111" s="23" t="str">
        <f>Contributions_Data!B756</f>
        <v>DA-002-M0063</v>
      </c>
      <c r="G2111" s="24">
        <f>Contributions_Data!C756</f>
        <v>45613</v>
      </c>
      <c r="H2111" s="27">
        <f>Contributions_Data!D756</f>
        <v>15673.36</v>
      </c>
      <c r="I2111" s="27">
        <v>0</v>
      </c>
    </row>
    <row r="2112" spans="3:9">
      <c r="C2112" s="23">
        <v>905</v>
      </c>
      <c r="D2112" s="23" t="s">
        <v>132</v>
      </c>
      <c r="E2112" s="23" t="str">
        <f>Contributions_Data!A931</f>
        <v>DA-002</v>
      </c>
      <c r="F2112" s="23" t="str">
        <f>Contributions_Data!B931</f>
        <v>DA-002-M0078</v>
      </c>
      <c r="G2112" s="24">
        <f>Contributions_Data!C931</f>
        <v>45613</v>
      </c>
      <c r="H2112" s="27">
        <f>Contributions_Data!D931</f>
        <v>18639.29</v>
      </c>
      <c r="I2112" s="27">
        <v>0</v>
      </c>
    </row>
    <row r="2113" spans="3:9">
      <c r="C2113" s="23">
        <v>906</v>
      </c>
      <c r="D2113" s="23" t="s">
        <v>134</v>
      </c>
      <c r="E2113" s="23" t="str">
        <f>Withdrawals_Data!A324</f>
        <v>DA-002</v>
      </c>
      <c r="F2113" s="23" t="str">
        <f>Withdrawals_Data!B324</f>
        <v>DA-002-M0037</v>
      </c>
      <c r="G2113" s="24">
        <f>Withdrawals_Data!C324</f>
        <v>45613</v>
      </c>
      <c r="H2113" s="27">
        <v>0</v>
      </c>
      <c r="I2113" s="27">
        <f>-Withdrawals_Data!D324</f>
        <v>-1987.43</v>
      </c>
    </row>
    <row r="2114" spans="3:9">
      <c r="C2114" s="23">
        <v>907</v>
      </c>
      <c r="D2114" s="23" t="s">
        <v>134</v>
      </c>
      <c r="E2114" s="23" t="str">
        <f>Withdrawals_Data!A859</f>
        <v>DA-003</v>
      </c>
      <c r="F2114" s="23" t="str">
        <f>Withdrawals_Data!B859</f>
        <v>DA-003-M0061</v>
      </c>
      <c r="G2114" s="24">
        <f>Withdrawals_Data!C859</f>
        <v>45613</v>
      </c>
      <c r="H2114" s="27">
        <v>0</v>
      </c>
      <c r="I2114" s="27">
        <f>-Withdrawals_Data!D859</f>
        <v>-19393</v>
      </c>
    </row>
    <row r="2115" spans="3:9">
      <c r="C2115" s="23">
        <v>908</v>
      </c>
      <c r="D2115" s="23" t="s">
        <v>134</v>
      </c>
      <c r="E2115" s="23" t="str">
        <f>Withdrawals_Data!A884</f>
        <v>DA-002</v>
      </c>
      <c r="F2115" s="23" t="str">
        <f>Withdrawals_Data!B884</f>
        <v>DA-002-M0063</v>
      </c>
      <c r="G2115" s="24">
        <f>Withdrawals_Data!C884</f>
        <v>45613</v>
      </c>
      <c r="H2115" s="27">
        <v>0</v>
      </c>
      <c r="I2115" s="27">
        <f>-Withdrawals_Data!D884</f>
        <v>-8269</v>
      </c>
    </row>
    <row r="2116" spans="3:9">
      <c r="C2116" s="23">
        <v>909</v>
      </c>
      <c r="D2116" s="23" t="s">
        <v>134</v>
      </c>
      <c r="E2116" s="23" t="str">
        <f>Withdrawals_Data!A1061</f>
        <v>DA-003</v>
      </c>
      <c r="F2116" s="23" t="str">
        <f>Withdrawals_Data!B1061</f>
        <v>DA-003-M0084</v>
      </c>
      <c r="G2116" s="24">
        <f>Withdrawals_Data!C1061</f>
        <v>45613</v>
      </c>
      <c r="H2116" s="27">
        <v>0</v>
      </c>
      <c r="I2116" s="27">
        <f>-Withdrawals_Data!D1061</f>
        <v>-10675</v>
      </c>
    </row>
    <row r="2117" spans="3:9">
      <c r="C2117" s="23">
        <v>910</v>
      </c>
      <c r="D2117" s="23" t="s">
        <v>134</v>
      </c>
      <c r="E2117" s="23" t="str">
        <f>Withdrawals_Data!A1159</f>
        <v>DA-001</v>
      </c>
      <c r="F2117" s="23" t="str">
        <f>Withdrawals_Data!B1159</f>
        <v>DA-001-M0096</v>
      </c>
      <c r="G2117" s="24">
        <f>Withdrawals_Data!C1159</f>
        <v>45613</v>
      </c>
      <c r="H2117" s="27">
        <v>0</v>
      </c>
      <c r="I2117" s="27">
        <f>-Withdrawals_Data!D1159</f>
        <v>-13183</v>
      </c>
    </row>
    <row r="2118" spans="3:9">
      <c r="C2118" s="23">
        <v>911</v>
      </c>
      <c r="D2118" s="23" t="s">
        <v>132</v>
      </c>
      <c r="E2118" s="23" t="str">
        <f>Contributions_Data!A27</f>
        <v>DA-002</v>
      </c>
      <c r="F2118" s="23" t="str">
        <f>Contributions_Data!B27</f>
        <v>DA-002-M0003</v>
      </c>
      <c r="G2118" s="24">
        <f>Contributions_Data!C27</f>
        <v>45614</v>
      </c>
      <c r="H2118" s="27">
        <f>Contributions_Data!D27</f>
        <v>20658.560000000001</v>
      </c>
      <c r="I2118" s="27">
        <v>0</v>
      </c>
    </row>
    <row r="2119" spans="3:9">
      <c r="C2119" s="23">
        <v>912</v>
      </c>
      <c r="D2119" s="23" t="s">
        <v>132</v>
      </c>
      <c r="E2119" s="23" t="str">
        <f>Contributions_Data!A725</f>
        <v>DA-003</v>
      </c>
      <c r="F2119" s="23" t="str">
        <f>Contributions_Data!B725</f>
        <v>DA-003-M0061</v>
      </c>
      <c r="G2119" s="24">
        <f>Contributions_Data!C725</f>
        <v>45614</v>
      </c>
      <c r="H2119" s="27">
        <f>Contributions_Data!D725</f>
        <v>15178.89</v>
      </c>
      <c r="I2119" s="27">
        <v>0</v>
      </c>
    </row>
    <row r="2120" spans="3:9">
      <c r="C2120" s="23">
        <v>913</v>
      </c>
      <c r="D2120" s="23" t="s">
        <v>132</v>
      </c>
      <c r="E2120" s="23" t="str">
        <f>Contributions_Data!A935</f>
        <v>DA-002</v>
      </c>
      <c r="F2120" s="23" t="str">
        <f>Contributions_Data!B935</f>
        <v>DA-002-M0078</v>
      </c>
      <c r="G2120" s="24">
        <f>Contributions_Data!C935</f>
        <v>45614</v>
      </c>
      <c r="H2120" s="27">
        <f>Contributions_Data!D935</f>
        <v>14072.65</v>
      </c>
      <c r="I2120" s="27">
        <v>0</v>
      </c>
    </row>
    <row r="2121" spans="3:9">
      <c r="C2121" s="23">
        <v>914</v>
      </c>
      <c r="D2121" s="23" t="s">
        <v>132</v>
      </c>
      <c r="E2121" s="23" t="str">
        <f>Contributions_Data!A946</f>
        <v>DA-003</v>
      </c>
      <c r="F2121" s="23" t="str">
        <f>Contributions_Data!B946</f>
        <v>DA-003-M0079</v>
      </c>
      <c r="G2121" s="24">
        <f>Contributions_Data!C946</f>
        <v>45614</v>
      </c>
      <c r="H2121" s="27">
        <f>Contributions_Data!D946</f>
        <v>17515.47</v>
      </c>
      <c r="I2121" s="27">
        <v>0</v>
      </c>
    </row>
    <row r="2122" spans="3:9">
      <c r="C2122" s="23">
        <v>915</v>
      </c>
      <c r="D2122" s="23" t="s">
        <v>134</v>
      </c>
      <c r="E2122" s="23" t="str">
        <f>Withdrawals_Data!A88</f>
        <v>DA-003</v>
      </c>
      <c r="F2122" s="23" t="str">
        <f>Withdrawals_Data!B88</f>
        <v>DA-003-M0090</v>
      </c>
      <c r="G2122" s="24">
        <f>Withdrawals_Data!C88</f>
        <v>45614</v>
      </c>
      <c r="H2122" s="27">
        <v>0</v>
      </c>
      <c r="I2122" s="27">
        <f>-Withdrawals_Data!D88</f>
        <v>-10345.459999999999</v>
      </c>
    </row>
    <row r="2123" spans="3:9">
      <c r="C2123" s="23">
        <v>916</v>
      </c>
      <c r="D2123" s="23" t="s">
        <v>134</v>
      </c>
      <c r="E2123" s="23" t="str">
        <f>Withdrawals_Data!A862</f>
        <v>DA-003</v>
      </c>
      <c r="F2123" s="23" t="str">
        <f>Withdrawals_Data!B862</f>
        <v>DA-003-M0061</v>
      </c>
      <c r="G2123" s="24">
        <f>Withdrawals_Data!C862</f>
        <v>45614</v>
      </c>
      <c r="H2123" s="27">
        <v>0</v>
      </c>
      <c r="I2123" s="27">
        <f>-Withdrawals_Data!D862</f>
        <v>-18178</v>
      </c>
    </row>
    <row r="2124" spans="3:9">
      <c r="C2124" s="23">
        <v>917</v>
      </c>
      <c r="D2124" s="23" t="s">
        <v>134</v>
      </c>
      <c r="E2124" s="23" t="str">
        <f>Withdrawals_Data!A1174</f>
        <v>DA-001</v>
      </c>
      <c r="F2124" s="23" t="str">
        <f>Withdrawals_Data!B1174</f>
        <v>DA-001-M0098</v>
      </c>
      <c r="G2124" s="24">
        <f>Withdrawals_Data!C1174</f>
        <v>45614</v>
      </c>
      <c r="H2124" s="27">
        <v>0</v>
      </c>
      <c r="I2124" s="27">
        <f>-Withdrawals_Data!D1174</f>
        <v>-6821</v>
      </c>
    </row>
    <row r="2125" spans="3:9">
      <c r="C2125" s="23">
        <v>918</v>
      </c>
      <c r="D2125" s="23" t="s">
        <v>132</v>
      </c>
      <c r="E2125" s="23" t="str">
        <f>Contributions_Data!A985</f>
        <v>DA-003</v>
      </c>
      <c r="F2125" s="23" t="str">
        <f>Contributions_Data!B985</f>
        <v>DA-003-M0082</v>
      </c>
      <c r="G2125" s="24">
        <f>Contributions_Data!C985</f>
        <v>45615</v>
      </c>
      <c r="H2125" s="27">
        <f>Contributions_Data!D985</f>
        <v>14092.59</v>
      </c>
      <c r="I2125" s="27">
        <v>0</v>
      </c>
    </row>
    <row r="2126" spans="3:9">
      <c r="C2126" s="23">
        <v>919</v>
      </c>
      <c r="D2126" s="23" t="s">
        <v>134</v>
      </c>
      <c r="E2126" s="23" t="str">
        <f>Withdrawals_Data!A143</f>
        <v>DA-002</v>
      </c>
      <c r="F2126" s="23" t="str">
        <f>Withdrawals_Data!B143</f>
        <v>DA-002-M0054</v>
      </c>
      <c r="G2126" s="24">
        <f>Withdrawals_Data!C143</f>
        <v>45615</v>
      </c>
      <c r="H2126" s="27">
        <v>0</v>
      </c>
      <c r="I2126" s="27">
        <f>-Withdrawals_Data!D143</f>
        <v>-8764.4</v>
      </c>
    </row>
    <row r="2127" spans="3:9">
      <c r="C2127" s="23">
        <v>920</v>
      </c>
      <c r="D2127" s="23" t="s">
        <v>134</v>
      </c>
      <c r="E2127" s="23" t="str">
        <f>Withdrawals_Data!A210</f>
        <v>DA-002</v>
      </c>
      <c r="F2127" s="23" t="str">
        <f>Withdrawals_Data!B210</f>
        <v>DA-002-M0037</v>
      </c>
      <c r="G2127" s="24">
        <f>Withdrawals_Data!C210</f>
        <v>45615</v>
      </c>
      <c r="H2127" s="27">
        <v>0</v>
      </c>
      <c r="I2127" s="27">
        <f>-Withdrawals_Data!D210</f>
        <v>-7076.26</v>
      </c>
    </row>
    <row r="2128" spans="3:9">
      <c r="C2128" s="23">
        <v>921</v>
      </c>
      <c r="D2128" s="23" t="s">
        <v>134</v>
      </c>
      <c r="E2128" s="23" t="str">
        <f>Withdrawals_Data!A918</f>
        <v>DA-003</v>
      </c>
      <c r="F2128" s="23" t="str">
        <f>Withdrawals_Data!B918</f>
        <v>DA-003-M0068</v>
      </c>
      <c r="G2128" s="24">
        <f>Withdrawals_Data!C918</f>
        <v>45615</v>
      </c>
      <c r="H2128" s="27">
        <v>0</v>
      </c>
      <c r="I2128" s="27">
        <f>-Withdrawals_Data!D918</f>
        <v>-18291</v>
      </c>
    </row>
    <row r="2129" spans="3:9">
      <c r="C2129" s="23">
        <v>922</v>
      </c>
      <c r="D2129" s="23" t="s">
        <v>134</v>
      </c>
      <c r="E2129" s="23" t="str">
        <f>Withdrawals_Data!A1131</f>
        <v>DA-001</v>
      </c>
      <c r="F2129" s="23" t="str">
        <f>Withdrawals_Data!B1131</f>
        <v>DA-001-M0092</v>
      </c>
      <c r="G2129" s="24">
        <f>Withdrawals_Data!C1131</f>
        <v>45615</v>
      </c>
      <c r="H2129" s="27">
        <v>0</v>
      </c>
      <c r="I2129" s="27">
        <f>-Withdrawals_Data!D1131</f>
        <v>-9288</v>
      </c>
    </row>
    <row r="2130" spans="3:9">
      <c r="C2130" s="23">
        <v>923</v>
      </c>
      <c r="D2130" s="23" t="s">
        <v>134</v>
      </c>
      <c r="E2130" s="23" t="str">
        <f>Withdrawals_Data!A1139</f>
        <v>DA-001</v>
      </c>
      <c r="F2130" s="23" t="str">
        <f>Withdrawals_Data!B1139</f>
        <v>DA-001-M0093</v>
      </c>
      <c r="G2130" s="24">
        <f>Withdrawals_Data!C1139</f>
        <v>45615</v>
      </c>
      <c r="H2130" s="27">
        <v>0</v>
      </c>
      <c r="I2130" s="27">
        <f>-Withdrawals_Data!D1139</f>
        <v>-10569</v>
      </c>
    </row>
    <row r="2131" spans="3:9">
      <c r="C2131" s="23">
        <v>924</v>
      </c>
      <c r="D2131" s="23" t="s">
        <v>132</v>
      </c>
      <c r="E2131" s="23" t="str">
        <f>Contributions_Data!A159</f>
        <v>DA-003</v>
      </c>
      <c r="F2131" s="23" t="str">
        <f>Contributions_Data!B159</f>
        <v>DA-003-M0014</v>
      </c>
      <c r="G2131" s="24">
        <f>Contributions_Data!C159</f>
        <v>45616</v>
      </c>
      <c r="H2131" s="27">
        <f>Contributions_Data!D159</f>
        <v>15842.98</v>
      </c>
      <c r="I2131" s="27">
        <v>0</v>
      </c>
    </row>
    <row r="2132" spans="3:9">
      <c r="C2132" s="23">
        <v>925</v>
      </c>
      <c r="D2132" s="23" t="s">
        <v>134</v>
      </c>
      <c r="E2132" s="23" t="str">
        <f>Withdrawals_Data!A786</f>
        <v>DA-001</v>
      </c>
      <c r="F2132" s="23" t="str">
        <f>Withdrawals_Data!B786</f>
        <v>DA-001-M0053</v>
      </c>
      <c r="G2132" s="24">
        <f>Withdrawals_Data!C786</f>
        <v>45616</v>
      </c>
      <c r="H2132" s="27">
        <v>0</v>
      </c>
      <c r="I2132" s="27">
        <f>-Withdrawals_Data!D786</f>
        <v>-21049</v>
      </c>
    </row>
    <row r="2133" spans="3:9">
      <c r="C2133" s="23">
        <v>926</v>
      </c>
      <c r="D2133" s="23" t="s">
        <v>132</v>
      </c>
      <c r="E2133" s="23" t="str">
        <f>Contributions_Data!A263</f>
        <v>DA-001</v>
      </c>
      <c r="F2133" s="23" t="str">
        <f>Contributions_Data!B263</f>
        <v>DA-001-M0022</v>
      </c>
      <c r="G2133" s="24">
        <f>Contributions_Data!C263</f>
        <v>45617</v>
      </c>
      <c r="H2133" s="27">
        <f>Contributions_Data!D263</f>
        <v>21182.240000000002</v>
      </c>
      <c r="I2133" s="27">
        <v>0</v>
      </c>
    </row>
    <row r="2134" spans="3:9">
      <c r="C2134" s="23">
        <v>927</v>
      </c>
      <c r="D2134" s="23" t="s">
        <v>132</v>
      </c>
      <c r="E2134" s="23" t="str">
        <f>Contributions_Data!A977</f>
        <v>DA-003</v>
      </c>
      <c r="F2134" s="23" t="str">
        <f>Contributions_Data!B977</f>
        <v>DA-003-M0082</v>
      </c>
      <c r="G2134" s="24">
        <f>Contributions_Data!C977</f>
        <v>45617</v>
      </c>
      <c r="H2134" s="27">
        <f>Contributions_Data!D977</f>
        <v>11370.92</v>
      </c>
      <c r="I2134" s="27">
        <v>0</v>
      </c>
    </row>
    <row r="2135" spans="3:9">
      <c r="C2135" s="23">
        <v>928</v>
      </c>
      <c r="D2135" s="23" t="s">
        <v>132</v>
      </c>
      <c r="E2135" s="23" t="str">
        <f>Contributions_Data!A1015</f>
        <v>DA-002</v>
      </c>
      <c r="F2135" s="23" t="str">
        <f>Contributions_Data!B1015</f>
        <v>DA-002-M0085</v>
      </c>
      <c r="G2135" s="24">
        <f>Contributions_Data!C1015</f>
        <v>45617</v>
      </c>
      <c r="H2135" s="27">
        <f>Contributions_Data!D1015</f>
        <v>19413.509999999998</v>
      </c>
      <c r="I2135" s="27">
        <v>0</v>
      </c>
    </row>
    <row r="2136" spans="3:9">
      <c r="C2136" s="23">
        <v>929</v>
      </c>
      <c r="D2136" s="23" t="s">
        <v>132</v>
      </c>
      <c r="E2136" s="23" t="str">
        <f>Contributions_Data!A1048</f>
        <v>DA-002</v>
      </c>
      <c r="F2136" s="23" t="str">
        <f>Contributions_Data!B1048</f>
        <v>DA-002-M0088</v>
      </c>
      <c r="G2136" s="24">
        <f>Contributions_Data!C1048</f>
        <v>45617</v>
      </c>
      <c r="H2136" s="27">
        <f>Contributions_Data!D1048</f>
        <v>13069.45</v>
      </c>
      <c r="I2136" s="27">
        <v>0</v>
      </c>
    </row>
    <row r="2137" spans="3:9">
      <c r="C2137" s="23">
        <v>930</v>
      </c>
      <c r="D2137" s="23" t="s">
        <v>132</v>
      </c>
      <c r="E2137" s="23" t="str">
        <f>Contributions_Data!A1069</f>
        <v>DA-002</v>
      </c>
      <c r="F2137" s="23" t="str">
        <f>Contributions_Data!B1069</f>
        <v>DA-002-M0089</v>
      </c>
      <c r="G2137" s="24">
        <f>Contributions_Data!C1069</f>
        <v>45617</v>
      </c>
      <c r="H2137" s="27">
        <f>Contributions_Data!D1069</f>
        <v>18520.419999999998</v>
      </c>
      <c r="I2137" s="27">
        <v>0</v>
      </c>
    </row>
    <row r="2138" spans="3:9">
      <c r="C2138" s="23">
        <v>931</v>
      </c>
      <c r="D2138" s="23" t="s">
        <v>134</v>
      </c>
      <c r="E2138" s="23" t="str">
        <f>Withdrawals_Data!A177</f>
        <v>DA-001</v>
      </c>
      <c r="F2138" s="23" t="str">
        <f>Withdrawals_Data!B177</f>
        <v>DA-001-M0038</v>
      </c>
      <c r="G2138" s="24">
        <f>Withdrawals_Data!C177</f>
        <v>45617</v>
      </c>
      <c r="H2138" s="27">
        <v>0</v>
      </c>
      <c r="I2138" s="27">
        <f>-Withdrawals_Data!D177</f>
        <v>-8055.72</v>
      </c>
    </row>
    <row r="2139" spans="3:9">
      <c r="C2139" s="23">
        <v>932</v>
      </c>
      <c r="D2139" s="23" t="s">
        <v>132</v>
      </c>
      <c r="E2139" s="23" t="str">
        <f>Contributions_Data!A16</f>
        <v>DA-001</v>
      </c>
      <c r="F2139" s="23" t="str">
        <f>Contributions_Data!B16</f>
        <v>DA-001-M0002</v>
      </c>
      <c r="G2139" s="24">
        <f>Contributions_Data!C16</f>
        <v>45618</v>
      </c>
      <c r="H2139" s="27">
        <f>Contributions_Data!D16</f>
        <v>13823.68</v>
      </c>
      <c r="I2139" s="27">
        <v>0</v>
      </c>
    </row>
    <row r="2140" spans="3:9">
      <c r="C2140" s="23">
        <v>933</v>
      </c>
      <c r="D2140" s="23" t="s">
        <v>132</v>
      </c>
      <c r="E2140" s="23" t="str">
        <f>Contributions_Data!A495</f>
        <v>DA-002</v>
      </c>
      <c r="F2140" s="23" t="str">
        <f>Contributions_Data!B495</f>
        <v>DA-002-M0042</v>
      </c>
      <c r="G2140" s="24">
        <f>Contributions_Data!C495</f>
        <v>45618</v>
      </c>
      <c r="H2140" s="27">
        <f>Contributions_Data!D495</f>
        <v>15342.68</v>
      </c>
      <c r="I2140" s="27">
        <v>0</v>
      </c>
    </row>
    <row r="2141" spans="3:9">
      <c r="C2141" s="23">
        <v>934</v>
      </c>
      <c r="D2141" s="23" t="s">
        <v>134</v>
      </c>
      <c r="E2141" s="23" t="str">
        <f>Withdrawals_Data!A274</f>
        <v>DA-003</v>
      </c>
      <c r="F2141" s="23" t="str">
        <f>Withdrawals_Data!B274</f>
        <v>DA-003-M0007</v>
      </c>
      <c r="G2141" s="24">
        <f>Withdrawals_Data!C274</f>
        <v>45618</v>
      </c>
      <c r="H2141" s="27">
        <v>0</v>
      </c>
      <c r="I2141" s="27">
        <f>-Withdrawals_Data!D274</f>
        <v>-4571.37</v>
      </c>
    </row>
    <row r="2142" spans="3:9">
      <c r="C2142" s="23">
        <v>935</v>
      </c>
      <c r="D2142" s="23" t="s">
        <v>134</v>
      </c>
      <c r="E2142" s="23" t="str">
        <f>Withdrawals_Data!A356</f>
        <v>DA-002</v>
      </c>
      <c r="F2142" s="23" t="str">
        <f>Withdrawals_Data!B356</f>
        <v>DA-002-M0003</v>
      </c>
      <c r="G2142" s="24">
        <f>Withdrawals_Data!C356</f>
        <v>45618</v>
      </c>
      <c r="H2142" s="27">
        <v>0</v>
      </c>
      <c r="I2142" s="27">
        <f>-Withdrawals_Data!D356</f>
        <v>-6325</v>
      </c>
    </row>
    <row r="2143" spans="3:9">
      <c r="C2143" s="23">
        <v>936</v>
      </c>
      <c r="D2143" s="23" t="s">
        <v>134</v>
      </c>
      <c r="E2143" s="23" t="str">
        <f>Withdrawals_Data!A379</f>
        <v>DA-003</v>
      </c>
      <c r="F2143" s="23" t="str">
        <f>Withdrawals_Data!B379</f>
        <v>DA-003-M0006</v>
      </c>
      <c r="G2143" s="24">
        <f>Withdrawals_Data!C379</f>
        <v>45618</v>
      </c>
      <c r="H2143" s="27">
        <v>0</v>
      </c>
      <c r="I2143" s="27">
        <f>-Withdrawals_Data!D379</f>
        <v>-13477</v>
      </c>
    </row>
    <row r="2144" spans="3:9">
      <c r="C2144" s="23">
        <v>937</v>
      </c>
      <c r="D2144" s="23" t="s">
        <v>134</v>
      </c>
      <c r="E2144" s="23" t="str">
        <f>Withdrawals_Data!A486</f>
        <v>DA-001</v>
      </c>
      <c r="F2144" s="23" t="str">
        <f>Withdrawals_Data!B486</f>
        <v>DA-001-M0019</v>
      </c>
      <c r="G2144" s="24">
        <f>Withdrawals_Data!C486</f>
        <v>45618</v>
      </c>
      <c r="H2144" s="27">
        <v>0</v>
      </c>
      <c r="I2144" s="27">
        <f>-Withdrawals_Data!D486</f>
        <v>-14082</v>
      </c>
    </row>
    <row r="2145" spans="3:9">
      <c r="C2145" s="23">
        <v>938</v>
      </c>
      <c r="D2145" s="23" t="s">
        <v>134</v>
      </c>
      <c r="E2145" s="23" t="str">
        <f>Withdrawals_Data!A703</f>
        <v>DA-001</v>
      </c>
      <c r="F2145" s="23" t="str">
        <f>Withdrawals_Data!B703</f>
        <v>DA-001-M0043</v>
      </c>
      <c r="G2145" s="24">
        <f>Withdrawals_Data!C703</f>
        <v>45618</v>
      </c>
      <c r="H2145" s="27">
        <v>0</v>
      </c>
      <c r="I2145" s="27">
        <f>-Withdrawals_Data!D703</f>
        <v>-20672</v>
      </c>
    </row>
    <row r="2146" spans="3:9">
      <c r="C2146" s="23">
        <v>939</v>
      </c>
      <c r="D2146" s="23" t="s">
        <v>134</v>
      </c>
      <c r="E2146" s="23" t="str">
        <f>Withdrawals_Data!A746</f>
        <v>DA-003</v>
      </c>
      <c r="F2146" s="23" t="str">
        <f>Withdrawals_Data!B746</f>
        <v>DA-003-M0048</v>
      </c>
      <c r="G2146" s="24">
        <f>Withdrawals_Data!C746</f>
        <v>45618</v>
      </c>
      <c r="H2146" s="27">
        <v>0</v>
      </c>
      <c r="I2146" s="27">
        <f>-Withdrawals_Data!D746</f>
        <v>-12188</v>
      </c>
    </row>
    <row r="2147" spans="3:9">
      <c r="C2147" s="23">
        <v>940</v>
      </c>
      <c r="D2147" s="23" t="s">
        <v>132</v>
      </c>
      <c r="E2147" s="23" t="str">
        <f>Contributions_Data!A905</f>
        <v>DA-003</v>
      </c>
      <c r="F2147" s="23" t="str">
        <f>Contributions_Data!B905</f>
        <v>DA-003-M0076</v>
      </c>
      <c r="G2147" s="24">
        <f>Contributions_Data!C905</f>
        <v>45619</v>
      </c>
      <c r="H2147" s="27">
        <f>Contributions_Data!D905</f>
        <v>13254.96</v>
      </c>
      <c r="I2147" s="27">
        <v>0</v>
      </c>
    </row>
    <row r="2148" spans="3:9">
      <c r="C2148" s="23">
        <v>941</v>
      </c>
      <c r="D2148" s="23" t="s">
        <v>132</v>
      </c>
      <c r="E2148" s="23" t="str">
        <f>Contributions_Data!A917</f>
        <v>DA-003</v>
      </c>
      <c r="F2148" s="23" t="str">
        <f>Contributions_Data!B917</f>
        <v>DA-003-M0077</v>
      </c>
      <c r="G2148" s="24">
        <f>Contributions_Data!C917</f>
        <v>45619</v>
      </c>
      <c r="H2148" s="27">
        <f>Contributions_Data!D917</f>
        <v>16257.06</v>
      </c>
      <c r="I2148" s="27">
        <v>0</v>
      </c>
    </row>
    <row r="2149" spans="3:9">
      <c r="C2149" s="23">
        <v>942</v>
      </c>
      <c r="D2149" s="23" t="s">
        <v>132</v>
      </c>
      <c r="E2149" s="23" t="str">
        <f>Contributions_Data!A923</f>
        <v>DA-003</v>
      </c>
      <c r="F2149" s="23" t="str">
        <f>Contributions_Data!B923</f>
        <v>DA-003-M0077</v>
      </c>
      <c r="G2149" s="24">
        <f>Contributions_Data!C923</f>
        <v>45619</v>
      </c>
      <c r="H2149" s="27">
        <f>Contributions_Data!D923</f>
        <v>10758.86</v>
      </c>
      <c r="I2149" s="27">
        <v>0</v>
      </c>
    </row>
    <row r="2150" spans="3:9">
      <c r="C2150" s="23">
        <v>943</v>
      </c>
      <c r="D2150" s="23" t="s">
        <v>132</v>
      </c>
      <c r="E2150" s="23" t="str">
        <f>Contributions_Data!A995</f>
        <v>DA-001</v>
      </c>
      <c r="F2150" s="23" t="str">
        <f>Contributions_Data!B995</f>
        <v>DA-001-M0083</v>
      </c>
      <c r="G2150" s="24">
        <f>Contributions_Data!C995</f>
        <v>45619</v>
      </c>
      <c r="H2150" s="27">
        <f>Contributions_Data!D995</f>
        <v>14325.7</v>
      </c>
      <c r="I2150" s="27">
        <v>0</v>
      </c>
    </row>
    <row r="2151" spans="3:9">
      <c r="C2151" s="23">
        <v>944</v>
      </c>
      <c r="D2151" s="23" t="s">
        <v>132</v>
      </c>
      <c r="E2151" s="23" t="str">
        <f>Contributions_Data!A1136</f>
        <v>DA-003</v>
      </c>
      <c r="F2151" s="23" t="str">
        <f>Contributions_Data!B1136</f>
        <v>DA-003-M0095</v>
      </c>
      <c r="G2151" s="24">
        <f>Contributions_Data!C1136</f>
        <v>45619</v>
      </c>
      <c r="H2151" s="27">
        <f>Contributions_Data!D1136</f>
        <v>9694.68</v>
      </c>
      <c r="I2151" s="27">
        <v>0</v>
      </c>
    </row>
    <row r="2152" spans="3:9">
      <c r="C2152" s="23">
        <v>945</v>
      </c>
      <c r="D2152" s="23" t="s">
        <v>134</v>
      </c>
      <c r="E2152" s="23" t="str">
        <f>Withdrawals_Data!A38</f>
        <v>DA-002</v>
      </c>
      <c r="F2152" s="23" t="str">
        <f>Withdrawals_Data!B38</f>
        <v>DA-002-M0021</v>
      </c>
      <c r="G2152" s="24">
        <f>Withdrawals_Data!C38</f>
        <v>45619</v>
      </c>
      <c r="H2152" s="27">
        <v>0</v>
      </c>
      <c r="I2152" s="27">
        <f>-Withdrawals_Data!D38</f>
        <v>-12951.27</v>
      </c>
    </row>
    <row r="2153" spans="3:9">
      <c r="C2153" s="23">
        <v>946</v>
      </c>
      <c r="D2153" s="23" t="s">
        <v>134</v>
      </c>
      <c r="E2153" s="23" t="str">
        <f>Withdrawals_Data!A325</f>
        <v>DA-001</v>
      </c>
      <c r="F2153" s="23" t="str">
        <f>Withdrawals_Data!B325</f>
        <v>DA-001-M0055</v>
      </c>
      <c r="G2153" s="24">
        <f>Withdrawals_Data!C325</f>
        <v>45619</v>
      </c>
      <c r="H2153" s="27">
        <v>0</v>
      </c>
      <c r="I2153" s="27">
        <f>-Withdrawals_Data!D325</f>
        <v>-1907.25</v>
      </c>
    </row>
    <row r="2154" spans="3:9">
      <c r="C2154" s="23">
        <v>947</v>
      </c>
      <c r="D2154" s="23" t="s">
        <v>134</v>
      </c>
      <c r="E2154" s="23" t="str">
        <f>Withdrawals_Data!A998</f>
        <v>DA-002</v>
      </c>
      <c r="F2154" s="23" t="str">
        <f>Withdrawals_Data!B998</f>
        <v>DA-002-M0078</v>
      </c>
      <c r="G2154" s="24">
        <f>Withdrawals_Data!C998</f>
        <v>45619</v>
      </c>
      <c r="H2154" s="27">
        <v>0</v>
      </c>
      <c r="I2154" s="27">
        <f>-Withdrawals_Data!D998</f>
        <v>-19273</v>
      </c>
    </row>
    <row r="2155" spans="3:9">
      <c r="C2155" s="23">
        <v>948</v>
      </c>
      <c r="D2155" s="23" t="s">
        <v>132</v>
      </c>
      <c r="E2155" s="23" t="str">
        <f>Contributions_Data!A34</f>
        <v>DA-002</v>
      </c>
      <c r="F2155" s="23" t="str">
        <f>Contributions_Data!B34</f>
        <v>DA-002-M0003</v>
      </c>
      <c r="G2155" s="24">
        <f>Contributions_Data!C34</f>
        <v>45620</v>
      </c>
      <c r="H2155" s="27">
        <f>Contributions_Data!D34</f>
        <v>14895.86</v>
      </c>
      <c r="I2155" s="27">
        <v>0</v>
      </c>
    </row>
    <row r="2156" spans="3:9">
      <c r="C2156" s="23">
        <v>949</v>
      </c>
      <c r="D2156" s="23" t="s">
        <v>132</v>
      </c>
      <c r="E2156" s="23" t="str">
        <f>Contributions_Data!A145</f>
        <v>DA-003</v>
      </c>
      <c r="F2156" s="23" t="str">
        <f>Contributions_Data!B145</f>
        <v>DA-003-M0012</v>
      </c>
      <c r="G2156" s="24">
        <f>Contributions_Data!C145</f>
        <v>45620</v>
      </c>
      <c r="H2156" s="27">
        <f>Contributions_Data!D145</f>
        <v>15392.22</v>
      </c>
      <c r="I2156" s="27">
        <v>0</v>
      </c>
    </row>
    <row r="2157" spans="3:9">
      <c r="C2157" s="23">
        <v>950</v>
      </c>
      <c r="D2157" s="23" t="s">
        <v>132</v>
      </c>
      <c r="E2157" s="23" t="str">
        <f>Contributions_Data!A165</f>
        <v>DA-003</v>
      </c>
      <c r="F2157" s="23" t="str">
        <f>Contributions_Data!B165</f>
        <v>DA-003-M0014</v>
      </c>
      <c r="G2157" s="24">
        <f>Contributions_Data!C165</f>
        <v>45620</v>
      </c>
      <c r="H2157" s="27">
        <f>Contributions_Data!D165</f>
        <v>16071.05</v>
      </c>
      <c r="I2157" s="27">
        <v>0</v>
      </c>
    </row>
    <row r="2158" spans="3:9">
      <c r="C2158" s="23">
        <v>951</v>
      </c>
      <c r="D2158" s="23" t="s">
        <v>132</v>
      </c>
      <c r="E2158" s="23" t="str">
        <f>Contributions_Data!A412</f>
        <v>DA-001</v>
      </c>
      <c r="F2158" s="23" t="str">
        <f>Contributions_Data!B412</f>
        <v>DA-001-M0035</v>
      </c>
      <c r="G2158" s="24">
        <f>Contributions_Data!C412</f>
        <v>45620</v>
      </c>
      <c r="H2158" s="27">
        <f>Contributions_Data!D412</f>
        <v>19488.13</v>
      </c>
      <c r="I2158" s="27">
        <v>0</v>
      </c>
    </row>
    <row r="2159" spans="3:9">
      <c r="C2159" s="23">
        <v>952</v>
      </c>
      <c r="D2159" s="23" t="s">
        <v>132</v>
      </c>
      <c r="E2159" s="23" t="str">
        <f>Contributions_Data!A762</f>
        <v>DA-002</v>
      </c>
      <c r="F2159" s="23" t="str">
        <f>Contributions_Data!B762</f>
        <v>DA-002-M0064</v>
      </c>
      <c r="G2159" s="24">
        <f>Contributions_Data!C762</f>
        <v>45620</v>
      </c>
      <c r="H2159" s="27">
        <f>Contributions_Data!D762</f>
        <v>17650.98</v>
      </c>
      <c r="I2159" s="27">
        <v>0</v>
      </c>
    </row>
    <row r="2160" spans="3:9">
      <c r="C2160" s="23">
        <v>953</v>
      </c>
      <c r="D2160" s="23" t="s">
        <v>134</v>
      </c>
      <c r="E2160" s="23" t="str">
        <f>Withdrawals_Data!A1029</f>
        <v>DA-003</v>
      </c>
      <c r="F2160" s="23" t="str">
        <f>Withdrawals_Data!B1029</f>
        <v>DA-003-M0081</v>
      </c>
      <c r="G2160" s="24">
        <f>Withdrawals_Data!C1029</f>
        <v>45620</v>
      </c>
      <c r="H2160" s="27">
        <v>0</v>
      </c>
      <c r="I2160" s="27">
        <f>-Withdrawals_Data!D1029</f>
        <v>-8356</v>
      </c>
    </row>
    <row r="2161" spans="3:9">
      <c r="C2161" s="23">
        <v>954</v>
      </c>
      <c r="D2161" s="23" t="s">
        <v>134</v>
      </c>
      <c r="E2161" s="23" t="str">
        <f>Withdrawals_Data!A1035</f>
        <v>DA-003</v>
      </c>
      <c r="F2161" s="23" t="str">
        <f>Withdrawals_Data!B1035</f>
        <v>DA-003-M0082</v>
      </c>
      <c r="G2161" s="24">
        <f>Withdrawals_Data!C1035</f>
        <v>45620</v>
      </c>
      <c r="H2161" s="27">
        <v>0</v>
      </c>
      <c r="I2161" s="27">
        <f>-Withdrawals_Data!D1035</f>
        <v>-5248</v>
      </c>
    </row>
    <row r="2162" spans="3:9">
      <c r="C2162" s="23">
        <v>955</v>
      </c>
      <c r="D2162" s="23" t="s">
        <v>134</v>
      </c>
      <c r="E2162" s="23" t="str">
        <f>Withdrawals_Data!A1079</f>
        <v>DA-003</v>
      </c>
      <c r="F2162" s="23" t="str">
        <f>Withdrawals_Data!B1079</f>
        <v>DA-003-M0086</v>
      </c>
      <c r="G2162" s="24">
        <f>Withdrawals_Data!C1079</f>
        <v>45620</v>
      </c>
      <c r="H2162" s="27">
        <v>0</v>
      </c>
      <c r="I2162" s="27">
        <f>-Withdrawals_Data!D1079</f>
        <v>-14672</v>
      </c>
    </row>
    <row r="2163" spans="3:9">
      <c r="C2163" s="23">
        <v>956</v>
      </c>
      <c r="D2163" s="23" t="s">
        <v>132</v>
      </c>
      <c r="E2163" s="23" t="str">
        <f>Contributions_Data!A209</f>
        <v>DA-002</v>
      </c>
      <c r="F2163" s="23" t="str">
        <f>Contributions_Data!B209</f>
        <v>DA-002-M0018</v>
      </c>
      <c r="G2163" s="24">
        <f>Contributions_Data!C209</f>
        <v>45621</v>
      </c>
      <c r="H2163" s="27">
        <f>Contributions_Data!D209</f>
        <v>17572.98</v>
      </c>
      <c r="I2163" s="27">
        <v>0</v>
      </c>
    </row>
    <row r="2164" spans="3:9">
      <c r="C2164" s="23">
        <v>957</v>
      </c>
      <c r="D2164" s="23" t="s">
        <v>134</v>
      </c>
      <c r="E2164" s="23" t="str">
        <f>Withdrawals_Data!A432</f>
        <v>DA-003</v>
      </c>
      <c r="F2164" s="23" t="str">
        <f>Withdrawals_Data!B432</f>
        <v>DA-003-M0013</v>
      </c>
      <c r="G2164" s="24">
        <f>Withdrawals_Data!C432</f>
        <v>45621</v>
      </c>
      <c r="H2164" s="27">
        <v>0</v>
      </c>
      <c r="I2164" s="27">
        <f>-Withdrawals_Data!D432</f>
        <v>-14445</v>
      </c>
    </row>
    <row r="2165" spans="3:9">
      <c r="C2165" s="23">
        <v>958</v>
      </c>
      <c r="D2165" s="23" t="s">
        <v>134</v>
      </c>
      <c r="E2165" s="23" t="str">
        <f>Withdrawals_Data!A1145</f>
        <v>DA-002</v>
      </c>
      <c r="F2165" s="23" t="str">
        <f>Withdrawals_Data!B1145</f>
        <v>DA-002-M0094</v>
      </c>
      <c r="G2165" s="24">
        <f>Withdrawals_Data!C1145</f>
        <v>45621</v>
      </c>
      <c r="H2165" s="27">
        <v>0</v>
      </c>
      <c r="I2165" s="27">
        <f>-Withdrawals_Data!D1145</f>
        <v>-6508</v>
      </c>
    </row>
    <row r="2166" spans="3:9">
      <c r="C2166" s="23">
        <v>959</v>
      </c>
      <c r="D2166" s="23" t="s">
        <v>132</v>
      </c>
      <c r="E2166" s="23" t="str">
        <f>Contributions_Data!A220</f>
        <v>DA-001</v>
      </c>
      <c r="F2166" s="23" t="str">
        <f>Contributions_Data!B220</f>
        <v>DA-001-M0019</v>
      </c>
      <c r="G2166" s="24">
        <f>Contributions_Data!C220</f>
        <v>45622</v>
      </c>
      <c r="H2166" s="27">
        <f>Contributions_Data!D220</f>
        <v>15672.28</v>
      </c>
      <c r="I2166" s="27">
        <v>0</v>
      </c>
    </row>
    <row r="2167" spans="3:9">
      <c r="C2167" s="23">
        <v>960</v>
      </c>
      <c r="D2167" s="23" t="s">
        <v>132</v>
      </c>
      <c r="E2167" s="23" t="str">
        <f>Contributions_Data!A874</f>
        <v>DA-001</v>
      </c>
      <c r="F2167" s="23" t="str">
        <f>Contributions_Data!B874</f>
        <v>DA-001-M0073</v>
      </c>
      <c r="G2167" s="24">
        <f>Contributions_Data!C874</f>
        <v>45622</v>
      </c>
      <c r="H2167" s="27">
        <f>Contributions_Data!D874</f>
        <v>14941.09</v>
      </c>
      <c r="I2167" s="27">
        <v>0</v>
      </c>
    </row>
    <row r="2168" spans="3:9">
      <c r="C2168" s="23">
        <v>961</v>
      </c>
      <c r="D2168" s="23" t="s">
        <v>134</v>
      </c>
      <c r="E2168" s="23" t="str">
        <f>Withdrawals_Data!A122</f>
        <v>DA-003</v>
      </c>
      <c r="F2168" s="23" t="str">
        <f>Withdrawals_Data!B122</f>
        <v>DA-003-M0090</v>
      </c>
      <c r="G2168" s="24">
        <f>Withdrawals_Data!C122</f>
        <v>45622</v>
      </c>
      <c r="H2168" s="27">
        <v>0</v>
      </c>
      <c r="I2168" s="27">
        <f>-Withdrawals_Data!D122</f>
        <v>-9235.33</v>
      </c>
    </row>
    <row r="2169" spans="3:9">
      <c r="C2169" s="23">
        <v>962</v>
      </c>
      <c r="D2169" s="23" t="s">
        <v>134</v>
      </c>
      <c r="E2169" s="23" t="str">
        <f>Withdrawals_Data!A327</f>
        <v>DA-002</v>
      </c>
      <c r="F2169" s="23" t="str">
        <f>Withdrawals_Data!B327</f>
        <v>DA-002-M0072</v>
      </c>
      <c r="G2169" s="24">
        <f>Withdrawals_Data!C327</f>
        <v>45622</v>
      </c>
      <c r="H2169" s="27">
        <v>0</v>
      </c>
      <c r="I2169" s="27">
        <f>-Withdrawals_Data!D327</f>
        <v>-1718</v>
      </c>
    </row>
    <row r="2170" spans="3:9">
      <c r="C2170" s="23">
        <v>963</v>
      </c>
      <c r="D2170" s="23" t="s">
        <v>134</v>
      </c>
      <c r="E2170" s="23" t="str">
        <f>Withdrawals_Data!A363</f>
        <v>DA-001</v>
      </c>
      <c r="F2170" s="23" t="str">
        <f>Withdrawals_Data!B363</f>
        <v>DA-001-M0004</v>
      </c>
      <c r="G2170" s="24">
        <f>Withdrawals_Data!C363</f>
        <v>45622</v>
      </c>
      <c r="H2170" s="27">
        <v>0</v>
      </c>
      <c r="I2170" s="27">
        <f>-Withdrawals_Data!D363</f>
        <v>-6210</v>
      </c>
    </row>
    <row r="2171" spans="3:9">
      <c r="C2171" s="23">
        <v>964</v>
      </c>
      <c r="D2171" s="23" t="s">
        <v>134</v>
      </c>
      <c r="E2171" s="23" t="str">
        <f>Withdrawals_Data!A489</f>
        <v>DA-001</v>
      </c>
      <c r="F2171" s="23" t="str">
        <f>Withdrawals_Data!B489</f>
        <v>DA-001-M0019</v>
      </c>
      <c r="G2171" s="24">
        <f>Withdrawals_Data!C489</f>
        <v>45622</v>
      </c>
      <c r="H2171" s="27">
        <v>0</v>
      </c>
      <c r="I2171" s="27">
        <f>-Withdrawals_Data!D489</f>
        <v>-14910</v>
      </c>
    </row>
    <row r="2172" spans="3:9">
      <c r="C2172" s="23">
        <v>965</v>
      </c>
      <c r="D2172" s="23" t="s">
        <v>134</v>
      </c>
      <c r="E2172" s="23" t="str">
        <f>Withdrawals_Data!A1130</f>
        <v>DA-001</v>
      </c>
      <c r="F2172" s="23" t="str">
        <f>Withdrawals_Data!B1130</f>
        <v>DA-001-M0092</v>
      </c>
      <c r="G2172" s="24">
        <f>Withdrawals_Data!C1130</f>
        <v>45622</v>
      </c>
      <c r="H2172" s="27">
        <v>0</v>
      </c>
      <c r="I2172" s="27">
        <f>-Withdrawals_Data!D1130</f>
        <v>-19771</v>
      </c>
    </row>
    <row r="2173" spans="3:9">
      <c r="C2173" s="23">
        <v>966</v>
      </c>
      <c r="D2173" s="23" t="s">
        <v>134</v>
      </c>
      <c r="E2173" s="23" t="str">
        <f>Withdrawals_Data!A261</f>
        <v>DA-001</v>
      </c>
      <c r="F2173" s="23" t="str">
        <f>Withdrawals_Data!B261</f>
        <v>DA-001-M0098</v>
      </c>
      <c r="G2173" s="24">
        <f>Withdrawals_Data!C261</f>
        <v>45623</v>
      </c>
      <c r="H2173" s="27">
        <v>0</v>
      </c>
      <c r="I2173" s="27">
        <f>-Withdrawals_Data!D261</f>
        <v>-5061.63</v>
      </c>
    </row>
    <row r="2174" spans="3:9">
      <c r="C2174" s="23">
        <v>967</v>
      </c>
      <c r="D2174" s="23" t="s">
        <v>134</v>
      </c>
      <c r="E2174" s="23" t="str">
        <f>Withdrawals_Data!A562</f>
        <v>DA-002</v>
      </c>
      <c r="F2174" s="23" t="str">
        <f>Withdrawals_Data!B562</f>
        <v>DA-002-M0027</v>
      </c>
      <c r="G2174" s="24">
        <f>Withdrawals_Data!C562</f>
        <v>45623</v>
      </c>
      <c r="H2174" s="27">
        <v>0</v>
      </c>
      <c r="I2174" s="27">
        <f>-Withdrawals_Data!D562</f>
        <v>-7201</v>
      </c>
    </row>
    <row r="2175" spans="3:9">
      <c r="C2175" s="23">
        <v>968</v>
      </c>
      <c r="D2175" s="23" t="s">
        <v>134</v>
      </c>
      <c r="E2175" s="23" t="str">
        <f>Withdrawals_Data!A770</f>
        <v>DA-002</v>
      </c>
      <c r="F2175" s="23" t="str">
        <f>Withdrawals_Data!B770</f>
        <v>DA-002-M0051</v>
      </c>
      <c r="G2175" s="24">
        <f>Withdrawals_Data!C770</f>
        <v>45623</v>
      </c>
      <c r="H2175" s="27">
        <v>0</v>
      </c>
      <c r="I2175" s="27">
        <f>-Withdrawals_Data!D770</f>
        <v>-3567</v>
      </c>
    </row>
    <row r="2176" spans="3:9">
      <c r="C2176" s="23">
        <v>969</v>
      </c>
      <c r="D2176" s="23" t="s">
        <v>134</v>
      </c>
      <c r="E2176" s="23" t="str">
        <f>Withdrawals_Data!A855</f>
        <v>DA-002</v>
      </c>
      <c r="F2176" s="23" t="str">
        <f>Withdrawals_Data!B855</f>
        <v>DA-002-M0060</v>
      </c>
      <c r="G2176" s="24">
        <f>Withdrawals_Data!C855</f>
        <v>45623</v>
      </c>
      <c r="H2176" s="27">
        <v>0</v>
      </c>
      <c r="I2176" s="27">
        <f>-Withdrawals_Data!D855</f>
        <v>-15015</v>
      </c>
    </row>
    <row r="2177" spans="3:9">
      <c r="C2177" s="23">
        <v>970</v>
      </c>
      <c r="D2177" s="23" t="s">
        <v>134</v>
      </c>
      <c r="E2177" s="23" t="str">
        <f>Withdrawals_Data!A1048</f>
        <v>DA-001</v>
      </c>
      <c r="F2177" s="23" t="str">
        <f>Withdrawals_Data!B1048</f>
        <v>DA-001-M0083</v>
      </c>
      <c r="G2177" s="24">
        <f>Withdrawals_Data!C1048</f>
        <v>45623</v>
      </c>
      <c r="H2177" s="27">
        <v>0</v>
      </c>
      <c r="I2177" s="27">
        <f>-Withdrawals_Data!D1048</f>
        <v>-19934</v>
      </c>
    </row>
    <row r="2178" spans="3:9">
      <c r="C2178" s="23">
        <v>971</v>
      </c>
      <c r="D2178" s="23" t="s">
        <v>134</v>
      </c>
      <c r="E2178" s="23" t="str">
        <f>Withdrawals_Data!A1200</f>
        <v>DA-003</v>
      </c>
      <c r="F2178" s="23" t="str">
        <f>Withdrawals_Data!B1200</f>
        <v>DA-003-M0100</v>
      </c>
      <c r="G2178" s="24">
        <f>Withdrawals_Data!C1200</f>
        <v>45623</v>
      </c>
      <c r="H2178" s="27">
        <v>0</v>
      </c>
      <c r="I2178" s="27">
        <f>-Withdrawals_Data!D1200</f>
        <v>-3000</v>
      </c>
    </row>
    <row r="2179" spans="3:9">
      <c r="C2179" s="23">
        <v>972</v>
      </c>
      <c r="D2179" s="23" t="s">
        <v>132</v>
      </c>
      <c r="E2179" s="23" t="str">
        <f>Contributions_Data!A612</f>
        <v>DA-002</v>
      </c>
      <c r="F2179" s="23" t="str">
        <f>Contributions_Data!B612</f>
        <v>DA-002-M0051</v>
      </c>
      <c r="G2179" s="24">
        <f>Contributions_Data!C612</f>
        <v>45624</v>
      </c>
      <c r="H2179" s="27">
        <f>Contributions_Data!D612</f>
        <v>10452.77</v>
      </c>
      <c r="I2179" s="27">
        <v>0</v>
      </c>
    </row>
    <row r="2180" spans="3:9">
      <c r="C2180" s="23">
        <v>973</v>
      </c>
      <c r="D2180" s="23" t="s">
        <v>132</v>
      </c>
      <c r="E2180" s="23" t="str">
        <f>Contributions_Data!A640</f>
        <v>DA-002</v>
      </c>
      <c r="F2180" s="23" t="str">
        <f>Contributions_Data!B640</f>
        <v>DA-002-M0054</v>
      </c>
      <c r="G2180" s="24">
        <f>Contributions_Data!C640</f>
        <v>45624</v>
      </c>
      <c r="H2180" s="27">
        <f>Contributions_Data!D640</f>
        <v>14498.65</v>
      </c>
      <c r="I2180" s="27">
        <v>0</v>
      </c>
    </row>
    <row r="2181" spans="3:9">
      <c r="C2181" s="23">
        <v>974</v>
      </c>
      <c r="D2181" s="23" t="s">
        <v>132</v>
      </c>
      <c r="E2181" s="23" t="str">
        <f>Contributions_Data!A649</f>
        <v>DA-002</v>
      </c>
      <c r="F2181" s="23" t="str">
        <f>Contributions_Data!B649</f>
        <v>DA-002-M0054</v>
      </c>
      <c r="G2181" s="24">
        <f>Contributions_Data!C649</f>
        <v>45624</v>
      </c>
      <c r="H2181" s="27">
        <f>Contributions_Data!D649</f>
        <v>21489.759999999998</v>
      </c>
      <c r="I2181" s="27">
        <v>0</v>
      </c>
    </row>
    <row r="2182" spans="3:9">
      <c r="C2182" s="23">
        <v>975</v>
      </c>
      <c r="D2182" s="23" t="s">
        <v>134</v>
      </c>
      <c r="E2182" s="23" t="str">
        <f>Withdrawals_Data!A87</f>
        <v>DA-001</v>
      </c>
      <c r="F2182" s="23" t="str">
        <f>Withdrawals_Data!B87</f>
        <v>DA-001-M0004</v>
      </c>
      <c r="G2182" s="24">
        <f>Withdrawals_Data!C87</f>
        <v>45624</v>
      </c>
      <c r="H2182" s="27">
        <v>0</v>
      </c>
      <c r="I2182" s="27">
        <f>-Withdrawals_Data!D87</f>
        <v>-10347.43</v>
      </c>
    </row>
    <row r="2183" spans="3:9">
      <c r="C2183" s="23">
        <v>976</v>
      </c>
      <c r="D2183" s="23" t="s">
        <v>134</v>
      </c>
      <c r="E2183" s="23" t="str">
        <f>Withdrawals_Data!A353</f>
        <v>DA-001</v>
      </c>
      <c r="F2183" s="23" t="str">
        <f>Withdrawals_Data!B353</f>
        <v>DA-001-M0002</v>
      </c>
      <c r="G2183" s="24">
        <f>Withdrawals_Data!C353</f>
        <v>45624</v>
      </c>
      <c r="H2183" s="27">
        <v>0</v>
      </c>
      <c r="I2183" s="27">
        <f>-Withdrawals_Data!D353</f>
        <v>-10870</v>
      </c>
    </row>
    <row r="2184" spans="3:9">
      <c r="C2184" s="23">
        <v>977</v>
      </c>
      <c r="D2184" s="23" t="s">
        <v>134</v>
      </c>
      <c r="E2184" s="23" t="str">
        <f>Withdrawals_Data!A915</f>
        <v>DA-002</v>
      </c>
      <c r="F2184" s="23" t="str">
        <f>Withdrawals_Data!B915</f>
        <v>DA-002-M0067</v>
      </c>
      <c r="G2184" s="24">
        <f>Withdrawals_Data!C915</f>
        <v>45624</v>
      </c>
      <c r="H2184" s="27">
        <v>0</v>
      </c>
      <c r="I2184" s="27">
        <f>-Withdrawals_Data!D915</f>
        <v>-21125</v>
      </c>
    </row>
    <row r="2185" spans="3:9">
      <c r="C2185" s="23">
        <v>978</v>
      </c>
      <c r="D2185" s="23" t="s">
        <v>132</v>
      </c>
      <c r="E2185" s="23" t="str">
        <f>Contributions_Data!A482</f>
        <v>DA-002</v>
      </c>
      <c r="F2185" s="23" t="str">
        <f>Contributions_Data!B482</f>
        <v>DA-002-M0041</v>
      </c>
      <c r="G2185" s="24">
        <f>Contributions_Data!C482</f>
        <v>45625</v>
      </c>
      <c r="H2185" s="27">
        <f>Contributions_Data!D482</f>
        <v>18147.03</v>
      </c>
      <c r="I2185" s="27">
        <v>0</v>
      </c>
    </row>
    <row r="2186" spans="3:9">
      <c r="C2186" s="23">
        <v>979</v>
      </c>
      <c r="D2186" s="23" t="s">
        <v>132</v>
      </c>
      <c r="E2186" s="23" t="str">
        <f>Contributions_Data!A580</f>
        <v>DA-001</v>
      </c>
      <c r="F2186" s="23" t="str">
        <f>Contributions_Data!B580</f>
        <v>DA-001-M0049</v>
      </c>
      <c r="G2186" s="24">
        <f>Contributions_Data!C580</f>
        <v>45625</v>
      </c>
      <c r="H2186" s="27">
        <f>Contributions_Data!D580</f>
        <v>21896.69</v>
      </c>
      <c r="I2186" s="27">
        <v>0</v>
      </c>
    </row>
    <row r="2187" spans="3:9">
      <c r="C2187" s="23">
        <v>980</v>
      </c>
      <c r="D2187" s="23" t="s">
        <v>132</v>
      </c>
      <c r="E2187" s="23" t="str">
        <f>Contributions_Data!A680</f>
        <v>DA-002</v>
      </c>
      <c r="F2187" s="23" t="str">
        <f>Contributions_Data!B680</f>
        <v>DA-002-M0057</v>
      </c>
      <c r="G2187" s="24">
        <f>Contributions_Data!C680</f>
        <v>45625</v>
      </c>
      <c r="H2187" s="27">
        <f>Contributions_Data!D680</f>
        <v>14863.24</v>
      </c>
      <c r="I2187" s="27">
        <v>0</v>
      </c>
    </row>
    <row r="2188" spans="3:9">
      <c r="C2188" s="23">
        <v>981</v>
      </c>
      <c r="D2188" s="23" t="s">
        <v>132</v>
      </c>
      <c r="E2188" s="23" t="str">
        <f>Contributions_Data!A924</f>
        <v>DA-003</v>
      </c>
      <c r="F2188" s="23" t="str">
        <f>Contributions_Data!B924</f>
        <v>DA-003-M0077</v>
      </c>
      <c r="G2188" s="24">
        <f>Contributions_Data!C924</f>
        <v>45625</v>
      </c>
      <c r="H2188" s="27">
        <f>Contributions_Data!D924</f>
        <v>14666.32</v>
      </c>
      <c r="I2188" s="27">
        <v>0</v>
      </c>
    </row>
    <row r="2189" spans="3:9">
      <c r="C2189" s="23">
        <v>982</v>
      </c>
      <c r="D2189" s="23" t="s">
        <v>134</v>
      </c>
      <c r="E2189" s="23" t="str">
        <f>Withdrawals_Data!A802</f>
        <v>DA-001</v>
      </c>
      <c r="F2189" s="23" t="str">
        <f>Withdrawals_Data!B802</f>
        <v>DA-001-M0055</v>
      </c>
      <c r="G2189" s="24">
        <f>Withdrawals_Data!C802</f>
        <v>45625</v>
      </c>
      <c r="H2189" s="27">
        <v>0</v>
      </c>
      <c r="I2189" s="27">
        <f>-Withdrawals_Data!D802</f>
        <v>-6601</v>
      </c>
    </row>
    <row r="2190" spans="3:9">
      <c r="C2190" s="23">
        <v>983</v>
      </c>
      <c r="D2190" s="23" t="s">
        <v>134</v>
      </c>
      <c r="E2190" s="23" t="str">
        <f>Withdrawals_Data!A1179</f>
        <v>DA-001</v>
      </c>
      <c r="F2190" s="23" t="str">
        <f>Withdrawals_Data!B1179</f>
        <v>DA-001-M0098</v>
      </c>
      <c r="G2190" s="24">
        <f>Withdrawals_Data!C1179</f>
        <v>45625</v>
      </c>
      <c r="H2190" s="27">
        <v>0</v>
      </c>
      <c r="I2190" s="27">
        <f>-Withdrawals_Data!D1179</f>
        <v>-14084</v>
      </c>
    </row>
    <row r="2191" spans="3:9">
      <c r="C2191" s="23">
        <v>984</v>
      </c>
      <c r="D2191" s="23" t="s">
        <v>134</v>
      </c>
      <c r="E2191" s="23" t="str">
        <f>Withdrawals_Data!A1195</f>
        <v>DA-003</v>
      </c>
      <c r="F2191" s="23" t="str">
        <f>Withdrawals_Data!B1195</f>
        <v>DA-003-M0100</v>
      </c>
      <c r="G2191" s="24">
        <f>Withdrawals_Data!C1195</f>
        <v>45625</v>
      </c>
      <c r="H2191" s="27">
        <v>0</v>
      </c>
      <c r="I2191" s="27">
        <f>-Withdrawals_Data!D1195</f>
        <v>-13510</v>
      </c>
    </row>
    <row r="2192" spans="3:9">
      <c r="C2192" s="23">
        <v>985</v>
      </c>
      <c r="D2192" s="23" t="s">
        <v>132</v>
      </c>
      <c r="E2192" s="23" t="str">
        <f>Contributions_Data!A211</f>
        <v>DA-002</v>
      </c>
      <c r="F2192" s="23" t="str">
        <f>Contributions_Data!B211</f>
        <v>DA-002-M0018</v>
      </c>
      <c r="G2192" s="24">
        <f>Contributions_Data!C211</f>
        <v>45626</v>
      </c>
      <c r="H2192" s="27">
        <f>Contributions_Data!D211</f>
        <v>11992.41</v>
      </c>
      <c r="I2192" s="27">
        <v>0</v>
      </c>
    </row>
    <row r="2193" spans="3:9">
      <c r="C2193" s="23">
        <v>986</v>
      </c>
      <c r="D2193" s="23" t="s">
        <v>132</v>
      </c>
      <c r="E2193" s="23" t="str">
        <f>Contributions_Data!A328</f>
        <v>DA-003</v>
      </c>
      <c r="F2193" s="23" t="str">
        <f>Contributions_Data!B328</f>
        <v>DA-003-M0028</v>
      </c>
      <c r="G2193" s="24">
        <f>Contributions_Data!C328</f>
        <v>45626</v>
      </c>
      <c r="H2193" s="27">
        <f>Contributions_Data!D328</f>
        <v>10804.3</v>
      </c>
      <c r="I2193" s="27">
        <v>0</v>
      </c>
    </row>
    <row r="2194" spans="3:9">
      <c r="C2194" s="23">
        <v>987</v>
      </c>
      <c r="D2194" s="23" t="s">
        <v>132</v>
      </c>
      <c r="E2194" s="23" t="str">
        <f>Contributions_Data!A455</f>
        <v>DA-001</v>
      </c>
      <c r="F2194" s="23" t="str">
        <f>Contributions_Data!B455</f>
        <v>DA-001-M0038</v>
      </c>
      <c r="G2194" s="24">
        <f>Contributions_Data!C455</f>
        <v>45626</v>
      </c>
      <c r="H2194" s="27">
        <f>Contributions_Data!D455</f>
        <v>14235.07</v>
      </c>
      <c r="I2194" s="27">
        <v>0</v>
      </c>
    </row>
    <row r="2195" spans="3:9">
      <c r="C2195" s="23">
        <v>988</v>
      </c>
      <c r="D2195" s="23" t="s">
        <v>132</v>
      </c>
      <c r="E2195" s="23" t="str">
        <f>Contributions_Data!A461</f>
        <v>DA-002</v>
      </c>
      <c r="F2195" s="23" t="str">
        <f>Contributions_Data!B461</f>
        <v>DA-002-M0039</v>
      </c>
      <c r="G2195" s="24">
        <f>Contributions_Data!C461</f>
        <v>45626</v>
      </c>
      <c r="H2195" s="27">
        <f>Contributions_Data!D461</f>
        <v>10777.46</v>
      </c>
      <c r="I2195" s="27">
        <v>0</v>
      </c>
    </row>
    <row r="2196" spans="3:9">
      <c r="C2196" s="23">
        <v>989</v>
      </c>
      <c r="D2196" s="23" t="s">
        <v>132</v>
      </c>
      <c r="E2196" s="23" t="str">
        <f>Contributions_Data!A848</f>
        <v>DA-001</v>
      </c>
      <c r="F2196" s="23" t="str">
        <f>Contributions_Data!B848</f>
        <v>DA-001-M0071</v>
      </c>
      <c r="G2196" s="24">
        <f>Contributions_Data!C848</f>
        <v>45626</v>
      </c>
      <c r="H2196" s="27">
        <f>Contributions_Data!D848</f>
        <v>10831.28</v>
      </c>
      <c r="I2196" s="27">
        <v>0</v>
      </c>
    </row>
    <row r="2197" spans="3:9">
      <c r="C2197" s="23">
        <v>990</v>
      </c>
      <c r="D2197" s="23" t="s">
        <v>134</v>
      </c>
      <c r="E2197" s="23" t="str">
        <f>Withdrawals_Data!A22</f>
        <v>DA-002</v>
      </c>
      <c r="F2197" s="23" t="str">
        <f>Withdrawals_Data!B22</f>
        <v>DA-002-M0060</v>
      </c>
      <c r="G2197" s="24">
        <f>Withdrawals_Data!C22</f>
        <v>45626</v>
      </c>
      <c r="H2197" s="27">
        <v>0</v>
      </c>
      <c r="I2197" s="27">
        <f>-Withdrawals_Data!D22</f>
        <v>-14013.59</v>
      </c>
    </row>
    <row r="2198" spans="3:9">
      <c r="C2198" s="23">
        <v>991</v>
      </c>
      <c r="D2198" s="23" t="s">
        <v>134</v>
      </c>
      <c r="E2198" s="23" t="str">
        <f>Withdrawals_Data!A266</f>
        <v>DA-003</v>
      </c>
      <c r="F2198" s="23" t="str">
        <f>Withdrawals_Data!B266</f>
        <v>DA-003-M0029</v>
      </c>
      <c r="G2198" s="24">
        <f>Withdrawals_Data!C266</f>
        <v>45626</v>
      </c>
      <c r="H2198" s="27">
        <v>0</v>
      </c>
      <c r="I2198" s="27">
        <f>-Withdrawals_Data!D266</f>
        <v>-4946.96</v>
      </c>
    </row>
    <row r="2199" spans="3:9">
      <c r="C2199" s="23">
        <v>992</v>
      </c>
      <c r="D2199" s="23" t="s">
        <v>134</v>
      </c>
      <c r="E2199" s="23" t="str">
        <f>Withdrawals_Data!A904</f>
        <v>DA-003</v>
      </c>
      <c r="F2199" s="23" t="str">
        <f>Withdrawals_Data!B904</f>
        <v>DA-003-M0066</v>
      </c>
      <c r="G2199" s="24">
        <f>Withdrawals_Data!C904</f>
        <v>45626</v>
      </c>
      <c r="H2199" s="27">
        <v>0</v>
      </c>
      <c r="I2199" s="27">
        <f>-Withdrawals_Data!D904</f>
        <v>-20167</v>
      </c>
    </row>
    <row r="2200" spans="3:9">
      <c r="C2200" s="23">
        <v>993</v>
      </c>
      <c r="D2200" s="23" t="s">
        <v>132</v>
      </c>
      <c r="E2200" s="23" t="str">
        <f>Contributions_Data!A102</f>
        <v>DA-001</v>
      </c>
      <c r="F2200" s="23" t="str">
        <f>Contributions_Data!B102</f>
        <v>DA-001-M0009</v>
      </c>
      <c r="G2200" s="24">
        <f>Contributions_Data!C102</f>
        <v>45627</v>
      </c>
      <c r="H2200" s="27">
        <f>Contributions_Data!D102</f>
        <v>16712.669999999998</v>
      </c>
      <c r="I2200" s="27">
        <v>0</v>
      </c>
    </row>
    <row r="2201" spans="3:9">
      <c r="C2201" s="23">
        <v>994</v>
      </c>
      <c r="D2201" s="23" t="s">
        <v>132</v>
      </c>
      <c r="E2201" s="23" t="str">
        <f>Contributions_Data!A421</f>
        <v>DA-001</v>
      </c>
      <c r="F2201" s="23" t="str">
        <f>Contributions_Data!B421</f>
        <v>DA-001-M0035</v>
      </c>
      <c r="G2201" s="24">
        <f>Contributions_Data!C421</f>
        <v>45627</v>
      </c>
      <c r="H2201" s="27">
        <f>Contributions_Data!D421</f>
        <v>12628.58</v>
      </c>
      <c r="I2201" s="27">
        <v>0</v>
      </c>
    </row>
    <row r="2202" spans="3:9">
      <c r="C2202" s="23">
        <v>995</v>
      </c>
      <c r="D2202" s="23" t="s">
        <v>132</v>
      </c>
      <c r="E2202" s="23" t="str">
        <f>Contributions_Data!A770</f>
        <v>DA-001</v>
      </c>
      <c r="F2202" s="23" t="str">
        <f>Contributions_Data!B770</f>
        <v>DA-001-M0065</v>
      </c>
      <c r="G2202" s="24">
        <f>Contributions_Data!C770</f>
        <v>45627</v>
      </c>
      <c r="H2202" s="27">
        <f>Contributions_Data!D770</f>
        <v>14923.34</v>
      </c>
      <c r="I2202" s="27">
        <v>0</v>
      </c>
    </row>
    <row r="2203" spans="3:9">
      <c r="C2203" s="23">
        <v>996</v>
      </c>
      <c r="D2203" s="23" t="s">
        <v>132</v>
      </c>
      <c r="E2203" s="23" t="str">
        <f>Contributions_Data!A1158</f>
        <v>DA-002</v>
      </c>
      <c r="F2203" s="23" t="str">
        <f>Contributions_Data!B1158</f>
        <v>DA-002-M0097</v>
      </c>
      <c r="G2203" s="24">
        <f>Contributions_Data!C1158</f>
        <v>45627</v>
      </c>
      <c r="H2203" s="27">
        <f>Contributions_Data!D1158</f>
        <v>14935.9</v>
      </c>
      <c r="I2203" s="27">
        <v>0</v>
      </c>
    </row>
    <row r="2204" spans="3:9">
      <c r="C2204" s="23">
        <v>997</v>
      </c>
      <c r="D2204" s="23" t="s">
        <v>134</v>
      </c>
      <c r="E2204" s="23" t="str">
        <f>Withdrawals_Data!A514</f>
        <v>DA-001</v>
      </c>
      <c r="F2204" s="23" t="str">
        <f>Withdrawals_Data!B514</f>
        <v>DA-001-M0022</v>
      </c>
      <c r="G2204" s="24">
        <f>Withdrawals_Data!C514</f>
        <v>45627</v>
      </c>
      <c r="H2204" s="27">
        <v>0</v>
      </c>
      <c r="I2204" s="27">
        <f>-Withdrawals_Data!D514</f>
        <v>-13258</v>
      </c>
    </row>
    <row r="2205" spans="3:9">
      <c r="C2205" s="23">
        <v>998</v>
      </c>
      <c r="D2205" s="23" t="s">
        <v>134</v>
      </c>
      <c r="E2205" s="23" t="str">
        <f>Withdrawals_Data!A526</f>
        <v>DA-002</v>
      </c>
      <c r="F2205" s="23" t="str">
        <f>Withdrawals_Data!B526</f>
        <v>DA-002-M0023</v>
      </c>
      <c r="G2205" s="24">
        <f>Withdrawals_Data!C526</f>
        <v>45627</v>
      </c>
      <c r="H2205" s="27">
        <v>0</v>
      </c>
      <c r="I2205" s="27">
        <f>-Withdrawals_Data!D526</f>
        <v>-12936</v>
      </c>
    </row>
    <row r="2206" spans="3:9">
      <c r="C2206" s="23">
        <v>999</v>
      </c>
      <c r="D2206" s="23" t="s">
        <v>134</v>
      </c>
      <c r="E2206" s="23" t="str">
        <f>Withdrawals_Data!A782</f>
        <v>DA-003</v>
      </c>
      <c r="F2206" s="23" t="str">
        <f>Withdrawals_Data!B782</f>
        <v>DA-003-M0052</v>
      </c>
      <c r="G2206" s="24">
        <f>Withdrawals_Data!C782</f>
        <v>45627</v>
      </c>
      <c r="H2206" s="27">
        <v>0</v>
      </c>
      <c r="I2206" s="27">
        <f>-Withdrawals_Data!D782</f>
        <v>-8316</v>
      </c>
    </row>
    <row r="2207" spans="3:9">
      <c r="C2207" s="23">
        <v>1000</v>
      </c>
      <c r="D2207" s="23" t="s">
        <v>134</v>
      </c>
      <c r="E2207" s="23" t="str">
        <f>Withdrawals_Data!A816</f>
        <v>DA-001</v>
      </c>
      <c r="F2207" s="23" t="str">
        <f>Withdrawals_Data!B816</f>
        <v>DA-001-M0056</v>
      </c>
      <c r="G2207" s="24">
        <f>Withdrawals_Data!C816</f>
        <v>45627</v>
      </c>
      <c r="H2207" s="27">
        <v>0</v>
      </c>
      <c r="I2207" s="27">
        <f>-Withdrawals_Data!D816</f>
        <v>-1501</v>
      </c>
    </row>
    <row r="2208" spans="3:9">
      <c r="C2208" s="23">
        <v>1001</v>
      </c>
      <c r="D2208" s="23" t="s">
        <v>134</v>
      </c>
      <c r="E2208" s="23" t="str">
        <f>Withdrawals_Data!A835</f>
        <v>DA-001</v>
      </c>
      <c r="F2208" s="23" t="str">
        <f>Withdrawals_Data!B835</f>
        <v>DA-001-M0058</v>
      </c>
      <c r="G2208" s="24">
        <f>Withdrawals_Data!C835</f>
        <v>45627</v>
      </c>
      <c r="H2208" s="27">
        <v>0</v>
      </c>
      <c r="I2208" s="27">
        <f>-Withdrawals_Data!D835</f>
        <v>-14743</v>
      </c>
    </row>
    <row r="2209" spans="3:9">
      <c r="C2209" s="23">
        <v>1002</v>
      </c>
      <c r="D2209" s="23" t="s">
        <v>134</v>
      </c>
      <c r="E2209" s="23" t="str">
        <f>Withdrawals_Data!A929</f>
        <v>DA-003</v>
      </c>
      <c r="F2209" s="23" t="str">
        <f>Withdrawals_Data!B929</f>
        <v>DA-003-M0069</v>
      </c>
      <c r="G2209" s="24">
        <f>Withdrawals_Data!C929</f>
        <v>45627</v>
      </c>
      <c r="H2209" s="27">
        <v>0</v>
      </c>
      <c r="I2209" s="27">
        <f>-Withdrawals_Data!D929</f>
        <v>-15346</v>
      </c>
    </row>
    <row r="2210" spans="3:9">
      <c r="C2210" s="23">
        <v>1003</v>
      </c>
      <c r="D2210" s="23" t="s">
        <v>134</v>
      </c>
      <c r="E2210" s="23" t="str">
        <f>Withdrawals_Data!A985</f>
        <v>DA-003</v>
      </c>
      <c r="F2210" s="23" t="str">
        <f>Withdrawals_Data!B985</f>
        <v>DA-003-M0076</v>
      </c>
      <c r="G2210" s="24">
        <f>Withdrawals_Data!C985</f>
        <v>45627</v>
      </c>
      <c r="H2210" s="27">
        <v>0</v>
      </c>
      <c r="I2210" s="27">
        <f>-Withdrawals_Data!D985</f>
        <v>-21313</v>
      </c>
    </row>
    <row r="2211" spans="3:9">
      <c r="C2211" s="23">
        <v>1004</v>
      </c>
      <c r="D2211" s="23" t="s">
        <v>134</v>
      </c>
      <c r="E2211" s="23" t="str">
        <f>Withdrawals_Data!A1017</f>
        <v>DA-003</v>
      </c>
      <c r="F2211" s="23" t="str">
        <f>Withdrawals_Data!B1017</f>
        <v>DA-003-M0080</v>
      </c>
      <c r="G2211" s="24">
        <f>Withdrawals_Data!C1017</f>
        <v>45627</v>
      </c>
      <c r="H2211" s="27">
        <v>0</v>
      </c>
      <c r="I2211" s="27">
        <f>-Withdrawals_Data!D1017</f>
        <v>-21301</v>
      </c>
    </row>
    <row r="2212" spans="3:9">
      <c r="C2212" s="23">
        <v>1005</v>
      </c>
      <c r="D2212" s="23" t="s">
        <v>134</v>
      </c>
      <c r="E2212" s="23" t="str">
        <f>Withdrawals_Data!A1082</f>
        <v>DA-003</v>
      </c>
      <c r="F2212" s="23" t="str">
        <f>Withdrawals_Data!B1082</f>
        <v>DA-003-M0086</v>
      </c>
      <c r="G2212" s="24">
        <f>Withdrawals_Data!C1082</f>
        <v>45627</v>
      </c>
      <c r="H2212" s="27">
        <v>0</v>
      </c>
      <c r="I2212" s="27">
        <f>-Withdrawals_Data!D1082</f>
        <v>-4801</v>
      </c>
    </row>
    <row r="2213" spans="3:9">
      <c r="C2213" s="23">
        <v>1006</v>
      </c>
      <c r="D2213" s="23" t="s">
        <v>134</v>
      </c>
      <c r="E2213" s="23" t="str">
        <f>Withdrawals_Data!A1167</f>
        <v>DA-002</v>
      </c>
      <c r="F2213" s="23" t="str">
        <f>Withdrawals_Data!B1167</f>
        <v>DA-002-M0097</v>
      </c>
      <c r="G2213" s="24">
        <f>Withdrawals_Data!C1167</f>
        <v>45627</v>
      </c>
      <c r="H2213" s="27">
        <v>0</v>
      </c>
      <c r="I2213" s="27">
        <f>-Withdrawals_Data!D1167</f>
        <v>-11237</v>
      </c>
    </row>
    <row r="2214" spans="3:9">
      <c r="C2214" s="23">
        <v>1007</v>
      </c>
      <c r="D2214" s="23" t="s">
        <v>132</v>
      </c>
      <c r="E2214" s="23" t="str">
        <f>Contributions_Data!A163</f>
        <v>DA-003</v>
      </c>
      <c r="F2214" s="23" t="str">
        <f>Contributions_Data!B163</f>
        <v>DA-003-M0014</v>
      </c>
      <c r="G2214" s="24">
        <f>Contributions_Data!C163</f>
        <v>45628</v>
      </c>
      <c r="H2214" s="27">
        <f>Contributions_Data!D163</f>
        <v>13231.91</v>
      </c>
      <c r="I2214" s="27">
        <v>0</v>
      </c>
    </row>
    <row r="2215" spans="3:9">
      <c r="C2215" s="23">
        <v>1008</v>
      </c>
      <c r="D2215" s="23" t="s">
        <v>132</v>
      </c>
      <c r="E2215" s="23" t="str">
        <f>Contributions_Data!A593</f>
        <v>DA-002</v>
      </c>
      <c r="F2215" s="23" t="str">
        <f>Contributions_Data!B593</f>
        <v>DA-002-M0050</v>
      </c>
      <c r="G2215" s="24">
        <f>Contributions_Data!C593</f>
        <v>45628</v>
      </c>
      <c r="H2215" s="27">
        <f>Contributions_Data!D593</f>
        <v>12004.94</v>
      </c>
      <c r="I2215" s="27">
        <v>0</v>
      </c>
    </row>
    <row r="2216" spans="3:9">
      <c r="C2216" s="23">
        <v>1009</v>
      </c>
      <c r="D2216" s="23" t="s">
        <v>134</v>
      </c>
      <c r="E2216" s="23" t="str">
        <f>Withdrawals_Data!A519</f>
        <v>DA-002</v>
      </c>
      <c r="F2216" s="23" t="str">
        <f>Withdrawals_Data!B519</f>
        <v>DA-002-M0023</v>
      </c>
      <c r="G2216" s="24">
        <f>Withdrawals_Data!C519</f>
        <v>45628</v>
      </c>
      <c r="H2216" s="27">
        <v>0</v>
      </c>
      <c r="I2216" s="27">
        <f>-Withdrawals_Data!D519</f>
        <v>-4178</v>
      </c>
    </row>
    <row r="2217" spans="3:9">
      <c r="C2217" s="23">
        <v>1010</v>
      </c>
      <c r="D2217" s="23" t="s">
        <v>134</v>
      </c>
      <c r="E2217" s="23" t="str">
        <f>Withdrawals_Data!A973</f>
        <v>DA-001</v>
      </c>
      <c r="F2217" s="23" t="str">
        <f>Withdrawals_Data!B973</f>
        <v>DA-001-M0075</v>
      </c>
      <c r="G2217" s="24">
        <f>Withdrawals_Data!C973</f>
        <v>45628</v>
      </c>
      <c r="H2217" s="27">
        <v>0</v>
      </c>
      <c r="I2217" s="27">
        <f>-Withdrawals_Data!D973</f>
        <v>-21314</v>
      </c>
    </row>
    <row r="2218" spans="3:9">
      <c r="C2218" s="23">
        <v>1011</v>
      </c>
      <c r="D2218" s="23" t="s">
        <v>134</v>
      </c>
      <c r="E2218" s="23" t="str">
        <f>Withdrawals_Data!A1012</f>
        <v>DA-003</v>
      </c>
      <c r="F2218" s="23" t="str">
        <f>Withdrawals_Data!B1012</f>
        <v>DA-003-M0079</v>
      </c>
      <c r="G2218" s="24">
        <f>Withdrawals_Data!C1012</f>
        <v>45628</v>
      </c>
      <c r="H2218" s="27">
        <v>0</v>
      </c>
      <c r="I2218" s="27">
        <f>-Withdrawals_Data!D1012</f>
        <v>-1447</v>
      </c>
    </row>
    <row r="2219" spans="3:9">
      <c r="C2219" s="23">
        <v>1012</v>
      </c>
      <c r="D2219" s="23" t="s">
        <v>134</v>
      </c>
      <c r="E2219" s="23" t="str">
        <f>Withdrawals_Data!A1193</f>
        <v>DA-003</v>
      </c>
      <c r="F2219" s="23" t="str">
        <f>Withdrawals_Data!B1193</f>
        <v>DA-003-M0100</v>
      </c>
      <c r="G2219" s="24">
        <f>Withdrawals_Data!C1193</f>
        <v>45628</v>
      </c>
      <c r="H2219" s="27">
        <v>0</v>
      </c>
      <c r="I2219" s="27">
        <f>-Withdrawals_Data!D1193</f>
        <v>-17873</v>
      </c>
    </row>
    <row r="2220" spans="3:9">
      <c r="C2220" s="23">
        <v>1013</v>
      </c>
      <c r="D2220" s="23" t="s">
        <v>132</v>
      </c>
      <c r="E2220" s="23" t="str">
        <f>Contributions_Data!A103</f>
        <v>DA-001</v>
      </c>
      <c r="F2220" s="23" t="str">
        <f>Contributions_Data!B103</f>
        <v>DA-001-M0009</v>
      </c>
      <c r="G2220" s="24">
        <f>Contributions_Data!C103</f>
        <v>45629</v>
      </c>
      <c r="H2220" s="27">
        <f>Contributions_Data!D103</f>
        <v>17862.009999999998</v>
      </c>
      <c r="I2220" s="27">
        <v>0</v>
      </c>
    </row>
    <row r="2221" spans="3:9">
      <c r="C2221" s="23">
        <v>1014</v>
      </c>
      <c r="D2221" s="23" t="s">
        <v>132</v>
      </c>
      <c r="E2221" s="23" t="str">
        <f>Contributions_Data!A606</f>
        <v>DA-002</v>
      </c>
      <c r="F2221" s="23" t="str">
        <f>Contributions_Data!B606</f>
        <v>DA-002-M0051</v>
      </c>
      <c r="G2221" s="24">
        <f>Contributions_Data!C606</f>
        <v>45629</v>
      </c>
      <c r="H2221" s="27">
        <f>Contributions_Data!D606</f>
        <v>18567.05</v>
      </c>
      <c r="I2221" s="27">
        <v>0</v>
      </c>
    </row>
    <row r="2222" spans="3:9">
      <c r="C2222" s="23">
        <v>1015</v>
      </c>
      <c r="D2222" s="23" t="s">
        <v>132</v>
      </c>
      <c r="E2222" s="23" t="str">
        <f>Contributions_Data!A610</f>
        <v>DA-002</v>
      </c>
      <c r="F2222" s="23" t="str">
        <f>Contributions_Data!B610</f>
        <v>DA-002-M0051</v>
      </c>
      <c r="G2222" s="24">
        <f>Contributions_Data!C610</f>
        <v>45629</v>
      </c>
      <c r="H2222" s="27">
        <f>Contributions_Data!D610</f>
        <v>16898.8</v>
      </c>
      <c r="I2222" s="27">
        <v>0</v>
      </c>
    </row>
    <row r="2223" spans="3:9">
      <c r="C2223" s="23">
        <v>1016</v>
      </c>
      <c r="D2223" s="23" t="s">
        <v>132</v>
      </c>
      <c r="E2223" s="23" t="str">
        <f>Contributions_Data!A817</f>
        <v>DA-003</v>
      </c>
      <c r="F2223" s="23" t="str">
        <f>Contributions_Data!B817</f>
        <v>DA-003-M0068</v>
      </c>
      <c r="G2223" s="24">
        <f>Contributions_Data!C817</f>
        <v>45629</v>
      </c>
      <c r="H2223" s="27">
        <f>Contributions_Data!D817</f>
        <v>16916.189999999999</v>
      </c>
      <c r="I2223" s="27">
        <v>0</v>
      </c>
    </row>
    <row r="2224" spans="3:9">
      <c r="C2224" s="23">
        <v>1017</v>
      </c>
      <c r="D2224" s="23" t="s">
        <v>134</v>
      </c>
      <c r="E2224" s="23" t="str">
        <f>Withdrawals_Data!A96</f>
        <v>DA-001</v>
      </c>
      <c r="F2224" s="23" t="str">
        <f>Withdrawals_Data!B96</f>
        <v>DA-001-M0053</v>
      </c>
      <c r="G2224" s="24">
        <f>Withdrawals_Data!C96</f>
        <v>45629</v>
      </c>
      <c r="H2224" s="27">
        <v>0</v>
      </c>
      <c r="I2224" s="27">
        <f>-Withdrawals_Data!D96</f>
        <v>-10029.1</v>
      </c>
    </row>
    <row r="2225" spans="3:9">
      <c r="C2225" s="23">
        <v>1018</v>
      </c>
      <c r="D2225" s="23" t="s">
        <v>134</v>
      </c>
      <c r="E2225" s="23" t="str">
        <f>Withdrawals_Data!A414</f>
        <v>DA-001</v>
      </c>
      <c r="F2225" s="23" t="str">
        <f>Withdrawals_Data!B414</f>
        <v>DA-001-M0010</v>
      </c>
      <c r="G2225" s="24">
        <f>Withdrawals_Data!C414</f>
        <v>45629</v>
      </c>
      <c r="H2225" s="27">
        <v>0</v>
      </c>
      <c r="I2225" s="27">
        <f>-Withdrawals_Data!D414</f>
        <v>-8032</v>
      </c>
    </row>
    <row r="2226" spans="3:9">
      <c r="C2226" s="23">
        <v>1019</v>
      </c>
      <c r="D2226" s="23" t="s">
        <v>134</v>
      </c>
      <c r="E2226" s="23" t="str">
        <f>Withdrawals_Data!A436</f>
        <v>DA-003</v>
      </c>
      <c r="F2226" s="23" t="str">
        <f>Withdrawals_Data!B436</f>
        <v>DA-003-M0013</v>
      </c>
      <c r="G2226" s="24">
        <f>Withdrawals_Data!C436</f>
        <v>45629</v>
      </c>
      <c r="H2226" s="27">
        <v>0</v>
      </c>
      <c r="I2226" s="27">
        <f>-Withdrawals_Data!D436</f>
        <v>-7271</v>
      </c>
    </row>
    <row r="2227" spans="3:9">
      <c r="C2227" s="23">
        <v>1020</v>
      </c>
      <c r="D2227" s="23" t="s">
        <v>134</v>
      </c>
      <c r="E2227" s="23" t="str">
        <f>Withdrawals_Data!A550</f>
        <v>DA-002</v>
      </c>
      <c r="F2227" s="23" t="str">
        <f>Withdrawals_Data!B550</f>
        <v>DA-002-M0026</v>
      </c>
      <c r="G2227" s="24">
        <f>Withdrawals_Data!C550</f>
        <v>45629</v>
      </c>
      <c r="H2227" s="27">
        <v>0</v>
      </c>
      <c r="I2227" s="27">
        <f>-Withdrawals_Data!D550</f>
        <v>-13550</v>
      </c>
    </row>
    <row r="2228" spans="3:9">
      <c r="C2228" s="23">
        <v>1021</v>
      </c>
      <c r="D2228" s="23" t="s">
        <v>134</v>
      </c>
      <c r="E2228" s="23" t="str">
        <f>Withdrawals_Data!A1189</f>
        <v>DA-003</v>
      </c>
      <c r="F2228" s="23" t="str">
        <f>Withdrawals_Data!B1189</f>
        <v>DA-003-M0099</v>
      </c>
      <c r="G2228" s="24">
        <f>Withdrawals_Data!C1189</f>
        <v>45629</v>
      </c>
      <c r="H2228" s="27">
        <v>0</v>
      </c>
      <c r="I2228" s="27">
        <f>-Withdrawals_Data!D1189</f>
        <v>-9145</v>
      </c>
    </row>
    <row r="2229" spans="3:9">
      <c r="C2229" s="23">
        <v>1022</v>
      </c>
      <c r="D2229" s="23" t="s">
        <v>132</v>
      </c>
      <c r="E2229" s="23" t="str">
        <f>Contributions_Data!A300</f>
        <v>DA-001</v>
      </c>
      <c r="F2229" s="23" t="str">
        <f>Contributions_Data!B300</f>
        <v>DA-001-M0025</v>
      </c>
      <c r="G2229" s="24">
        <f>Contributions_Data!C300</f>
        <v>45630</v>
      </c>
      <c r="H2229" s="27">
        <f>Contributions_Data!D300</f>
        <v>17272.52</v>
      </c>
      <c r="I2229" s="27">
        <v>0</v>
      </c>
    </row>
    <row r="2230" spans="3:9">
      <c r="C2230" s="23">
        <v>1023</v>
      </c>
      <c r="D2230" s="23" t="s">
        <v>134</v>
      </c>
      <c r="E2230" s="23" t="str">
        <f>Withdrawals_Data!A301</f>
        <v>DA-002</v>
      </c>
      <c r="F2230" s="23" t="str">
        <f>Withdrawals_Data!B301</f>
        <v>DA-002-M0003</v>
      </c>
      <c r="G2230" s="24">
        <f>Withdrawals_Data!C301</f>
        <v>45630</v>
      </c>
      <c r="H2230" s="27">
        <v>0</v>
      </c>
      <c r="I2230" s="27">
        <f>-Withdrawals_Data!D301</f>
        <v>-3325.29</v>
      </c>
    </row>
    <row r="2231" spans="3:9">
      <c r="C2231" s="23">
        <v>1024</v>
      </c>
      <c r="D2231" s="23" t="s">
        <v>134</v>
      </c>
      <c r="E2231" s="23" t="str">
        <f>Withdrawals_Data!A313</f>
        <v>DA-003</v>
      </c>
      <c r="F2231" s="23" t="str">
        <f>Withdrawals_Data!B313</f>
        <v>DA-003-M0005</v>
      </c>
      <c r="G2231" s="24">
        <f>Withdrawals_Data!C313</f>
        <v>45630</v>
      </c>
      <c r="H2231" s="27">
        <v>0</v>
      </c>
      <c r="I2231" s="27">
        <f>-Withdrawals_Data!D313</f>
        <v>-2718.17</v>
      </c>
    </row>
    <row r="2232" spans="3:9">
      <c r="C2232" s="23">
        <v>1025</v>
      </c>
      <c r="D2232" s="23" t="s">
        <v>134</v>
      </c>
      <c r="E2232" s="23" t="str">
        <f>Withdrawals_Data!A434</f>
        <v>DA-003</v>
      </c>
      <c r="F2232" s="23" t="str">
        <f>Withdrawals_Data!B434</f>
        <v>DA-003-M0013</v>
      </c>
      <c r="G2232" s="24">
        <f>Withdrawals_Data!C434</f>
        <v>45630</v>
      </c>
      <c r="H2232" s="27">
        <v>0</v>
      </c>
      <c r="I2232" s="27">
        <f>-Withdrawals_Data!D434</f>
        <v>-7445</v>
      </c>
    </row>
    <row r="2233" spans="3:9">
      <c r="C2233" s="23">
        <v>1026</v>
      </c>
      <c r="D2233" s="23" t="s">
        <v>132</v>
      </c>
      <c r="E2233" s="23" t="str">
        <f>Contributions_Data!A126</f>
        <v>DA-001</v>
      </c>
      <c r="F2233" s="23" t="str">
        <f>Contributions_Data!B126</f>
        <v>DA-001-M0011</v>
      </c>
      <c r="G2233" s="24">
        <f>Contributions_Data!C126</f>
        <v>45631</v>
      </c>
      <c r="H2233" s="27">
        <f>Contributions_Data!D126</f>
        <v>14655.79</v>
      </c>
      <c r="I2233" s="27">
        <v>0</v>
      </c>
    </row>
    <row r="2234" spans="3:9">
      <c r="C2234" s="23">
        <v>1027</v>
      </c>
      <c r="D2234" s="23" t="s">
        <v>132</v>
      </c>
      <c r="E2234" s="23" t="str">
        <f>Contributions_Data!A203</f>
        <v>DA-002</v>
      </c>
      <c r="F2234" s="23" t="str">
        <f>Contributions_Data!B203</f>
        <v>DA-002-M0017</v>
      </c>
      <c r="G2234" s="24">
        <f>Contributions_Data!C203</f>
        <v>45631</v>
      </c>
      <c r="H2234" s="27">
        <f>Contributions_Data!D203</f>
        <v>15696.15</v>
      </c>
      <c r="I2234" s="27">
        <v>0</v>
      </c>
    </row>
    <row r="2235" spans="3:9">
      <c r="C2235" s="23">
        <v>1028</v>
      </c>
      <c r="D2235" s="23" t="s">
        <v>132</v>
      </c>
      <c r="E2235" s="23" t="str">
        <f>Contributions_Data!A628</f>
        <v>DA-001</v>
      </c>
      <c r="F2235" s="23" t="str">
        <f>Contributions_Data!B628</f>
        <v>DA-001-M0053</v>
      </c>
      <c r="G2235" s="24">
        <f>Contributions_Data!C628</f>
        <v>45631</v>
      </c>
      <c r="H2235" s="27">
        <f>Contributions_Data!D628</f>
        <v>18565.18</v>
      </c>
      <c r="I2235" s="27">
        <v>0</v>
      </c>
    </row>
    <row r="2236" spans="3:9">
      <c r="C2236" s="23">
        <v>1029</v>
      </c>
      <c r="D2236" s="23" t="s">
        <v>132</v>
      </c>
      <c r="E2236" s="23" t="str">
        <f>Contributions_Data!A825</f>
        <v>DA-003</v>
      </c>
      <c r="F2236" s="23" t="str">
        <f>Contributions_Data!B825</f>
        <v>DA-003-M0069</v>
      </c>
      <c r="G2236" s="24">
        <f>Contributions_Data!C825</f>
        <v>45631</v>
      </c>
      <c r="H2236" s="27">
        <f>Contributions_Data!D825</f>
        <v>14267.53</v>
      </c>
      <c r="I2236" s="27">
        <v>0</v>
      </c>
    </row>
    <row r="2237" spans="3:9">
      <c r="C2237" s="23">
        <v>1030</v>
      </c>
      <c r="D2237" s="23" t="s">
        <v>132</v>
      </c>
      <c r="E2237" s="23" t="str">
        <f>Contributions_Data!A1092</f>
        <v>DA-002</v>
      </c>
      <c r="F2237" s="23" t="str">
        <f>Contributions_Data!B1092</f>
        <v>DA-002-M0091</v>
      </c>
      <c r="G2237" s="24">
        <f>Contributions_Data!C1092</f>
        <v>45631</v>
      </c>
      <c r="H2237" s="27">
        <f>Contributions_Data!D1092</f>
        <v>14597.95</v>
      </c>
      <c r="I2237" s="27">
        <v>0</v>
      </c>
    </row>
    <row r="2238" spans="3:9">
      <c r="C2238" s="23">
        <v>1031</v>
      </c>
      <c r="D2238" s="23" t="s">
        <v>134</v>
      </c>
      <c r="E2238" s="23" t="str">
        <f>Withdrawals_Data!A62</f>
        <v>DA-002</v>
      </c>
      <c r="F2238" s="23" t="str">
        <f>Withdrawals_Data!B62</f>
        <v>DA-002-M0030</v>
      </c>
      <c r="G2238" s="24">
        <f>Withdrawals_Data!C62</f>
        <v>45631</v>
      </c>
      <c r="H2238" s="27">
        <v>0</v>
      </c>
      <c r="I2238" s="27">
        <f>-Withdrawals_Data!D62</f>
        <v>-11342.77</v>
      </c>
    </row>
    <row r="2239" spans="3:9">
      <c r="C2239" s="23">
        <v>1032</v>
      </c>
      <c r="D2239" s="23" t="s">
        <v>134</v>
      </c>
      <c r="E2239" s="23" t="str">
        <f>Withdrawals_Data!A701</f>
        <v>DA-001</v>
      </c>
      <c r="F2239" s="23" t="str">
        <f>Withdrawals_Data!B701</f>
        <v>DA-001-M0043</v>
      </c>
      <c r="G2239" s="24">
        <f>Withdrawals_Data!C701</f>
        <v>45631</v>
      </c>
      <c r="H2239" s="27">
        <v>0</v>
      </c>
      <c r="I2239" s="27">
        <f>-Withdrawals_Data!D701</f>
        <v>-2223</v>
      </c>
    </row>
    <row r="2240" spans="3:9">
      <c r="C2240" s="23">
        <v>1033</v>
      </c>
      <c r="D2240" s="23" t="s">
        <v>134</v>
      </c>
      <c r="E2240" s="23" t="str">
        <f>Withdrawals_Data!A1024</f>
        <v>DA-003</v>
      </c>
      <c r="F2240" s="23" t="str">
        <f>Withdrawals_Data!B1024</f>
        <v>DA-003-M0080</v>
      </c>
      <c r="G2240" s="24">
        <f>Withdrawals_Data!C1024</f>
        <v>45631</v>
      </c>
      <c r="H2240" s="27">
        <v>0</v>
      </c>
      <c r="I2240" s="27">
        <f>-Withdrawals_Data!D1024</f>
        <v>-2953</v>
      </c>
    </row>
    <row r="2241" spans="3:9">
      <c r="C2241" s="23">
        <v>1034</v>
      </c>
      <c r="D2241" s="23" t="s">
        <v>132</v>
      </c>
      <c r="E2241" s="23" t="str">
        <f>Contributions_Data!A367</f>
        <v>DA-003</v>
      </c>
      <c r="F2241" s="23" t="str">
        <f>Contributions_Data!B367</f>
        <v>DA-003-M0031</v>
      </c>
      <c r="G2241" s="24">
        <f>Contributions_Data!C367</f>
        <v>45632</v>
      </c>
      <c r="H2241" s="27">
        <f>Contributions_Data!D367</f>
        <v>13764.37</v>
      </c>
      <c r="I2241" s="27">
        <v>0</v>
      </c>
    </row>
    <row r="2242" spans="3:9">
      <c r="C2242" s="23">
        <v>1035</v>
      </c>
      <c r="D2242" s="23" t="s">
        <v>132</v>
      </c>
      <c r="E2242" s="23" t="str">
        <f>Contributions_Data!A800</f>
        <v>DA-002</v>
      </c>
      <c r="F2242" s="23" t="str">
        <f>Contributions_Data!B800</f>
        <v>DA-002-M0067</v>
      </c>
      <c r="G2242" s="24">
        <f>Contributions_Data!C800</f>
        <v>45632</v>
      </c>
      <c r="H2242" s="27">
        <f>Contributions_Data!D800</f>
        <v>17994.03</v>
      </c>
      <c r="I2242" s="27">
        <v>0</v>
      </c>
    </row>
    <row r="2243" spans="3:9">
      <c r="C2243" s="23">
        <v>1036</v>
      </c>
      <c r="D2243" s="23" t="s">
        <v>132</v>
      </c>
      <c r="E2243" s="23" t="str">
        <f>Contributions_Data!A916</f>
        <v>DA-003</v>
      </c>
      <c r="F2243" s="23" t="str">
        <f>Contributions_Data!B916</f>
        <v>DA-003-M0077</v>
      </c>
      <c r="G2243" s="24">
        <f>Contributions_Data!C916</f>
        <v>45632</v>
      </c>
      <c r="H2243" s="27">
        <f>Contributions_Data!D916</f>
        <v>20017.72</v>
      </c>
      <c r="I2243" s="27">
        <v>0</v>
      </c>
    </row>
    <row r="2244" spans="3:9">
      <c r="C2244" s="23">
        <v>1037</v>
      </c>
      <c r="D2244" s="23" t="s">
        <v>132</v>
      </c>
      <c r="E2244" s="23" t="str">
        <f>Contributions_Data!A1009</f>
        <v>DA-003</v>
      </c>
      <c r="F2244" s="23" t="str">
        <f>Contributions_Data!B1009</f>
        <v>DA-003-M0084</v>
      </c>
      <c r="G2244" s="24">
        <f>Contributions_Data!C1009</f>
        <v>45632</v>
      </c>
      <c r="H2244" s="27">
        <f>Contributions_Data!D1009</f>
        <v>14918.09</v>
      </c>
      <c r="I2244" s="27">
        <v>0</v>
      </c>
    </row>
    <row r="2245" spans="3:9">
      <c r="C2245" s="23">
        <v>1038</v>
      </c>
      <c r="D2245" s="23" t="s">
        <v>132</v>
      </c>
      <c r="E2245" s="23" t="str">
        <f>Contributions_Data!A1201</f>
        <v>DA-003</v>
      </c>
      <c r="F2245" s="23" t="str">
        <f>Contributions_Data!B1201</f>
        <v>DA-003-M0100</v>
      </c>
      <c r="G2245" s="24">
        <f>Contributions_Data!C1201</f>
        <v>45632</v>
      </c>
      <c r="H2245" s="27">
        <f>Contributions_Data!D1201</f>
        <v>14766.49</v>
      </c>
      <c r="I2245" s="27">
        <v>0</v>
      </c>
    </row>
    <row r="2246" spans="3:9">
      <c r="C2246" s="23">
        <v>1039</v>
      </c>
      <c r="D2246" s="23" t="s">
        <v>132</v>
      </c>
      <c r="E2246" s="23" t="str">
        <f>Contributions_Data!A154</f>
        <v>DA-003</v>
      </c>
      <c r="F2246" s="23" t="str">
        <f>Contributions_Data!B154</f>
        <v>DA-003-M0013</v>
      </c>
      <c r="G2246" s="24">
        <f>Contributions_Data!C154</f>
        <v>45633</v>
      </c>
      <c r="H2246" s="27">
        <f>Contributions_Data!D154</f>
        <v>19758.05</v>
      </c>
      <c r="I2246" s="27">
        <v>0</v>
      </c>
    </row>
    <row r="2247" spans="3:9">
      <c r="C2247" s="23">
        <v>1040</v>
      </c>
      <c r="D2247" s="23" t="s">
        <v>132</v>
      </c>
      <c r="E2247" s="23" t="str">
        <f>Contributions_Data!A942</f>
        <v>DA-003</v>
      </c>
      <c r="F2247" s="23" t="str">
        <f>Contributions_Data!B942</f>
        <v>DA-003-M0079</v>
      </c>
      <c r="G2247" s="24">
        <f>Contributions_Data!C942</f>
        <v>45633</v>
      </c>
      <c r="H2247" s="27">
        <f>Contributions_Data!D942</f>
        <v>16523.97</v>
      </c>
      <c r="I2247" s="27">
        <v>0</v>
      </c>
    </row>
    <row r="2248" spans="3:9">
      <c r="C2248" s="23">
        <v>1041</v>
      </c>
      <c r="D2248" s="23" t="s">
        <v>134</v>
      </c>
      <c r="E2248" s="23" t="str">
        <f>Withdrawals_Data!A222</f>
        <v>DA-002</v>
      </c>
      <c r="F2248" s="23" t="str">
        <f>Withdrawals_Data!B222</f>
        <v>DA-002-M0037</v>
      </c>
      <c r="G2248" s="24">
        <f>Withdrawals_Data!C222</f>
        <v>45633</v>
      </c>
      <c r="H2248" s="27">
        <v>0</v>
      </c>
      <c r="I2248" s="27">
        <f>-Withdrawals_Data!D222</f>
        <v>-6656.86</v>
      </c>
    </row>
    <row r="2249" spans="3:9">
      <c r="C2249" s="23">
        <v>1042</v>
      </c>
      <c r="D2249" s="23" t="s">
        <v>134</v>
      </c>
      <c r="E2249" s="23" t="str">
        <f>Withdrawals_Data!A543</f>
        <v>DA-001</v>
      </c>
      <c r="F2249" s="23" t="str">
        <f>Withdrawals_Data!B543</f>
        <v>DA-001-M0025</v>
      </c>
      <c r="G2249" s="24">
        <f>Withdrawals_Data!C543</f>
        <v>45633</v>
      </c>
      <c r="H2249" s="27">
        <v>0</v>
      </c>
      <c r="I2249" s="27">
        <f>-Withdrawals_Data!D543</f>
        <v>-18443</v>
      </c>
    </row>
    <row r="2250" spans="3:9">
      <c r="C2250" s="23">
        <v>1043</v>
      </c>
      <c r="D2250" s="23" t="s">
        <v>134</v>
      </c>
      <c r="E2250" s="23" t="str">
        <f>Withdrawals_Data!A836</f>
        <v>DA-001</v>
      </c>
      <c r="F2250" s="23" t="str">
        <f>Withdrawals_Data!B836</f>
        <v>DA-001-M0058</v>
      </c>
      <c r="G2250" s="24">
        <f>Withdrawals_Data!C836</f>
        <v>45633</v>
      </c>
      <c r="H2250" s="27">
        <v>0</v>
      </c>
      <c r="I2250" s="27">
        <f>-Withdrawals_Data!D836</f>
        <v>-16046</v>
      </c>
    </row>
    <row r="2251" spans="3:9">
      <c r="C2251" s="23">
        <v>1044</v>
      </c>
      <c r="D2251" s="23" t="s">
        <v>132</v>
      </c>
      <c r="E2251" s="23" t="str">
        <f>Contributions_Data!A595</f>
        <v>DA-002</v>
      </c>
      <c r="F2251" s="23" t="str">
        <f>Contributions_Data!B595</f>
        <v>DA-002-M0050</v>
      </c>
      <c r="G2251" s="24">
        <f>Contributions_Data!C595</f>
        <v>45634</v>
      </c>
      <c r="H2251" s="27">
        <f>Contributions_Data!D595</f>
        <v>14358.03</v>
      </c>
      <c r="I2251" s="27">
        <v>0</v>
      </c>
    </row>
    <row r="2252" spans="3:9">
      <c r="C2252" s="23">
        <v>1045</v>
      </c>
      <c r="D2252" s="23" t="s">
        <v>132</v>
      </c>
      <c r="E2252" s="23" t="str">
        <f>Contributions_Data!A613</f>
        <v>DA-002</v>
      </c>
      <c r="F2252" s="23" t="str">
        <f>Contributions_Data!B613</f>
        <v>DA-002-M0051</v>
      </c>
      <c r="G2252" s="24">
        <f>Contributions_Data!C613</f>
        <v>45634</v>
      </c>
      <c r="H2252" s="27">
        <f>Contributions_Data!D613</f>
        <v>19642.52</v>
      </c>
      <c r="I2252" s="27">
        <v>0</v>
      </c>
    </row>
    <row r="2253" spans="3:9">
      <c r="C2253" s="23">
        <v>1046</v>
      </c>
      <c r="D2253" s="23" t="s">
        <v>132</v>
      </c>
      <c r="E2253" s="23" t="str">
        <f>Contributions_Data!A1011</f>
        <v>DA-002</v>
      </c>
      <c r="F2253" s="23" t="str">
        <f>Contributions_Data!B1011</f>
        <v>DA-002-M0085</v>
      </c>
      <c r="G2253" s="24">
        <f>Contributions_Data!C1011</f>
        <v>45634</v>
      </c>
      <c r="H2253" s="27">
        <f>Contributions_Data!D1011</f>
        <v>12345.59</v>
      </c>
      <c r="I2253" s="27">
        <v>0</v>
      </c>
    </row>
    <row r="2254" spans="3:9">
      <c r="C2254" s="23">
        <v>1047</v>
      </c>
      <c r="D2254" s="23" t="s">
        <v>132</v>
      </c>
      <c r="E2254" s="23" t="str">
        <f>Contributions_Data!A1139</f>
        <v>DA-003</v>
      </c>
      <c r="F2254" s="23" t="str">
        <f>Contributions_Data!B1139</f>
        <v>DA-003-M0095</v>
      </c>
      <c r="G2254" s="24">
        <f>Contributions_Data!C1139</f>
        <v>45634</v>
      </c>
      <c r="H2254" s="27">
        <f>Contributions_Data!D1139</f>
        <v>13601.89</v>
      </c>
      <c r="I2254" s="27">
        <v>0</v>
      </c>
    </row>
    <row r="2255" spans="3:9">
      <c r="C2255" s="23">
        <v>1048</v>
      </c>
      <c r="D2255" s="23" t="s">
        <v>134</v>
      </c>
      <c r="E2255" s="23" t="str">
        <f>Withdrawals_Data!A50</f>
        <v>DA-002</v>
      </c>
      <c r="F2255" s="23" t="str">
        <f>Withdrawals_Data!B50</f>
        <v>DA-002-M0064</v>
      </c>
      <c r="G2255" s="24">
        <f>Withdrawals_Data!C50</f>
        <v>45634</v>
      </c>
      <c r="H2255" s="27">
        <v>0</v>
      </c>
      <c r="I2255" s="27">
        <f>-Withdrawals_Data!D50</f>
        <v>-12314.72</v>
      </c>
    </row>
    <row r="2256" spans="3:9">
      <c r="C2256" s="23">
        <v>1049</v>
      </c>
      <c r="D2256" s="23" t="s">
        <v>134</v>
      </c>
      <c r="E2256" s="23" t="str">
        <f>Withdrawals_Data!A170</f>
        <v>DA-002</v>
      </c>
      <c r="F2256" s="23" t="str">
        <f>Withdrawals_Data!B170</f>
        <v>DA-002-M0003</v>
      </c>
      <c r="G2256" s="24">
        <f>Withdrawals_Data!C170</f>
        <v>45634</v>
      </c>
      <c r="H2256" s="27">
        <v>0</v>
      </c>
      <c r="I2256" s="27">
        <f>-Withdrawals_Data!D170</f>
        <v>-8240.92</v>
      </c>
    </row>
    <row r="2257" spans="3:9">
      <c r="C2257" s="23">
        <v>1050</v>
      </c>
      <c r="D2257" s="23" t="s">
        <v>134</v>
      </c>
      <c r="E2257" s="23" t="str">
        <f>Withdrawals_Data!A178</f>
        <v>DA-003</v>
      </c>
      <c r="F2257" s="23" t="str">
        <f>Withdrawals_Data!B178</f>
        <v>DA-003-M0081</v>
      </c>
      <c r="G2257" s="24">
        <f>Withdrawals_Data!C178</f>
        <v>45634</v>
      </c>
      <c r="H2257" s="27">
        <v>0</v>
      </c>
      <c r="I2257" s="27">
        <f>-Withdrawals_Data!D178</f>
        <v>-8041.41</v>
      </c>
    </row>
    <row r="2258" spans="3:9">
      <c r="C2258" s="23">
        <v>1051</v>
      </c>
      <c r="D2258" s="23" t="s">
        <v>134</v>
      </c>
      <c r="E2258" s="23" t="str">
        <f>Withdrawals_Data!A617</f>
        <v>DA-001</v>
      </c>
      <c r="F2258" s="23" t="str">
        <f>Withdrawals_Data!B617</f>
        <v>DA-001-M0034</v>
      </c>
      <c r="G2258" s="24">
        <f>Withdrawals_Data!C617</f>
        <v>45634</v>
      </c>
      <c r="H2258" s="27">
        <v>0</v>
      </c>
      <c r="I2258" s="27">
        <f>-Withdrawals_Data!D617</f>
        <v>-13091</v>
      </c>
    </row>
    <row r="2259" spans="3:9">
      <c r="C2259" s="23">
        <v>1052</v>
      </c>
      <c r="D2259" s="23" t="s">
        <v>134</v>
      </c>
      <c r="E2259" s="23" t="str">
        <f>Withdrawals_Data!A801</f>
        <v>DA-001</v>
      </c>
      <c r="F2259" s="23" t="str">
        <f>Withdrawals_Data!B801</f>
        <v>DA-001-M0055</v>
      </c>
      <c r="G2259" s="24">
        <f>Withdrawals_Data!C801</f>
        <v>45634</v>
      </c>
      <c r="H2259" s="27">
        <v>0</v>
      </c>
      <c r="I2259" s="27">
        <f>-Withdrawals_Data!D801</f>
        <v>-4433</v>
      </c>
    </row>
    <row r="2260" spans="3:9">
      <c r="C2260" s="23">
        <v>1053</v>
      </c>
      <c r="D2260" s="23" t="s">
        <v>134</v>
      </c>
      <c r="E2260" s="23" t="str">
        <f>Withdrawals_Data!A833</f>
        <v>DA-001</v>
      </c>
      <c r="F2260" s="23" t="str">
        <f>Withdrawals_Data!B833</f>
        <v>DA-001-M0058</v>
      </c>
      <c r="G2260" s="24">
        <f>Withdrawals_Data!C833</f>
        <v>45634</v>
      </c>
      <c r="H2260" s="27">
        <v>0</v>
      </c>
      <c r="I2260" s="27">
        <f>-Withdrawals_Data!D833</f>
        <v>-8387</v>
      </c>
    </row>
    <row r="2261" spans="3:9">
      <c r="C2261" s="23">
        <v>1054</v>
      </c>
      <c r="D2261" s="23" t="s">
        <v>132</v>
      </c>
      <c r="E2261" s="23" t="str">
        <f>Contributions_Data!A84</f>
        <v>DA-003</v>
      </c>
      <c r="F2261" s="23" t="str">
        <f>Contributions_Data!B84</f>
        <v>DA-003-M0007</v>
      </c>
      <c r="G2261" s="24">
        <f>Contributions_Data!C84</f>
        <v>45635</v>
      </c>
      <c r="H2261" s="27">
        <f>Contributions_Data!D84</f>
        <v>16419.71</v>
      </c>
      <c r="I2261" s="27">
        <v>0</v>
      </c>
    </row>
    <row r="2262" spans="3:9">
      <c r="C2262" s="23">
        <v>1055</v>
      </c>
      <c r="D2262" s="23" t="s">
        <v>132</v>
      </c>
      <c r="E2262" s="23" t="str">
        <f>Contributions_Data!A405</f>
        <v>DA-001</v>
      </c>
      <c r="F2262" s="23" t="str">
        <f>Contributions_Data!B405</f>
        <v>DA-001-M0034</v>
      </c>
      <c r="G2262" s="24">
        <f>Contributions_Data!C405</f>
        <v>45635</v>
      </c>
      <c r="H2262" s="27">
        <f>Contributions_Data!D405</f>
        <v>17270.97</v>
      </c>
      <c r="I2262" s="27">
        <v>0</v>
      </c>
    </row>
    <row r="2263" spans="3:9">
      <c r="C2263" s="23">
        <v>1056</v>
      </c>
      <c r="D2263" s="23" t="s">
        <v>132</v>
      </c>
      <c r="E2263" s="23" t="str">
        <f>Contributions_Data!A627</f>
        <v>DA-001</v>
      </c>
      <c r="F2263" s="23" t="str">
        <f>Contributions_Data!B627</f>
        <v>DA-001-M0053</v>
      </c>
      <c r="G2263" s="24">
        <f>Contributions_Data!C627</f>
        <v>45635</v>
      </c>
      <c r="H2263" s="27">
        <f>Contributions_Data!D627</f>
        <v>14950.73</v>
      </c>
      <c r="I2263" s="27">
        <v>0</v>
      </c>
    </row>
    <row r="2264" spans="3:9">
      <c r="C2264" s="23">
        <v>1057</v>
      </c>
      <c r="D2264" s="23" t="s">
        <v>132</v>
      </c>
      <c r="E2264" s="23" t="str">
        <f>Contributions_Data!A797</f>
        <v>DA-002</v>
      </c>
      <c r="F2264" s="23" t="str">
        <f>Contributions_Data!B797</f>
        <v>DA-002-M0067</v>
      </c>
      <c r="G2264" s="24">
        <f>Contributions_Data!C797</f>
        <v>45635</v>
      </c>
      <c r="H2264" s="27">
        <f>Contributions_Data!D797</f>
        <v>17197.919999999998</v>
      </c>
      <c r="I2264" s="27">
        <v>0</v>
      </c>
    </row>
    <row r="2265" spans="3:9">
      <c r="C2265" s="23">
        <v>1058</v>
      </c>
      <c r="D2265" s="23" t="s">
        <v>132</v>
      </c>
      <c r="E2265" s="23" t="str">
        <f>Contributions_Data!A863</f>
        <v>DA-002</v>
      </c>
      <c r="F2265" s="23" t="str">
        <f>Contributions_Data!B863</f>
        <v>DA-002-M0072</v>
      </c>
      <c r="G2265" s="24">
        <f>Contributions_Data!C863</f>
        <v>45635</v>
      </c>
      <c r="H2265" s="27">
        <f>Contributions_Data!D863</f>
        <v>15539.68</v>
      </c>
      <c r="I2265" s="27">
        <v>0</v>
      </c>
    </row>
    <row r="2266" spans="3:9">
      <c r="C2266" s="23">
        <v>1059</v>
      </c>
      <c r="D2266" s="23" t="s">
        <v>132</v>
      </c>
      <c r="E2266" s="23" t="str">
        <f>Contributions_Data!A1178</f>
        <v>DA-003</v>
      </c>
      <c r="F2266" s="23" t="str">
        <f>Contributions_Data!B1178</f>
        <v>DA-003-M0099</v>
      </c>
      <c r="G2266" s="24">
        <f>Contributions_Data!C1178</f>
        <v>45635</v>
      </c>
      <c r="H2266" s="27">
        <f>Contributions_Data!D1178</f>
        <v>15529.32</v>
      </c>
      <c r="I2266" s="27">
        <v>0</v>
      </c>
    </row>
    <row r="2267" spans="3:9">
      <c r="C2267" s="23">
        <v>1060</v>
      </c>
      <c r="D2267" s="23" t="s">
        <v>134</v>
      </c>
      <c r="E2267" s="23" t="str">
        <f>Withdrawals_Data!A385</f>
        <v>DA-003</v>
      </c>
      <c r="F2267" s="23" t="str">
        <f>Withdrawals_Data!B385</f>
        <v>DA-003-M0007</v>
      </c>
      <c r="G2267" s="24">
        <f>Withdrawals_Data!C385</f>
        <v>45635</v>
      </c>
      <c r="H2267" s="27">
        <v>0</v>
      </c>
      <c r="I2267" s="27">
        <f>-Withdrawals_Data!D385</f>
        <v>-16516</v>
      </c>
    </row>
    <row r="2268" spans="3:9">
      <c r="C2268" s="23">
        <v>1061</v>
      </c>
      <c r="D2268" s="23" t="s">
        <v>134</v>
      </c>
      <c r="E2268" s="23" t="str">
        <f>Withdrawals_Data!A542</f>
        <v>DA-001</v>
      </c>
      <c r="F2268" s="23" t="str">
        <f>Withdrawals_Data!B542</f>
        <v>DA-001-M0025</v>
      </c>
      <c r="G2268" s="24">
        <f>Withdrawals_Data!C542</f>
        <v>45635</v>
      </c>
      <c r="H2268" s="27">
        <v>0</v>
      </c>
      <c r="I2268" s="27">
        <f>-Withdrawals_Data!D542</f>
        <v>-19670</v>
      </c>
    </row>
    <row r="2269" spans="3:9">
      <c r="C2269" s="23">
        <v>1062</v>
      </c>
      <c r="D2269" s="23" t="s">
        <v>134</v>
      </c>
      <c r="E2269" s="23" t="str">
        <f>Withdrawals_Data!A579</f>
        <v>DA-002</v>
      </c>
      <c r="F2269" s="23" t="str">
        <f>Withdrawals_Data!B579</f>
        <v>DA-002-M0030</v>
      </c>
      <c r="G2269" s="24">
        <f>Withdrawals_Data!C579</f>
        <v>45635</v>
      </c>
      <c r="H2269" s="27">
        <v>0</v>
      </c>
      <c r="I2269" s="27">
        <f>-Withdrawals_Data!D579</f>
        <v>-4150</v>
      </c>
    </row>
    <row r="2270" spans="3:9">
      <c r="C2270" s="23">
        <v>1063</v>
      </c>
      <c r="D2270" s="23" t="s">
        <v>134</v>
      </c>
      <c r="E2270" s="23" t="str">
        <f>Withdrawals_Data!A748</f>
        <v>DA-001</v>
      </c>
      <c r="F2270" s="23" t="str">
        <f>Withdrawals_Data!B748</f>
        <v>DA-001-M0049</v>
      </c>
      <c r="G2270" s="24">
        <f>Withdrawals_Data!C748</f>
        <v>45635</v>
      </c>
      <c r="H2270" s="27">
        <v>0</v>
      </c>
      <c r="I2270" s="27">
        <f>-Withdrawals_Data!D748</f>
        <v>-15871</v>
      </c>
    </row>
    <row r="2271" spans="3:9">
      <c r="C2271" s="23">
        <v>1064</v>
      </c>
      <c r="D2271" s="23" t="s">
        <v>134</v>
      </c>
      <c r="E2271" s="23" t="str">
        <f>Withdrawals_Data!A939</f>
        <v>DA-002</v>
      </c>
      <c r="F2271" s="23" t="str">
        <f>Withdrawals_Data!B939</f>
        <v>DA-002-M0070</v>
      </c>
      <c r="G2271" s="24">
        <f>Withdrawals_Data!C939</f>
        <v>45635</v>
      </c>
      <c r="H2271" s="27">
        <v>0</v>
      </c>
      <c r="I2271" s="27">
        <f>-Withdrawals_Data!D939</f>
        <v>-14509</v>
      </c>
    </row>
    <row r="2272" spans="3:9">
      <c r="C2272" s="23">
        <v>1065</v>
      </c>
      <c r="D2272" s="23" t="s">
        <v>134</v>
      </c>
      <c r="E2272" s="23" t="str">
        <f>Withdrawals_Data!A958</f>
        <v>DA-002</v>
      </c>
      <c r="F2272" s="23" t="str">
        <f>Withdrawals_Data!B958</f>
        <v>DA-002-M0072</v>
      </c>
      <c r="G2272" s="24">
        <f>Withdrawals_Data!C958</f>
        <v>45635</v>
      </c>
      <c r="H2272" s="27">
        <v>0</v>
      </c>
      <c r="I2272" s="27">
        <f>-Withdrawals_Data!D958</f>
        <v>-11429</v>
      </c>
    </row>
    <row r="2273" spans="3:9">
      <c r="C2273" s="23">
        <v>1066</v>
      </c>
      <c r="D2273" s="23" t="s">
        <v>134</v>
      </c>
      <c r="E2273" s="23" t="str">
        <f>Withdrawals_Data!A1016</f>
        <v>DA-003</v>
      </c>
      <c r="F2273" s="23" t="str">
        <f>Withdrawals_Data!B1016</f>
        <v>DA-003-M0080</v>
      </c>
      <c r="G2273" s="24">
        <f>Withdrawals_Data!C1016</f>
        <v>45635</v>
      </c>
      <c r="H2273" s="27">
        <v>0</v>
      </c>
      <c r="I2273" s="27">
        <f>-Withdrawals_Data!D1016</f>
        <v>-9554</v>
      </c>
    </row>
    <row r="2274" spans="3:9">
      <c r="C2274" s="23">
        <v>1067</v>
      </c>
      <c r="D2274" s="23" t="s">
        <v>134</v>
      </c>
      <c r="E2274" s="23" t="str">
        <f>Withdrawals_Data!A1155</f>
        <v>DA-003</v>
      </c>
      <c r="F2274" s="23" t="str">
        <f>Withdrawals_Data!B1155</f>
        <v>DA-003-M0095</v>
      </c>
      <c r="G2274" s="24">
        <f>Withdrawals_Data!C1155</f>
        <v>45635</v>
      </c>
      <c r="H2274" s="27">
        <v>0</v>
      </c>
      <c r="I2274" s="27">
        <f>-Withdrawals_Data!D1155</f>
        <v>-14807</v>
      </c>
    </row>
    <row r="2275" spans="3:9">
      <c r="C2275" s="23">
        <v>1068</v>
      </c>
      <c r="D2275" s="23" t="s">
        <v>132</v>
      </c>
      <c r="E2275" s="23" t="str">
        <f>Contributions_Data!A423</f>
        <v>DA-003</v>
      </c>
      <c r="F2275" s="23" t="str">
        <f>Contributions_Data!B423</f>
        <v>DA-003-M0036</v>
      </c>
      <c r="G2275" s="24">
        <f>Contributions_Data!C423</f>
        <v>45636</v>
      </c>
      <c r="H2275" s="27">
        <f>Contributions_Data!D423</f>
        <v>20646.07</v>
      </c>
      <c r="I2275" s="27">
        <v>0</v>
      </c>
    </row>
    <row r="2276" spans="3:9">
      <c r="C2276" s="23">
        <v>1069</v>
      </c>
      <c r="D2276" s="23" t="s">
        <v>132</v>
      </c>
      <c r="E2276" s="23" t="str">
        <f>Contributions_Data!A501</f>
        <v>DA-002</v>
      </c>
      <c r="F2276" s="23" t="str">
        <f>Contributions_Data!B501</f>
        <v>DA-002-M0042</v>
      </c>
      <c r="G2276" s="24">
        <f>Contributions_Data!C501</f>
        <v>45636</v>
      </c>
      <c r="H2276" s="27">
        <f>Contributions_Data!D501</f>
        <v>17229.79</v>
      </c>
      <c r="I2276" s="27">
        <v>0</v>
      </c>
    </row>
    <row r="2277" spans="3:9">
      <c r="C2277" s="23">
        <v>1070</v>
      </c>
      <c r="D2277" s="23" t="s">
        <v>132</v>
      </c>
      <c r="E2277" s="23" t="str">
        <f>Contributions_Data!A991</f>
        <v>DA-001</v>
      </c>
      <c r="F2277" s="23" t="str">
        <f>Contributions_Data!B991</f>
        <v>DA-001-M0083</v>
      </c>
      <c r="G2277" s="24">
        <f>Contributions_Data!C991</f>
        <v>45636</v>
      </c>
      <c r="H2277" s="27">
        <f>Contributions_Data!D991</f>
        <v>10545.31</v>
      </c>
      <c r="I2277" s="27">
        <v>0</v>
      </c>
    </row>
    <row r="2278" spans="3:9">
      <c r="C2278" s="23">
        <v>1071</v>
      </c>
      <c r="D2278" s="23" t="s">
        <v>134</v>
      </c>
      <c r="E2278" s="23" t="str">
        <f>Withdrawals_Data!A615</f>
        <v>DA-001</v>
      </c>
      <c r="F2278" s="23" t="str">
        <f>Withdrawals_Data!B615</f>
        <v>DA-001-M0034</v>
      </c>
      <c r="G2278" s="24">
        <f>Withdrawals_Data!C615</f>
        <v>45636</v>
      </c>
      <c r="H2278" s="27">
        <v>0</v>
      </c>
      <c r="I2278" s="27">
        <f>-Withdrawals_Data!D615</f>
        <v>-14623</v>
      </c>
    </row>
    <row r="2279" spans="3:9">
      <c r="C2279" s="23">
        <v>1072</v>
      </c>
      <c r="D2279" s="23" t="s">
        <v>134</v>
      </c>
      <c r="E2279" s="23" t="str">
        <f>Withdrawals_Data!A731</f>
        <v>DA-001</v>
      </c>
      <c r="F2279" s="23" t="str">
        <f>Withdrawals_Data!B731</f>
        <v>DA-001-M0046</v>
      </c>
      <c r="G2279" s="24">
        <f>Withdrawals_Data!C731</f>
        <v>45636</v>
      </c>
      <c r="H2279" s="27">
        <v>0</v>
      </c>
      <c r="I2279" s="27">
        <f>-Withdrawals_Data!D731</f>
        <v>-13132</v>
      </c>
    </row>
    <row r="2280" spans="3:9">
      <c r="C2280" s="23">
        <v>1073</v>
      </c>
      <c r="D2280" s="23" t="s">
        <v>134</v>
      </c>
      <c r="E2280" s="23" t="str">
        <f>Withdrawals_Data!A965</f>
        <v>DA-001</v>
      </c>
      <c r="F2280" s="23" t="str">
        <f>Withdrawals_Data!B965</f>
        <v>DA-001-M0074</v>
      </c>
      <c r="G2280" s="24">
        <f>Withdrawals_Data!C965</f>
        <v>45636</v>
      </c>
      <c r="H2280" s="27">
        <v>0</v>
      </c>
      <c r="I2280" s="27">
        <f>-Withdrawals_Data!D965</f>
        <v>-20929</v>
      </c>
    </row>
    <row r="2281" spans="3:9">
      <c r="C2281" s="23">
        <v>1074</v>
      </c>
      <c r="D2281" s="23" t="s">
        <v>132</v>
      </c>
      <c r="E2281" s="23" t="str">
        <f>Contributions_Data!A106</f>
        <v>DA-001</v>
      </c>
      <c r="F2281" s="23" t="str">
        <f>Contributions_Data!B106</f>
        <v>DA-001-M0009</v>
      </c>
      <c r="G2281" s="24">
        <f>Contributions_Data!C106</f>
        <v>45637</v>
      </c>
      <c r="H2281" s="27">
        <f>Contributions_Data!D106</f>
        <v>12681.52</v>
      </c>
      <c r="I2281" s="27">
        <v>0</v>
      </c>
    </row>
    <row r="2282" spans="3:9">
      <c r="C2282" s="23">
        <v>1075</v>
      </c>
      <c r="D2282" s="23" t="s">
        <v>132</v>
      </c>
      <c r="E2282" s="23" t="str">
        <f>Contributions_Data!A486</f>
        <v>DA-002</v>
      </c>
      <c r="F2282" s="23" t="str">
        <f>Contributions_Data!B486</f>
        <v>DA-002-M0041</v>
      </c>
      <c r="G2282" s="24">
        <f>Contributions_Data!C486</f>
        <v>45637</v>
      </c>
      <c r="H2282" s="27">
        <f>Contributions_Data!D486</f>
        <v>20264.38</v>
      </c>
      <c r="I2282" s="27">
        <v>0</v>
      </c>
    </row>
    <row r="2283" spans="3:9">
      <c r="C2283" s="23">
        <v>1076</v>
      </c>
      <c r="D2283" s="23" t="s">
        <v>132</v>
      </c>
      <c r="E2283" s="23" t="str">
        <f>Contributions_Data!A550</f>
        <v>DA-001</v>
      </c>
      <c r="F2283" s="23" t="str">
        <f>Contributions_Data!B550</f>
        <v>DA-001-M0046</v>
      </c>
      <c r="G2283" s="24">
        <f>Contributions_Data!C550</f>
        <v>45637</v>
      </c>
      <c r="H2283" s="27">
        <f>Contributions_Data!D550</f>
        <v>10993.97</v>
      </c>
      <c r="I2283" s="27">
        <v>0</v>
      </c>
    </row>
    <row r="2284" spans="3:9">
      <c r="C2284" s="23">
        <v>1077</v>
      </c>
      <c r="D2284" s="23" t="s">
        <v>132</v>
      </c>
      <c r="E2284" s="23" t="str">
        <f>Contributions_Data!A650</f>
        <v>DA-001</v>
      </c>
      <c r="F2284" s="23" t="str">
        <f>Contributions_Data!B650</f>
        <v>DA-001-M0055</v>
      </c>
      <c r="G2284" s="24">
        <f>Contributions_Data!C650</f>
        <v>45637</v>
      </c>
      <c r="H2284" s="27">
        <f>Contributions_Data!D650</f>
        <v>14076.67</v>
      </c>
      <c r="I2284" s="27">
        <v>0</v>
      </c>
    </row>
    <row r="2285" spans="3:9">
      <c r="C2285" s="23">
        <v>1078</v>
      </c>
      <c r="D2285" s="23" t="s">
        <v>132</v>
      </c>
      <c r="E2285" s="23" t="str">
        <f>Contributions_Data!A660</f>
        <v>DA-001</v>
      </c>
      <c r="F2285" s="23" t="str">
        <f>Contributions_Data!B660</f>
        <v>DA-001-M0055</v>
      </c>
      <c r="G2285" s="24">
        <f>Contributions_Data!C660</f>
        <v>45637</v>
      </c>
      <c r="H2285" s="27">
        <f>Contributions_Data!D660</f>
        <v>18585.14</v>
      </c>
      <c r="I2285" s="27">
        <v>0</v>
      </c>
    </row>
    <row r="2286" spans="3:9">
      <c r="C2286" s="23">
        <v>1079</v>
      </c>
      <c r="D2286" s="23" t="s">
        <v>132</v>
      </c>
      <c r="E2286" s="23" t="str">
        <f>Contributions_Data!A746</f>
        <v>DA-002</v>
      </c>
      <c r="F2286" s="23" t="str">
        <f>Contributions_Data!B746</f>
        <v>DA-002-M0063</v>
      </c>
      <c r="G2286" s="24">
        <f>Contributions_Data!C746</f>
        <v>45637</v>
      </c>
      <c r="H2286" s="27">
        <f>Contributions_Data!D746</f>
        <v>15360.09</v>
      </c>
      <c r="I2286" s="27">
        <v>0</v>
      </c>
    </row>
    <row r="2287" spans="3:9">
      <c r="C2287" s="23">
        <v>1080</v>
      </c>
      <c r="D2287" s="23" t="s">
        <v>134</v>
      </c>
      <c r="E2287" s="23" t="str">
        <f>Withdrawals_Data!A78</f>
        <v>DA-002</v>
      </c>
      <c r="F2287" s="23" t="str">
        <f>Withdrawals_Data!B78</f>
        <v>DA-002-M0054</v>
      </c>
      <c r="G2287" s="24">
        <f>Withdrawals_Data!C78</f>
        <v>45637</v>
      </c>
      <c r="H2287" s="27">
        <v>0</v>
      </c>
      <c r="I2287" s="27">
        <f>-Withdrawals_Data!D78</f>
        <v>-10594.84</v>
      </c>
    </row>
    <row r="2288" spans="3:9">
      <c r="C2288" s="23">
        <v>1081</v>
      </c>
      <c r="D2288" s="23" t="s">
        <v>134</v>
      </c>
      <c r="E2288" s="23" t="str">
        <f>Withdrawals_Data!A132</f>
        <v>DA-003</v>
      </c>
      <c r="F2288" s="23" t="str">
        <f>Withdrawals_Data!B132</f>
        <v>DA-003-M0031</v>
      </c>
      <c r="G2288" s="24">
        <f>Withdrawals_Data!C132</f>
        <v>45637</v>
      </c>
      <c r="H2288" s="27">
        <v>0</v>
      </c>
      <c r="I2288" s="27">
        <f>-Withdrawals_Data!D132</f>
        <v>-9017.68</v>
      </c>
    </row>
    <row r="2289" spans="3:9">
      <c r="C2289" s="23">
        <v>1082</v>
      </c>
      <c r="D2289" s="23" t="s">
        <v>134</v>
      </c>
      <c r="E2289" s="23" t="str">
        <f>Withdrawals_Data!A539</f>
        <v>DA-001</v>
      </c>
      <c r="F2289" s="23" t="str">
        <f>Withdrawals_Data!B539</f>
        <v>DA-001-M0025</v>
      </c>
      <c r="G2289" s="24">
        <f>Withdrawals_Data!C539</f>
        <v>45637</v>
      </c>
      <c r="H2289" s="27">
        <v>0</v>
      </c>
      <c r="I2289" s="27">
        <f>-Withdrawals_Data!D539</f>
        <v>-21614</v>
      </c>
    </row>
    <row r="2290" spans="3:9">
      <c r="C2290" s="23">
        <v>1083</v>
      </c>
      <c r="D2290" s="23" t="s">
        <v>132</v>
      </c>
      <c r="E2290" s="23" t="str">
        <f>Contributions_Data!A862</f>
        <v>DA-002</v>
      </c>
      <c r="F2290" s="23" t="str">
        <f>Contributions_Data!B862</f>
        <v>DA-002-M0072</v>
      </c>
      <c r="G2290" s="24">
        <f>Contributions_Data!C862</f>
        <v>45638</v>
      </c>
      <c r="H2290" s="27">
        <f>Contributions_Data!D862</f>
        <v>11689.23</v>
      </c>
      <c r="I2290" s="27">
        <v>0</v>
      </c>
    </row>
    <row r="2291" spans="3:9">
      <c r="C2291" s="23">
        <v>1084</v>
      </c>
      <c r="D2291" s="23" t="s">
        <v>132</v>
      </c>
      <c r="E2291" s="23" t="str">
        <f>Contributions_Data!A1000</f>
        <v>DA-003</v>
      </c>
      <c r="F2291" s="23" t="str">
        <f>Contributions_Data!B1000</f>
        <v>DA-003-M0084</v>
      </c>
      <c r="G2291" s="24">
        <f>Contributions_Data!C1000</f>
        <v>45638</v>
      </c>
      <c r="H2291" s="27">
        <f>Contributions_Data!D1000</f>
        <v>7226.87</v>
      </c>
      <c r="I2291" s="27">
        <v>0</v>
      </c>
    </row>
    <row r="2292" spans="3:9">
      <c r="C2292" s="23">
        <v>1085</v>
      </c>
      <c r="D2292" s="23" t="s">
        <v>134</v>
      </c>
      <c r="E2292" s="23" t="str">
        <f>Withdrawals_Data!A37</f>
        <v>DA-003</v>
      </c>
      <c r="F2292" s="23" t="str">
        <f>Withdrawals_Data!B37</f>
        <v>DA-003-M0048</v>
      </c>
      <c r="G2292" s="24">
        <f>Withdrawals_Data!C37</f>
        <v>45638</v>
      </c>
      <c r="H2292" s="27">
        <v>0</v>
      </c>
      <c r="I2292" s="27">
        <f>-Withdrawals_Data!D37</f>
        <v>-13023.02</v>
      </c>
    </row>
    <row r="2293" spans="3:9">
      <c r="C2293" s="23">
        <v>1086</v>
      </c>
      <c r="D2293" s="23" t="s">
        <v>134</v>
      </c>
      <c r="E2293" s="23" t="str">
        <f>Withdrawals_Data!A754</f>
        <v>DA-001</v>
      </c>
      <c r="F2293" s="23" t="str">
        <f>Withdrawals_Data!B754</f>
        <v>DA-001-M0049</v>
      </c>
      <c r="G2293" s="24">
        <f>Withdrawals_Data!C754</f>
        <v>45638</v>
      </c>
      <c r="H2293" s="27">
        <v>0</v>
      </c>
      <c r="I2293" s="27">
        <f>-Withdrawals_Data!D754</f>
        <v>-16997</v>
      </c>
    </row>
    <row r="2294" spans="3:9">
      <c r="C2294" s="23">
        <v>1087</v>
      </c>
      <c r="D2294" s="23" t="s">
        <v>134</v>
      </c>
      <c r="E2294" s="23" t="str">
        <f>Withdrawals_Data!A832</f>
        <v>DA-001</v>
      </c>
      <c r="F2294" s="23" t="str">
        <f>Withdrawals_Data!B832</f>
        <v>DA-001-M0058</v>
      </c>
      <c r="G2294" s="24">
        <f>Withdrawals_Data!C832</f>
        <v>45638</v>
      </c>
      <c r="H2294" s="27">
        <v>0</v>
      </c>
      <c r="I2294" s="27">
        <f>-Withdrawals_Data!D832</f>
        <v>-13426</v>
      </c>
    </row>
    <row r="2295" spans="3:9">
      <c r="C2295" s="23">
        <v>1088</v>
      </c>
      <c r="D2295" s="23" t="s">
        <v>132</v>
      </c>
      <c r="E2295" s="23" t="str">
        <f>Contributions_Data!A113</f>
        <v>DA-001</v>
      </c>
      <c r="F2295" s="23" t="str">
        <f>Contributions_Data!B113</f>
        <v>DA-001-M0010</v>
      </c>
      <c r="G2295" s="24">
        <f>Contributions_Data!C113</f>
        <v>45639</v>
      </c>
      <c r="H2295" s="27">
        <f>Contributions_Data!D113</f>
        <v>15192.84</v>
      </c>
      <c r="I2295" s="27">
        <v>0</v>
      </c>
    </row>
    <row r="2296" spans="3:9">
      <c r="C2296" s="23">
        <v>1089</v>
      </c>
      <c r="D2296" s="23" t="s">
        <v>132</v>
      </c>
      <c r="E2296" s="23" t="str">
        <f>Contributions_Data!A375</f>
        <v>DA-003</v>
      </c>
      <c r="F2296" s="23" t="str">
        <f>Contributions_Data!B375</f>
        <v>DA-003-M0032</v>
      </c>
      <c r="G2296" s="24">
        <f>Contributions_Data!C375</f>
        <v>45639</v>
      </c>
      <c r="H2296" s="27">
        <f>Contributions_Data!D375</f>
        <v>18603.64</v>
      </c>
      <c r="I2296" s="27">
        <v>0</v>
      </c>
    </row>
    <row r="2297" spans="3:9">
      <c r="C2297" s="23">
        <v>1090</v>
      </c>
      <c r="D2297" s="23" t="s">
        <v>132</v>
      </c>
      <c r="E2297" s="23" t="str">
        <f>Contributions_Data!A694</f>
        <v>DA-001</v>
      </c>
      <c r="F2297" s="23" t="str">
        <f>Contributions_Data!B694</f>
        <v>DA-001-M0058</v>
      </c>
      <c r="G2297" s="24">
        <f>Contributions_Data!C694</f>
        <v>45639</v>
      </c>
      <c r="H2297" s="27">
        <f>Contributions_Data!D694</f>
        <v>17127.009999999998</v>
      </c>
      <c r="I2297" s="27">
        <v>0</v>
      </c>
    </row>
    <row r="2298" spans="3:9">
      <c r="C2298" s="23">
        <v>1091</v>
      </c>
      <c r="D2298" s="23" t="s">
        <v>132</v>
      </c>
      <c r="E2298" s="23" t="str">
        <f>Contributions_Data!A1152</f>
        <v>DA-001</v>
      </c>
      <c r="F2298" s="23" t="str">
        <f>Contributions_Data!B1152</f>
        <v>DA-001-M0096</v>
      </c>
      <c r="G2298" s="24">
        <f>Contributions_Data!C1152</f>
        <v>45639</v>
      </c>
      <c r="H2298" s="27">
        <f>Contributions_Data!D1152</f>
        <v>14388.98</v>
      </c>
      <c r="I2298" s="27">
        <v>0</v>
      </c>
    </row>
    <row r="2299" spans="3:9">
      <c r="C2299" s="23">
        <v>1092</v>
      </c>
      <c r="D2299" s="23" t="s">
        <v>134</v>
      </c>
      <c r="E2299" s="23" t="str">
        <f>Withdrawals_Data!A555</f>
        <v>DA-002</v>
      </c>
      <c r="F2299" s="23" t="str">
        <f>Withdrawals_Data!B555</f>
        <v>DA-002-M0027</v>
      </c>
      <c r="G2299" s="24">
        <f>Withdrawals_Data!C555</f>
        <v>45639</v>
      </c>
      <c r="H2299" s="27">
        <v>0</v>
      </c>
      <c r="I2299" s="27">
        <f>-Withdrawals_Data!D555</f>
        <v>-20395</v>
      </c>
    </row>
    <row r="2300" spans="3:9">
      <c r="C2300" s="23">
        <v>1093</v>
      </c>
      <c r="D2300" s="23" t="s">
        <v>134</v>
      </c>
      <c r="E2300" s="23" t="str">
        <f>Withdrawals_Data!A924</f>
        <v>DA-003</v>
      </c>
      <c r="F2300" s="23" t="str">
        <f>Withdrawals_Data!B924</f>
        <v>DA-003-M0069</v>
      </c>
      <c r="G2300" s="24">
        <f>Withdrawals_Data!C924</f>
        <v>45639</v>
      </c>
      <c r="H2300" s="27">
        <v>0</v>
      </c>
      <c r="I2300" s="27">
        <f>-Withdrawals_Data!D924</f>
        <v>-4746</v>
      </c>
    </row>
    <row r="2301" spans="3:9">
      <c r="C2301" s="23">
        <v>1094</v>
      </c>
      <c r="D2301" s="23" t="s">
        <v>134</v>
      </c>
      <c r="E2301" s="23" t="str">
        <f>Withdrawals_Data!A1168</f>
        <v>DA-002</v>
      </c>
      <c r="F2301" s="23" t="str">
        <f>Withdrawals_Data!B1168</f>
        <v>DA-002-M0097</v>
      </c>
      <c r="G2301" s="24">
        <f>Withdrawals_Data!C1168</f>
        <v>45639</v>
      </c>
      <c r="H2301" s="27">
        <v>0</v>
      </c>
      <c r="I2301" s="27">
        <f>-Withdrawals_Data!D1168</f>
        <v>-6641</v>
      </c>
    </row>
    <row r="2302" spans="3:9">
      <c r="C2302" s="23">
        <v>1095</v>
      </c>
      <c r="D2302" s="23" t="s">
        <v>132</v>
      </c>
      <c r="E2302" s="23" t="str">
        <f>Contributions_Data!A369</f>
        <v>DA-003</v>
      </c>
      <c r="F2302" s="23" t="str">
        <f>Contributions_Data!B369</f>
        <v>DA-003-M0031</v>
      </c>
      <c r="G2302" s="24">
        <f>Contributions_Data!C369</f>
        <v>45640</v>
      </c>
      <c r="H2302" s="27">
        <f>Contributions_Data!D369</f>
        <v>13702.33</v>
      </c>
      <c r="I2302" s="27">
        <v>0</v>
      </c>
    </row>
    <row r="2303" spans="3:9">
      <c r="C2303" s="23">
        <v>1096</v>
      </c>
      <c r="D2303" s="23" t="s">
        <v>134</v>
      </c>
      <c r="E2303" s="23" t="str">
        <f>Withdrawals_Data!A493</f>
        <v>DA-002</v>
      </c>
      <c r="F2303" s="23" t="str">
        <f>Withdrawals_Data!B493</f>
        <v>DA-002-M0020</v>
      </c>
      <c r="G2303" s="24">
        <f>Withdrawals_Data!C493</f>
        <v>45640</v>
      </c>
      <c r="H2303" s="27">
        <v>0</v>
      </c>
      <c r="I2303" s="27">
        <f>-Withdrawals_Data!D493</f>
        <v>-5031</v>
      </c>
    </row>
    <row r="2304" spans="3:9">
      <c r="C2304" s="23">
        <v>1097</v>
      </c>
      <c r="D2304" s="23" t="s">
        <v>132</v>
      </c>
      <c r="E2304" s="23" t="str">
        <f>Contributions_Data!A155</f>
        <v>DA-003</v>
      </c>
      <c r="F2304" s="23" t="str">
        <f>Contributions_Data!B155</f>
        <v>DA-003-M0013</v>
      </c>
      <c r="G2304" s="24">
        <f>Contributions_Data!C155</f>
        <v>45641</v>
      </c>
      <c r="H2304" s="27">
        <f>Contributions_Data!D155</f>
        <v>11286.55</v>
      </c>
      <c r="I2304" s="27">
        <v>0</v>
      </c>
    </row>
    <row r="2305" spans="3:9">
      <c r="C2305" s="23">
        <v>1098</v>
      </c>
      <c r="D2305" s="23" t="s">
        <v>132</v>
      </c>
      <c r="E2305" s="23" t="str">
        <f>Contributions_Data!A296</f>
        <v>DA-001</v>
      </c>
      <c r="F2305" s="23" t="str">
        <f>Contributions_Data!B296</f>
        <v>DA-001-M0025</v>
      </c>
      <c r="G2305" s="24">
        <f>Contributions_Data!C296</f>
        <v>45641</v>
      </c>
      <c r="H2305" s="27">
        <f>Contributions_Data!D296</f>
        <v>12900.82</v>
      </c>
      <c r="I2305" s="27">
        <v>0</v>
      </c>
    </row>
    <row r="2306" spans="3:9">
      <c r="C2306" s="23">
        <v>1099</v>
      </c>
      <c r="D2306" s="23" t="s">
        <v>132</v>
      </c>
      <c r="E2306" s="23" t="str">
        <f>Contributions_Data!A677</f>
        <v>DA-002</v>
      </c>
      <c r="F2306" s="23" t="str">
        <f>Contributions_Data!B677</f>
        <v>DA-002-M0057</v>
      </c>
      <c r="G2306" s="24">
        <f>Contributions_Data!C677</f>
        <v>45641</v>
      </c>
      <c r="H2306" s="27">
        <f>Contributions_Data!D677</f>
        <v>11789.75</v>
      </c>
      <c r="I2306" s="27">
        <v>0</v>
      </c>
    </row>
    <row r="2307" spans="3:9">
      <c r="C2307" s="23">
        <v>1100</v>
      </c>
      <c r="D2307" s="23" t="s">
        <v>132</v>
      </c>
      <c r="E2307" s="23" t="str">
        <f>Contributions_Data!A819</f>
        <v>DA-003</v>
      </c>
      <c r="F2307" s="23" t="str">
        <f>Contributions_Data!B819</f>
        <v>DA-003-M0069</v>
      </c>
      <c r="G2307" s="24">
        <f>Contributions_Data!C819</f>
        <v>45641</v>
      </c>
      <c r="H2307" s="27">
        <f>Contributions_Data!D819</f>
        <v>11560.96</v>
      </c>
      <c r="I2307" s="27">
        <v>0</v>
      </c>
    </row>
    <row r="2308" spans="3:9">
      <c r="C2308" s="23">
        <v>1101</v>
      </c>
      <c r="D2308" s="23" t="s">
        <v>132</v>
      </c>
      <c r="E2308" s="23" t="str">
        <f>Contributions_Data!A281</f>
        <v>DA-001</v>
      </c>
      <c r="F2308" s="23" t="str">
        <f>Contributions_Data!B281</f>
        <v>DA-001-M0024</v>
      </c>
      <c r="G2308" s="24">
        <f>Contributions_Data!C281</f>
        <v>45642</v>
      </c>
      <c r="H2308" s="27">
        <f>Contributions_Data!D281</f>
        <v>16152.2</v>
      </c>
      <c r="I2308" s="27">
        <v>0</v>
      </c>
    </row>
    <row r="2309" spans="3:9">
      <c r="C2309" s="23">
        <v>1102</v>
      </c>
      <c r="D2309" s="23" t="s">
        <v>132</v>
      </c>
      <c r="E2309" s="23" t="str">
        <f>Contributions_Data!A1168</f>
        <v>DA-001</v>
      </c>
      <c r="F2309" s="23" t="str">
        <f>Contributions_Data!B1168</f>
        <v>DA-001-M0098</v>
      </c>
      <c r="G2309" s="24">
        <f>Contributions_Data!C1168</f>
        <v>45642</v>
      </c>
      <c r="H2309" s="27">
        <f>Contributions_Data!D1168</f>
        <v>15880.67</v>
      </c>
      <c r="I2309" s="27">
        <v>0</v>
      </c>
    </row>
    <row r="2310" spans="3:9">
      <c r="C2310" s="23">
        <v>1103</v>
      </c>
      <c r="D2310" s="23" t="s">
        <v>134</v>
      </c>
      <c r="E2310" s="23" t="str">
        <f>Withdrawals_Data!A426</f>
        <v>DA-003</v>
      </c>
      <c r="F2310" s="23" t="str">
        <f>Withdrawals_Data!B426</f>
        <v>DA-003-M0012</v>
      </c>
      <c r="G2310" s="24">
        <f>Withdrawals_Data!C426</f>
        <v>45642</v>
      </c>
      <c r="H2310" s="27">
        <v>0</v>
      </c>
      <c r="I2310" s="27">
        <f>-Withdrawals_Data!D426</f>
        <v>-13985</v>
      </c>
    </row>
    <row r="2311" spans="3:9">
      <c r="C2311" s="23">
        <v>1104</v>
      </c>
      <c r="D2311" s="23" t="s">
        <v>134</v>
      </c>
      <c r="E2311" s="23" t="str">
        <f>Withdrawals_Data!A630</f>
        <v>DA-001</v>
      </c>
      <c r="F2311" s="23" t="str">
        <f>Withdrawals_Data!B630</f>
        <v>DA-001-M0035</v>
      </c>
      <c r="G2311" s="24">
        <f>Withdrawals_Data!C630</f>
        <v>45642</v>
      </c>
      <c r="H2311" s="27">
        <v>0</v>
      </c>
      <c r="I2311" s="27">
        <f>-Withdrawals_Data!D630</f>
        <v>-2130</v>
      </c>
    </row>
    <row r="2312" spans="3:9">
      <c r="C2312" s="23">
        <v>1105</v>
      </c>
      <c r="D2312" s="23" t="s">
        <v>132</v>
      </c>
      <c r="E2312" s="23" t="str">
        <f>Contributions_Data!A814</f>
        <v>DA-003</v>
      </c>
      <c r="F2312" s="23" t="str">
        <f>Contributions_Data!B814</f>
        <v>DA-003-M0068</v>
      </c>
      <c r="G2312" s="24">
        <f>Contributions_Data!C814</f>
        <v>45643</v>
      </c>
      <c r="H2312" s="27">
        <f>Contributions_Data!D814</f>
        <v>18151.96</v>
      </c>
      <c r="I2312" s="27">
        <v>0</v>
      </c>
    </row>
    <row r="2313" spans="3:9">
      <c r="C2313" s="23">
        <v>1106</v>
      </c>
      <c r="D2313" s="23" t="s">
        <v>134</v>
      </c>
      <c r="E2313" s="23" t="str">
        <f>Withdrawals_Data!A42</f>
        <v>DA-001</v>
      </c>
      <c r="F2313" s="23" t="str">
        <f>Withdrawals_Data!B42</f>
        <v>DA-001-M0022</v>
      </c>
      <c r="G2313" s="24">
        <f>Withdrawals_Data!C42</f>
        <v>45643</v>
      </c>
      <c r="H2313" s="27">
        <v>0</v>
      </c>
      <c r="I2313" s="27">
        <f>-Withdrawals_Data!D42</f>
        <v>-12717.19</v>
      </c>
    </row>
    <row r="2314" spans="3:9">
      <c r="C2314" s="23">
        <v>1107</v>
      </c>
      <c r="D2314" s="23" t="s">
        <v>134</v>
      </c>
      <c r="E2314" s="23" t="str">
        <f>Withdrawals_Data!A190</f>
        <v>DA-003</v>
      </c>
      <c r="F2314" s="23" t="str">
        <f>Withdrawals_Data!B190</f>
        <v>DA-003-M0012</v>
      </c>
      <c r="G2314" s="24">
        <f>Withdrawals_Data!C190</f>
        <v>45643</v>
      </c>
      <c r="H2314" s="27">
        <v>0</v>
      </c>
      <c r="I2314" s="27">
        <f>-Withdrawals_Data!D190</f>
        <v>-7761.9</v>
      </c>
    </row>
    <row r="2315" spans="3:9">
      <c r="C2315" s="23">
        <v>1108</v>
      </c>
      <c r="D2315" s="23" t="s">
        <v>134</v>
      </c>
      <c r="E2315" s="23" t="str">
        <f>Withdrawals_Data!A352</f>
        <v>DA-001</v>
      </c>
      <c r="F2315" s="23" t="str">
        <f>Withdrawals_Data!B352</f>
        <v>DA-001-M0002</v>
      </c>
      <c r="G2315" s="24">
        <f>Withdrawals_Data!C352</f>
        <v>45643</v>
      </c>
      <c r="H2315" s="27">
        <v>0</v>
      </c>
      <c r="I2315" s="27">
        <f>-Withdrawals_Data!D352</f>
        <v>-10607</v>
      </c>
    </row>
    <row r="2316" spans="3:9">
      <c r="C2316" s="23">
        <v>1109</v>
      </c>
      <c r="D2316" s="23" t="s">
        <v>134</v>
      </c>
      <c r="E2316" s="23" t="str">
        <f>Withdrawals_Data!A981</f>
        <v>DA-003</v>
      </c>
      <c r="F2316" s="23" t="str">
        <f>Withdrawals_Data!B981</f>
        <v>DA-003-M0076</v>
      </c>
      <c r="G2316" s="24">
        <f>Withdrawals_Data!C981</f>
        <v>45643</v>
      </c>
      <c r="H2316" s="27">
        <v>0</v>
      </c>
      <c r="I2316" s="27">
        <f>-Withdrawals_Data!D981</f>
        <v>-9801</v>
      </c>
    </row>
    <row r="2317" spans="3:9">
      <c r="C2317" s="23">
        <v>1110</v>
      </c>
      <c r="D2317" s="23" t="s">
        <v>132</v>
      </c>
      <c r="E2317" s="23" t="str">
        <f>Contributions_Data!A5</f>
        <v>DA-003</v>
      </c>
      <c r="F2317" s="23" t="str">
        <f>Contributions_Data!B5</f>
        <v>DA-003-M0001</v>
      </c>
      <c r="G2317" s="24">
        <f>Contributions_Data!C5</f>
        <v>45644</v>
      </c>
      <c r="H2317" s="27">
        <f>Contributions_Data!D5</f>
        <v>14340.98</v>
      </c>
      <c r="I2317" s="27">
        <v>0</v>
      </c>
    </row>
    <row r="2318" spans="3:9">
      <c r="C2318" s="23">
        <v>1111</v>
      </c>
      <c r="D2318" s="23" t="s">
        <v>132</v>
      </c>
      <c r="E2318" s="23" t="str">
        <f>Contributions_Data!A123</f>
        <v>DA-001</v>
      </c>
      <c r="F2318" s="23" t="str">
        <f>Contributions_Data!B123</f>
        <v>DA-001-M0011</v>
      </c>
      <c r="G2318" s="24">
        <f>Contributions_Data!C123</f>
        <v>45644</v>
      </c>
      <c r="H2318" s="27">
        <f>Contributions_Data!D123</f>
        <v>13014.64</v>
      </c>
      <c r="I2318" s="27">
        <v>0</v>
      </c>
    </row>
    <row r="2319" spans="3:9">
      <c r="C2319" s="23">
        <v>1112</v>
      </c>
      <c r="D2319" s="23" t="s">
        <v>134</v>
      </c>
      <c r="E2319" s="23" t="str">
        <f>Withdrawals_Data!A883</f>
        <v>DA-002</v>
      </c>
      <c r="F2319" s="23" t="str">
        <f>Withdrawals_Data!B883</f>
        <v>DA-002-M0063</v>
      </c>
      <c r="G2319" s="24">
        <f>Withdrawals_Data!C883</f>
        <v>45644</v>
      </c>
      <c r="H2319" s="27">
        <v>0</v>
      </c>
      <c r="I2319" s="27">
        <f>-Withdrawals_Data!D883</f>
        <v>-16226</v>
      </c>
    </row>
    <row r="2320" spans="3:9">
      <c r="C2320" s="23">
        <v>1113</v>
      </c>
      <c r="D2320" s="23" t="s">
        <v>134</v>
      </c>
      <c r="E2320" s="23" t="str">
        <f>Withdrawals_Data!A1063</f>
        <v>DA-003</v>
      </c>
      <c r="F2320" s="23" t="str">
        <f>Withdrawals_Data!B1063</f>
        <v>DA-003-M0084</v>
      </c>
      <c r="G2320" s="24">
        <f>Withdrawals_Data!C1063</f>
        <v>45644</v>
      </c>
      <c r="H2320" s="27">
        <v>0</v>
      </c>
      <c r="I2320" s="27">
        <f>-Withdrawals_Data!D1063</f>
        <v>-16724</v>
      </c>
    </row>
    <row r="2321" spans="3:9">
      <c r="C2321" s="23">
        <v>1114</v>
      </c>
      <c r="D2321" s="23" t="s">
        <v>132</v>
      </c>
      <c r="E2321" s="23" t="str">
        <f>Contributions_Data!A158</f>
        <v>DA-003</v>
      </c>
      <c r="F2321" s="23" t="str">
        <f>Contributions_Data!B158</f>
        <v>DA-003-M0014</v>
      </c>
      <c r="G2321" s="24">
        <f>Contributions_Data!C158</f>
        <v>45645</v>
      </c>
      <c r="H2321" s="27">
        <f>Contributions_Data!D158</f>
        <v>16764.95</v>
      </c>
      <c r="I2321" s="27">
        <v>0</v>
      </c>
    </row>
    <row r="2322" spans="3:9">
      <c r="C2322" s="23">
        <v>1115</v>
      </c>
      <c r="D2322" s="23" t="s">
        <v>134</v>
      </c>
      <c r="E2322" s="23" t="str">
        <f>Withdrawals_Data!A48</f>
        <v>DA-002</v>
      </c>
      <c r="F2322" s="23" t="str">
        <f>Withdrawals_Data!B48</f>
        <v>DA-002-M0078</v>
      </c>
      <c r="G2322" s="24">
        <f>Withdrawals_Data!C48</f>
        <v>45645</v>
      </c>
      <c r="H2322" s="27">
        <v>0</v>
      </c>
      <c r="I2322" s="27">
        <f>-Withdrawals_Data!D48</f>
        <v>-12365.24</v>
      </c>
    </row>
    <row r="2323" spans="3:9">
      <c r="C2323" s="23">
        <v>1116</v>
      </c>
      <c r="D2323" s="23" t="s">
        <v>134</v>
      </c>
      <c r="E2323" s="23" t="str">
        <f>Withdrawals_Data!A154</f>
        <v>DA-001</v>
      </c>
      <c r="F2323" s="23" t="str">
        <f>Withdrawals_Data!B154</f>
        <v>DA-001-M0073</v>
      </c>
      <c r="G2323" s="24">
        <f>Withdrawals_Data!C154</f>
        <v>45645</v>
      </c>
      <c r="H2323" s="27">
        <v>0</v>
      </c>
      <c r="I2323" s="27">
        <f>-Withdrawals_Data!D154</f>
        <v>-8500.9</v>
      </c>
    </row>
    <row r="2324" spans="3:9">
      <c r="C2324" s="23">
        <v>1117</v>
      </c>
      <c r="D2324" s="23" t="s">
        <v>134</v>
      </c>
      <c r="E2324" s="23" t="str">
        <f>Withdrawals_Data!A488</f>
        <v>DA-001</v>
      </c>
      <c r="F2324" s="23" t="str">
        <f>Withdrawals_Data!B488</f>
        <v>DA-001-M0019</v>
      </c>
      <c r="G2324" s="24">
        <f>Withdrawals_Data!C488</f>
        <v>45645</v>
      </c>
      <c r="H2324" s="27">
        <v>0</v>
      </c>
      <c r="I2324" s="27">
        <f>-Withdrawals_Data!D488</f>
        <v>-14928</v>
      </c>
    </row>
    <row r="2325" spans="3:9">
      <c r="C2325" s="23">
        <v>1118</v>
      </c>
      <c r="D2325" s="23" t="s">
        <v>134</v>
      </c>
      <c r="E2325" s="23" t="str">
        <f>Withdrawals_Data!A602</f>
        <v>DA-003</v>
      </c>
      <c r="F2325" s="23" t="str">
        <f>Withdrawals_Data!B602</f>
        <v>DA-003-M0032</v>
      </c>
      <c r="G2325" s="24">
        <f>Withdrawals_Data!C602</f>
        <v>45645</v>
      </c>
      <c r="H2325" s="27">
        <v>0</v>
      </c>
      <c r="I2325" s="27">
        <f>-Withdrawals_Data!D602</f>
        <v>-4559</v>
      </c>
    </row>
    <row r="2326" spans="3:9">
      <c r="C2326" s="23">
        <v>1119</v>
      </c>
      <c r="D2326" s="23" t="s">
        <v>132</v>
      </c>
      <c r="E2326" s="23" t="str">
        <f>Contributions_Data!A236</f>
        <v>DA-002</v>
      </c>
      <c r="F2326" s="23" t="str">
        <f>Contributions_Data!B236</f>
        <v>DA-002-M0020</v>
      </c>
      <c r="G2326" s="24">
        <f>Contributions_Data!C236</f>
        <v>45646</v>
      </c>
      <c r="H2326" s="27">
        <f>Contributions_Data!D236</f>
        <v>16025.27</v>
      </c>
      <c r="I2326" s="27">
        <v>0</v>
      </c>
    </row>
    <row r="2327" spans="3:9">
      <c r="C2327" s="23">
        <v>1120</v>
      </c>
      <c r="D2327" s="23" t="s">
        <v>132</v>
      </c>
      <c r="E2327" s="23" t="str">
        <f>Contributions_Data!A466</f>
        <v>DA-002</v>
      </c>
      <c r="F2327" s="23" t="str">
        <f>Contributions_Data!B466</f>
        <v>DA-002-M0039</v>
      </c>
      <c r="G2327" s="24">
        <f>Contributions_Data!C466</f>
        <v>45646</v>
      </c>
      <c r="H2327" s="27">
        <f>Contributions_Data!D466</f>
        <v>17165.02</v>
      </c>
      <c r="I2327" s="27">
        <v>0</v>
      </c>
    </row>
    <row r="2328" spans="3:9">
      <c r="C2328" s="23">
        <v>1121</v>
      </c>
      <c r="D2328" s="23" t="s">
        <v>134</v>
      </c>
      <c r="E2328" s="23" t="str">
        <f>Withdrawals_Data!A291</f>
        <v>DA-002</v>
      </c>
      <c r="F2328" s="23" t="str">
        <f>Withdrawals_Data!B291</f>
        <v>DA-002-M0070</v>
      </c>
      <c r="G2328" s="24">
        <f>Withdrawals_Data!C291</f>
        <v>45646</v>
      </c>
      <c r="H2328" s="27">
        <v>0</v>
      </c>
      <c r="I2328" s="27">
        <f>-Withdrawals_Data!D291</f>
        <v>-3614.9</v>
      </c>
    </row>
    <row r="2329" spans="3:9">
      <c r="C2329" s="23">
        <v>1122</v>
      </c>
      <c r="D2329" s="23" t="s">
        <v>134</v>
      </c>
      <c r="E2329" s="23" t="str">
        <f>Withdrawals_Data!A318</f>
        <v>DA-002</v>
      </c>
      <c r="F2329" s="23" t="str">
        <f>Withdrawals_Data!B318</f>
        <v>DA-002-M0041</v>
      </c>
      <c r="G2329" s="24">
        <f>Withdrawals_Data!C318</f>
        <v>45646</v>
      </c>
      <c r="H2329" s="27">
        <v>0</v>
      </c>
      <c r="I2329" s="27">
        <f>-Withdrawals_Data!D318</f>
        <v>-2366.15</v>
      </c>
    </row>
    <row r="2330" spans="3:9">
      <c r="C2330" s="23">
        <v>1123</v>
      </c>
      <c r="D2330" s="23" t="s">
        <v>132</v>
      </c>
      <c r="E2330" s="23" t="str">
        <f>Contributions_Data!A643</f>
        <v>DA-002</v>
      </c>
      <c r="F2330" s="23" t="str">
        <f>Contributions_Data!B643</f>
        <v>DA-002-M0054</v>
      </c>
      <c r="G2330" s="24">
        <f>Contributions_Data!C643</f>
        <v>45647</v>
      </c>
      <c r="H2330" s="27">
        <f>Contributions_Data!D643</f>
        <v>13819.98</v>
      </c>
      <c r="I2330" s="27">
        <v>0</v>
      </c>
    </row>
    <row r="2331" spans="3:9">
      <c r="C2331" s="23">
        <v>1124</v>
      </c>
      <c r="D2331" s="23" t="s">
        <v>134</v>
      </c>
      <c r="E2331" s="23" t="str">
        <f>Withdrawals_Data!A344</f>
        <v>DA-003</v>
      </c>
      <c r="F2331" s="23" t="str">
        <f>Withdrawals_Data!B344</f>
        <v>DA-003-M0001</v>
      </c>
      <c r="G2331" s="24">
        <f>Withdrawals_Data!C344</f>
        <v>45647</v>
      </c>
      <c r="H2331" s="27">
        <v>0</v>
      </c>
      <c r="I2331" s="27">
        <f>-Withdrawals_Data!D344</f>
        <v>-10529</v>
      </c>
    </row>
    <row r="2332" spans="3:9">
      <c r="C2332" s="23">
        <v>1125</v>
      </c>
      <c r="D2332" s="23" t="s">
        <v>134</v>
      </c>
      <c r="E2332" s="23" t="str">
        <f>Withdrawals_Data!A765</f>
        <v>DA-002</v>
      </c>
      <c r="F2332" s="23" t="str">
        <f>Withdrawals_Data!B765</f>
        <v>DA-002-M0050</v>
      </c>
      <c r="G2332" s="24">
        <f>Withdrawals_Data!C765</f>
        <v>45647</v>
      </c>
      <c r="H2332" s="27">
        <v>0</v>
      </c>
      <c r="I2332" s="27">
        <f>-Withdrawals_Data!D765</f>
        <v>-3464</v>
      </c>
    </row>
    <row r="2333" spans="3:9">
      <c r="C2333" s="23">
        <v>1126</v>
      </c>
      <c r="D2333" s="23" t="s">
        <v>134</v>
      </c>
      <c r="E2333" s="23" t="str">
        <f>Withdrawals_Data!A1115</f>
        <v>DA-003</v>
      </c>
      <c r="F2333" s="23" t="str">
        <f>Withdrawals_Data!B1115</f>
        <v>DA-003-M0090</v>
      </c>
      <c r="G2333" s="24">
        <f>Withdrawals_Data!C1115</f>
        <v>45647</v>
      </c>
      <c r="H2333" s="27">
        <v>0</v>
      </c>
      <c r="I2333" s="27">
        <f>-Withdrawals_Data!D1115</f>
        <v>-2290</v>
      </c>
    </row>
    <row r="2334" spans="3:9">
      <c r="C2334" s="23">
        <v>1127</v>
      </c>
      <c r="D2334" s="23" t="s">
        <v>132</v>
      </c>
      <c r="E2334" s="23" t="str">
        <f>Contributions_Data!A384</f>
        <v>DA-003</v>
      </c>
      <c r="F2334" s="23" t="str">
        <f>Contributions_Data!B384</f>
        <v>DA-003-M0032</v>
      </c>
      <c r="G2334" s="24">
        <f>Contributions_Data!C384</f>
        <v>45648</v>
      </c>
      <c r="H2334" s="27">
        <f>Contributions_Data!D384</f>
        <v>17488.22</v>
      </c>
      <c r="I2334" s="27">
        <v>0</v>
      </c>
    </row>
    <row r="2335" spans="3:9">
      <c r="C2335" s="23">
        <v>1128</v>
      </c>
      <c r="D2335" s="23" t="s">
        <v>132</v>
      </c>
      <c r="E2335" s="23" t="str">
        <f>Contributions_Data!A919</f>
        <v>DA-003</v>
      </c>
      <c r="F2335" s="23" t="str">
        <f>Contributions_Data!B919</f>
        <v>DA-003-M0077</v>
      </c>
      <c r="G2335" s="24">
        <f>Contributions_Data!C919</f>
        <v>45648</v>
      </c>
      <c r="H2335" s="27">
        <f>Contributions_Data!D919</f>
        <v>14832.69</v>
      </c>
      <c r="I2335" s="27">
        <v>0</v>
      </c>
    </row>
    <row r="2336" spans="3:9">
      <c r="C2336" s="23">
        <v>1129</v>
      </c>
      <c r="D2336" s="23" t="s">
        <v>132</v>
      </c>
      <c r="E2336" s="23" t="str">
        <f>Contributions_Data!A1102</f>
        <v>DA-001</v>
      </c>
      <c r="F2336" s="23" t="str">
        <f>Contributions_Data!B1102</f>
        <v>DA-001-M0092</v>
      </c>
      <c r="G2336" s="24">
        <f>Contributions_Data!C1102</f>
        <v>45648</v>
      </c>
      <c r="H2336" s="27">
        <f>Contributions_Data!D1102</f>
        <v>13801.09</v>
      </c>
      <c r="I2336" s="27">
        <v>0</v>
      </c>
    </row>
    <row r="2337" spans="3:9">
      <c r="C2337" s="23">
        <v>1130</v>
      </c>
      <c r="D2337" s="23" t="s">
        <v>132</v>
      </c>
      <c r="E2337" s="23" t="str">
        <f>Contributions_Data!A1144</f>
        <v>DA-001</v>
      </c>
      <c r="F2337" s="23" t="str">
        <f>Contributions_Data!B1144</f>
        <v>DA-001-M0096</v>
      </c>
      <c r="G2337" s="24">
        <f>Contributions_Data!C1144</f>
        <v>45648</v>
      </c>
      <c r="H2337" s="27">
        <f>Contributions_Data!D1144</f>
        <v>20316.75</v>
      </c>
      <c r="I2337" s="27">
        <v>0</v>
      </c>
    </row>
    <row r="2338" spans="3:9">
      <c r="C2338" s="23">
        <v>1131</v>
      </c>
      <c r="D2338" s="23" t="s">
        <v>134</v>
      </c>
      <c r="E2338" s="23" t="str">
        <f>Withdrawals_Data!A163</f>
        <v>DA-003</v>
      </c>
      <c r="F2338" s="23" t="str">
        <f>Withdrawals_Data!B163</f>
        <v>DA-003-M0001</v>
      </c>
      <c r="G2338" s="24">
        <f>Withdrawals_Data!C163</f>
        <v>45648</v>
      </c>
      <c r="H2338" s="27">
        <v>0</v>
      </c>
      <c r="I2338" s="27">
        <f>-Withdrawals_Data!D163</f>
        <v>-8367.0400000000009</v>
      </c>
    </row>
    <row r="2339" spans="3:9">
      <c r="C2339" s="23">
        <v>1132</v>
      </c>
      <c r="D2339" s="23" t="s">
        <v>134</v>
      </c>
      <c r="E2339" s="23" t="str">
        <f>Withdrawals_Data!A251</f>
        <v>DA-003</v>
      </c>
      <c r="F2339" s="23" t="str">
        <f>Withdrawals_Data!B251</f>
        <v>DA-003-M0076</v>
      </c>
      <c r="G2339" s="24">
        <f>Withdrawals_Data!C251</f>
        <v>45648</v>
      </c>
      <c r="H2339" s="27">
        <v>0</v>
      </c>
      <c r="I2339" s="27">
        <f>-Withdrawals_Data!D251</f>
        <v>-5402.89</v>
      </c>
    </row>
    <row r="2340" spans="3:9">
      <c r="C2340" s="23">
        <v>1133</v>
      </c>
      <c r="D2340" s="23" t="s">
        <v>134</v>
      </c>
      <c r="E2340" s="23" t="str">
        <f>Withdrawals_Data!A546</f>
        <v>DA-002</v>
      </c>
      <c r="F2340" s="23" t="str">
        <f>Withdrawals_Data!B546</f>
        <v>DA-002-M0026</v>
      </c>
      <c r="G2340" s="24">
        <f>Withdrawals_Data!C546</f>
        <v>45648</v>
      </c>
      <c r="H2340" s="27">
        <v>0</v>
      </c>
      <c r="I2340" s="27">
        <f>-Withdrawals_Data!D546</f>
        <v>-10739</v>
      </c>
    </row>
    <row r="2341" spans="3:9">
      <c r="C2341" s="23">
        <v>1134</v>
      </c>
      <c r="D2341" s="23" t="s">
        <v>132</v>
      </c>
      <c r="E2341" s="23" t="str">
        <f>Contributions_Data!A33</f>
        <v>DA-002</v>
      </c>
      <c r="F2341" s="23" t="str">
        <f>Contributions_Data!B33</f>
        <v>DA-002-M0003</v>
      </c>
      <c r="G2341" s="24">
        <f>Contributions_Data!C33</f>
        <v>45649</v>
      </c>
      <c r="H2341" s="27">
        <f>Contributions_Data!D33</f>
        <v>15904.64</v>
      </c>
      <c r="I2341" s="27">
        <v>0</v>
      </c>
    </row>
    <row r="2342" spans="3:9">
      <c r="C2342" s="23">
        <v>1135</v>
      </c>
      <c r="D2342" s="23" t="s">
        <v>132</v>
      </c>
      <c r="E2342" s="23" t="str">
        <f>Contributions_Data!A471</f>
        <v>DA-002</v>
      </c>
      <c r="F2342" s="23" t="str">
        <f>Contributions_Data!B471</f>
        <v>DA-002-M0040</v>
      </c>
      <c r="G2342" s="24">
        <f>Contributions_Data!C471</f>
        <v>45649</v>
      </c>
      <c r="H2342" s="27">
        <f>Contributions_Data!D471</f>
        <v>14279.02</v>
      </c>
      <c r="I2342" s="27">
        <v>0</v>
      </c>
    </row>
    <row r="2343" spans="3:9">
      <c r="C2343" s="23">
        <v>1136</v>
      </c>
      <c r="D2343" s="23" t="s">
        <v>132</v>
      </c>
      <c r="E2343" s="23" t="str">
        <f>Contributions_Data!A655</f>
        <v>DA-001</v>
      </c>
      <c r="F2343" s="23" t="str">
        <f>Contributions_Data!B655</f>
        <v>DA-001-M0055</v>
      </c>
      <c r="G2343" s="24">
        <f>Contributions_Data!C655</f>
        <v>45649</v>
      </c>
      <c r="H2343" s="27">
        <f>Contributions_Data!D655</f>
        <v>15559.83</v>
      </c>
      <c r="I2343" s="27">
        <v>0</v>
      </c>
    </row>
    <row r="2344" spans="3:9">
      <c r="C2344" s="23">
        <v>1137</v>
      </c>
      <c r="D2344" s="23" t="s">
        <v>132</v>
      </c>
      <c r="E2344" s="23" t="str">
        <f>Contributions_Data!A875</f>
        <v>DA-001</v>
      </c>
      <c r="F2344" s="23" t="str">
        <f>Contributions_Data!B875</f>
        <v>DA-001-M0073</v>
      </c>
      <c r="G2344" s="24">
        <f>Contributions_Data!C875</f>
        <v>45649</v>
      </c>
      <c r="H2344" s="27">
        <f>Contributions_Data!D875</f>
        <v>15671.74</v>
      </c>
      <c r="I2344" s="27">
        <v>0</v>
      </c>
    </row>
    <row r="2345" spans="3:9">
      <c r="C2345" s="23">
        <v>1138</v>
      </c>
      <c r="D2345" s="23" t="s">
        <v>132</v>
      </c>
      <c r="E2345" s="23" t="str">
        <f>Contributions_Data!A1183</f>
        <v>DA-003</v>
      </c>
      <c r="F2345" s="23" t="str">
        <f>Contributions_Data!B1183</f>
        <v>DA-003-M0099</v>
      </c>
      <c r="G2345" s="24">
        <f>Contributions_Data!C1183</f>
        <v>45649</v>
      </c>
      <c r="H2345" s="27">
        <f>Contributions_Data!D1183</f>
        <v>16309.68</v>
      </c>
      <c r="I2345" s="27">
        <v>0</v>
      </c>
    </row>
    <row r="2346" spans="3:9">
      <c r="C2346" s="23">
        <v>1139</v>
      </c>
      <c r="D2346" s="23" t="s">
        <v>132</v>
      </c>
      <c r="E2346" s="23" t="str">
        <f>Contributions_Data!A51</f>
        <v>DA-003</v>
      </c>
      <c r="F2346" s="23" t="str">
        <f>Contributions_Data!B51</f>
        <v>DA-003-M0005</v>
      </c>
      <c r="G2346" s="24">
        <f>Contributions_Data!C51</f>
        <v>45650</v>
      </c>
      <c r="H2346" s="27">
        <f>Contributions_Data!D51</f>
        <v>15682.38</v>
      </c>
      <c r="I2346" s="27">
        <v>0</v>
      </c>
    </row>
    <row r="2347" spans="3:9">
      <c r="C2347" s="23">
        <v>1140</v>
      </c>
      <c r="D2347" s="23" t="s">
        <v>132</v>
      </c>
      <c r="E2347" s="23" t="str">
        <f>Contributions_Data!A80</f>
        <v>DA-003</v>
      </c>
      <c r="F2347" s="23" t="str">
        <f>Contributions_Data!B80</f>
        <v>DA-003-M0007</v>
      </c>
      <c r="G2347" s="24">
        <f>Contributions_Data!C80</f>
        <v>45650</v>
      </c>
      <c r="H2347" s="27">
        <f>Contributions_Data!D80</f>
        <v>16877</v>
      </c>
      <c r="I2347" s="27">
        <v>0</v>
      </c>
    </row>
    <row r="2348" spans="3:9">
      <c r="C2348" s="23">
        <v>1141</v>
      </c>
      <c r="D2348" s="23" t="s">
        <v>132</v>
      </c>
      <c r="E2348" s="23" t="str">
        <f>Contributions_Data!A570</f>
        <v>DA-003</v>
      </c>
      <c r="F2348" s="23" t="str">
        <f>Contributions_Data!B570</f>
        <v>DA-003-M0048</v>
      </c>
      <c r="G2348" s="24">
        <f>Contributions_Data!C570</f>
        <v>45650</v>
      </c>
      <c r="H2348" s="27">
        <f>Contributions_Data!D570</f>
        <v>14439.39</v>
      </c>
      <c r="I2348" s="27">
        <v>0</v>
      </c>
    </row>
    <row r="2349" spans="3:9">
      <c r="C2349" s="23">
        <v>1142</v>
      </c>
      <c r="D2349" s="23" t="s">
        <v>132</v>
      </c>
      <c r="E2349" s="23" t="str">
        <f>Contributions_Data!A782</f>
        <v>DA-003</v>
      </c>
      <c r="F2349" s="23" t="str">
        <f>Contributions_Data!B782</f>
        <v>DA-003-M0066</v>
      </c>
      <c r="G2349" s="24">
        <f>Contributions_Data!C782</f>
        <v>45650</v>
      </c>
      <c r="H2349" s="27">
        <f>Contributions_Data!D782</f>
        <v>17988.8</v>
      </c>
      <c r="I2349" s="27">
        <v>0</v>
      </c>
    </row>
    <row r="2350" spans="3:9">
      <c r="C2350" s="23">
        <v>1143</v>
      </c>
      <c r="D2350" s="23" t="s">
        <v>132</v>
      </c>
      <c r="E2350" s="23" t="str">
        <f>Contributions_Data!A1180</f>
        <v>DA-003</v>
      </c>
      <c r="F2350" s="23" t="str">
        <f>Contributions_Data!B1180</f>
        <v>DA-003-M0099</v>
      </c>
      <c r="G2350" s="24">
        <f>Contributions_Data!C1180</f>
        <v>45650</v>
      </c>
      <c r="H2350" s="27">
        <f>Contributions_Data!D1180</f>
        <v>12517.23</v>
      </c>
      <c r="I2350" s="27">
        <v>0</v>
      </c>
    </row>
    <row r="2351" spans="3:9">
      <c r="C2351" s="23">
        <v>1144</v>
      </c>
      <c r="D2351" s="23" t="s">
        <v>134</v>
      </c>
      <c r="E2351" s="23" t="str">
        <f>Withdrawals_Data!A115</f>
        <v>DA-003</v>
      </c>
      <c r="F2351" s="23" t="str">
        <f>Withdrawals_Data!B115</f>
        <v>DA-003-M0068</v>
      </c>
      <c r="G2351" s="24">
        <f>Withdrawals_Data!C115</f>
        <v>45650</v>
      </c>
      <c r="H2351" s="27">
        <v>0</v>
      </c>
      <c r="I2351" s="27">
        <f>-Withdrawals_Data!D115</f>
        <v>-9459.84</v>
      </c>
    </row>
    <row r="2352" spans="3:9">
      <c r="C2352" s="23">
        <v>1145</v>
      </c>
      <c r="D2352" s="23" t="s">
        <v>134</v>
      </c>
      <c r="E2352" s="23" t="str">
        <f>Withdrawals_Data!A691</f>
        <v>DA-002</v>
      </c>
      <c r="F2352" s="23" t="str">
        <f>Withdrawals_Data!B691</f>
        <v>DA-002-M0042</v>
      </c>
      <c r="G2352" s="24">
        <f>Withdrawals_Data!C691</f>
        <v>45650</v>
      </c>
      <c r="H2352" s="27">
        <v>0</v>
      </c>
      <c r="I2352" s="27">
        <f>-Withdrawals_Data!D691</f>
        <v>-6749</v>
      </c>
    </row>
    <row r="2353" spans="3:9">
      <c r="C2353" s="23">
        <v>1146</v>
      </c>
      <c r="D2353" s="23" t="s">
        <v>134</v>
      </c>
      <c r="E2353" s="23" t="str">
        <f>Withdrawals_Data!A906</f>
        <v>DA-003</v>
      </c>
      <c r="F2353" s="23" t="str">
        <f>Withdrawals_Data!B906</f>
        <v>DA-003-M0066</v>
      </c>
      <c r="G2353" s="24">
        <f>Withdrawals_Data!C906</f>
        <v>45650</v>
      </c>
      <c r="H2353" s="27">
        <v>0</v>
      </c>
      <c r="I2353" s="27">
        <f>-Withdrawals_Data!D906</f>
        <v>-13062</v>
      </c>
    </row>
    <row r="2354" spans="3:9">
      <c r="C2354" s="23">
        <v>1147</v>
      </c>
      <c r="D2354" s="23" t="s">
        <v>132</v>
      </c>
      <c r="E2354" s="23" t="str">
        <f>Contributions_Data!A445</f>
        <v>DA-002</v>
      </c>
      <c r="F2354" s="23" t="str">
        <f>Contributions_Data!B445</f>
        <v>DA-002-M0037</v>
      </c>
      <c r="G2354" s="24">
        <f>Contributions_Data!C445</f>
        <v>45651</v>
      </c>
      <c r="H2354" s="27">
        <f>Contributions_Data!D445</f>
        <v>14193.33</v>
      </c>
      <c r="I2354" s="27">
        <v>0</v>
      </c>
    </row>
    <row r="2355" spans="3:9">
      <c r="C2355" s="23">
        <v>1148</v>
      </c>
      <c r="D2355" s="23" t="s">
        <v>134</v>
      </c>
      <c r="E2355" s="23" t="str">
        <f>Withdrawals_Data!A201</f>
        <v>DA-002</v>
      </c>
      <c r="F2355" s="23" t="str">
        <f>Withdrawals_Data!B201</f>
        <v>DA-002-M0017</v>
      </c>
      <c r="G2355" s="24">
        <f>Withdrawals_Data!C201</f>
        <v>45651</v>
      </c>
      <c r="H2355" s="27">
        <v>0</v>
      </c>
      <c r="I2355" s="27">
        <f>-Withdrawals_Data!D201</f>
        <v>-7411.77</v>
      </c>
    </row>
    <row r="2356" spans="3:9">
      <c r="C2356" s="23">
        <v>1149</v>
      </c>
      <c r="D2356" s="23" t="s">
        <v>134</v>
      </c>
      <c r="E2356" s="23" t="str">
        <f>Withdrawals_Data!A478</f>
        <v>DA-002</v>
      </c>
      <c r="F2356" s="23" t="str">
        <f>Withdrawals_Data!B478</f>
        <v>DA-002-M0018</v>
      </c>
      <c r="G2356" s="24">
        <f>Withdrawals_Data!C478</f>
        <v>45651</v>
      </c>
      <c r="H2356" s="27">
        <v>0</v>
      </c>
      <c r="I2356" s="27">
        <f>-Withdrawals_Data!D478</f>
        <v>-12055</v>
      </c>
    </row>
    <row r="2357" spans="3:9">
      <c r="C2357" s="23">
        <v>1150</v>
      </c>
      <c r="D2357" s="23" t="s">
        <v>134</v>
      </c>
      <c r="E2357" s="23" t="str">
        <f>Withdrawals_Data!A758</f>
        <v>DA-002</v>
      </c>
      <c r="F2357" s="23" t="str">
        <f>Withdrawals_Data!B758</f>
        <v>DA-002-M0050</v>
      </c>
      <c r="G2357" s="24">
        <f>Withdrawals_Data!C758</f>
        <v>45651</v>
      </c>
      <c r="H2357" s="27">
        <v>0</v>
      </c>
      <c r="I2357" s="27">
        <f>-Withdrawals_Data!D758</f>
        <v>-19643</v>
      </c>
    </row>
    <row r="2358" spans="3:9">
      <c r="C2358" s="23">
        <v>1151</v>
      </c>
      <c r="D2358" s="23" t="s">
        <v>134</v>
      </c>
      <c r="E2358" s="23" t="str">
        <f>Withdrawals_Data!A969</f>
        <v>DA-001</v>
      </c>
      <c r="F2358" s="23" t="str">
        <f>Withdrawals_Data!B969</f>
        <v>DA-001-M0074</v>
      </c>
      <c r="G2358" s="24">
        <f>Withdrawals_Data!C969</f>
        <v>45651</v>
      </c>
      <c r="H2358" s="27">
        <v>0</v>
      </c>
      <c r="I2358" s="27">
        <f>-Withdrawals_Data!D969</f>
        <v>-5720</v>
      </c>
    </row>
    <row r="2359" spans="3:9">
      <c r="C2359" s="23">
        <v>1152</v>
      </c>
      <c r="D2359" s="23" t="s">
        <v>134</v>
      </c>
      <c r="E2359" s="23" t="str">
        <f>Withdrawals_Data!A1041</f>
        <v>DA-003</v>
      </c>
      <c r="F2359" s="23" t="str">
        <f>Withdrawals_Data!B1041</f>
        <v>DA-003-M0082</v>
      </c>
      <c r="G2359" s="24">
        <f>Withdrawals_Data!C1041</f>
        <v>45651</v>
      </c>
      <c r="H2359" s="27">
        <v>0</v>
      </c>
      <c r="I2359" s="27">
        <f>-Withdrawals_Data!D1041</f>
        <v>-8342</v>
      </c>
    </row>
    <row r="2360" spans="3:9">
      <c r="C2360" s="23">
        <v>1153</v>
      </c>
      <c r="D2360" s="23" t="s">
        <v>132</v>
      </c>
      <c r="E2360" s="23" t="str">
        <f>Contributions_Data!A152</f>
        <v>DA-003</v>
      </c>
      <c r="F2360" s="23" t="str">
        <f>Contributions_Data!B152</f>
        <v>DA-003-M0013</v>
      </c>
      <c r="G2360" s="24">
        <f>Contributions_Data!C152</f>
        <v>45652</v>
      </c>
      <c r="H2360" s="27">
        <f>Contributions_Data!D152</f>
        <v>13844.06</v>
      </c>
      <c r="I2360" s="27">
        <v>0</v>
      </c>
    </row>
    <row r="2361" spans="3:9">
      <c r="C2361" s="23">
        <v>1154</v>
      </c>
      <c r="D2361" s="23" t="s">
        <v>132</v>
      </c>
      <c r="E2361" s="23" t="str">
        <f>Contributions_Data!A280</f>
        <v>DA-001</v>
      </c>
      <c r="F2361" s="23" t="str">
        <f>Contributions_Data!B280</f>
        <v>DA-001-M0024</v>
      </c>
      <c r="G2361" s="24">
        <f>Contributions_Data!C280</f>
        <v>45652</v>
      </c>
      <c r="H2361" s="27">
        <f>Contributions_Data!D280</f>
        <v>14833.36</v>
      </c>
      <c r="I2361" s="27">
        <v>0</v>
      </c>
    </row>
    <row r="2362" spans="3:9">
      <c r="C2362" s="23">
        <v>1155</v>
      </c>
      <c r="D2362" s="23" t="s">
        <v>132</v>
      </c>
      <c r="E2362" s="23" t="str">
        <f>Contributions_Data!A533</f>
        <v>DA-003</v>
      </c>
      <c r="F2362" s="23" t="str">
        <f>Contributions_Data!B533</f>
        <v>DA-003-M0045</v>
      </c>
      <c r="G2362" s="24">
        <f>Contributions_Data!C533</f>
        <v>45652</v>
      </c>
      <c r="H2362" s="27">
        <f>Contributions_Data!D533</f>
        <v>22680.25</v>
      </c>
      <c r="I2362" s="27">
        <v>0</v>
      </c>
    </row>
    <row r="2363" spans="3:9">
      <c r="C2363" s="23">
        <v>1156</v>
      </c>
      <c r="D2363" s="23" t="s">
        <v>132</v>
      </c>
      <c r="E2363" s="23" t="str">
        <f>Contributions_Data!A594</f>
        <v>DA-002</v>
      </c>
      <c r="F2363" s="23" t="str">
        <f>Contributions_Data!B594</f>
        <v>DA-002-M0050</v>
      </c>
      <c r="G2363" s="24">
        <f>Contributions_Data!C594</f>
        <v>45652</v>
      </c>
      <c r="H2363" s="27">
        <f>Contributions_Data!D594</f>
        <v>17952.97</v>
      </c>
      <c r="I2363" s="27">
        <v>0</v>
      </c>
    </row>
    <row r="2364" spans="3:9">
      <c r="C2364" s="23">
        <v>1157</v>
      </c>
      <c r="D2364" s="23" t="s">
        <v>132</v>
      </c>
      <c r="E2364" s="23" t="str">
        <f>Contributions_Data!A631</f>
        <v>DA-001</v>
      </c>
      <c r="F2364" s="23" t="str">
        <f>Contributions_Data!B631</f>
        <v>DA-001-M0053</v>
      </c>
      <c r="G2364" s="24">
        <f>Contributions_Data!C631</f>
        <v>45652</v>
      </c>
      <c r="H2364" s="27">
        <f>Contributions_Data!D631</f>
        <v>17045.669999999998</v>
      </c>
      <c r="I2364" s="27">
        <v>0</v>
      </c>
    </row>
    <row r="2365" spans="3:9">
      <c r="C2365" s="23">
        <v>1158</v>
      </c>
      <c r="D2365" s="23" t="s">
        <v>132</v>
      </c>
      <c r="E2365" s="23" t="str">
        <f>Contributions_Data!A868</f>
        <v>DA-001</v>
      </c>
      <c r="F2365" s="23" t="str">
        <f>Contributions_Data!B868</f>
        <v>DA-001-M0073</v>
      </c>
      <c r="G2365" s="24">
        <f>Contributions_Data!C868</f>
        <v>45652</v>
      </c>
      <c r="H2365" s="27">
        <f>Contributions_Data!D868</f>
        <v>14326.1</v>
      </c>
      <c r="I2365" s="27">
        <v>0</v>
      </c>
    </row>
    <row r="2366" spans="3:9">
      <c r="C2366" s="23">
        <v>1159</v>
      </c>
      <c r="D2366" s="23" t="s">
        <v>132</v>
      </c>
      <c r="E2366" s="23" t="str">
        <f>Contributions_Data!A1075</f>
        <v>DA-003</v>
      </c>
      <c r="F2366" s="23" t="str">
        <f>Contributions_Data!B1075</f>
        <v>DA-003-M0090</v>
      </c>
      <c r="G2366" s="24">
        <f>Contributions_Data!C1075</f>
        <v>45652</v>
      </c>
      <c r="H2366" s="27">
        <f>Contributions_Data!D1075</f>
        <v>15063.81</v>
      </c>
      <c r="I2366" s="27">
        <v>0</v>
      </c>
    </row>
    <row r="2367" spans="3:9">
      <c r="C2367" s="23">
        <v>1160</v>
      </c>
      <c r="D2367" s="23" t="s">
        <v>134</v>
      </c>
      <c r="E2367" s="23" t="str">
        <f>Withdrawals_Data!A43</f>
        <v>DA-001</v>
      </c>
      <c r="F2367" s="23" t="str">
        <f>Withdrawals_Data!B43</f>
        <v>DA-001-M0065</v>
      </c>
      <c r="G2367" s="24">
        <f>Withdrawals_Data!C43</f>
        <v>45652</v>
      </c>
      <c r="H2367" s="27">
        <v>0</v>
      </c>
      <c r="I2367" s="27">
        <f>-Withdrawals_Data!D43</f>
        <v>-12690.92</v>
      </c>
    </row>
    <row r="2368" spans="3:9">
      <c r="C2368" s="23">
        <v>1161</v>
      </c>
      <c r="D2368" s="23" t="s">
        <v>134</v>
      </c>
      <c r="E2368" s="23" t="str">
        <f>Withdrawals_Data!A150</f>
        <v>DA-003</v>
      </c>
      <c r="F2368" s="23" t="str">
        <f>Withdrawals_Data!B150</f>
        <v>DA-003-M0082</v>
      </c>
      <c r="G2368" s="24">
        <f>Withdrawals_Data!C150</f>
        <v>45652</v>
      </c>
      <c r="H2368" s="27">
        <v>0</v>
      </c>
      <c r="I2368" s="27">
        <f>-Withdrawals_Data!D150</f>
        <v>-8594.67</v>
      </c>
    </row>
    <row r="2369" spans="3:9">
      <c r="C2369" s="23">
        <v>1162</v>
      </c>
      <c r="D2369" s="23" t="s">
        <v>134</v>
      </c>
      <c r="E2369" s="23" t="str">
        <f>Withdrawals_Data!A433</f>
        <v>DA-003</v>
      </c>
      <c r="F2369" s="23" t="str">
        <f>Withdrawals_Data!B433</f>
        <v>DA-003-M0013</v>
      </c>
      <c r="G2369" s="24">
        <f>Withdrawals_Data!C433</f>
        <v>45652</v>
      </c>
      <c r="H2369" s="27">
        <v>0</v>
      </c>
      <c r="I2369" s="27">
        <f>-Withdrawals_Data!D433</f>
        <v>-12737</v>
      </c>
    </row>
    <row r="2370" spans="3:9">
      <c r="C2370" s="23">
        <v>1163</v>
      </c>
      <c r="D2370" s="23" t="s">
        <v>132</v>
      </c>
      <c r="E2370" s="23" t="str">
        <f>Contributions_Data!A1056</f>
        <v>DA-002</v>
      </c>
      <c r="F2370" s="23" t="str">
        <f>Contributions_Data!B1056</f>
        <v>DA-002-M0088</v>
      </c>
      <c r="G2370" s="24">
        <f>Contributions_Data!C1056</f>
        <v>45653</v>
      </c>
      <c r="H2370" s="27">
        <f>Contributions_Data!D1056</f>
        <v>11865.57</v>
      </c>
      <c r="I2370" s="27">
        <v>0</v>
      </c>
    </row>
    <row r="2371" spans="3:9">
      <c r="C2371" s="23">
        <v>1164</v>
      </c>
      <c r="D2371" s="23" t="s">
        <v>134</v>
      </c>
      <c r="E2371" s="23" t="str">
        <f>Withdrawals_Data!A333</f>
        <v>DA-001</v>
      </c>
      <c r="F2371" s="23" t="str">
        <f>Withdrawals_Data!B333</f>
        <v>DA-001-M0092</v>
      </c>
      <c r="G2371" s="24">
        <f>Withdrawals_Data!C333</f>
        <v>45653</v>
      </c>
      <c r="H2371" s="27">
        <v>0</v>
      </c>
      <c r="I2371" s="27">
        <f>-Withdrawals_Data!D333</f>
        <v>-956.76</v>
      </c>
    </row>
    <row r="2372" spans="3:9">
      <c r="C2372" s="23">
        <v>1165</v>
      </c>
      <c r="D2372" s="23" t="s">
        <v>132</v>
      </c>
      <c r="E2372" s="23" t="str">
        <f>Contributions_Data!A710</f>
        <v>DA-002</v>
      </c>
      <c r="F2372" s="23" t="str">
        <f>Contributions_Data!B710</f>
        <v>DA-002-M0060</v>
      </c>
      <c r="G2372" s="24">
        <f>Contributions_Data!C710</f>
        <v>45654</v>
      </c>
      <c r="H2372" s="27">
        <f>Contributions_Data!D710</f>
        <v>14856.87</v>
      </c>
      <c r="I2372" s="27">
        <v>0</v>
      </c>
    </row>
    <row r="2373" spans="3:9">
      <c r="C2373" s="23">
        <v>1166</v>
      </c>
      <c r="D2373" s="23" t="s">
        <v>134</v>
      </c>
      <c r="E2373" s="23" t="str">
        <f>Withdrawals_Data!A56</f>
        <v>DA-001</v>
      </c>
      <c r="F2373" s="23" t="str">
        <f>Withdrawals_Data!B56</f>
        <v>DA-001-M0024</v>
      </c>
      <c r="G2373" s="24">
        <f>Withdrawals_Data!C56</f>
        <v>45654</v>
      </c>
      <c r="H2373" s="27">
        <v>0</v>
      </c>
      <c r="I2373" s="27">
        <f>-Withdrawals_Data!D56</f>
        <v>-11820.57</v>
      </c>
    </row>
    <row r="2374" spans="3:9">
      <c r="C2374" s="23">
        <v>1167</v>
      </c>
      <c r="D2374" s="23" t="s">
        <v>134</v>
      </c>
      <c r="E2374" s="23" t="str">
        <f>Withdrawals_Data!A128</f>
        <v>DA-002</v>
      </c>
      <c r="F2374" s="23" t="str">
        <f>Withdrawals_Data!B128</f>
        <v>DA-002-M0089</v>
      </c>
      <c r="G2374" s="24">
        <f>Withdrawals_Data!C128</f>
        <v>45654</v>
      </c>
      <c r="H2374" s="27">
        <v>0</v>
      </c>
      <c r="I2374" s="27">
        <f>-Withdrawals_Data!D128</f>
        <v>-9130.32</v>
      </c>
    </row>
    <row r="2375" spans="3:9">
      <c r="C2375" s="23">
        <v>1168</v>
      </c>
      <c r="D2375" s="23" t="s">
        <v>134</v>
      </c>
      <c r="E2375" s="23" t="str">
        <f>Withdrawals_Data!A141</f>
        <v>DA-001</v>
      </c>
      <c r="F2375" s="23" t="str">
        <f>Withdrawals_Data!B141</f>
        <v>DA-001-M0055</v>
      </c>
      <c r="G2375" s="24">
        <f>Withdrawals_Data!C141</f>
        <v>45654</v>
      </c>
      <c r="H2375" s="27">
        <v>0</v>
      </c>
      <c r="I2375" s="27">
        <f>-Withdrawals_Data!D141</f>
        <v>-8776.36</v>
      </c>
    </row>
    <row r="2376" spans="3:9">
      <c r="C2376" s="23">
        <v>1169</v>
      </c>
      <c r="D2376" s="23" t="s">
        <v>134</v>
      </c>
      <c r="E2376" s="23" t="str">
        <f>Withdrawals_Data!A275</f>
        <v>DA-002</v>
      </c>
      <c r="F2376" s="23" t="str">
        <f>Withdrawals_Data!B275</f>
        <v>DA-002-M0020</v>
      </c>
      <c r="G2376" s="24">
        <f>Withdrawals_Data!C275</f>
        <v>45654</v>
      </c>
      <c r="H2376" s="27">
        <v>0</v>
      </c>
      <c r="I2376" s="27">
        <f>-Withdrawals_Data!D275</f>
        <v>-4406.34</v>
      </c>
    </row>
    <row r="2377" spans="3:9">
      <c r="C2377" s="23">
        <v>1170</v>
      </c>
      <c r="D2377" s="23" t="s">
        <v>134</v>
      </c>
      <c r="E2377" s="23" t="str">
        <f>Withdrawals_Data!A296</f>
        <v>DA-002</v>
      </c>
      <c r="F2377" s="23" t="str">
        <f>Withdrawals_Data!B296</f>
        <v>DA-002-M0050</v>
      </c>
      <c r="G2377" s="24">
        <f>Withdrawals_Data!C296</f>
        <v>45654</v>
      </c>
      <c r="H2377" s="27">
        <v>0</v>
      </c>
      <c r="I2377" s="27">
        <f>-Withdrawals_Data!D296</f>
        <v>-3509.11</v>
      </c>
    </row>
    <row r="2378" spans="3:9">
      <c r="C2378" s="23">
        <v>1171</v>
      </c>
      <c r="D2378" s="23" t="s">
        <v>134</v>
      </c>
      <c r="E2378" s="23" t="str">
        <f>Withdrawals_Data!A549</f>
        <v>DA-002</v>
      </c>
      <c r="F2378" s="23" t="str">
        <f>Withdrawals_Data!B549</f>
        <v>DA-002-M0026</v>
      </c>
      <c r="G2378" s="24">
        <f>Withdrawals_Data!C549</f>
        <v>45654</v>
      </c>
      <c r="H2378" s="27">
        <v>0</v>
      </c>
      <c r="I2378" s="27">
        <f>-Withdrawals_Data!D549</f>
        <v>-8990</v>
      </c>
    </row>
    <row r="2379" spans="3:9">
      <c r="C2379" s="23">
        <v>1172</v>
      </c>
      <c r="D2379" s="23" t="s">
        <v>132</v>
      </c>
      <c r="E2379" s="23" t="str">
        <f>Contributions_Data!A52</f>
        <v>DA-003</v>
      </c>
      <c r="F2379" s="23" t="str">
        <f>Contributions_Data!B52</f>
        <v>DA-003-M0005</v>
      </c>
      <c r="G2379" s="24">
        <f>Contributions_Data!C52</f>
        <v>45655</v>
      </c>
      <c r="H2379" s="27">
        <f>Contributions_Data!D52</f>
        <v>10177.549999999999</v>
      </c>
      <c r="I2379" s="27">
        <v>0</v>
      </c>
    </row>
    <row r="2380" spans="3:9">
      <c r="C2380" s="23">
        <v>1173</v>
      </c>
      <c r="D2380" s="23" t="s">
        <v>132</v>
      </c>
      <c r="E2380" s="23" t="str">
        <f>Contributions_Data!A79</f>
        <v>DA-003</v>
      </c>
      <c r="F2380" s="23" t="str">
        <f>Contributions_Data!B79</f>
        <v>DA-003-M0007</v>
      </c>
      <c r="G2380" s="24">
        <f>Contributions_Data!C79</f>
        <v>45655</v>
      </c>
      <c r="H2380" s="27">
        <f>Contributions_Data!D79</f>
        <v>23160.51</v>
      </c>
      <c r="I2380" s="27">
        <v>0</v>
      </c>
    </row>
    <row r="2381" spans="3:9">
      <c r="C2381" s="23">
        <v>1174</v>
      </c>
      <c r="D2381" s="23" t="s">
        <v>132</v>
      </c>
      <c r="E2381" s="23" t="str">
        <f>Contributions_Data!A199</f>
        <v>DA-002</v>
      </c>
      <c r="F2381" s="23" t="str">
        <f>Contributions_Data!B199</f>
        <v>DA-002-M0017</v>
      </c>
      <c r="G2381" s="24">
        <f>Contributions_Data!C199</f>
        <v>45655</v>
      </c>
      <c r="H2381" s="27">
        <f>Contributions_Data!D199</f>
        <v>15731.06</v>
      </c>
      <c r="I2381" s="27">
        <v>0</v>
      </c>
    </row>
    <row r="2382" spans="3:9">
      <c r="C2382" s="23">
        <v>1175</v>
      </c>
      <c r="D2382" s="23" t="s">
        <v>134</v>
      </c>
      <c r="E2382" s="23" t="str">
        <f>Withdrawals_Data!A156</f>
        <v>DA-003</v>
      </c>
      <c r="F2382" s="23" t="str">
        <f>Withdrawals_Data!B156</f>
        <v>DA-003-M0045</v>
      </c>
      <c r="G2382" s="24">
        <f>Withdrawals_Data!C156</f>
        <v>45655</v>
      </c>
      <c r="H2382" s="27">
        <v>0</v>
      </c>
      <c r="I2382" s="27">
        <f>-Withdrawals_Data!D156</f>
        <v>-8488.0400000000009</v>
      </c>
    </row>
    <row r="2383" spans="3:9">
      <c r="C2383" s="23">
        <v>1176</v>
      </c>
      <c r="D2383" s="23" t="s">
        <v>134</v>
      </c>
      <c r="E2383" s="23" t="str">
        <f>Withdrawals_Data!A371</f>
        <v>DA-003</v>
      </c>
      <c r="F2383" s="23" t="str">
        <f>Withdrawals_Data!B371</f>
        <v>DA-003-M0005</v>
      </c>
      <c r="G2383" s="24">
        <f>Withdrawals_Data!C371</f>
        <v>45655</v>
      </c>
      <c r="H2383" s="27">
        <v>0</v>
      </c>
      <c r="I2383" s="27">
        <f>-Withdrawals_Data!D371</f>
        <v>-19397</v>
      </c>
    </row>
    <row r="2384" spans="3:9">
      <c r="C2384" s="23">
        <v>1177</v>
      </c>
      <c r="D2384" s="23" t="s">
        <v>134</v>
      </c>
      <c r="E2384" s="23" t="str">
        <f>Withdrawals_Data!A780</f>
        <v>DA-003</v>
      </c>
      <c r="F2384" s="23" t="str">
        <f>Withdrawals_Data!B780</f>
        <v>DA-003-M0052</v>
      </c>
      <c r="G2384" s="24">
        <f>Withdrawals_Data!C780</f>
        <v>45655</v>
      </c>
      <c r="H2384" s="27">
        <v>0</v>
      </c>
      <c r="I2384" s="27">
        <f>-Withdrawals_Data!D780</f>
        <v>-9822</v>
      </c>
    </row>
    <row r="2385" spans="3:9">
      <c r="C2385" s="23">
        <v>1178</v>
      </c>
      <c r="D2385" s="23" t="s">
        <v>134</v>
      </c>
      <c r="E2385" s="23" t="str">
        <f>Withdrawals_Data!A1073</f>
        <v>DA-002</v>
      </c>
      <c r="F2385" s="23" t="str">
        <f>Withdrawals_Data!B1073</f>
        <v>DA-002-M0085</v>
      </c>
      <c r="G2385" s="24">
        <f>Withdrawals_Data!C1073</f>
        <v>45655</v>
      </c>
      <c r="H2385" s="27">
        <v>0</v>
      </c>
      <c r="I2385" s="27">
        <f>-Withdrawals_Data!D1073</f>
        <v>-20673</v>
      </c>
    </row>
    <row r="2386" spans="3:9">
      <c r="C2386" s="23">
        <v>1179</v>
      </c>
      <c r="D2386" s="23" t="s">
        <v>132</v>
      </c>
      <c r="E2386" s="23" t="str">
        <f>Contributions_Data!A89</f>
        <v>DA-003</v>
      </c>
      <c r="F2386" s="23" t="str">
        <f>Contributions_Data!B89</f>
        <v>DA-003-M0008</v>
      </c>
      <c r="G2386" s="24">
        <f>Contributions_Data!C89</f>
        <v>45656</v>
      </c>
      <c r="H2386" s="27">
        <f>Contributions_Data!D89</f>
        <v>15642.28</v>
      </c>
      <c r="I2386" s="27">
        <v>0</v>
      </c>
    </row>
    <row r="2387" spans="3:9">
      <c r="C2387" s="23">
        <v>1180</v>
      </c>
      <c r="D2387" s="23" t="s">
        <v>132</v>
      </c>
      <c r="E2387" s="23" t="str">
        <f>Contributions_Data!A107</f>
        <v>DA-001</v>
      </c>
      <c r="F2387" s="23" t="str">
        <f>Contributions_Data!B107</f>
        <v>DA-001-M0009</v>
      </c>
      <c r="G2387" s="24">
        <f>Contributions_Data!C107</f>
        <v>45656</v>
      </c>
      <c r="H2387" s="27">
        <f>Contributions_Data!D107</f>
        <v>13543.91</v>
      </c>
      <c r="I2387" s="27">
        <v>0</v>
      </c>
    </row>
    <row r="2388" spans="3:9">
      <c r="C2388" s="23">
        <v>1181</v>
      </c>
      <c r="D2388" s="23" t="s">
        <v>132</v>
      </c>
      <c r="E2388" s="23" t="str">
        <f>Contributions_Data!A274</f>
        <v>DA-002</v>
      </c>
      <c r="F2388" s="23" t="str">
        <f>Contributions_Data!B274</f>
        <v>DA-002-M0023</v>
      </c>
      <c r="G2388" s="24">
        <f>Contributions_Data!C274</f>
        <v>45656</v>
      </c>
      <c r="H2388" s="27">
        <f>Contributions_Data!D274</f>
        <v>17152.63</v>
      </c>
      <c r="I2388" s="27">
        <v>0</v>
      </c>
    </row>
    <row r="2389" spans="3:9">
      <c r="C2389" s="23">
        <v>1182</v>
      </c>
      <c r="D2389" s="23" t="s">
        <v>132</v>
      </c>
      <c r="E2389" s="23" t="str">
        <f>Contributions_Data!A346</f>
        <v>DA-003</v>
      </c>
      <c r="F2389" s="23" t="str">
        <f>Contributions_Data!B346</f>
        <v>DA-003-M0029</v>
      </c>
      <c r="G2389" s="24">
        <f>Contributions_Data!C346</f>
        <v>45656</v>
      </c>
      <c r="H2389" s="27">
        <f>Contributions_Data!D346</f>
        <v>10117.370000000001</v>
      </c>
      <c r="I2389" s="27">
        <v>0</v>
      </c>
    </row>
    <row r="2390" spans="3:9">
      <c r="C2390" s="23">
        <v>1183</v>
      </c>
      <c r="D2390" s="23" t="s">
        <v>132</v>
      </c>
      <c r="E2390" s="23" t="str">
        <f>Contributions_Data!A415</f>
        <v>DA-001</v>
      </c>
      <c r="F2390" s="23" t="str">
        <f>Contributions_Data!B415</f>
        <v>DA-001-M0035</v>
      </c>
      <c r="G2390" s="24">
        <f>Contributions_Data!C415</f>
        <v>45656</v>
      </c>
      <c r="H2390" s="27">
        <f>Contributions_Data!D415</f>
        <v>15839.91</v>
      </c>
      <c r="I2390" s="27">
        <v>0</v>
      </c>
    </row>
    <row r="2391" spans="3:9">
      <c r="C2391" s="23">
        <v>1184</v>
      </c>
      <c r="D2391" s="23" t="s">
        <v>132</v>
      </c>
      <c r="E2391" s="23" t="str">
        <f>Contributions_Data!A506</f>
        <v>DA-001</v>
      </c>
      <c r="F2391" s="23" t="str">
        <f>Contributions_Data!B506</f>
        <v>DA-001-M0043</v>
      </c>
      <c r="G2391" s="24">
        <f>Contributions_Data!C506</f>
        <v>45656</v>
      </c>
      <c r="H2391" s="27">
        <f>Contributions_Data!D506</f>
        <v>13380.72</v>
      </c>
      <c r="I2391" s="27">
        <v>0</v>
      </c>
    </row>
    <row r="2392" spans="3:9">
      <c r="C2392" s="23">
        <v>1185</v>
      </c>
      <c r="D2392" s="23" t="s">
        <v>132</v>
      </c>
      <c r="E2392" s="23" t="str">
        <f>Contributions_Data!A667</f>
        <v>DA-001</v>
      </c>
      <c r="F2392" s="23" t="str">
        <f>Contributions_Data!B667</f>
        <v>DA-001-M0056</v>
      </c>
      <c r="G2392" s="24">
        <f>Contributions_Data!C667</f>
        <v>45656</v>
      </c>
      <c r="H2392" s="27">
        <f>Contributions_Data!D667</f>
        <v>8403.58</v>
      </c>
      <c r="I2392" s="27">
        <v>0</v>
      </c>
    </row>
    <row r="2393" spans="3:9">
      <c r="C2393" s="23">
        <v>1186</v>
      </c>
      <c r="D2393" s="23" t="s">
        <v>132</v>
      </c>
      <c r="E2393" s="23" t="str">
        <f>Contributions_Data!A790</f>
        <v>DA-003</v>
      </c>
      <c r="F2393" s="23" t="str">
        <f>Contributions_Data!B790</f>
        <v>DA-003-M0066</v>
      </c>
      <c r="G2393" s="24">
        <f>Contributions_Data!C790</f>
        <v>45656</v>
      </c>
      <c r="H2393" s="27">
        <f>Contributions_Data!D790</f>
        <v>16145.81</v>
      </c>
      <c r="I2393" s="27">
        <v>0</v>
      </c>
    </row>
    <row r="2394" spans="3:9">
      <c r="C2394" s="23">
        <v>1187</v>
      </c>
      <c r="D2394" s="23" t="s">
        <v>132</v>
      </c>
      <c r="E2394" s="23" t="str">
        <f>Contributions_Data!A813</f>
        <v>DA-003</v>
      </c>
      <c r="F2394" s="23" t="str">
        <f>Contributions_Data!B813</f>
        <v>DA-003-M0068</v>
      </c>
      <c r="G2394" s="24">
        <f>Contributions_Data!C813</f>
        <v>45656</v>
      </c>
      <c r="H2394" s="27">
        <f>Contributions_Data!D813</f>
        <v>15603.3</v>
      </c>
      <c r="I2394" s="27">
        <v>0</v>
      </c>
    </row>
    <row r="2395" spans="3:9">
      <c r="C2395" s="23">
        <v>1188</v>
      </c>
      <c r="D2395" s="23" t="s">
        <v>132</v>
      </c>
      <c r="E2395" s="23" t="str">
        <f>Contributions_Data!A843</f>
        <v>DA-001</v>
      </c>
      <c r="F2395" s="23" t="str">
        <f>Contributions_Data!B843</f>
        <v>DA-001-M0071</v>
      </c>
      <c r="G2395" s="24">
        <f>Contributions_Data!C843</f>
        <v>45656</v>
      </c>
      <c r="H2395" s="27">
        <f>Contributions_Data!D843</f>
        <v>12935.55</v>
      </c>
      <c r="I2395" s="27">
        <v>0</v>
      </c>
    </row>
    <row r="2396" spans="3:9">
      <c r="C2396" s="23">
        <v>1189</v>
      </c>
      <c r="D2396" s="23" t="s">
        <v>134</v>
      </c>
      <c r="E2396" s="23" t="str">
        <f>Withdrawals_Data!A655</f>
        <v>DA-001</v>
      </c>
      <c r="F2396" s="23" t="str">
        <f>Withdrawals_Data!B655</f>
        <v>DA-001-M0038</v>
      </c>
      <c r="G2396" s="24">
        <f>Withdrawals_Data!C655</f>
        <v>45656</v>
      </c>
      <c r="H2396" s="27">
        <v>0</v>
      </c>
      <c r="I2396" s="27">
        <f>-Withdrawals_Data!D655</f>
        <v>-11387</v>
      </c>
    </row>
    <row r="2397" spans="3:9">
      <c r="C2397" s="23">
        <v>1190</v>
      </c>
      <c r="D2397" s="23" t="s">
        <v>134</v>
      </c>
      <c r="E2397" s="23" t="str">
        <f>Withdrawals_Data!A778</f>
        <v>DA-003</v>
      </c>
      <c r="F2397" s="23" t="str">
        <f>Withdrawals_Data!B778</f>
        <v>DA-003-M0052</v>
      </c>
      <c r="G2397" s="24">
        <f>Withdrawals_Data!C778</f>
        <v>45656</v>
      </c>
      <c r="H2397" s="27">
        <v>0</v>
      </c>
      <c r="I2397" s="27">
        <f>-Withdrawals_Data!D778</f>
        <v>-17231</v>
      </c>
    </row>
    <row r="2398" spans="3:9">
      <c r="C2398" s="23">
        <v>1191</v>
      </c>
      <c r="D2398" s="23" t="s">
        <v>132</v>
      </c>
      <c r="E2398" s="23" t="str">
        <f>Contributions_Data!A47</f>
        <v>DA-001</v>
      </c>
      <c r="F2398" s="23" t="str">
        <f>Contributions_Data!B47</f>
        <v>DA-001-M0004</v>
      </c>
      <c r="G2398" s="24">
        <f>Contributions_Data!C47</f>
        <v>45657</v>
      </c>
      <c r="H2398" s="27">
        <f>Contributions_Data!D47</f>
        <v>19649.8</v>
      </c>
      <c r="I2398" s="27">
        <v>0</v>
      </c>
    </row>
    <row r="2399" spans="3:9">
      <c r="C2399" s="23">
        <v>1192</v>
      </c>
      <c r="D2399" s="23" t="s">
        <v>132</v>
      </c>
      <c r="E2399" s="23" t="str">
        <f>Contributions_Data!A110</f>
        <v>DA-001</v>
      </c>
      <c r="F2399" s="23" t="str">
        <f>Contributions_Data!B110</f>
        <v>DA-001-M0010</v>
      </c>
      <c r="G2399" s="24">
        <f>Contributions_Data!C110</f>
        <v>45657</v>
      </c>
      <c r="H2399" s="27">
        <f>Contributions_Data!D110</f>
        <v>17058.78</v>
      </c>
      <c r="I2399" s="27">
        <v>0</v>
      </c>
    </row>
    <row r="2400" spans="3:9">
      <c r="C2400" s="23">
        <v>1193</v>
      </c>
      <c r="D2400" s="23" t="s">
        <v>132</v>
      </c>
      <c r="E2400" s="23" t="str">
        <f>Contributions_Data!A120</f>
        <v>DA-001</v>
      </c>
      <c r="F2400" s="23" t="str">
        <f>Contributions_Data!B120</f>
        <v>DA-001-M0010</v>
      </c>
      <c r="G2400" s="24">
        <f>Contributions_Data!C120</f>
        <v>45657</v>
      </c>
      <c r="H2400" s="27">
        <f>Contributions_Data!D120</f>
        <v>16901.759999999998</v>
      </c>
      <c r="I2400" s="27">
        <v>0</v>
      </c>
    </row>
    <row r="2401" spans="3:9">
      <c r="C2401" s="23">
        <v>1194</v>
      </c>
      <c r="D2401" s="23" t="s">
        <v>132</v>
      </c>
      <c r="E2401" s="23" t="str">
        <f>Contributions_Data!A387</f>
        <v>DA-002</v>
      </c>
      <c r="F2401" s="23" t="str">
        <f>Contributions_Data!B387</f>
        <v>DA-002-M0033</v>
      </c>
      <c r="G2401" s="24">
        <f>Contributions_Data!C387</f>
        <v>45657</v>
      </c>
      <c r="H2401" s="27">
        <f>Contributions_Data!D387</f>
        <v>10564.24</v>
      </c>
      <c r="I2401" s="27">
        <v>0</v>
      </c>
    </row>
    <row r="2402" spans="3:9">
      <c r="C2402" s="23">
        <v>1195</v>
      </c>
      <c r="D2402" s="23" t="s">
        <v>132</v>
      </c>
      <c r="E2402" s="23" t="str">
        <f>Contributions_Data!A404</f>
        <v>DA-001</v>
      </c>
      <c r="F2402" s="23" t="str">
        <f>Contributions_Data!B404</f>
        <v>DA-001-M0034</v>
      </c>
      <c r="G2402" s="24">
        <f>Contributions_Data!C404</f>
        <v>45657</v>
      </c>
      <c r="H2402" s="27">
        <f>Contributions_Data!D404</f>
        <v>16131.9</v>
      </c>
      <c r="I2402" s="27">
        <v>0</v>
      </c>
    </row>
    <row r="2403" spans="3:9">
      <c r="C2403" s="23">
        <v>1196</v>
      </c>
      <c r="D2403" s="23" t="s">
        <v>132</v>
      </c>
      <c r="E2403" s="23" t="str">
        <f>Contributions_Data!A607</f>
        <v>DA-002</v>
      </c>
      <c r="F2403" s="23" t="str">
        <f>Contributions_Data!B607</f>
        <v>DA-002-M0051</v>
      </c>
      <c r="G2403" s="24">
        <f>Contributions_Data!C607</f>
        <v>45657</v>
      </c>
      <c r="H2403" s="27">
        <f>Contributions_Data!D607</f>
        <v>13287.76</v>
      </c>
      <c r="I2403" s="27">
        <v>0</v>
      </c>
    </row>
    <row r="2404" spans="3:9">
      <c r="C2404" s="23">
        <v>1197</v>
      </c>
      <c r="D2404" s="23" t="s">
        <v>132</v>
      </c>
      <c r="E2404" s="23" t="str">
        <f>Contributions_Data!A651</f>
        <v>DA-001</v>
      </c>
      <c r="F2404" s="23" t="str">
        <f>Contributions_Data!B651</f>
        <v>DA-001-M0055</v>
      </c>
      <c r="G2404" s="24">
        <f>Contributions_Data!C651</f>
        <v>45657</v>
      </c>
      <c r="H2404" s="27">
        <f>Contributions_Data!D651</f>
        <v>15657.45</v>
      </c>
      <c r="I2404" s="27">
        <v>0</v>
      </c>
    </row>
    <row r="2405" spans="3:9">
      <c r="C2405" s="23">
        <v>1198</v>
      </c>
      <c r="D2405" s="23" t="s">
        <v>132</v>
      </c>
      <c r="E2405" s="23" t="str">
        <f>Contributions_Data!A1200</f>
        <v>DA-003</v>
      </c>
      <c r="F2405" s="23" t="str">
        <f>Contributions_Data!B1200</f>
        <v>DA-003-M0100</v>
      </c>
      <c r="G2405" s="24">
        <f>Contributions_Data!C1200</f>
        <v>45657</v>
      </c>
      <c r="H2405" s="27">
        <f>Contributions_Data!D1200</f>
        <v>17649.330000000002</v>
      </c>
      <c r="I2405" s="27">
        <v>0</v>
      </c>
    </row>
    <row r="2406" spans="3:9">
      <c r="C2406" s="23">
        <v>1199</v>
      </c>
      <c r="D2406" s="23" t="s">
        <v>134</v>
      </c>
      <c r="E2406" s="23" t="str">
        <f>Withdrawals_Data!A181</f>
        <v>DA-002</v>
      </c>
      <c r="F2406" s="23" t="str">
        <f>Withdrawals_Data!B181</f>
        <v>DA-002-M0018</v>
      </c>
      <c r="G2406" s="24">
        <f>Withdrawals_Data!C181</f>
        <v>45657</v>
      </c>
      <c r="H2406" s="27">
        <v>0</v>
      </c>
      <c r="I2406" s="27">
        <f>-Withdrawals_Data!D181</f>
        <v>-7925.95</v>
      </c>
    </row>
    <row r="2407" spans="3:9">
      <c r="C2407" s="23">
        <v>1200</v>
      </c>
      <c r="D2407" s="23" t="s">
        <v>134</v>
      </c>
      <c r="E2407" s="23" t="str">
        <f>Withdrawals_Data!A262</f>
        <v>DA-002</v>
      </c>
      <c r="F2407" s="23" t="str">
        <f>Withdrawals_Data!B262</f>
        <v>DA-002-M0097</v>
      </c>
      <c r="G2407" s="24">
        <f>Withdrawals_Data!C262</f>
        <v>45657</v>
      </c>
      <c r="H2407" s="27">
        <v>0</v>
      </c>
      <c r="I2407" s="27">
        <f>-Withdrawals_Data!D262</f>
        <v>-5011.1499999999996</v>
      </c>
    </row>
  </sheetData>
  <autoFilter ref="D7:I7" xr:uid="{E3813443-B809-4469-BF73-E173344EC29D}">
    <sortState xmlns:xlrd2="http://schemas.microsoft.com/office/spreadsheetml/2017/richdata2" ref="D8:I2407">
      <sortCondition ref="G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E081-55C3-4678-8E9E-D70CC88E266E}">
  <sheetPr>
    <tabColor rgb="FF7030A0"/>
  </sheetPr>
  <dimension ref="B1:M2419"/>
  <sheetViews>
    <sheetView showGridLines="0" tabSelected="1" topLeftCell="A6" workbookViewId="0">
      <selection activeCell="E8" sqref="D8:E8"/>
    </sheetView>
  </sheetViews>
  <sheetFormatPr defaultRowHeight="14.25"/>
  <cols>
    <col min="2" max="2" width="29.42578125" bestFit="1" customWidth="1"/>
    <col min="3" max="3" width="19.85546875" customWidth="1"/>
    <col min="4" max="4" width="9.85546875" bestFit="1" customWidth="1"/>
    <col min="5" max="5" width="15.42578125" customWidth="1"/>
    <col min="6" max="12" width="13.5703125" customWidth="1"/>
  </cols>
  <sheetData>
    <row r="1" spans="2:13" ht="15">
      <c r="B1" s="30"/>
      <c r="C1" s="33"/>
      <c r="D1" s="30"/>
      <c r="M1" s="30"/>
    </row>
    <row r="2" spans="2:13" ht="15">
      <c r="B2" s="32" t="s">
        <v>6</v>
      </c>
      <c r="C2" s="88">
        <f>Intro!E12</f>
        <v>45657</v>
      </c>
      <c r="D2" s="30"/>
      <c r="M2" s="30"/>
    </row>
    <row r="3" spans="2:13" ht="15">
      <c r="B3" s="32" t="s">
        <v>135</v>
      </c>
      <c r="C3" s="34">
        <v>0.02</v>
      </c>
      <c r="D3" s="30"/>
      <c r="M3" s="30"/>
    </row>
    <row r="4" spans="2:13" ht="15">
      <c r="B4" s="31" t="s">
        <v>136</v>
      </c>
      <c r="C4" s="37">
        <v>0</v>
      </c>
      <c r="D4" s="30"/>
      <c r="M4" s="30"/>
    </row>
    <row r="5" spans="2:13" ht="15">
      <c r="B5" s="32" t="s">
        <v>137</v>
      </c>
      <c r="C5" s="38">
        <f>LN(1+i)</f>
        <v>0</v>
      </c>
      <c r="D5" s="30"/>
      <c r="M5" s="30"/>
    </row>
    <row r="6" spans="2:13" ht="15">
      <c r="B6" s="32" t="s">
        <v>138</v>
      </c>
      <c r="C6" s="38" cm="1">
        <f t="array" ref="C6">(1+i)^(1/365)-1</f>
        <v>0</v>
      </c>
      <c r="D6" s="30"/>
      <c r="M6" s="30"/>
    </row>
    <row r="7" spans="2:13" ht="15">
      <c r="B7" s="32" t="s">
        <v>139</v>
      </c>
      <c r="C7" s="39">
        <f>(1+$C$3)^(1/365)-1</f>
        <v>5.4255245176770828E-5</v>
      </c>
      <c r="D7" s="30"/>
      <c r="M7" s="30"/>
    </row>
    <row r="8" spans="2:13" ht="15">
      <c r="B8" s="32"/>
      <c r="C8" s="39"/>
      <c r="D8" s="30"/>
      <c r="M8" s="30"/>
    </row>
    <row r="9" spans="2:13" ht="15">
      <c r="B9" s="60" t="s">
        <v>140</v>
      </c>
      <c r="C9" s="38"/>
      <c r="D9" s="30"/>
      <c r="M9" s="36"/>
    </row>
    <row r="10" spans="2:13" ht="15">
      <c r="B10" s="31" t="s">
        <v>141</v>
      </c>
      <c r="C10" s="38" t="s">
        <v>142</v>
      </c>
      <c r="D10" s="30"/>
      <c r="E10" s="30"/>
      <c r="F10" s="30"/>
      <c r="G10" s="30"/>
      <c r="H10" s="30"/>
      <c r="I10" s="30"/>
      <c r="J10" s="30"/>
      <c r="K10" s="30"/>
      <c r="L10" s="30"/>
      <c r="M10" s="36"/>
    </row>
    <row r="11" spans="2:13" ht="15">
      <c r="B11" s="31" t="s">
        <v>143</v>
      </c>
      <c r="C11" s="40">
        <v>10</v>
      </c>
      <c r="D11" s="30"/>
    </row>
    <row r="12" spans="2:13" ht="15">
      <c r="B12" s="31"/>
      <c r="C12" s="40"/>
      <c r="D12" s="30"/>
    </row>
    <row r="13" spans="2:13" ht="15">
      <c r="B13" s="31" t="s">
        <v>144</v>
      </c>
      <c r="C13" s="80">
        <v>20502306</v>
      </c>
      <c r="D13" s="30"/>
    </row>
    <row r="14" spans="2:13" ht="15">
      <c r="B14" s="31" t="s">
        <v>145</v>
      </c>
      <c r="C14" s="80">
        <f>K2419</f>
        <v>23062009.307492599</v>
      </c>
      <c r="D14" s="30"/>
    </row>
    <row r="15" spans="2:13" ht="15">
      <c r="B15" s="31"/>
      <c r="C15" s="40"/>
      <c r="D15" s="30"/>
      <c r="F15" s="87" t="b">
        <f>F16=SUM(Contributions_Data!D2:D1048576)</f>
        <v>1</v>
      </c>
      <c r="G15" s="87" t="b">
        <f>G16=-SUM(Withdrawals_Data!D2:D1048576)</f>
        <v>1</v>
      </c>
    </row>
    <row r="16" spans="2:13" ht="15">
      <c r="B16" s="30"/>
      <c r="C16" s="41"/>
      <c r="D16" s="30"/>
      <c r="F16" s="86">
        <f>SUM(F19:F1048576)</f>
        <v>18202582.589999996</v>
      </c>
      <c r="G16" s="86">
        <f>SUM(G19:G1048576)</f>
        <v>-12363024.389999991</v>
      </c>
    </row>
    <row r="17" spans="2:13" ht="36.4" customHeight="1">
      <c r="B17" s="92" t="s">
        <v>146</v>
      </c>
      <c r="C17" s="92"/>
      <c r="D17" s="92"/>
      <c r="E17" s="92"/>
      <c r="F17" s="92"/>
      <c r="G17" s="92"/>
      <c r="H17" s="92"/>
      <c r="I17" s="92"/>
      <c r="J17" s="92"/>
      <c r="K17" s="92"/>
      <c r="L17" s="42"/>
      <c r="M17" s="30"/>
    </row>
    <row r="18" spans="2:13" ht="27">
      <c r="B18" s="81" t="s">
        <v>147</v>
      </c>
      <c r="C18" s="81" t="s">
        <v>148</v>
      </c>
      <c r="D18" s="81" t="s">
        <v>149</v>
      </c>
      <c r="E18" s="81" t="s">
        <v>150</v>
      </c>
      <c r="F18" s="81" t="s">
        <v>151</v>
      </c>
      <c r="G18" s="62" t="s">
        <v>152</v>
      </c>
      <c r="H18" s="50" t="s">
        <v>153</v>
      </c>
      <c r="I18" s="50" t="s">
        <v>154</v>
      </c>
      <c r="J18" s="50" t="s">
        <v>155</v>
      </c>
      <c r="K18" s="50" t="s">
        <v>156</v>
      </c>
      <c r="L18" s="36"/>
      <c r="M18" s="30"/>
    </row>
    <row r="19" spans="2:13" ht="15">
      <c r="B19" s="82">
        <v>45292</v>
      </c>
      <c r="C19" s="82"/>
      <c r="D19" s="83" t="s">
        <v>157</v>
      </c>
      <c r="E19" s="61">
        <f>C13</f>
        <v>20502306</v>
      </c>
      <c r="F19" s="61"/>
      <c r="G19" s="84"/>
      <c r="H19" s="84"/>
      <c r="I19" s="84"/>
      <c r="J19" s="84"/>
      <c r="K19" s="85">
        <f>E19</f>
        <v>20502306</v>
      </c>
      <c r="L19" s="46"/>
      <c r="M19" s="30"/>
    </row>
    <row r="20" spans="2:13" ht="15">
      <c r="B20" s="43">
        <v>45292</v>
      </c>
      <c r="C20" s="32" t="s">
        <v>25</v>
      </c>
      <c r="D20" s="47" t="s">
        <v>132</v>
      </c>
      <c r="E20" s="36">
        <f>K19</f>
        <v>20502306</v>
      </c>
      <c r="F20" s="54">
        <v>15701.36</v>
      </c>
      <c r="G20" s="35">
        <v>0</v>
      </c>
      <c r="H20" s="35">
        <f>SUM(F20:G20)</f>
        <v>15701.36</v>
      </c>
      <c r="I20" s="35">
        <f t="shared" ref="I20:I83" si="0">(($E20*Daily_Interest)*(_xlfn.DAYS(B20,B19)+1))+((IF(DAY($B19)&gt;Monthly_Cut_off_Date,0,Daily_Interest*H20))*(_xlfn.DAYS(B20,B19)+1))</f>
        <v>0</v>
      </c>
      <c r="J20" s="35">
        <f t="shared" ref="J20:J83" si="1">(($I20+E20)*Daily_Fees_Rate)*((_xlfn.DAYS(B20,B19)+1))</f>
        <v>1112.3576387191797</v>
      </c>
      <c r="K20" s="45">
        <f>E20+H20+I20-J20</f>
        <v>20516895.002361279</v>
      </c>
      <c r="L20" s="46"/>
      <c r="M20" s="30"/>
    </row>
    <row r="21" spans="2:13" ht="15">
      <c r="B21" s="43">
        <v>45292</v>
      </c>
      <c r="C21" s="32" t="s">
        <v>29</v>
      </c>
      <c r="D21" s="47" t="s">
        <v>132</v>
      </c>
      <c r="E21" s="36">
        <f t="shared" ref="E21:E84" si="2">K20</f>
        <v>20516895.002361279</v>
      </c>
      <c r="F21" s="48">
        <v>14320.55</v>
      </c>
      <c r="G21" s="35">
        <v>0</v>
      </c>
      <c r="H21" s="35">
        <f t="shared" ref="H21:H84" si="3">SUM(F21:G21)</f>
        <v>14320.55</v>
      </c>
      <c r="I21" s="35">
        <f t="shared" si="0"/>
        <v>0</v>
      </c>
      <c r="J21" s="35">
        <f t="shared" si="1"/>
        <v>1113.1491686191753</v>
      </c>
      <c r="K21" s="45">
        <f t="shared" ref="K21:K84" si="4">E21+H21+I21-J21</f>
        <v>20530102.403192662</v>
      </c>
      <c r="L21" s="46"/>
      <c r="M21" s="30"/>
    </row>
    <row r="22" spans="2:13" ht="15">
      <c r="B22" s="43">
        <v>45292</v>
      </c>
      <c r="C22" s="32" t="s">
        <v>25</v>
      </c>
      <c r="D22" s="47" t="s">
        <v>134</v>
      </c>
      <c r="E22" s="36">
        <f t="shared" si="2"/>
        <v>20530102.403192662</v>
      </c>
      <c r="F22" s="48">
        <v>0</v>
      </c>
      <c r="G22" s="35">
        <v>-4643</v>
      </c>
      <c r="H22" s="35">
        <f t="shared" si="3"/>
        <v>-4643</v>
      </c>
      <c r="I22" s="35">
        <f t="shared" si="0"/>
        <v>0</v>
      </c>
      <c r="J22" s="35">
        <f t="shared" si="1"/>
        <v>1113.8657393894298</v>
      </c>
      <c r="K22" s="45">
        <f t="shared" si="4"/>
        <v>20524345.537453271</v>
      </c>
      <c r="L22" s="46"/>
      <c r="M22" s="30"/>
    </row>
    <row r="23" spans="2:13" ht="15">
      <c r="B23" s="43">
        <v>45292</v>
      </c>
      <c r="C23" s="32" t="s">
        <v>25</v>
      </c>
      <c r="D23" s="47" t="s">
        <v>134</v>
      </c>
      <c r="E23" s="36">
        <f t="shared" si="2"/>
        <v>20524345.537453271</v>
      </c>
      <c r="F23" s="54">
        <v>0</v>
      </c>
      <c r="G23" s="35">
        <v>-3334</v>
      </c>
      <c r="H23" s="35">
        <f t="shared" si="3"/>
        <v>-3334</v>
      </c>
      <c r="I23" s="35">
        <f t="shared" si="0"/>
        <v>0</v>
      </c>
      <c r="J23" s="35">
        <f t="shared" si="1"/>
        <v>1113.5533992272894</v>
      </c>
      <c r="K23" s="45">
        <f t="shared" si="4"/>
        <v>20519897.984054044</v>
      </c>
      <c r="L23" s="46"/>
      <c r="M23" s="30"/>
    </row>
    <row r="24" spans="2:13" ht="14.65">
      <c r="B24" s="43">
        <v>45293</v>
      </c>
      <c r="C24" s="32" t="s">
        <v>29</v>
      </c>
      <c r="D24" s="47" t="s">
        <v>132</v>
      </c>
      <c r="E24" s="36">
        <f t="shared" si="2"/>
        <v>20519897.984054044</v>
      </c>
      <c r="F24" s="54">
        <v>14390.86</v>
      </c>
      <c r="G24" s="35">
        <v>0</v>
      </c>
      <c r="H24" s="35">
        <f t="shared" si="3"/>
        <v>14390.86</v>
      </c>
      <c r="I24" s="35">
        <f t="shared" si="0"/>
        <v>0</v>
      </c>
      <c r="J24" s="35">
        <f t="shared" si="1"/>
        <v>2226.624192254355</v>
      </c>
      <c r="K24" s="45">
        <f t="shared" si="4"/>
        <v>20532062.219861791</v>
      </c>
      <c r="L24" s="46"/>
      <c r="M24" s="32"/>
    </row>
    <row r="25" spans="2:13" ht="15">
      <c r="B25" s="43">
        <v>45293</v>
      </c>
      <c r="C25" s="32" t="s">
        <v>27</v>
      </c>
      <c r="D25" s="47" t="s">
        <v>132</v>
      </c>
      <c r="E25" s="36">
        <f t="shared" si="2"/>
        <v>20532062.219861791</v>
      </c>
      <c r="F25" s="54">
        <v>18242.34</v>
      </c>
      <c r="G25" s="35">
        <v>0</v>
      </c>
      <c r="H25" s="35">
        <f t="shared" si="3"/>
        <v>18242.34</v>
      </c>
      <c r="I25" s="35">
        <f t="shared" si="0"/>
        <v>0</v>
      </c>
      <c r="J25" s="35">
        <f t="shared" si="1"/>
        <v>1113.9720697233149</v>
      </c>
      <c r="K25" s="45">
        <f t="shared" si="4"/>
        <v>20549190.587792069</v>
      </c>
      <c r="L25" s="46"/>
      <c r="M25" s="30"/>
    </row>
    <row r="26" spans="2:13" ht="15">
      <c r="B26" s="43">
        <v>45293</v>
      </c>
      <c r="C26" s="32" t="s">
        <v>29</v>
      </c>
      <c r="D26" s="47" t="s">
        <v>134</v>
      </c>
      <c r="E26" s="36">
        <f t="shared" si="2"/>
        <v>20549190.587792069</v>
      </c>
      <c r="F26" s="48">
        <v>0</v>
      </c>
      <c r="G26" s="55">
        <v>-6605</v>
      </c>
      <c r="H26" s="35">
        <f t="shared" si="3"/>
        <v>-6605</v>
      </c>
      <c r="I26" s="35">
        <f t="shared" si="0"/>
        <v>0</v>
      </c>
      <c r="J26" s="35">
        <f t="shared" si="1"/>
        <v>1114.9013735248502</v>
      </c>
      <c r="K26" s="45">
        <f t="shared" si="4"/>
        <v>20541470.686418545</v>
      </c>
      <c r="L26" s="46"/>
      <c r="M26" s="30"/>
    </row>
    <row r="27" spans="2:13" ht="15">
      <c r="B27" s="43">
        <v>45294</v>
      </c>
      <c r="C27" s="32" t="s">
        <v>25</v>
      </c>
      <c r="D27" s="47" t="s">
        <v>132</v>
      </c>
      <c r="E27" s="36">
        <f t="shared" si="2"/>
        <v>20541470.686418545</v>
      </c>
      <c r="F27" s="54">
        <v>15030.7</v>
      </c>
      <c r="G27" s="56">
        <v>0</v>
      </c>
      <c r="H27" s="35">
        <f t="shared" si="3"/>
        <v>15030.7</v>
      </c>
      <c r="I27" s="35">
        <f t="shared" si="0"/>
        <v>0</v>
      </c>
      <c r="J27" s="35">
        <f t="shared" si="1"/>
        <v>2228.9650567661783</v>
      </c>
      <c r="K27" s="45">
        <f t="shared" si="4"/>
        <v>20554272.421361778</v>
      </c>
      <c r="L27" s="46"/>
      <c r="M27" s="30"/>
    </row>
    <row r="28" spans="2:13" ht="15">
      <c r="B28" s="43">
        <v>45294</v>
      </c>
      <c r="C28" s="32" t="s">
        <v>29</v>
      </c>
      <c r="D28" s="47" t="s">
        <v>132</v>
      </c>
      <c r="E28" s="36">
        <f t="shared" si="2"/>
        <v>20554272.421361778</v>
      </c>
      <c r="F28" s="54">
        <v>13201.82</v>
      </c>
      <c r="G28" s="35">
        <v>0</v>
      </c>
      <c r="H28" s="35">
        <f t="shared" si="3"/>
        <v>13201.82</v>
      </c>
      <c r="I28" s="35">
        <f t="shared" si="0"/>
        <v>0</v>
      </c>
      <c r="J28" s="35">
        <f t="shared" si="1"/>
        <v>1115.1770896511223</v>
      </c>
      <c r="K28" s="45">
        <f t="shared" si="4"/>
        <v>20566359.064272128</v>
      </c>
      <c r="L28" s="46"/>
      <c r="M28" s="30"/>
    </row>
    <row r="29" spans="2:13" ht="14.65">
      <c r="B29" s="43">
        <v>45294</v>
      </c>
      <c r="C29" s="32" t="s">
        <v>25</v>
      </c>
      <c r="D29" s="47" t="s">
        <v>132</v>
      </c>
      <c r="E29" s="36">
        <f t="shared" si="2"/>
        <v>20566359.064272128</v>
      </c>
      <c r="F29" s="54">
        <v>10543.32</v>
      </c>
      <c r="G29" s="56">
        <v>0</v>
      </c>
      <c r="H29" s="35">
        <f t="shared" si="3"/>
        <v>10543.32</v>
      </c>
      <c r="I29" s="35">
        <f t="shared" si="0"/>
        <v>0</v>
      </c>
      <c r="J29" s="35">
        <f t="shared" si="1"/>
        <v>1115.8328534255875</v>
      </c>
      <c r="K29" s="45">
        <f t="shared" si="4"/>
        <v>20575786.551418703</v>
      </c>
      <c r="L29" s="46"/>
      <c r="M29" s="49"/>
    </row>
    <row r="30" spans="2:13" ht="15">
      <c r="B30" s="43">
        <v>45294</v>
      </c>
      <c r="C30" s="32" t="s">
        <v>25</v>
      </c>
      <c r="D30" s="47" t="s">
        <v>132</v>
      </c>
      <c r="E30" s="36">
        <f t="shared" si="2"/>
        <v>20575786.551418703</v>
      </c>
      <c r="F30" s="48">
        <v>13536.27</v>
      </c>
      <c r="G30" s="55">
        <v>0</v>
      </c>
      <c r="H30" s="35">
        <f t="shared" si="3"/>
        <v>13536.27</v>
      </c>
      <c r="I30" s="35">
        <f t="shared" si="0"/>
        <v>0</v>
      </c>
      <c r="J30" s="35">
        <f t="shared" si="1"/>
        <v>1116.3443440521257</v>
      </c>
      <c r="K30" s="45">
        <f t="shared" si="4"/>
        <v>20588206.477074649</v>
      </c>
      <c r="L30" s="46"/>
      <c r="M30" s="30"/>
    </row>
    <row r="31" spans="2:13" ht="15">
      <c r="B31" s="43">
        <v>45294</v>
      </c>
      <c r="C31" s="32" t="s">
        <v>25</v>
      </c>
      <c r="D31" s="47" t="s">
        <v>132</v>
      </c>
      <c r="E31" s="36">
        <f t="shared" si="2"/>
        <v>20588206.477074649</v>
      </c>
      <c r="F31" s="48">
        <v>16379.92</v>
      </c>
      <c r="G31" s="35">
        <v>0</v>
      </c>
      <c r="H31" s="35">
        <f t="shared" si="3"/>
        <v>16379.92</v>
      </c>
      <c r="I31" s="35">
        <f t="shared" si="0"/>
        <v>0</v>
      </c>
      <c r="J31" s="35">
        <f t="shared" si="1"/>
        <v>1117.0181901636663</v>
      </c>
      <c r="K31" s="45">
        <f t="shared" si="4"/>
        <v>20603469.378884487</v>
      </c>
      <c r="L31" s="46"/>
      <c r="M31" s="30"/>
    </row>
    <row r="32" spans="2:13" ht="15">
      <c r="B32" s="43">
        <v>45294</v>
      </c>
      <c r="C32" s="32" t="s">
        <v>27</v>
      </c>
      <c r="D32" s="47" t="s">
        <v>132</v>
      </c>
      <c r="E32" s="36">
        <f t="shared" si="2"/>
        <v>20603469.378884487</v>
      </c>
      <c r="F32" s="48">
        <v>16399.29</v>
      </c>
      <c r="G32" s="35">
        <v>0</v>
      </c>
      <c r="H32" s="35">
        <f t="shared" si="3"/>
        <v>16399.29</v>
      </c>
      <c r="I32" s="35">
        <f t="shared" si="0"/>
        <v>0</v>
      </c>
      <c r="J32" s="35">
        <f t="shared" si="1"/>
        <v>1117.8462826434679</v>
      </c>
      <c r="K32" s="45">
        <f t="shared" si="4"/>
        <v>20618750.822601844</v>
      </c>
      <c r="L32" s="46"/>
      <c r="M32" s="30"/>
    </row>
    <row r="33" spans="2:13" ht="15">
      <c r="B33" s="43">
        <v>45294</v>
      </c>
      <c r="C33" s="32" t="s">
        <v>25</v>
      </c>
      <c r="D33" s="47" t="s">
        <v>134</v>
      </c>
      <c r="E33" s="36">
        <f t="shared" si="2"/>
        <v>20618750.822601844</v>
      </c>
      <c r="F33" s="44">
        <v>0</v>
      </c>
      <c r="G33" s="35">
        <v>-11874.58</v>
      </c>
      <c r="H33" s="35">
        <f t="shared" si="3"/>
        <v>-11874.58</v>
      </c>
      <c r="I33" s="35">
        <f t="shared" si="0"/>
        <v>0</v>
      </c>
      <c r="J33" s="35">
        <f t="shared" si="1"/>
        <v>1118.6753811190083</v>
      </c>
      <c r="K33" s="45">
        <f t="shared" si="4"/>
        <v>20605757.567220725</v>
      </c>
      <c r="L33" s="46"/>
      <c r="M33" s="30"/>
    </row>
    <row r="34" spans="2:13" ht="15">
      <c r="B34" s="43">
        <v>45294</v>
      </c>
      <c r="C34" s="32" t="s">
        <v>29</v>
      </c>
      <c r="D34" s="47" t="s">
        <v>134</v>
      </c>
      <c r="E34" s="36">
        <f t="shared" si="2"/>
        <v>20605757.567220725</v>
      </c>
      <c r="F34" s="48">
        <v>0</v>
      </c>
      <c r="G34" s="55">
        <v>-9231.2099999999991</v>
      </c>
      <c r="H34" s="35">
        <f t="shared" si="3"/>
        <v>-9231.2099999999991</v>
      </c>
      <c r="I34" s="35">
        <f t="shared" si="0"/>
        <v>0</v>
      </c>
      <c r="J34" s="35">
        <f t="shared" si="1"/>
        <v>1117.9704288626613</v>
      </c>
      <c r="K34" s="45">
        <f t="shared" si="4"/>
        <v>20595408.386791863</v>
      </c>
      <c r="L34" s="46"/>
      <c r="M34" s="30"/>
    </row>
    <row r="35" spans="2:13" ht="15">
      <c r="B35" s="43">
        <v>45294</v>
      </c>
      <c r="C35" s="32" t="s">
        <v>27</v>
      </c>
      <c r="D35" s="47" t="s">
        <v>134</v>
      </c>
      <c r="E35" s="36">
        <f t="shared" si="2"/>
        <v>20595408.386791863</v>
      </c>
      <c r="F35" s="48">
        <v>0</v>
      </c>
      <c r="G35" s="35">
        <v>-8246.7199999999993</v>
      </c>
      <c r="H35" s="35">
        <f t="shared" si="3"/>
        <v>-8246.7199999999993</v>
      </c>
      <c r="I35" s="35">
        <f t="shared" si="0"/>
        <v>0</v>
      </c>
      <c r="J35" s="35">
        <f t="shared" si="1"/>
        <v>1117.4089315411147</v>
      </c>
      <c r="K35" s="45">
        <f t="shared" si="4"/>
        <v>20586044.257860322</v>
      </c>
      <c r="L35" s="46"/>
      <c r="M35" s="30"/>
    </row>
    <row r="36" spans="2:13" ht="15">
      <c r="B36" s="43">
        <v>45294</v>
      </c>
      <c r="C36" s="32" t="s">
        <v>27</v>
      </c>
      <c r="D36" s="47" t="s">
        <v>134</v>
      </c>
      <c r="E36" s="36">
        <f t="shared" si="2"/>
        <v>20586044.257860322</v>
      </c>
      <c r="F36" s="54">
        <v>0</v>
      </c>
      <c r="G36" s="35">
        <v>-13820</v>
      </c>
      <c r="H36" s="35">
        <f t="shared" si="3"/>
        <v>-13820</v>
      </c>
      <c r="I36" s="35">
        <f t="shared" si="0"/>
        <v>0</v>
      </c>
      <c r="J36" s="35">
        <f t="shared" si="1"/>
        <v>1116.900878430067</v>
      </c>
      <c r="K36" s="45">
        <f t="shared" si="4"/>
        <v>20571107.356981892</v>
      </c>
      <c r="L36" s="46"/>
      <c r="M36" s="30"/>
    </row>
    <row r="37" spans="2:13" ht="15">
      <c r="B37" s="43">
        <v>45294</v>
      </c>
      <c r="C37" s="32" t="s">
        <v>27</v>
      </c>
      <c r="D37" s="47" t="s">
        <v>134</v>
      </c>
      <c r="E37" s="36">
        <f t="shared" si="2"/>
        <v>20571107.356981892</v>
      </c>
      <c r="F37" s="48">
        <v>0</v>
      </c>
      <c r="G37" s="35">
        <v>-15636</v>
      </c>
      <c r="H37" s="35">
        <f t="shared" si="3"/>
        <v>-15636</v>
      </c>
      <c r="I37" s="35">
        <f t="shared" si="0"/>
        <v>0</v>
      </c>
      <c r="J37" s="35">
        <f t="shared" si="1"/>
        <v>1116.0904732107267</v>
      </c>
      <c r="K37" s="45">
        <f t="shared" si="4"/>
        <v>20554355.26650868</v>
      </c>
      <c r="L37" s="46"/>
      <c r="M37" s="30"/>
    </row>
    <row r="38" spans="2:13" ht="14.65">
      <c r="B38" s="43">
        <v>45294</v>
      </c>
      <c r="C38" s="32" t="s">
        <v>25</v>
      </c>
      <c r="D38" s="47" t="s">
        <v>134</v>
      </c>
      <c r="E38" s="36">
        <f t="shared" si="2"/>
        <v>20554355.26650868</v>
      </c>
      <c r="F38" s="48">
        <v>0</v>
      </c>
      <c r="G38" s="35">
        <v>-15527</v>
      </c>
      <c r="H38" s="35">
        <f t="shared" si="3"/>
        <v>-15527</v>
      </c>
      <c r="I38" s="35">
        <f t="shared" si="0"/>
        <v>0</v>
      </c>
      <c r="J38" s="35">
        <f t="shared" si="1"/>
        <v>1115.1815844348791</v>
      </c>
      <c r="K38" s="45">
        <f t="shared" si="4"/>
        <v>20537713.084924243</v>
      </c>
      <c r="L38" s="46"/>
    </row>
    <row r="39" spans="2:13" ht="14.65">
      <c r="B39" s="43">
        <v>45294</v>
      </c>
      <c r="C39" s="32" t="s">
        <v>25</v>
      </c>
      <c r="D39" s="47" t="s">
        <v>134</v>
      </c>
      <c r="E39" s="36">
        <f t="shared" si="2"/>
        <v>20537713.084924243</v>
      </c>
      <c r="F39" s="48">
        <v>0</v>
      </c>
      <c r="G39" s="55">
        <v>-12276</v>
      </c>
      <c r="H39" s="35">
        <f t="shared" si="3"/>
        <v>-12276</v>
      </c>
      <c r="I39" s="35">
        <f t="shared" si="0"/>
        <v>0</v>
      </c>
      <c r="J39" s="35">
        <f t="shared" si="1"/>
        <v>1114.2786587927392</v>
      </c>
      <c r="K39" s="45">
        <f t="shared" si="4"/>
        <v>20524322.806265451</v>
      </c>
      <c r="L39" s="46"/>
    </row>
    <row r="40" spans="2:13" ht="14.65">
      <c r="B40" s="43">
        <v>45295</v>
      </c>
      <c r="C40" s="32" t="s">
        <v>25</v>
      </c>
      <c r="D40" s="47" t="s">
        <v>132</v>
      </c>
      <c r="E40" s="36">
        <f t="shared" si="2"/>
        <v>20524322.806265451</v>
      </c>
      <c r="F40" s="48">
        <v>20690.38</v>
      </c>
      <c r="G40" s="55">
        <v>0</v>
      </c>
      <c r="H40" s="35">
        <f t="shared" si="3"/>
        <v>20690.38</v>
      </c>
      <c r="I40" s="35">
        <f t="shared" si="0"/>
        <v>0</v>
      </c>
      <c r="J40" s="35">
        <f t="shared" si="1"/>
        <v>2227.1043318822421</v>
      </c>
      <c r="K40" s="45">
        <f t="shared" si="4"/>
        <v>20542786.081933569</v>
      </c>
      <c r="L40" s="46"/>
    </row>
    <row r="41" spans="2:13" ht="14.65">
      <c r="B41" s="43">
        <v>45295</v>
      </c>
      <c r="C41" s="32" t="s">
        <v>25</v>
      </c>
      <c r="D41" s="47" t="s">
        <v>132</v>
      </c>
      <c r="E41" s="36">
        <f t="shared" si="2"/>
        <v>20542786.081933569</v>
      </c>
      <c r="F41" s="48">
        <v>13012.13</v>
      </c>
      <c r="G41" s="55">
        <v>0</v>
      </c>
      <c r="H41" s="35">
        <f t="shared" si="3"/>
        <v>13012.13</v>
      </c>
      <c r="I41" s="35">
        <f t="shared" si="0"/>
        <v>0</v>
      </c>
      <c r="J41" s="35">
        <f t="shared" si="1"/>
        <v>1114.5538954892611</v>
      </c>
      <c r="K41" s="45">
        <f t="shared" si="4"/>
        <v>20554683.65803808</v>
      </c>
      <c r="L41" s="46"/>
    </row>
    <row r="42" spans="2:13" ht="14.65">
      <c r="B42" s="43">
        <v>45295</v>
      </c>
      <c r="C42" s="32" t="s">
        <v>27</v>
      </c>
      <c r="D42" s="47" t="s">
        <v>132</v>
      </c>
      <c r="E42" s="36">
        <f t="shared" si="2"/>
        <v>20554683.65803808</v>
      </c>
      <c r="F42" s="54">
        <v>19511.98</v>
      </c>
      <c r="G42" s="35">
        <v>0</v>
      </c>
      <c r="H42" s="35">
        <f t="shared" si="3"/>
        <v>19511.98</v>
      </c>
      <c r="I42" s="35">
        <f t="shared" si="0"/>
        <v>0</v>
      </c>
      <c r="J42" s="35">
        <f t="shared" si="1"/>
        <v>1115.1994013978206</v>
      </c>
      <c r="K42" s="45">
        <f t="shared" si="4"/>
        <v>20573080.438636683</v>
      </c>
      <c r="L42" s="46"/>
    </row>
    <row r="43" spans="2:13" ht="14.65">
      <c r="B43" s="43">
        <v>45295</v>
      </c>
      <c r="C43" s="32" t="s">
        <v>27</v>
      </c>
      <c r="D43" s="47" t="s">
        <v>132</v>
      </c>
      <c r="E43" s="36">
        <f t="shared" si="2"/>
        <v>20573080.438636683</v>
      </c>
      <c r="F43" s="48">
        <v>16417.79</v>
      </c>
      <c r="G43" s="55">
        <v>0</v>
      </c>
      <c r="H43" s="35">
        <f t="shared" si="3"/>
        <v>16417.79</v>
      </c>
      <c r="I43" s="35">
        <f t="shared" si="0"/>
        <v>0</v>
      </c>
      <c r="J43" s="35">
        <f t="shared" si="1"/>
        <v>1116.1975232396612</v>
      </c>
      <c r="K43" s="45">
        <f t="shared" si="4"/>
        <v>20588382.031113442</v>
      </c>
      <c r="L43" s="46"/>
    </row>
    <row r="44" spans="2:13" ht="14.65">
      <c r="B44" s="43">
        <v>45295</v>
      </c>
      <c r="C44" s="32" t="s">
        <v>25</v>
      </c>
      <c r="D44" s="47" t="s">
        <v>132</v>
      </c>
      <c r="E44" s="36">
        <f t="shared" si="2"/>
        <v>20588382.031113442</v>
      </c>
      <c r="F44" s="48">
        <v>15193.42</v>
      </c>
      <c r="G44" s="55">
        <v>0</v>
      </c>
      <c r="H44" s="35">
        <f t="shared" si="3"/>
        <v>15193.42</v>
      </c>
      <c r="I44" s="35">
        <f t="shared" si="0"/>
        <v>0</v>
      </c>
      <c r="J44" s="35">
        <f t="shared" si="1"/>
        <v>1117.0277148910827</v>
      </c>
      <c r="K44" s="45">
        <f t="shared" si="4"/>
        <v>20602458.423398554</v>
      </c>
      <c r="L44" s="46"/>
    </row>
    <row r="45" spans="2:13" ht="14.65">
      <c r="B45" s="43">
        <v>45295</v>
      </c>
      <c r="C45" s="32" t="s">
        <v>29</v>
      </c>
      <c r="D45" s="47" t="s">
        <v>132</v>
      </c>
      <c r="E45" s="36">
        <f t="shared" si="2"/>
        <v>20602458.423398554</v>
      </c>
      <c r="F45" s="48">
        <v>18119.71</v>
      </c>
      <c r="G45" s="55">
        <v>0</v>
      </c>
      <c r="H45" s="35">
        <f t="shared" si="3"/>
        <v>18119.71</v>
      </c>
      <c r="I45" s="35">
        <f t="shared" si="0"/>
        <v>0</v>
      </c>
      <c r="J45" s="35">
        <f t="shared" si="1"/>
        <v>1117.7914330057158</v>
      </c>
      <c r="K45" s="45">
        <f t="shared" si="4"/>
        <v>20619460.341965549</v>
      </c>
      <c r="L45" s="46"/>
    </row>
    <row r="46" spans="2:13" ht="14.65">
      <c r="B46" s="43">
        <v>45295</v>
      </c>
      <c r="C46" s="32" t="s">
        <v>29</v>
      </c>
      <c r="D46" s="47" t="s">
        <v>132</v>
      </c>
      <c r="E46" s="36">
        <f t="shared" si="2"/>
        <v>20619460.341965549</v>
      </c>
      <c r="F46" s="48">
        <v>15044.06</v>
      </c>
      <c r="G46" s="35">
        <v>0</v>
      </c>
      <c r="H46" s="35">
        <f t="shared" si="3"/>
        <v>15044.06</v>
      </c>
      <c r="I46" s="35">
        <f t="shared" si="0"/>
        <v>0</v>
      </c>
      <c r="J46" s="35">
        <f t="shared" si="1"/>
        <v>1118.7138762660436</v>
      </c>
      <c r="K46" s="45">
        <f t="shared" si="4"/>
        <v>20633385.688089281</v>
      </c>
      <c r="L46" s="46"/>
    </row>
    <row r="47" spans="2:13" ht="14.65">
      <c r="B47" s="43">
        <v>45295</v>
      </c>
      <c r="C47" s="32" t="s">
        <v>27</v>
      </c>
      <c r="D47" s="47" t="s">
        <v>134</v>
      </c>
      <c r="E47" s="36">
        <f t="shared" si="2"/>
        <v>20633385.688089281</v>
      </c>
      <c r="F47" s="48">
        <v>0</v>
      </c>
      <c r="G47" s="55">
        <v>-6129.2</v>
      </c>
      <c r="H47" s="35">
        <f t="shared" si="3"/>
        <v>-6129.2</v>
      </c>
      <c r="I47" s="35">
        <f t="shared" si="0"/>
        <v>0</v>
      </c>
      <c r="J47" s="35">
        <f t="shared" si="1"/>
        <v>1119.4693993341582</v>
      </c>
      <c r="K47" s="45">
        <f t="shared" si="4"/>
        <v>20626137.018689949</v>
      </c>
      <c r="L47" s="46"/>
    </row>
    <row r="48" spans="2:13" ht="14.65">
      <c r="B48" s="43">
        <v>45295</v>
      </c>
      <c r="C48" s="32" t="s">
        <v>29</v>
      </c>
      <c r="D48" s="47" t="s">
        <v>134</v>
      </c>
      <c r="E48" s="36">
        <f t="shared" si="2"/>
        <v>20626137.018689949</v>
      </c>
      <c r="F48" s="48">
        <v>0</v>
      </c>
      <c r="G48" s="55">
        <v>-2373.36</v>
      </c>
      <c r="H48" s="35">
        <f t="shared" si="3"/>
        <v>-2373.36</v>
      </c>
      <c r="I48" s="35">
        <f t="shared" si="0"/>
        <v>0</v>
      </c>
      <c r="J48" s="35">
        <f t="shared" si="1"/>
        <v>1119.076120998692</v>
      </c>
      <c r="K48" s="45">
        <f t="shared" si="4"/>
        <v>20622644.582568951</v>
      </c>
      <c r="L48" s="46"/>
    </row>
    <row r="49" spans="2:12" ht="14.65">
      <c r="B49" s="43">
        <v>45295</v>
      </c>
      <c r="C49" s="32" t="s">
        <v>27</v>
      </c>
      <c r="D49" s="47" t="s">
        <v>134</v>
      </c>
      <c r="E49" s="36">
        <f t="shared" si="2"/>
        <v>20622644.582568951</v>
      </c>
      <c r="F49" s="48">
        <v>0</v>
      </c>
      <c r="G49" s="55">
        <v>-2317</v>
      </c>
      <c r="H49" s="35">
        <f t="shared" si="3"/>
        <v>-2317</v>
      </c>
      <c r="I49" s="35">
        <f t="shared" si="0"/>
        <v>0</v>
      </c>
      <c r="J49" s="35">
        <f t="shared" si="1"/>
        <v>1118.8866380206832</v>
      </c>
      <c r="K49" s="45">
        <f t="shared" si="4"/>
        <v>20619208.695930932</v>
      </c>
      <c r="L49" s="46"/>
    </row>
    <row r="50" spans="2:12" ht="14.65">
      <c r="B50" s="43">
        <v>45295</v>
      </c>
      <c r="C50" s="32" t="s">
        <v>27</v>
      </c>
      <c r="D50" s="47" t="s">
        <v>134</v>
      </c>
      <c r="E50" s="36">
        <f t="shared" si="2"/>
        <v>20619208.695930932</v>
      </c>
      <c r="F50" s="54">
        <v>0</v>
      </c>
      <c r="G50" s="35">
        <v>-7390</v>
      </c>
      <c r="H50" s="35">
        <f t="shared" si="3"/>
        <v>-7390</v>
      </c>
      <c r="I50" s="35">
        <f t="shared" si="0"/>
        <v>0</v>
      </c>
      <c r="J50" s="35">
        <f t="shared" si="1"/>
        <v>1118.7002231487377</v>
      </c>
      <c r="K50" s="45">
        <f t="shared" si="4"/>
        <v>20610699.995707784</v>
      </c>
      <c r="L50" s="46"/>
    </row>
    <row r="51" spans="2:12" ht="14.65">
      <c r="B51" s="43">
        <v>45295</v>
      </c>
      <c r="C51" s="32" t="s">
        <v>29</v>
      </c>
      <c r="D51" s="47" t="s">
        <v>134</v>
      </c>
      <c r="E51" s="36">
        <f t="shared" si="2"/>
        <v>20610699.995707784</v>
      </c>
      <c r="F51" s="54">
        <v>0</v>
      </c>
      <c r="G51" s="35">
        <v>-11376</v>
      </c>
      <c r="H51" s="35">
        <f t="shared" si="3"/>
        <v>-11376</v>
      </c>
      <c r="I51" s="35">
        <f t="shared" si="0"/>
        <v>0</v>
      </c>
      <c r="J51" s="35">
        <f t="shared" si="1"/>
        <v>1118.2385815319954</v>
      </c>
      <c r="K51" s="45">
        <f t="shared" si="4"/>
        <v>20598205.757126253</v>
      </c>
      <c r="L51" s="46"/>
    </row>
    <row r="52" spans="2:12" ht="14.65">
      <c r="B52" s="43">
        <v>45295</v>
      </c>
      <c r="C52" s="32" t="s">
        <v>27</v>
      </c>
      <c r="D52" s="47" t="s">
        <v>134</v>
      </c>
      <c r="E52" s="36">
        <f t="shared" si="2"/>
        <v>20598205.757126253</v>
      </c>
      <c r="F52" s="54">
        <v>0</v>
      </c>
      <c r="G52" s="35">
        <v>-9068</v>
      </c>
      <c r="H52" s="35">
        <f t="shared" si="3"/>
        <v>-9068</v>
      </c>
      <c r="I52" s="35">
        <f t="shared" si="0"/>
        <v>0</v>
      </c>
      <c r="J52" s="35">
        <f t="shared" si="1"/>
        <v>1117.5607035544572</v>
      </c>
      <c r="K52" s="45">
        <f t="shared" si="4"/>
        <v>20588020.1964227</v>
      </c>
      <c r="L52" s="46"/>
    </row>
    <row r="53" spans="2:12" ht="14.65">
      <c r="B53" s="43">
        <v>45296</v>
      </c>
      <c r="C53" s="32" t="s">
        <v>29</v>
      </c>
      <c r="D53" s="47" t="s">
        <v>132</v>
      </c>
      <c r="E53" s="36">
        <f t="shared" si="2"/>
        <v>20588020.1964227</v>
      </c>
      <c r="F53" s="54">
        <v>14837.12</v>
      </c>
      <c r="G53" s="56">
        <v>0</v>
      </c>
      <c r="H53" s="35">
        <f t="shared" si="3"/>
        <v>14837.12</v>
      </c>
      <c r="I53" s="35">
        <f t="shared" si="0"/>
        <v>0</v>
      </c>
      <c r="J53" s="35">
        <f t="shared" si="1"/>
        <v>2234.0161669224462</v>
      </c>
      <c r="K53" s="45">
        <f t="shared" si="4"/>
        <v>20600623.300255779</v>
      </c>
      <c r="L53" s="46"/>
    </row>
    <row r="54" spans="2:12" ht="14.65">
      <c r="B54" s="43">
        <v>45296</v>
      </c>
      <c r="C54" s="32" t="s">
        <v>25</v>
      </c>
      <c r="D54" s="47" t="s">
        <v>132</v>
      </c>
      <c r="E54" s="36">
        <f t="shared" si="2"/>
        <v>20600623.300255779</v>
      </c>
      <c r="F54" s="54">
        <v>20653.759999999998</v>
      </c>
      <c r="G54" s="56">
        <v>0</v>
      </c>
      <c r="H54" s="35">
        <f t="shared" si="3"/>
        <v>20653.759999999998</v>
      </c>
      <c r="I54" s="35">
        <f t="shared" si="0"/>
        <v>0</v>
      </c>
      <c r="J54" s="35">
        <f t="shared" si="1"/>
        <v>1117.691867949675</v>
      </c>
      <c r="K54" s="45">
        <f t="shared" si="4"/>
        <v>20620159.36838783</v>
      </c>
      <c r="L54" s="46"/>
    </row>
    <row r="55" spans="2:12" ht="14.65">
      <c r="B55" s="43">
        <v>45296</v>
      </c>
      <c r="C55" s="32" t="s">
        <v>29</v>
      </c>
      <c r="D55" s="47" t="s">
        <v>134</v>
      </c>
      <c r="E55" s="36">
        <f t="shared" si="2"/>
        <v>20620159.36838783</v>
      </c>
      <c r="F55" s="48">
        <v>0</v>
      </c>
      <c r="G55" s="55">
        <v>-6425</v>
      </c>
      <c r="H55" s="35">
        <f t="shared" si="3"/>
        <v>-6425</v>
      </c>
      <c r="I55" s="35">
        <f t="shared" si="0"/>
        <v>0</v>
      </c>
      <c r="J55" s="35">
        <f t="shared" si="1"/>
        <v>1118.7518021159697</v>
      </c>
      <c r="K55" s="45">
        <f t="shared" si="4"/>
        <v>20612615.616585713</v>
      </c>
      <c r="L55" s="46"/>
    </row>
    <row r="56" spans="2:12" ht="14.65">
      <c r="B56" s="43">
        <v>45296</v>
      </c>
      <c r="C56" s="32" t="s">
        <v>27</v>
      </c>
      <c r="D56" s="47" t="s">
        <v>134</v>
      </c>
      <c r="E56" s="36">
        <f t="shared" si="2"/>
        <v>20612615.616585713</v>
      </c>
      <c r="F56" s="54">
        <v>0</v>
      </c>
      <c r="G56" s="35">
        <v>-16086</v>
      </c>
      <c r="H56" s="35">
        <f t="shared" si="3"/>
        <v>-16086</v>
      </c>
      <c r="I56" s="35">
        <f t="shared" si="0"/>
        <v>0</v>
      </c>
      <c r="J56" s="35">
        <f t="shared" si="1"/>
        <v>1118.3425140123929</v>
      </c>
      <c r="K56" s="45">
        <f t="shared" si="4"/>
        <v>20595411.274071701</v>
      </c>
      <c r="L56" s="46"/>
    </row>
    <row r="57" spans="2:12" ht="14.65">
      <c r="B57" s="43">
        <v>45297</v>
      </c>
      <c r="C57" s="32" t="s">
        <v>27</v>
      </c>
      <c r="D57" s="47" t="s">
        <v>132</v>
      </c>
      <c r="E57" s="36">
        <f t="shared" si="2"/>
        <v>20595411.274071701</v>
      </c>
      <c r="F57" s="54">
        <v>15202.56</v>
      </c>
      <c r="G57" s="35">
        <v>0</v>
      </c>
      <c r="H57" s="35">
        <f t="shared" si="3"/>
        <v>15202.56</v>
      </c>
      <c r="I57" s="35">
        <f t="shared" si="0"/>
        <v>0</v>
      </c>
      <c r="J57" s="35">
        <f t="shared" si="1"/>
        <v>2234.8181763823804</v>
      </c>
      <c r="K57" s="45">
        <f t="shared" si="4"/>
        <v>20608379.015895318</v>
      </c>
      <c r="L57" s="46"/>
    </row>
    <row r="58" spans="2:12" ht="14.65">
      <c r="B58" s="43">
        <v>45297</v>
      </c>
      <c r="C58" s="32" t="s">
        <v>29</v>
      </c>
      <c r="D58" s="47" t="s">
        <v>132</v>
      </c>
      <c r="E58" s="36">
        <f t="shared" si="2"/>
        <v>20608379.015895318</v>
      </c>
      <c r="F58" s="48">
        <v>11610.88</v>
      </c>
      <c r="G58" s="55">
        <v>0</v>
      </c>
      <c r="H58" s="35">
        <f t="shared" si="3"/>
        <v>11610.88</v>
      </c>
      <c r="I58" s="35">
        <f t="shared" si="0"/>
        <v>0</v>
      </c>
      <c r="J58" s="35">
        <f t="shared" si="1"/>
        <v>1118.1126562032196</v>
      </c>
      <c r="K58" s="45">
        <f t="shared" si="4"/>
        <v>20618871.783239115</v>
      </c>
      <c r="L58" s="46"/>
    </row>
    <row r="59" spans="2:12" ht="14.65">
      <c r="B59" s="43">
        <v>45297</v>
      </c>
      <c r="C59" s="32" t="s">
        <v>29</v>
      </c>
      <c r="D59" s="47" t="s">
        <v>132</v>
      </c>
      <c r="E59" s="36">
        <f t="shared" si="2"/>
        <v>20618871.783239115</v>
      </c>
      <c r="F59" s="48">
        <v>18835.36</v>
      </c>
      <c r="G59" s="35">
        <v>0</v>
      </c>
      <c r="H59" s="35">
        <f t="shared" si="3"/>
        <v>18835.36</v>
      </c>
      <c r="I59" s="35">
        <f t="shared" si="0"/>
        <v>0</v>
      </c>
      <c r="J59" s="35">
        <f t="shared" si="1"/>
        <v>1118.6819438680402</v>
      </c>
      <c r="K59" s="45">
        <f t="shared" si="4"/>
        <v>20636588.461295247</v>
      </c>
      <c r="L59" s="46"/>
    </row>
    <row r="60" spans="2:12" ht="14.65">
      <c r="B60" s="43">
        <v>45297</v>
      </c>
      <c r="C60" s="32" t="s">
        <v>27</v>
      </c>
      <c r="D60" s="47" t="s">
        <v>132</v>
      </c>
      <c r="E60" s="36">
        <f t="shared" si="2"/>
        <v>20636588.461295247</v>
      </c>
      <c r="F60" s="54">
        <v>11936.3</v>
      </c>
      <c r="G60" s="35">
        <v>0</v>
      </c>
      <c r="H60" s="35">
        <f t="shared" si="3"/>
        <v>11936.3</v>
      </c>
      <c r="I60" s="35">
        <f t="shared" si="0"/>
        <v>0</v>
      </c>
      <c r="J60" s="35">
        <f t="shared" si="1"/>
        <v>1119.6431665796936</v>
      </c>
      <c r="K60" s="45">
        <f t="shared" si="4"/>
        <v>20647405.118128669</v>
      </c>
      <c r="L60" s="46"/>
    </row>
    <row r="61" spans="2:12" ht="14.65">
      <c r="B61" s="43">
        <v>45297</v>
      </c>
      <c r="C61" s="32" t="s">
        <v>25</v>
      </c>
      <c r="D61" s="47" t="s">
        <v>132</v>
      </c>
      <c r="E61" s="36">
        <f t="shared" si="2"/>
        <v>20647405.118128669</v>
      </c>
      <c r="F61" s="54">
        <v>13042.13</v>
      </c>
      <c r="G61" s="35">
        <v>0</v>
      </c>
      <c r="H61" s="35">
        <f t="shared" si="3"/>
        <v>13042.13</v>
      </c>
      <c r="I61" s="35">
        <f t="shared" si="0"/>
        <v>0</v>
      </c>
      <c r="J61" s="35">
        <f t="shared" si="1"/>
        <v>1120.2300269481836</v>
      </c>
      <c r="K61" s="45">
        <f t="shared" si="4"/>
        <v>20659327.018101718</v>
      </c>
      <c r="L61" s="46"/>
    </row>
    <row r="62" spans="2:12" ht="14.65">
      <c r="B62" s="43">
        <v>45297</v>
      </c>
      <c r="C62" s="32" t="s">
        <v>29</v>
      </c>
      <c r="D62" s="47" t="s">
        <v>134</v>
      </c>
      <c r="E62" s="36">
        <f t="shared" si="2"/>
        <v>20659327.018101718</v>
      </c>
      <c r="F62" s="48">
        <v>0</v>
      </c>
      <c r="G62" s="55">
        <v>-11166.65</v>
      </c>
      <c r="H62" s="35">
        <f t="shared" si="3"/>
        <v>-11166.65</v>
      </c>
      <c r="I62" s="35">
        <f t="shared" si="0"/>
        <v>0</v>
      </c>
      <c r="J62" s="35">
        <f t="shared" si="1"/>
        <v>1120.8768525541946</v>
      </c>
      <c r="K62" s="45">
        <f t="shared" si="4"/>
        <v>20647039.491249166</v>
      </c>
      <c r="L62" s="46"/>
    </row>
    <row r="63" spans="2:12" ht="14.65">
      <c r="B63" s="43">
        <v>45297</v>
      </c>
      <c r="C63" s="32" t="s">
        <v>29</v>
      </c>
      <c r="D63" s="47" t="s">
        <v>134</v>
      </c>
      <c r="E63" s="36">
        <f t="shared" si="2"/>
        <v>20647039.491249166</v>
      </c>
      <c r="F63" s="48">
        <v>0</v>
      </c>
      <c r="G63" s="55">
        <v>-8387.98</v>
      </c>
      <c r="H63" s="35">
        <f t="shared" si="3"/>
        <v>-8387.98</v>
      </c>
      <c r="I63" s="35">
        <f t="shared" si="0"/>
        <v>0</v>
      </c>
      <c r="J63" s="35">
        <f t="shared" si="1"/>
        <v>1120.2101897721932</v>
      </c>
      <c r="K63" s="45">
        <f t="shared" si="4"/>
        <v>20637531.301059395</v>
      </c>
      <c r="L63" s="46"/>
    </row>
    <row r="64" spans="2:12" ht="14.65">
      <c r="B64" s="43">
        <v>45297</v>
      </c>
      <c r="C64" s="32" t="s">
        <v>27</v>
      </c>
      <c r="D64" s="47" t="s">
        <v>134</v>
      </c>
      <c r="E64" s="36">
        <f t="shared" si="2"/>
        <v>20637531.301059395</v>
      </c>
      <c r="F64" s="48">
        <v>0</v>
      </c>
      <c r="G64" s="55">
        <v>-7857.43</v>
      </c>
      <c r="H64" s="35">
        <f t="shared" si="3"/>
        <v>-7857.43</v>
      </c>
      <c r="I64" s="35">
        <f t="shared" si="0"/>
        <v>0</v>
      </c>
      <c r="J64" s="35">
        <f t="shared" si="1"/>
        <v>1119.6943205822597</v>
      </c>
      <c r="K64" s="45">
        <f t="shared" si="4"/>
        <v>20628554.176738814</v>
      </c>
      <c r="L64" s="46"/>
    </row>
    <row r="65" spans="2:12">
      <c r="B65" s="43">
        <v>45297</v>
      </c>
      <c r="C65" s="32" t="s">
        <v>25</v>
      </c>
      <c r="D65" s="47" t="s">
        <v>134</v>
      </c>
      <c r="E65" s="36">
        <f t="shared" si="2"/>
        <v>20628554.176738814</v>
      </c>
      <c r="F65" s="36">
        <v>0</v>
      </c>
      <c r="G65" s="55">
        <v>-10162</v>
      </c>
      <c r="H65" s="35">
        <f t="shared" si="3"/>
        <v>-10162</v>
      </c>
      <c r="I65" s="35">
        <f t="shared" si="0"/>
        <v>0</v>
      </c>
      <c r="J65" s="35">
        <f t="shared" si="1"/>
        <v>1119.2072645012643</v>
      </c>
      <c r="K65" s="45">
        <f t="shared" si="4"/>
        <v>20617272.969474312</v>
      </c>
      <c r="L65" s="46"/>
    </row>
    <row r="66" spans="2:12" ht="14.65">
      <c r="B66" s="43">
        <v>45297</v>
      </c>
      <c r="C66" s="32" t="s">
        <v>25</v>
      </c>
      <c r="D66" s="47" t="s">
        <v>134</v>
      </c>
      <c r="E66" s="36">
        <f t="shared" si="2"/>
        <v>20617272.969474312</v>
      </c>
      <c r="F66" s="48">
        <v>0</v>
      </c>
      <c r="G66" s="55">
        <v>-5138</v>
      </c>
      <c r="H66" s="35">
        <f t="shared" si="3"/>
        <v>-5138</v>
      </c>
      <c r="I66" s="35">
        <f t="shared" si="0"/>
        <v>0</v>
      </c>
      <c r="J66" s="35">
        <f t="shared" si="1"/>
        <v>1118.5951998352386</v>
      </c>
      <c r="K66" s="45">
        <f t="shared" si="4"/>
        <v>20611016.374274477</v>
      </c>
      <c r="L66" s="46"/>
    </row>
    <row r="67" spans="2:12" ht="14.65">
      <c r="B67" s="43">
        <v>45297</v>
      </c>
      <c r="C67" s="32" t="s">
        <v>29</v>
      </c>
      <c r="D67" s="47" t="s">
        <v>134</v>
      </c>
      <c r="E67" s="36">
        <f t="shared" si="2"/>
        <v>20611016.374274477</v>
      </c>
      <c r="F67" s="54">
        <v>0</v>
      </c>
      <c r="G67" s="35">
        <v>-4946</v>
      </c>
      <c r="H67" s="35">
        <f t="shared" si="3"/>
        <v>-4946</v>
      </c>
      <c r="I67" s="35">
        <f t="shared" si="0"/>
        <v>0</v>
      </c>
      <c r="J67" s="35">
        <f t="shared" si="1"/>
        <v>1118.2557467286999</v>
      </c>
      <c r="K67" s="45">
        <f t="shared" si="4"/>
        <v>20604952.118527748</v>
      </c>
      <c r="L67" s="46"/>
    </row>
    <row r="68" spans="2:12" ht="14.65">
      <c r="B68" s="43">
        <v>45297</v>
      </c>
      <c r="C68" s="32" t="s">
        <v>29</v>
      </c>
      <c r="D68" s="47" t="s">
        <v>134</v>
      </c>
      <c r="E68" s="36">
        <f t="shared" si="2"/>
        <v>20604952.118527748</v>
      </c>
      <c r="F68" s="54">
        <v>0</v>
      </c>
      <c r="G68" s="35">
        <v>-21312</v>
      </c>
      <c r="H68" s="35">
        <f t="shared" si="3"/>
        <v>-21312</v>
      </c>
      <c r="I68" s="35">
        <f t="shared" si="0"/>
        <v>0</v>
      </c>
      <c r="J68" s="35">
        <f t="shared" si="1"/>
        <v>1117.9267290463465</v>
      </c>
      <c r="K68" s="45">
        <f t="shared" si="4"/>
        <v>20582522.191798702</v>
      </c>
      <c r="L68" s="46"/>
    </row>
    <row r="69" spans="2:12" ht="14.65">
      <c r="B69" s="43">
        <v>45297</v>
      </c>
      <c r="C69" s="32" t="s">
        <v>25</v>
      </c>
      <c r="D69" s="47" t="s">
        <v>134</v>
      </c>
      <c r="E69" s="36">
        <f t="shared" si="2"/>
        <v>20582522.191798702</v>
      </c>
      <c r="F69" s="54">
        <v>0</v>
      </c>
      <c r="G69" s="35">
        <v>-20886</v>
      </c>
      <c r="H69" s="35">
        <f t="shared" si="3"/>
        <v>-20886</v>
      </c>
      <c r="I69" s="35">
        <f t="shared" si="0"/>
        <v>0</v>
      </c>
      <c r="J69" s="35">
        <f t="shared" si="1"/>
        <v>1116.709787872365</v>
      </c>
      <c r="K69" s="45">
        <f t="shared" si="4"/>
        <v>20560519.48201083</v>
      </c>
      <c r="L69" s="46"/>
    </row>
    <row r="70" spans="2:12" ht="14.65">
      <c r="B70" s="43">
        <v>45297</v>
      </c>
      <c r="C70" s="32" t="s">
        <v>25</v>
      </c>
      <c r="D70" s="47" t="s">
        <v>134</v>
      </c>
      <c r="E70" s="36">
        <f t="shared" si="2"/>
        <v>20560519.48201083</v>
      </c>
      <c r="F70" s="54">
        <v>0</v>
      </c>
      <c r="G70" s="56">
        <v>-6612</v>
      </c>
      <c r="H70" s="35">
        <f t="shared" si="3"/>
        <v>-6612</v>
      </c>
      <c r="I70" s="35">
        <f t="shared" si="0"/>
        <v>0</v>
      </c>
      <c r="J70" s="35">
        <f t="shared" si="1"/>
        <v>1115.5160254582706</v>
      </c>
      <c r="K70" s="45">
        <f t="shared" si="4"/>
        <v>20552791.965985373</v>
      </c>
      <c r="L70" s="46"/>
    </row>
    <row r="71" spans="2:12" ht="14.65">
      <c r="B71" s="43">
        <v>45298</v>
      </c>
      <c r="C71" s="32" t="s">
        <v>29</v>
      </c>
      <c r="D71" s="47" t="s">
        <v>132</v>
      </c>
      <c r="E71" s="36">
        <f t="shared" si="2"/>
        <v>20552791.965985373</v>
      </c>
      <c r="F71" s="54">
        <v>13586.89</v>
      </c>
      <c r="G71" s="35">
        <v>0</v>
      </c>
      <c r="H71" s="35">
        <f t="shared" si="3"/>
        <v>13586.89</v>
      </c>
      <c r="I71" s="35">
        <f t="shared" si="0"/>
        <v>0</v>
      </c>
      <c r="J71" s="35">
        <f t="shared" si="1"/>
        <v>2230.1935343634041</v>
      </c>
      <c r="K71" s="45">
        <f t="shared" si="4"/>
        <v>20564148.66245101</v>
      </c>
      <c r="L71" s="46"/>
    </row>
    <row r="72" spans="2:12" ht="14.65">
      <c r="B72" s="43">
        <v>45298</v>
      </c>
      <c r="C72" s="32" t="s">
        <v>29</v>
      </c>
      <c r="D72" s="47" t="s">
        <v>132</v>
      </c>
      <c r="E72" s="36">
        <f t="shared" si="2"/>
        <v>20564148.66245101</v>
      </c>
      <c r="F72" s="54">
        <v>15933.75</v>
      </c>
      <c r="G72" s="35">
        <v>0</v>
      </c>
      <c r="H72" s="35">
        <f t="shared" si="3"/>
        <v>15933.75</v>
      </c>
      <c r="I72" s="35">
        <f t="shared" si="0"/>
        <v>0</v>
      </c>
      <c r="J72" s="35">
        <f t="shared" si="1"/>
        <v>1115.7129275328434</v>
      </c>
      <c r="K72" s="45">
        <f t="shared" si="4"/>
        <v>20578966.699523479</v>
      </c>
      <c r="L72" s="46"/>
    </row>
    <row r="73" spans="2:12" ht="14.65">
      <c r="B73" s="43">
        <v>45298</v>
      </c>
      <c r="C73" s="32" t="s">
        <v>29</v>
      </c>
      <c r="D73" s="47" t="s">
        <v>132</v>
      </c>
      <c r="E73" s="36">
        <f t="shared" si="2"/>
        <v>20578966.699523479</v>
      </c>
      <c r="F73" s="54">
        <v>15080.66</v>
      </c>
      <c r="G73" s="35">
        <v>0</v>
      </c>
      <c r="H73" s="35">
        <f t="shared" si="3"/>
        <v>15080.66</v>
      </c>
      <c r="I73" s="35">
        <f t="shared" si="0"/>
        <v>0</v>
      </c>
      <c r="J73" s="35">
        <f t="shared" si="1"/>
        <v>1116.5168837672486</v>
      </c>
      <c r="K73" s="45">
        <f t="shared" si="4"/>
        <v>20592930.842639711</v>
      </c>
      <c r="L73" s="46"/>
    </row>
    <row r="74" spans="2:12" ht="14.65">
      <c r="B74" s="43">
        <v>45298</v>
      </c>
      <c r="C74" s="32" t="s">
        <v>27</v>
      </c>
      <c r="D74" s="47" t="s">
        <v>132</v>
      </c>
      <c r="E74" s="36">
        <f t="shared" si="2"/>
        <v>20592930.842639711</v>
      </c>
      <c r="F74" s="54">
        <v>17382.79</v>
      </c>
      <c r="G74" s="35">
        <v>0</v>
      </c>
      <c r="H74" s="35">
        <f t="shared" si="3"/>
        <v>17382.79</v>
      </c>
      <c r="I74" s="35">
        <f t="shared" si="0"/>
        <v>0</v>
      </c>
      <c r="J74" s="35">
        <f t="shared" si="1"/>
        <v>1117.2745117757033</v>
      </c>
      <c r="K74" s="45">
        <f t="shared" si="4"/>
        <v>20609196.358127933</v>
      </c>
      <c r="L74" s="46"/>
    </row>
    <row r="75" spans="2:12" ht="14.65">
      <c r="B75" s="43">
        <v>45298</v>
      </c>
      <c r="C75" s="32" t="s">
        <v>27</v>
      </c>
      <c r="D75" s="47" t="s">
        <v>134</v>
      </c>
      <c r="E75" s="36">
        <f t="shared" si="2"/>
        <v>20609196.358127933</v>
      </c>
      <c r="F75" s="48">
        <v>0</v>
      </c>
      <c r="G75" s="55">
        <v>-18456</v>
      </c>
      <c r="H75" s="35">
        <f t="shared" si="3"/>
        <v>-18456</v>
      </c>
      <c r="I75" s="35">
        <f t="shared" si="0"/>
        <v>0</v>
      </c>
      <c r="J75" s="35">
        <f t="shared" si="1"/>
        <v>1118.1570013064434</v>
      </c>
      <c r="K75" s="45">
        <f t="shared" si="4"/>
        <v>20589622.201126628</v>
      </c>
      <c r="L75" s="46"/>
    </row>
    <row r="76" spans="2:12" ht="14.65">
      <c r="B76" s="43">
        <v>45298</v>
      </c>
      <c r="C76" s="32" t="s">
        <v>25</v>
      </c>
      <c r="D76" s="47" t="s">
        <v>134</v>
      </c>
      <c r="E76" s="36">
        <f t="shared" si="2"/>
        <v>20589622.201126628</v>
      </c>
      <c r="F76" s="48">
        <v>0</v>
      </c>
      <c r="G76" s="55">
        <v>-11880</v>
      </c>
      <c r="H76" s="35">
        <f t="shared" si="3"/>
        <v>-11880</v>
      </c>
      <c r="I76" s="35">
        <f t="shared" si="0"/>
        <v>0</v>
      </c>
      <c r="J76" s="35">
        <f t="shared" si="1"/>
        <v>1117.095000619209</v>
      </c>
      <c r="K76" s="45">
        <f t="shared" si="4"/>
        <v>20576625.106126007</v>
      </c>
      <c r="L76" s="46"/>
    </row>
    <row r="77" spans="2:12" ht="14.65">
      <c r="B77" s="43">
        <v>45298</v>
      </c>
      <c r="C77" s="32" t="s">
        <v>25</v>
      </c>
      <c r="D77" s="47" t="s">
        <v>134</v>
      </c>
      <c r="E77" s="36">
        <f t="shared" si="2"/>
        <v>20576625.106126007</v>
      </c>
      <c r="F77" s="48">
        <v>0</v>
      </c>
      <c r="G77" s="55">
        <v>-14833</v>
      </c>
      <c r="H77" s="35">
        <f t="shared" si="3"/>
        <v>-14833</v>
      </c>
      <c r="I77" s="35">
        <f t="shared" si="0"/>
        <v>0</v>
      </c>
      <c r="J77" s="35">
        <f t="shared" si="1"/>
        <v>1116.3898400433645</v>
      </c>
      <c r="K77" s="45">
        <f t="shared" si="4"/>
        <v>20560675.716285963</v>
      </c>
      <c r="L77" s="46"/>
    </row>
    <row r="78" spans="2:12" ht="14.65">
      <c r="B78" s="43">
        <v>45298</v>
      </c>
      <c r="C78" s="32" t="s">
        <v>29</v>
      </c>
      <c r="D78" s="47" t="s">
        <v>134</v>
      </c>
      <c r="E78" s="36">
        <f t="shared" si="2"/>
        <v>20560675.716285963</v>
      </c>
      <c r="F78" s="48">
        <v>0</v>
      </c>
      <c r="G78" s="35">
        <v>-15018</v>
      </c>
      <c r="H78" s="35">
        <f t="shared" si="3"/>
        <v>-15018</v>
      </c>
      <c r="I78" s="35">
        <f t="shared" si="0"/>
        <v>0</v>
      </c>
      <c r="J78" s="35">
        <f t="shared" si="1"/>
        <v>1115.5245019871732</v>
      </c>
      <c r="K78" s="45">
        <f t="shared" si="4"/>
        <v>20544542.191783976</v>
      </c>
      <c r="L78" s="46"/>
    </row>
    <row r="79" spans="2:12" ht="14.65">
      <c r="B79" s="43">
        <v>45299</v>
      </c>
      <c r="C79" s="32" t="s">
        <v>29</v>
      </c>
      <c r="D79" s="47" t="s">
        <v>132</v>
      </c>
      <c r="E79" s="36">
        <f t="shared" si="2"/>
        <v>20544542.191783976</v>
      </c>
      <c r="F79" s="48">
        <v>10777.61</v>
      </c>
      <c r="G79" s="48">
        <v>0</v>
      </c>
      <c r="H79" s="35">
        <f t="shared" si="3"/>
        <v>10777.61</v>
      </c>
      <c r="I79" s="35">
        <f t="shared" si="0"/>
        <v>0</v>
      </c>
      <c r="J79" s="35">
        <f t="shared" si="1"/>
        <v>2229.2983473195045</v>
      </c>
      <c r="K79" s="45">
        <f t="shared" si="4"/>
        <v>20553090.503436655</v>
      </c>
      <c r="L79" s="46"/>
    </row>
    <row r="80" spans="2:12" ht="14.65">
      <c r="B80" s="43">
        <v>45299</v>
      </c>
      <c r="C80" s="32" t="s">
        <v>29</v>
      </c>
      <c r="D80" s="47" t="s">
        <v>132</v>
      </c>
      <c r="E80" s="36">
        <f t="shared" si="2"/>
        <v>20553090.503436655</v>
      </c>
      <c r="F80" s="48">
        <v>18507.89</v>
      </c>
      <c r="G80" s="35">
        <v>0</v>
      </c>
      <c r="H80" s="35">
        <f t="shared" si="3"/>
        <v>18507.89</v>
      </c>
      <c r="I80" s="35">
        <f t="shared" si="0"/>
        <v>0</v>
      </c>
      <c r="J80" s="35">
        <f t="shared" si="1"/>
        <v>1115.1129644043158</v>
      </c>
      <c r="K80" s="45">
        <f t="shared" si="4"/>
        <v>20570483.280472253</v>
      </c>
      <c r="L80" s="46"/>
    </row>
    <row r="81" spans="2:12" ht="14.65">
      <c r="B81" s="43">
        <v>45299</v>
      </c>
      <c r="C81" s="32" t="s">
        <v>29</v>
      </c>
      <c r="D81" s="47" t="s">
        <v>132</v>
      </c>
      <c r="E81" s="36">
        <f t="shared" si="2"/>
        <v>20570483.280472253</v>
      </c>
      <c r="F81" s="48">
        <v>17754.95</v>
      </c>
      <c r="G81" s="35">
        <v>0</v>
      </c>
      <c r="H81" s="35">
        <f t="shared" si="3"/>
        <v>17754.95</v>
      </c>
      <c r="I81" s="35">
        <f t="shared" si="0"/>
        <v>0</v>
      </c>
      <c r="J81" s="35">
        <f t="shared" si="1"/>
        <v>1116.0566137866872</v>
      </c>
      <c r="K81" s="45">
        <f t="shared" si="4"/>
        <v>20587122.173858464</v>
      </c>
      <c r="L81" s="46"/>
    </row>
    <row r="82" spans="2:12" ht="14.65">
      <c r="B82" s="43">
        <v>45299</v>
      </c>
      <c r="C82" s="32" t="s">
        <v>29</v>
      </c>
      <c r="D82" s="47" t="s">
        <v>132</v>
      </c>
      <c r="E82" s="36">
        <f t="shared" si="2"/>
        <v>20587122.173858464</v>
      </c>
      <c r="F82" s="48">
        <v>17033.78</v>
      </c>
      <c r="G82" s="35">
        <v>0</v>
      </c>
      <c r="H82" s="35">
        <f t="shared" si="3"/>
        <v>17033.78</v>
      </c>
      <c r="I82" s="35">
        <f t="shared" si="0"/>
        <v>0</v>
      </c>
      <c r="J82" s="35">
        <f t="shared" si="1"/>
        <v>1116.9593610268262</v>
      </c>
      <c r="K82" s="45">
        <f t="shared" si="4"/>
        <v>20603038.994497437</v>
      </c>
      <c r="L82" s="46"/>
    </row>
    <row r="83" spans="2:12" ht="14.65">
      <c r="B83" s="43">
        <v>45299</v>
      </c>
      <c r="C83" s="32" t="s">
        <v>29</v>
      </c>
      <c r="D83" s="47" t="s">
        <v>134</v>
      </c>
      <c r="E83" s="36">
        <f t="shared" si="2"/>
        <v>20603038.994497437</v>
      </c>
      <c r="F83" s="48">
        <v>0</v>
      </c>
      <c r="G83" s="35">
        <v>-15333</v>
      </c>
      <c r="H83" s="35">
        <f t="shared" si="3"/>
        <v>-15333</v>
      </c>
      <c r="I83" s="35">
        <f t="shared" si="0"/>
        <v>0</v>
      </c>
      <c r="J83" s="35">
        <f t="shared" si="1"/>
        <v>1117.8229320330283</v>
      </c>
      <c r="K83" s="45">
        <f t="shared" si="4"/>
        <v>20586588.171565402</v>
      </c>
      <c r="L83" s="46"/>
    </row>
    <row r="84" spans="2:12" ht="14.65">
      <c r="B84" s="43">
        <v>45299</v>
      </c>
      <c r="C84" s="32" t="s">
        <v>27</v>
      </c>
      <c r="D84" s="47" t="s">
        <v>134</v>
      </c>
      <c r="E84" s="36">
        <f t="shared" si="2"/>
        <v>20586588.171565402</v>
      </c>
      <c r="F84" s="48">
        <v>0</v>
      </c>
      <c r="G84" s="35">
        <v>-2518</v>
      </c>
      <c r="H84" s="35">
        <f t="shared" si="3"/>
        <v>-2518</v>
      </c>
      <c r="I84" s="35">
        <f t="shared" ref="I84:I147" si="5">(($E84*Daily_Interest)*(_xlfn.DAYS(B84,B83)+1))+((IF(DAY($B83)&gt;Monthly_Cut_off_Date,0,Daily_Interest*H84))*(_xlfn.DAYS(B84,B83)+1))</f>
        <v>0</v>
      </c>
      <c r="J84" s="35">
        <f t="shared" ref="J84:J147" si="6">(($I84+E84)*Daily_Fees_Rate)*((_xlfn.DAYS(B84,B83)+1))</f>
        <v>1116.9303886014911</v>
      </c>
      <c r="K84" s="45">
        <f t="shared" si="4"/>
        <v>20582953.241176803</v>
      </c>
      <c r="L84" s="46"/>
    </row>
    <row r="85" spans="2:12" ht="14.65">
      <c r="B85" s="43">
        <v>45300</v>
      </c>
      <c r="C85" s="32" t="s">
        <v>29</v>
      </c>
      <c r="D85" s="47" t="s">
        <v>132</v>
      </c>
      <c r="E85" s="36">
        <f t="shared" ref="E85:E148" si="7">K84</f>
        <v>20582953.241176803</v>
      </c>
      <c r="F85" s="48">
        <v>12271.84</v>
      </c>
      <c r="G85" s="55">
        <v>0</v>
      </c>
      <c r="H85" s="35">
        <f t="shared" ref="H85:H148" si="8">SUM(F85:G85)</f>
        <v>12271.84</v>
      </c>
      <c r="I85" s="35">
        <f t="shared" si="5"/>
        <v>0</v>
      </c>
      <c r="J85" s="35">
        <f t="shared" si="6"/>
        <v>2233.4663491241145</v>
      </c>
      <c r="K85" s="45">
        <f t="shared" ref="K85:K135" si="9">E85+H85+I85-J85</f>
        <v>20592991.614827678</v>
      </c>
      <c r="L85" s="46"/>
    </row>
    <row r="86" spans="2:12" ht="14.65">
      <c r="B86" s="43">
        <v>45300</v>
      </c>
      <c r="C86" s="32" t="s">
        <v>27</v>
      </c>
      <c r="D86" s="47" t="s">
        <v>132</v>
      </c>
      <c r="E86" s="36">
        <f t="shared" si="7"/>
        <v>20592991.614827678</v>
      </c>
      <c r="F86" s="48">
        <v>12622.44</v>
      </c>
      <c r="G86" s="55">
        <v>0</v>
      </c>
      <c r="H86" s="35">
        <f t="shared" si="8"/>
        <v>12622.44</v>
      </c>
      <c r="I86" s="35">
        <f t="shared" si="5"/>
        <v>0</v>
      </c>
      <c r="J86" s="35">
        <f t="shared" si="6"/>
        <v>1117.2778089856615</v>
      </c>
      <c r="K86" s="45">
        <f t="shared" si="9"/>
        <v>20604496.777018692</v>
      </c>
      <c r="L86" s="46"/>
    </row>
    <row r="87" spans="2:12" ht="14.65">
      <c r="B87" s="43">
        <v>45300</v>
      </c>
      <c r="C87" s="32" t="s">
        <v>29</v>
      </c>
      <c r="D87" s="47" t="s">
        <v>132</v>
      </c>
      <c r="E87" s="36">
        <f t="shared" si="7"/>
        <v>20604496.777018692</v>
      </c>
      <c r="F87" s="48">
        <v>12431.75</v>
      </c>
      <c r="G87" s="35">
        <v>0</v>
      </c>
      <c r="H87" s="35">
        <f t="shared" si="8"/>
        <v>12431.75</v>
      </c>
      <c r="I87" s="35">
        <f t="shared" si="5"/>
        <v>0</v>
      </c>
      <c r="J87" s="35">
        <f t="shared" si="6"/>
        <v>1117.9020243811335</v>
      </c>
      <c r="K87" s="45">
        <f t="shared" si="9"/>
        <v>20615810.624994311</v>
      </c>
      <c r="L87" s="46"/>
    </row>
    <row r="88" spans="2:12" ht="14.65">
      <c r="B88" s="43">
        <v>45300</v>
      </c>
      <c r="C88" s="32" t="s">
        <v>25</v>
      </c>
      <c r="D88" s="47" t="s">
        <v>132</v>
      </c>
      <c r="E88" s="36">
        <f t="shared" si="7"/>
        <v>20615810.624994311</v>
      </c>
      <c r="F88" s="48">
        <v>16905.52</v>
      </c>
      <c r="G88" s="35">
        <v>0</v>
      </c>
      <c r="H88" s="35">
        <f t="shared" si="8"/>
        <v>16905.52</v>
      </c>
      <c r="I88" s="35">
        <f t="shared" si="5"/>
        <v>0</v>
      </c>
      <c r="J88" s="35">
        <f t="shared" si="6"/>
        <v>1118.5158599769434</v>
      </c>
      <c r="K88" s="45">
        <f t="shared" si="9"/>
        <v>20631597.629134335</v>
      </c>
      <c r="L88" s="46"/>
    </row>
    <row r="89" spans="2:12" ht="14.65">
      <c r="B89" s="43">
        <v>45300</v>
      </c>
      <c r="C89" s="32" t="s">
        <v>29</v>
      </c>
      <c r="D89" s="47" t="s">
        <v>132</v>
      </c>
      <c r="E89" s="36">
        <f t="shared" si="7"/>
        <v>20631597.629134335</v>
      </c>
      <c r="F89" s="48">
        <v>17748.98</v>
      </c>
      <c r="G89" s="55">
        <v>0</v>
      </c>
      <c r="H89" s="35">
        <f t="shared" si="8"/>
        <v>17748.98</v>
      </c>
      <c r="I89" s="35">
        <f t="shared" si="5"/>
        <v>0</v>
      </c>
      <c r="J89" s="35">
        <f t="shared" si="6"/>
        <v>1119.372387757167</v>
      </c>
      <c r="K89" s="45">
        <f t="shared" si="9"/>
        <v>20648227.236746579</v>
      </c>
      <c r="L89" s="46"/>
    </row>
    <row r="90" spans="2:12" ht="14.65">
      <c r="B90" s="43">
        <v>45300</v>
      </c>
      <c r="C90" s="32" t="s">
        <v>25</v>
      </c>
      <c r="D90" s="47" t="s">
        <v>132</v>
      </c>
      <c r="E90" s="36">
        <f t="shared" si="7"/>
        <v>20648227.236746579</v>
      </c>
      <c r="F90" s="48">
        <v>17453.3</v>
      </c>
      <c r="G90" s="55">
        <v>0</v>
      </c>
      <c r="H90" s="35">
        <f t="shared" si="8"/>
        <v>17453.3</v>
      </c>
      <c r="I90" s="35">
        <f t="shared" si="5"/>
        <v>0</v>
      </c>
      <c r="J90" s="35">
        <f t="shared" si="6"/>
        <v>1120.2746311953629</v>
      </c>
      <c r="K90" s="45">
        <f t="shared" si="9"/>
        <v>20664560.262115385</v>
      </c>
      <c r="L90" s="46"/>
    </row>
    <row r="91" spans="2:12" ht="14.65">
      <c r="B91" s="43">
        <v>45300</v>
      </c>
      <c r="C91" s="42" t="s">
        <v>25</v>
      </c>
      <c r="D91" s="47" t="s">
        <v>132</v>
      </c>
      <c r="E91" s="36">
        <f t="shared" si="7"/>
        <v>20664560.262115385</v>
      </c>
      <c r="F91" s="54">
        <v>13270.47</v>
      </c>
      <c r="G91" s="35">
        <v>0</v>
      </c>
      <c r="H91" s="35">
        <f t="shared" si="8"/>
        <v>13270.47</v>
      </c>
      <c r="I91" s="35">
        <f t="shared" si="5"/>
        <v>0</v>
      </c>
      <c r="J91" s="35">
        <f t="shared" si="6"/>
        <v>1121.1607834912259</v>
      </c>
      <c r="K91" s="45">
        <f t="shared" si="9"/>
        <v>20676709.571331892</v>
      </c>
      <c r="L91" s="46"/>
    </row>
    <row r="92" spans="2:12" ht="14.65">
      <c r="B92" s="43">
        <v>45300</v>
      </c>
      <c r="C92" s="32" t="s">
        <v>27</v>
      </c>
      <c r="D92" s="47" t="s">
        <v>134</v>
      </c>
      <c r="E92" s="36">
        <f t="shared" si="7"/>
        <v>20676709.571331892</v>
      </c>
      <c r="F92" s="54">
        <v>0</v>
      </c>
      <c r="G92" s="35">
        <v>-12594.55</v>
      </c>
      <c r="H92" s="35">
        <f t="shared" si="8"/>
        <v>-12594.55</v>
      </c>
      <c r="I92" s="35">
        <f t="shared" si="5"/>
        <v>0</v>
      </c>
      <c r="J92" s="35">
        <f t="shared" si="6"/>
        <v>1121.8199472414958</v>
      </c>
      <c r="K92" s="45">
        <f t="shared" si="9"/>
        <v>20662993.201384649</v>
      </c>
      <c r="L92" s="46"/>
    </row>
    <row r="93" spans="2:12" ht="14.65">
      <c r="B93" s="43">
        <v>45300</v>
      </c>
      <c r="C93" s="32" t="s">
        <v>25</v>
      </c>
      <c r="D93" s="47" t="s">
        <v>134</v>
      </c>
      <c r="E93" s="36">
        <f t="shared" si="7"/>
        <v>20662993.201384649</v>
      </c>
      <c r="F93" s="54">
        <v>0</v>
      </c>
      <c r="G93" s="35">
        <v>-5584.06</v>
      </c>
      <c r="H93" s="35">
        <f t="shared" si="8"/>
        <v>-5584.06</v>
      </c>
      <c r="I93" s="35">
        <f t="shared" si="5"/>
        <v>0</v>
      </c>
      <c r="J93" s="35">
        <f t="shared" si="6"/>
        <v>1121.0757622270728</v>
      </c>
      <c r="K93" s="45">
        <f t="shared" si="9"/>
        <v>20656288.065622423</v>
      </c>
      <c r="L93" s="46"/>
    </row>
    <row r="94" spans="2:12" ht="14.65">
      <c r="B94" s="43">
        <v>45300</v>
      </c>
      <c r="C94" s="32" t="s">
        <v>25</v>
      </c>
      <c r="D94" s="47" t="s">
        <v>134</v>
      </c>
      <c r="E94" s="36">
        <f t="shared" si="7"/>
        <v>20656288.065622423</v>
      </c>
      <c r="F94" s="54">
        <v>0</v>
      </c>
      <c r="G94" s="35">
        <v>-4266.93</v>
      </c>
      <c r="H94" s="35">
        <f t="shared" si="8"/>
        <v>-4266.93</v>
      </c>
      <c r="I94" s="35">
        <f t="shared" si="5"/>
        <v>0</v>
      </c>
      <c r="J94" s="35">
        <f t="shared" si="6"/>
        <v>1120.7119734423497</v>
      </c>
      <c r="K94" s="45">
        <f t="shared" si="9"/>
        <v>20650900.42364898</v>
      </c>
      <c r="L94" s="46"/>
    </row>
    <row r="95" spans="2:12" ht="14.65">
      <c r="B95" s="43">
        <v>45300</v>
      </c>
      <c r="C95" s="32" t="s">
        <v>27</v>
      </c>
      <c r="D95" s="47" t="s">
        <v>134</v>
      </c>
      <c r="E95" s="36">
        <f t="shared" si="7"/>
        <v>20650900.42364898</v>
      </c>
      <c r="F95" s="48">
        <v>0</v>
      </c>
      <c r="G95" s="55">
        <v>-17352</v>
      </c>
      <c r="H95" s="35">
        <f t="shared" si="8"/>
        <v>-17352</v>
      </c>
      <c r="I95" s="35">
        <f t="shared" si="5"/>
        <v>0</v>
      </c>
      <c r="J95" s="35">
        <f t="shared" si="6"/>
        <v>1120.4196656061558</v>
      </c>
      <c r="K95" s="45">
        <f t="shared" si="9"/>
        <v>20632428.003983375</v>
      </c>
      <c r="L95" s="46"/>
    </row>
    <row r="96" spans="2:12" ht="14.65">
      <c r="B96" s="43">
        <v>45300</v>
      </c>
      <c r="C96" s="32" t="s">
        <v>25</v>
      </c>
      <c r="D96" s="47" t="s">
        <v>134</v>
      </c>
      <c r="E96" s="36">
        <f t="shared" si="7"/>
        <v>20632428.003983375</v>
      </c>
      <c r="F96" s="54">
        <v>0</v>
      </c>
      <c r="G96" s="35">
        <v>-7680</v>
      </c>
      <c r="H96" s="35">
        <f t="shared" si="8"/>
        <v>-7680</v>
      </c>
      <c r="I96" s="35">
        <f t="shared" si="5"/>
        <v>0</v>
      </c>
      <c r="J96" s="35">
        <f t="shared" si="6"/>
        <v>1119.4174399481903</v>
      </c>
      <c r="K96" s="45">
        <f t="shared" si="9"/>
        <v>20623628.586543426</v>
      </c>
      <c r="L96" s="46"/>
    </row>
    <row r="97" spans="2:12" ht="14.65">
      <c r="B97" s="43">
        <v>45301</v>
      </c>
      <c r="C97" s="32" t="s">
        <v>27</v>
      </c>
      <c r="D97" s="47" t="s">
        <v>132</v>
      </c>
      <c r="E97" s="36">
        <f t="shared" si="7"/>
        <v>20623628.586543426</v>
      </c>
      <c r="F97" s="54">
        <v>13301.11</v>
      </c>
      <c r="G97" s="35">
        <v>0</v>
      </c>
      <c r="H97" s="35">
        <f t="shared" si="8"/>
        <v>13301.11</v>
      </c>
      <c r="I97" s="35">
        <f t="shared" si="5"/>
        <v>0</v>
      </c>
      <c r="J97" s="35">
        <f t="shared" si="6"/>
        <v>2237.8800507951464</v>
      </c>
      <c r="K97" s="45">
        <f t="shared" si="9"/>
        <v>20634691.816492632</v>
      </c>
      <c r="L97" s="46"/>
    </row>
    <row r="98" spans="2:12" ht="14.65">
      <c r="B98" s="43">
        <v>45301</v>
      </c>
      <c r="C98" s="32" t="s">
        <v>29</v>
      </c>
      <c r="D98" s="47" t="s">
        <v>132</v>
      </c>
      <c r="E98" s="36">
        <f t="shared" si="7"/>
        <v>20634691.816492632</v>
      </c>
      <c r="F98" s="54">
        <v>14069.2</v>
      </c>
      <c r="G98" s="35">
        <v>0</v>
      </c>
      <c r="H98" s="35">
        <f t="shared" si="8"/>
        <v>14069.2</v>
      </c>
      <c r="I98" s="35">
        <f t="shared" si="5"/>
        <v>0</v>
      </c>
      <c r="J98" s="35">
        <f t="shared" si="6"/>
        <v>1119.5402636509143</v>
      </c>
      <c r="K98" s="45">
        <f t="shared" si="9"/>
        <v>20647641.476228982</v>
      </c>
      <c r="L98" s="46"/>
    </row>
    <row r="99" spans="2:12" ht="14.65">
      <c r="B99" s="43">
        <v>45301</v>
      </c>
      <c r="C99" s="32" t="s">
        <v>29</v>
      </c>
      <c r="D99" s="47" t="s">
        <v>132</v>
      </c>
      <c r="E99" s="36">
        <f t="shared" si="7"/>
        <v>20647641.476228982</v>
      </c>
      <c r="F99" s="54">
        <v>13426.44</v>
      </c>
      <c r="G99" s="35">
        <v>0</v>
      </c>
      <c r="H99" s="35">
        <f t="shared" si="8"/>
        <v>13426.44</v>
      </c>
      <c r="I99" s="35">
        <f t="shared" si="5"/>
        <v>0</v>
      </c>
      <c r="J99" s="35">
        <f t="shared" si="6"/>
        <v>1120.2428506148658</v>
      </c>
      <c r="K99" s="45">
        <f t="shared" si="9"/>
        <v>20659947.673378367</v>
      </c>
      <c r="L99" s="46"/>
    </row>
    <row r="100" spans="2:12" ht="14.65">
      <c r="B100" s="43">
        <v>45301</v>
      </c>
      <c r="C100" s="32" t="s">
        <v>27</v>
      </c>
      <c r="D100" s="47" t="s">
        <v>134</v>
      </c>
      <c r="E100" s="36">
        <f t="shared" si="7"/>
        <v>20659947.673378367</v>
      </c>
      <c r="F100" s="54">
        <v>0</v>
      </c>
      <c r="G100" s="35">
        <v>-9022</v>
      </c>
      <c r="H100" s="35">
        <f t="shared" si="8"/>
        <v>-9022</v>
      </c>
      <c r="I100" s="35">
        <f t="shared" si="5"/>
        <v>0</v>
      </c>
      <c r="J100" s="35">
        <f t="shared" si="6"/>
        <v>1120.9105263583992</v>
      </c>
      <c r="K100" s="45">
        <f t="shared" si="9"/>
        <v>20649804.762852009</v>
      </c>
      <c r="L100" s="46"/>
    </row>
    <row r="101" spans="2:12" ht="14.65">
      <c r="B101" s="43">
        <v>45302</v>
      </c>
      <c r="C101" s="32" t="s">
        <v>27</v>
      </c>
      <c r="D101" s="47" t="s">
        <v>132</v>
      </c>
      <c r="E101" s="36">
        <f t="shared" si="7"/>
        <v>20649804.762852009</v>
      </c>
      <c r="F101" s="48">
        <v>13584.2</v>
      </c>
      <c r="G101" s="55">
        <v>0</v>
      </c>
      <c r="H101" s="35">
        <f t="shared" si="8"/>
        <v>13584.2</v>
      </c>
      <c r="I101" s="35">
        <f t="shared" si="5"/>
        <v>0</v>
      </c>
      <c r="J101" s="35">
        <f t="shared" si="6"/>
        <v>2240.7204405219713</v>
      </c>
      <c r="K101" s="45">
        <f t="shared" si="9"/>
        <v>20661148.242411487</v>
      </c>
      <c r="L101" s="46"/>
    </row>
    <row r="102" spans="2:12" ht="14.65">
      <c r="B102" s="43">
        <v>45302</v>
      </c>
      <c r="C102" s="32" t="s">
        <v>25</v>
      </c>
      <c r="D102" s="47" t="s">
        <v>132</v>
      </c>
      <c r="E102" s="36">
        <f t="shared" si="7"/>
        <v>20661148.242411487</v>
      </c>
      <c r="F102" s="54">
        <v>14375.63</v>
      </c>
      <c r="G102" s="35">
        <v>0</v>
      </c>
      <c r="H102" s="35">
        <f t="shared" si="8"/>
        <v>14375.63</v>
      </c>
      <c r="I102" s="35">
        <f t="shared" si="5"/>
        <v>0</v>
      </c>
      <c r="J102" s="35">
        <f t="shared" si="6"/>
        <v>1120.9756635256429</v>
      </c>
      <c r="K102" s="45">
        <f t="shared" si="9"/>
        <v>20674402.896747962</v>
      </c>
      <c r="L102" s="46"/>
    </row>
    <row r="103" spans="2:12" ht="14.65">
      <c r="B103" s="43">
        <v>45302</v>
      </c>
      <c r="C103" s="32" t="s">
        <v>29</v>
      </c>
      <c r="D103" s="47" t="s">
        <v>132</v>
      </c>
      <c r="E103" s="36">
        <f t="shared" si="7"/>
        <v>20674402.896747962</v>
      </c>
      <c r="F103" s="54">
        <v>16950.599999999999</v>
      </c>
      <c r="G103" s="35">
        <v>0</v>
      </c>
      <c r="H103" s="35">
        <f t="shared" si="8"/>
        <v>16950.599999999999</v>
      </c>
      <c r="I103" s="35">
        <f t="shared" si="5"/>
        <v>0</v>
      </c>
      <c r="J103" s="35">
        <f t="shared" si="6"/>
        <v>1121.6947980464017</v>
      </c>
      <c r="K103" s="45">
        <f t="shared" si="9"/>
        <v>20690231.801949918</v>
      </c>
      <c r="L103" s="46"/>
    </row>
    <row r="104" spans="2:12" ht="14.65">
      <c r="B104" s="43">
        <v>45302</v>
      </c>
      <c r="C104" s="42" t="s">
        <v>29</v>
      </c>
      <c r="D104" s="47" t="s">
        <v>132</v>
      </c>
      <c r="E104" s="36">
        <f t="shared" si="7"/>
        <v>20690231.801949918</v>
      </c>
      <c r="F104" s="54">
        <v>15400.62</v>
      </c>
      <c r="G104" s="35">
        <v>0</v>
      </c>
      <c r="H104" s="35">
        <f t="shared" si="8"/>
        <v>15400.62</v>
      </c>
      <c r="I104" s="35">
        <f t="shared" si="5"/>
        <v>0</v>
      </c>
      <c r="J104" s="35">
        <f t="shared" si="6"/>
        <v>1122.5535991790136</v>
      </c>
      <c r="K104" s="45">
        <f t="shared" si="9"/>
        <v>20704509.868350741</v>
      </c>
      <c r="L104" s="46"/>
    </row>
    <row r="105" spans="2:12" ht="14.65">
      <c r="B105" s="43">
        <v>45302</v>
      </c>
      <c r="C105" s="32" t="s">
        <v>27</v>
      </c>
      <c r="D105" s="47" t="s">
        <v>134</v>
      </c>
      <c r="E105" s="36">
        <f t="shared" si="7"/>
        <v>20704509.868350741</v>
      </c>
      <c r="F105" s="48">
        <v>0</v>
      </c>
      <c r="G105" s="55">
        <v>-4177</v>
      </c>
      <c r="H105" s="35">
        <f t="shared" si="8"/>
        <v>-4177</v>
      </c>
      <c r="I105" s="35">
        <f t="shared" si="5"/>
        <v>0</v>
      </c>
      <c r="J105" s="35">
        <f t="shared" si="6"/>
        <v>1123.3282591722405</v>
      </c>
      <c r="K105" s="45">
        <f t="shared" si="9"/>
        <v>20699209.540091567</v>
      </c>
      <c r="L105" s="46"/>
    </row>
    <row r="106" spans="2:12" ht="14.65">
      <c r="B106" s="43">
        <v>45302</v>
      </c>
      <c r="C106" s="32" t="s">
        <v>25</v>
      </c>
      <c r="D106" s="47" t="s">
        <v>134</v>
      </c>
      <c r="E106" s="36">
        <f t="shared" si="7"/>
        <v>20699209.540091567</v>
      </c>
      <c r="F106" s="48">
        <v>0</v>
      </c>
      <c r="G106" s="35">
        <v>-8631</v>
      </c>
      <c r="H106" s="35">
        <f t="shared" si="8"/>
        <v>-8631</v>
      </c>
      <c r="I106" s="35">
        <f t="shared" si="5"/>
        <v>0</v>
      </c>
      <c r="J106" s="35">
        <f t="shared" si="6"/>
        <v>1123.0406885630216</v>
      </c>
      <c r="K106" s="45">
        <f t="shared" si="9"/>
        <v>20689455.499403004</v>
      </c>
      <c r="L106" s="46"/>
    </row>
    <row r="107" spans="2:12" ht="14.65">
      <c r="B107" s="43">
        <v>45302</v>
      </c>
      <c r="C107" s="32" t="s">
        <v>25</v>
      </c>
      <c r="D107" s="47" t="s">
        <v>134</v>
      </c>
      <c r="E107" s="36">
        <f t="shared" si="7"/>
        <v>20689455.499403004</v>
      </c>
      <c r="F107" s="48">
        <v>0</v>
      </c>
      <c r="G107" s="35">
        <v>-5147</v>
      </c>
      <c r="H107" s="35">
        <f t="shared" si="8"/>
        <v>-5147</v>
      </c>
      <c r="I107" s="35">
        <f t="shared" si="5"/>
        <v>0</v>
      </c>
      <c r="J107" s="35">
        <f t="shared" si="6"/>
        <v>1122.5114806939994</v>
      </c>
      <c r="K107" s="45">
        <f t="shared" si="9"/>
        <v>20683185.987922311</v>
      </c>
      <c r="L107" s="46"/>
    </row>
    <row r="108" spans="2:12" ht="14.65">
      <c r="B108" s="43">
        <v>45303</v>
      </c>
      <c r="C108" s="32" t="s">
        <v>29</v>
      </c>
      <c r="D108" s="47" t="s">
        <v>132</v>
      </c>
      <c r="E108" s="36">
        <f t="shared" si="7"/>
        <v>20683185.987922311</v>
      </c>
      <c r="F108" s="54">
        <v>12523.51</v>
      </c>
      <c r="G108" s="35">
        <v>0</v>
      </c>
      <c r="H108" s="35">
        <f t="shared" si="8"/>
        <v>12523.51</v>
      </c>
      <c r="I108" s="35">
        <f t="shared" si="5"/>
        <v>0</v>
      </c>
      <c r="J108" s="35">
        <f t="shared" si="6"/>
        <v>2244.3426536229517</v>
      </c>
      <c r="K108" s="45">
        <f t="shared" si="9"/>
        <v>20693465.155268688</v>
      </c>
      <c r="L108" s="46"/>
    </row>
    <row r="109" spans="2:12" ht="14.65">
      <c r="B109" s="43">
        <v>45303</v>
      </c>
      <c r="C109" s="32" t="s">
        <v>29</v>
      </c>
      <c r="D109" s="47" t="s">
        <v>132</v>
      </c>
      <c r="E109" s="36">
        <f t="shared" si="7"/>
        <v>20693465.155268688</v>
      </c>
      <c r="F109" s="54">
        <v>12844.67</v>
      </c>
      <c r="G109" s="35">
        <v>0</v>
      </c>
      <c r="H109" s="35">
        <f t="shared" si="8"/>
        <v>12844.67</v>
      </c>
      <c r="I109" s="35">
        <f t="shared" si="5"/>
        <v>0</v>
      </c>
      <c r="J109" s="35">
        <f t="shared" si="6"/>
        <v>1122.7290255560667</v>
      </c>
      <c r="K109" s="45">
        <f t="shared" si="9"/>
        <v>20705187.096243132</v>
      </c>
      <c r="L109" s="46"/>
    </row>
    <row r="110" spans="2:12" ht="14.65">
      <c r="B110" s="43">
        <v>45303</v>
      </c>
      <c r="C110" s="32" t="s">
        <v>27</v>
      </c>
      <c r="D110" s="47" t="s">
        <v>132</v>
      </c>
      <c r="E110" s="36">
        <f t="shared" si="7"/>
        <v>20705187.096243132</v>
      </c>
      <c r="F110" s="48">
        <v>16028.18</v>
      </c>
      <c r="G110" s="35">
        <v>0</v>
      </c>
      <c r="H110" s="35">
        <f t="shared" si="8"/>
        <v>16028.18</v>
      </c>
      <c r="I110" s="35">
        <f t="shared" si="5"/>
        <v>0</v>
      </c>
      <c r="J110" s="35">
        <f t="shared" si="6"/>
        <v>1123.3650023375828</v>
      </c>
      <c r="K110" s="45">
        <f t="shared" si="9"/>
        <v>20720091.911240794</v>
      </c>
      <c r="L110" s="46"/>
    </row>
    <row r="111" spans="2:12" ht="14.65">
      <c r="B111" s="43">
        <v>45303</v>
      </c>
      <c r="C111" s="32" t="s">
        <v>29</v>
      </c>
      <c r="D111" s="47" t="s">
        <v>132</v>
      </c>
      <c r="E111" s="36">
        <f t="shared" si="7"/>
        <v>20720091.911240794</v>
      </c>
      <c r="F111" s="48">
        <v>13550.44</v>
      </c>
      <c r="G111" s="35">
        <v>0</v>
      </c>
      <c r="H111" s="35">
        <f t="shared" si="8"/>
        <v>13550.44</v>
      </c>
      <c r="I111" s="35">
        <f t="shared" si="5"/>
        <v>0</v>
      </c>
      <c r="J111" s="35">
        <f t="shared" si="6"/>
        <v>1124.1736667295954</v>
      </c>
      <c r="K111" s="45">
        <f t="shared" si="9"/>
        <v>20732518.177574065</v>
      </c>
      <c r="L111" s="46"/>
    </row>
    <row r="112" spans="2:12" ht="14.65">
      <c r="B112" s="43">
        <v>45303</v>
      </c>
      <c r="C112" s="32" t="s">
        <v>27</v>
      </c>
      <c r="D112" s="47" t="s">
        <v>134</v>
      </c>
      <c r="E112" s="36">
        <f t="shared" si="7"/>
        <v>20732518.177574065</v>
      </c>
      <c r="F112" s="48">
        <v>0</v>
      </c>
      <c r="G112" s="35">
        <v>-11489.28</v>
      </c>
      <c r="H112" s="35">
        <f t="shared" si="8"/>
        <v>-11489.28</v>
      </c>
      <c r="I112" s="35">
        <f t="shared" si="5"/>
        <v>0</v>
      </c>
      <c r="J112" s="35">
        <f t="shared" si="6"/>
        <v>1124.8478568561388</v>
      </c>
      <c r="K112" s="45">
        <f t="shared" si="9"/>
        <v>20719904.049717207</v>
      </c>
      <c r="L112" s="46"/>
    </row>
    <row r="113" spans="2:12" ht="14.65">
      <c r="B113" s="43">
        <v>45303</v>
      </c>
      <c r="C113" s="32" t="s">
        <v>29</v>
      </c>
      <c r="D113" s="47" t="s">
        <v>134</v>
      </c>
      <c r="E113" s="36">
        <f t="shared" si="7"/>
        <v>20719904.049717207</v>
      </c>
      <c r="F113" s="48">
        <v>0</v>
      </c>
      <c r="G113" s="35">
        <v>-8552</v>
      </c>
      <c r="H113" s="35">
        <f t="shared" si="8"/>
        <v>-8552</v>
      </c>
      <c r="I113" s="35">
        <f t="shared" si="5"/>
        <v>0</v>
      </c>
      <c r="J113" s="35">
        <f t="shared" si="6"/>
        <v>1124.1634742565739</v>
      </c>
      <c r="K113" s="45">
        <f t="shared" si="9"/>
        <v>20710227.886242948</v>
      </c>
      <c r="L113" s="46"/>
    </row>
    <row r="114" spans="2:12" ht="14.65">
      <c r="B114" s="43">
        <v>45303</v>
      </c>
      <c r="C114" s="32" t="s">
        <v>29</v>
      </c>
      <c r="D114" s="47" t="s">
        <v>134</v>
      </c>
      <c r="E114" s="36">
        <f t="shared" si="7"/>
        <v>20710227.886242948</v>
      </c>
      <c r="F114" s="54">
        <v>0</v>
      </c>
      <c r="G114" s="35">
        <v>-9881</v>
      </c>
      <c r="H114" s="35">
        <f t="shared" si="8"/>
        <v>-9881</v>
      </c>
      <c r="I114" s="35">
        <f t="shared" si="5"/>
        <v>0</v>
      </c>
      <c r="J114" s="35">
        <f t="shared" si="6"/>
        <v>1123.6384916349075</v>
      </c>
      <c r="K114" s="45">
        <f t="shared" si="9"/>
        <v>20699223.247751314</v>
      </c>
      <c r="L114" s="46"/>
    </row>
    <row r="115" spans="2:12" ht="14.65">
      <c r="B115" s="43">
        <v>45303</v>
      </c>
      <c r="C115" s="32" t="s">
        <v>27</v>
      </c>
      <c r="D115" s="47" t="s">
        <v>134</v>
      </c>
      <c r="E115" s="36">
        <f t="shared" si="7"/>
        <v>20699223.247751314</v>
      </c>
      <c r="F115" s="54">
        <v>0</v>
      </c>
      <c r="G115" s="35">
        <v>-2848</v>
      </c>
      <c r="H115" s="35">
        <f t="shared" si="8"/>
        <v>-2848</v>
      </c>
      <c r="I115" s="35">
        <f t="shared" si="5"/>
        <v>0</v>
      </c>
      <c r="J115" s="35">
        <f t="shared" si="6"/>
        <v>1123.0414322754621</v>
      </c>
      <c r="K115" s="45">
        <f t="shared" si="9"/>
        <v>20695252.206319038</v>
      </c>
      <c r="L115" s="46"/>
    </row>
    <row r="116" spans="2:12" ht="14.65">
      <c r="B116" s="43">
        <v>45304</v>
      </c>
      <c r="C116" s="32" t="s">
        <v>29</v>
      </c>
      <c r="D116" s="47" t="s">
        <v>134</v>
      </c>
      <c r="E116" s="36">
        <f t="shared" si="7"/>
        <v>20695252.206319038</v>
      </c>
      <c r="F116" s="54">
        <v>0</v>
      </c>
      <c r="G116" s="35">
        <v>-7923.94</v>
      </c>
      <c r="H116" s="35">
        <f t="shared" si="8"/>
        <v>-7923.94</v>
      </c>
      <c r="I116" s="35">
        <f t="shared" si="5"/>
        <v>0</v>
      </c>
      <c r="J116" s="35">
        <f t="shared" si="6"/>
        <v>2245.6519648978938</v>
      </c>
      <c r="K116" s="45">
        <f t="shared" si="9"/>
        <v>20685082.614354137</v>
      </c>
      <c r="L116" s="46"/>
    </row>
    <row r="117" spans="2:12" ht="14.65">
      <c r="B117" s="43">
        <v>45305</v>
      </c>
      <c r="C117" s="32" t="s">
        <v>29</v>
      </c>
      <c r="D117" s="47" t="s">
        <v>132</v>
      </c>
      <c r="E117" s="36">
        <f t="shared" si="7"/>
        <v>20685082.614354137</v>
      </c>
      <c r="F117" s="48">
        <v>17925.36</v>
      </c>
      <c r="G117" s="35">
        <v>0</v>
      </c>
      <c r="H117" s="35">
        <f t="shared" si="8"/>
        <v>17925.36</v>
      </c>
      <c r="I117" s="35">
        <f t="shared" si="5"/>
        <v>0</v>
      </c>
      <c r="J117" s="35">
        <f t="shared" si="6"/>
        <v>2244.548457487087</v>
      </c>
      <c r="K117" s="45">
        <f t="shared" si="9"/>
        <v>20700763.425896648</v>
      </c>
      <c r="L117" s="46"/>
    </row>
    <row r="118" spans="2:12" ht="14.65">
      <c r="B118" s="43">
        <v>45305</v>
      </c>
      <c r="C118" s="32" t="s">
        <v>29</v>
      </c>
      <c r="D118" s="47" t="s">
        <v>132</v>
      </c>
      <c r="E118" s="36">
        <f t="shared" si="7"/>
        <v>20700763.425896648</v>
      </c>
      <c r="F118" s="48">
        <v>13885.68</v>
      </c>
      <c r="G118" s="35">
        <v>0</v>
      </c>
      <c r="H118" s="35">
        <f t="shared" si="8"/>
        <v>13885.68</v>
      </c>
      <c r="I118" s="35">
        <f t="shared" si="5"/>
        <v>0</v>
      </c>
      <c r="J118" s="35">
        <f t="shared" si="6"/>
        <v>1123.124995018353</v>
      </c>
      <c r="K118" s="45">
        <f t="shared" si="9"/>
        <v>20713525.980901629</v>
      </c>
      <c r="L118" s="46"/>
    </row>
    <row r="119" spans="2:12" ht="14.65">
      <c r="B119" s="43">
        <v>45305</v>
      </c>
      <c r="C119" s="32" t="s">
        <v>25</v>
      </c>
      <c r="D119" s="47" t="s">
        <v>134</v>
      </c>
      <c r="E119" s="36">
        <f t="shared" si="7"/>
        <v>20713525.980901629</v>
      </c>
      <c r="F119" s="48">
        <v>0</v>
      </c>
      <c r="G119" s="35">
        <v>-9159.1</v>
      </c>
      <c r="H119" s="35">
        <f t="shared" si="8"/>
        <v>-9159.1</v>
      </c>
      <c r="I119" s="35">
        <f t="shared" si="5"/>
        <v>0</v>
      </c>
      <c r="J119" s="35">
        <f t="shared" si="6"/>
        <v>1123.8174305692303</v>
      </c>
      <c r="K119" s="45">
        <f t="shared" si="9"/>
        <v>20703243.063471057</v>
      </c>
      <c r="L119" s="46"/>
    </row>
    <row r="120" spans="2:12" ht="14.65">
      <c r="B120" s="43">
        <v>45305</v>
      </c>
      <c r="C120" s="32" t="s">
        <v>25</v>
      </c>
      <c r="D120" s="47" t="s">
        <v>134</v>
      </c>
      <c r="E120" s="36">
        <f t="shared" si="7"/>
        <v>20703243.063471057</v>
      </c>
      <c r="F120" s="48">
        <v>0</v>
      </c>
      <c r="G120" s="55">
        <v>-7841.78</v>
      </c>
      <c r="H120" s="35">
        <f t="shared" si="8"/>
        <v>-7841.78</v>
      </c>
      <c r="I120" s="35">
        <f t="shared" si="5"/>
        <v>0</v>
      </c>
      <c r="J120" s="35">
        <f t="shared" si="6"/>
        <v>1123.2595283629021</v>
      </c>
      <c r="K120" s="45">
        <f t="shared" si="9"/>
        <v>20694278.023942694</v>
      </c>
      <c r="L120" s="46"/>
    </row>
    <row r="121" spans="2:12" ht="14.65">
      <c r="B121" s="43">
        <v>45305</v>
      </c>
      <c r="C121" s="32" t="s">
        <v>27</v>
      </c>
      <c r="D121" s="47" t="s">
        <v>134</v>
      </c>
      <c r="E121" s="36">
        <f t="shared" si="7"/>
        <v>20694278.023942694</v>
      </c>
      <c r="F121" s="54">
        <v>0</v>
      </c>
      <c r="G121" s="56">
        <v>-12827</v>
      </c>
      <c r="H121" s="35">
        <f t="shared" si="8"/>
        <v>-12827</v>
      </c>
      <c r="I121" s="35">
        <f t="shared" si="5"/>
        <v>0</v>
      </c>
      <c r="J121" s="35">
        <f t="shared" si="6"/>
        <v>1122.7731279452714</v>
      </c>
      <c r="K121" s="45">
        <f t="shared" si="9"/>
        <v>20680328.250814747</v>
      </c>
      <c r="L121" s="46"/>
    </row>
    <row r="122" spans="2:12" ht="14.65">
      <c r="B122" s="43">
        <v>45305</v>
      </c>
      <c r="C122" s="32" t="s">
        <v>25</v>
      </c>
      <c r="D122" s="47" t="s">
        <v>134</v>
      </c>
      <c r="E122" s="36">
        <f t="shared" si="7"/>
        <v>20680328.250814747</v>
      </c>
      <c r="F122" s="48">
        <v>0</v>
      </c>
      <c r="G122" s="55">
        <v>-17443</v>
      </c>
      <c r="H122" s="35">
        <f t="shared" si="8"/>
        <v>-17443</v>
      </c>
      <c r="I122" s="35">
        <f t="shared" si="5"/>
        <v>0</v>
      </c>
      <c r="J122" s="35">
        <f t="shared" si="6"/>
        <v>1122.0162795840542</v>
      </c>
      <c r="K122" s="45">
        <f t="shared" si="9"/>
        <v>20661763.234535161</v>
      </c>
      <c r="L122" s="46"/>
    </row>
    <row r="123" spans="2:12" ht="14.65">
      <c r="B123" s="43">
        <v>45305</v>
      </c>
      <c r="C123" s="32" t="s">
        <v>25</v>
      </c>
      <c r="D123" s="47" t="s">
        <v>134</v>
      </c>
      <c r="E123" s="36">
        <f t="shared" si="7"/>
        <v>20661763.234535161</v>
      </c>
      <c r="F123" s="54">
        <v>0</v>
      </c>
      <c r="G123" s="35">
        <v>-17872</v>
      </c>
      <c r="H123" s="35">
        <f t="shared" si="8"/>
        <v>-17872</v>
      </c>
      <c r="I123" s="35">
        <f t="shared" si="5"/>
        <v>0</v>
      </c>
      <c r="J123" s="35">
        <f t="shared" si="6"/>
        <v>1121.0090300740947</v>
      </c>
      <c r="K123" s="45">
        <f t="shared" si="9"/>
        <v>20642770.225505088</v>
      </c>
      <c r="L123" s="46"/>
    </row>
    <row r="124" spans="2:12" ht="14.65">
      <c r="B124" s="43">
        <v>45305</v>
      </c>
      <c r="C124" s="32" t="s">
        <v>25</v>
      </c>
      <c r="D124" s="47" t="s">
        <v>134</v>
      </c>
      <c r="E124" s="36">
        <f t="shared" si="7"/>
        <v>20642770.225505088</v>
      </c>
      <c r="F124" s="54">
        <v>0</v>
      </c>
      <c r="G124" s="35">
        <v>-15414</v>
      </c>
      <c r="H124" s="35">
        <f t="shared" si="8"/>
        <v>-15414</v>
      </c>
      <c r="I124" s="35">
        <f t="shared" si="5"/>
        <v>0</v>
      </c>
      <c r="J124" s="35">
        <f t="shared" si="6"/>
        <v>1119.9785597125233</v>
      </c>
      <c r="K124" s="45">
        <f t="shared" si="9"/>
        <v>20626236.246945374</v>
      </c>
      <c r="L124" s="46"/>
    </row>
    <row r="125" spans="2:12" ht="14.65">
      <c r="B125" s="43">
        <v>45306</v>
      </c>
      <c r="C125" s="32" t="s">
        <v>25</v>
      </c>
      <c r="D125" s="47" t="s">
        <v>134</v>
      </c>
      <c r="E125" s="36">
        <f t="shared" si="7"/>
        <v>20626236.246945374</v>
      </c>
      <c r="F125" s="54">
        <v>0</v>
      </c>
      <c r="G125" s="35">
        <v>-6334</v>
      </c>
      <c r="H125" s="35">
        <f t="shared" si="8"/>
        <v>-6334</v>
      </c>
      <c r="I125" s="35">
        <f t="shared" si="5"/>
        <v>0</v>
      </c>
      <c r="J125" s="35">
        <f t="shared" si="6"/>
        <v>2238.1630093040371</v>
      </c>
      <c r="K125" s="45">
        <f t="shared" si="9"/>
        <v>20617664.083936069</v>
      </c>
      <c r="L125" s="46"/>
    </row>
    <row r="126" spans="2:12" ht="14.65">
      <c r="B126" s="43">
        <v>45306</v>
      </c>
      <c r="C126" s="32" t="s">
        <v>29</v>
      </c>
      <c r="D126" s="47" t="s">
        <v>134</v>
      </c>
      <c r="E126" s="36">
        <f t="shared" si="7"/>
        <v>20617664.083936069</v>
      </c>
      <c r="F126" s="54">
        <v>0</v>
      </c>
      <c r="G126" s="35">
        <v>-12410</v>
      </c>
      <c r="H126" s="35">
        <f t="shared" si="8"/>
        <v>-12410</v>
      </c>
      <c r="I126" s="35">
        <f t="shared" si="5"/>
        <v>0</v>
      </c>
      <c r="J126" s="35">
        <f t="shared" si="6"/>
        <v>1118.6164198462536</v>
      </c>
      <c r="K126" s="45">
        <f t="shared" si="9"/>
        <v>20604135.467516221</v>
      </c>
      <c r="L126" s="46"/>
    </row>
    <row r="127" spans="2:12" ht="14.65">
      <c r="B127" s="43">
        <v>45306</v>
      </c>
      <c r="C127" s="32" t="s">
        <v>29</v>
      </c>
      <c r="D127" s="47" t="s">
        <v>134</v>
      </c>
      <c r="E127" s="36">
        <f t="shared" si="7"/>
        <v>20604135.467516221</v>
      </c>
      <c r="F127" s="54">
        <v>0</v>
      </c>
      <c r="G127" s="35">
        <v>-10357</v>
      </c>
      <c r="H127" s="35">
        <f t="shared" si="8"/>
        <v>-10357</v>
      </c>
      <c r="I127" s="35">
        <f t="shared" si="5"/>
        <v>0</v>
      </c>
      <c r="J127" s="35">
        <f t="shared" si="6"/>
        <v>1117.8824214454921</v>
      </c>
      <c r="K127" s="45">
        <f t="shared" si="9"/>
        <v>20592660.585094776</v>
      </c>
      <c r="L127" s="46"/>
    </row>
    <row r="128" spans="2:12" ht="14.65">
      <c r="B128" s="43">
        <v>45306</v>
      </c>
      <c r="C128" s="32" t="s">
        <v>29</v>
      </c>
      <c r="D128" s="47" t="s">
        <v>134</v>
      </c>
      <c r="E128" s="36">
        <f t="shared" si="7"/>
        <v>20592660.585094776</v>
      </c>
      <c r="F128" s="54">
        <v>0</v>
      </c>
      <c r="G128" s="35">
        <v>-2877</v>
      </c>
      <c r="H128" s="35">
        <f t="shared" si="8"/>
        <v>-2877</v>
      </c>
      <c r="I128" s="35">
        <f t="shared" si="5"/>
        <v>0</v>
      </c>
      <c r="J128" s="35">
        <f t="shared" si="6"/>
        <v>1117.2598488863421</v>
      </c>
      <c r="K128" s="45">
        <f t="shared" si="9"/>
        <v>20588666.325245891</v>
      </c>
      <c r="L128" s="46"/>
    </row>
    <row r="129" spans="2:12" ht="14.65">
      <c r="B129" s="43">
        <v>45306</v>
      </c>
      <c r="C129" s="32" t="s">
        <v>25</v>
      </c>
      <c r="D129" s="47" t="s">
        <v>134</v>
      </c>
      <c r="E129" s="36">
        <f t="shared" si="7"/>
        <v>20588666.325245891</v>
      </c>
      <c r="F129" s="54">
        <v>0</v>
      </c>
      <c r="G129" s="35">
        <v>-3866</v>
      </c>
      <c r="H129" s="35">
        <f t="shared" si="8"/>
        <v>-3866</v>
      </c>
      <c r="I129" s="35">
        <f t="shared" si="5"/>
        <v>0</v>
      </c>
      <c r="J129" s="35">
        <f t="shared" si="6"/>
        <v>1117.043139338941</v>
      </c>
      <c r="K129" s="45">
        <f t="shared" si="9"/>
        <v>20583683.282106552</v>
      </c>
      <c r="L129" s="46"/>
    </row>
    <row r="130" spans="2:12">
      <c r="B130" s="43">
        <v>45307</v>
      </c>
      <c r="C130" s="32" t="s">
        <v>25</v>
      </c>
      <c r="D130" s="32" t="s">
        <v>132</v>
      </c>
      <c r="E130" s="36">
        <f t="shared" si="7"/>
        <v>20583683.282106552</v>
      </c>
      <c r="F130" s="46">
        <v>15986.25</v>
      </c>
      <c r="G130" s="36">
        <v>0</v>
      </c>
      <c r="H130" s="35">
        <f t="shared" si="8"/>
        <v>15986.25</v>
      </c>
      <c r="I130" s="35">
        <f t="shared" si="5"/>
        <v>0</v>
      </c>
      <c r="J130" s="35">
        <f t="shared" si="6"/>
        <v>2233.5455662233799</v>
      </c>
      <c r="K130" s="45">
        <f t="shared" si="9"/>
        <v>20597435.986540329</v>
      </c>
      <c r="L130" s="46"/>
    </row>
    <row r="131" spans="2:12">
      <c r="B131" s="43">
        <v>45307</v>
      </c>
      <c r="C131" s="32" t="s">
        <v>25</v>
      </c>
      <c r="D131" s="32" t="s">
        <v>132</v>
      </c>
      <c r="E131" s="36">
        <f t="shared" si="7"/>
        <v>20597435.986540329</v>
      </c>
      <c r="F131" s="46">
        <v>19592.25</v>
      </c>
      <c r="G131" s="36">
        <v>0</v>
      </c>
      <c r="H131" s="35">
        <f t="shared" si="8"/>
        <v>19592.25</v>
      </c>
      <c r="I131" s="35">
        <f t="shared" si="5"/>
        <v>0</v>
      </c>
      <c r="J131" s="35">
        <f t="shared" si="6"/>
        <v>1117.5189394625882</v>
      </c>
      <c r="K131" s="45">
        <f t="shared" si="9"/>
        <v>20615910.717600867</v>
      </c>
      <c r="L131" s="46">
        <v>0</v>
      </c>
    </row>
    <row r="132" spans="2:12" ht="15">
      <c r="B132" s="43">
        <v>45307</v>
      </c>
      <c r="C132" s="32" t="s">
        <v>25</v>
      </c>
      <c r="D132" s="32" t="s">
        <v>134</v>
      </c>
      <c r="E132" s="36">
        <f t="shared" si="7"/>
        <v>20615910.717600867</v>
      </c>
      <c r="F132" s="46">
        <v>0</v>
      </c>
      <c r="G132" s="57">
        <v>-4985.0600000000004</v>
      </c>
      <c r="H132" s="35">
        <f t="shared" si="8"/>
        <v>-4985.0600000000004</v>
      </c>
      <c r="I132" s="35">
        <f t="shared" si="5"/>
        <v>0</v>
      </c>
      <c r="J132" s="35">
        <f t="shared" si="6"/>
        <v>1118.5212905258525</v>
      </c>
      <c r="K132" s="45">
        <f t="shared" si="9"/>
        <v>20609807.136310343</v>
      </c>
      <c r="L132" s="30"/>
    </row>
    <row r="133" spans="2:12" ht="15">
      <c r="B133" s="43">
        <v>45307</v>
      </c>
      <c r="C133" s="32" t="s">
        <v>29</v>
      </c>
      <c r="D133" s="32" t="s">
        <v>134</v>
      </c>
      <c r="E133" s="36">
        <f t="shared" si="7"/>
        <v>20609807.136310343</v>
      </c>
      <c r="F133" s="36">
        <v>0</v>
      </c>
      <c r="G133" s="58">
        <v>-1879</v>
      </c>
      <c r="H133" s="35">
        <f t="shared" si="8"/>
        <v>-1879</v>
      </c>
      <c r="I133" s="35">
        <f t="shared" si="5"/>
        <v>0</v>
      </c>
      <c r="J133" s="35">
        <f t="shared" si="6"/>
        <v>1118.1901392264788</v>
      </c>
      <c r="K133" s="45">
        <f t="shared" si="9"/>
        <v>20606809.946171116</v>
      </c>
      <c r="L133" s="30"/>
    </row>
    <row r="134" spans="2:12">
      <c r="B134" s="43">
        <v>45307</v>
      </c>
      <c r="C134" s="32" t="s">
        <v>29</v>
      </c>
      <c r="D134" s="32" t="s">
        <v>134</v>
      </c>
      <c r="E134" s="36">
        <f t="shared" si="7"/>
        <v>20606809.946171116</v>
      </c>
      <c r="F134" s="36">
        <v>0</v>
      </c>
      <c r="G134" s="58">
        <v>-4861</v>
      </c>
      <c r="H134" s="35">
        <f t="shared" si="8"/>
        <v>-4861</v>
      </c>
      <c r="I134" s="35">
        <f t="shared" si="5"/>
        <v>0</v>
      </c>
      <c r="J134" s="35">
        <f t="shared" si="6"/>
        <v>1118.0275259406335</v>
      </c>
      <c r="K134" s="45">
        <f t="shared" si="9"/>
        <v>20600830.918645177</v>
      </c>
    </row>
    <row r="135" spans="2:12">
      <c r="B135" s="43">
        <v>45307</v>
      </c>
      <c r="C135" s="32" t="s">
        <v>29</v>
      </c>
      <c r="D135" s="32" t="s">
        <v>134</v>
      </c>
      <c r="E135" s="36">
        <f t="shared" si="7"/>
        <v>20600830.918645177</v>
      </c>
      <c r="F135" s="36">
        <v>0</v>
      </c>
      <c r="G135" s="58">
        <v>-14349</v>
      </c>
      <c r="H135" s="35">
        <f t="shared" si="8"/>
        <v>-14349</v>
      </c>
      <c r="I135" s="35">
        <f t="shared" si="5"/>
        <v>0</v>
      </c>
      <c r="J135" s="35">
        <f t="shared" si="6"/>
        <v>1117.7031323362951</v>
      </c>
      <c r="K135" s="45">
        <f t="shared" si="9"/>
        <v>20585364.215512842</v>
      </c>
    </row>
    <row r="136" spans="2:12">
      <c r="B136" s="43">
        <v>45307</v>
      </c>
      <c r="C136" s="32" t="s">
        <v>25</v>
      </c>
      <c r="D136" s="32" t="s">
        <v>134</v>
      </c>
      <c r="E136" s="36">
        <f t="shared" si="7"/>
        <v>20585364.215512842</v>
      </c>
      <c r="F136" s="36">
        <v>0</v>
      </c>
      <c r="G136" s="58">
        <v>-12046</v>
      </c>
      <c r="H136" s="35">
        <f t="shared" si="8"/>
        <v>-12046</v>
      </c>
      <c r="I136" s="35">
        <f t="shared" si="5"/>
        <v>0</v>
      </c>
      <c r="J136" s="35">
        <f t="shared" si="6"/>
        <v>1116.863982565774</v>
      </c>
      <c r="K136" s="45">
        <f t="shared" ref="K136:K199" si="10">E136+H136+I136-J136</f>
        <v>20572201.351530276</v>
      </c>
    </row>
    <row r="137" spans="2:12">
      <c r="B137" s="43">
        <v>45307</v>
      </c>
      <c r="C137" s="32" t="s">
        <v>29</v>
      </c>
      <c r="D137" s="32" t="s">
        <v>134</v>
      </c>
      <c r="E137" s="36">
        <f t="shared" si="7"/>
        <v>20572201.351530276</v>
      </c>
      <c r="F137" s="36">
        <v>0</v>
      </c>
      <c r="G137" s="58">
        <v>-7640</v>
      </c>
      <c r="H137" s="35">
        <f t="shared" si="8"/>
        <v>-7640</v>
      </c>
      <c r="I137" s="35">
        <f t="shared" si="5"/>
        <v>0</v>
      </c>
      <c r="J137" s="35">
        <f t="shared" si="6"/>
        <v>1116.1498281531713</v>
      </c>
      <c r="K137" s="45">
        <f t="shared" si="10"/>
        <v>20563445.201702122</v>
      </c>
    </row>
    <row r="138" spans="2:12">
      <c r="B138" s="43">
        <v>45308</v>
      </c>
      <c r="C138" s="32" t="s">
        <v>27</v>
      </c>
      <c r="D138" s="32" t="s">
        <v>132</v>
      </c>
      <c r="E138" s="36">
        <f t="shared" si="7"/>
        <v>20563445.201702122</v>
      </c>
      <c r="F138" s="36">
        <v>13738.06</v>
      </c>
      <c r="G138" s="58">
        <v>0</v>
      </c>
      <c r="H138" s="35">
        <f t="shared" si="8"/>
        <v>13738.06</v>
      </c>
      <c r="I138" s="35">
        <f t="shared" si="5"/>
        <v>0</v>
      </c>
      <c r="J138" s="35">
        <f t="shared" si="6"/>
        <v>2231.3495221948806</v>
      </c>
      <c r="K138" s="45">
        <f t="shared" si="10"/>
        <v>20574951.912179925</v>
      </c>
    </row>
    <row r="139" spans="2:12">
      <c r="B139" s="43">
        <v>45308</v>
      </c>
      <c r="C139" s="32" t="s">
        <v>25</v>
      </c>
      <c r="D139" s="32" t="s">
        <v>132</v>
      </c>
      <c r="E139" s="36">
        <f t="shared" si="7"/>
        <v>20574951.912179925</v>
      </c>
      <c r="F139" s="36">
        <v>16915.78</v>
      </c>
      <c r="G139" s="58">
        <v>0</v>
      </c>
      <c r="H139" s="35">
        <f t="shared" si="8"/>
        <v>16915.78</v>
      </c>
      <c r="I139" s="35">
        <f t="shared" si="5"/>
        <v>0</v>
      </c>
      <c r="J139" s="35">
        <f t="shared" si="6"/>
        <v>1116.2990604955917</v>
      </c>
      <c r="K139" s="45">
        <f t="shared" si="10"/>
        <v>20590751.393119428</v>
      </c>
    </row>
    <row r="140" spans="2:12">
      <c r="B140" s="43">
        <v>45308</v>
      </c>
      <c r="C140" s="32" t="s">
        <v>29</v>
      </c>
      <c r="D140" s="32" t="s">
        <v>132</v>
      </c>
      <c r="E140" s="36">
        <f t="shared" si="7"/>
        <v>20590751.393119428</v>
      </c>
      <c r="F140" s="36">
        <v>19324.71</v>
      </c>
      <c r="G140" s="58">
        <v>0</v>
      </c>
      <c r="H140" s="35">
        <f t="shared" si="8"/>
        <v>19324.71</v>
      </c>
      <c r="I140" s="35">
        <f t="shared" si="5"/>
        <v>0</v>
      </c>
      <c r="J140" s="35">
        <f t="shared" si="6"/>
        <v>1117.15626520763</v>
      </c>
      <c r="K140" s="45">
        <f t="shared" si="10"/>
        <v>20608958.946854223</v>
      </c>
    </row>
    <row r="141" spans="2:12">
      <c r="B141" s="43">
        <v>45308</v>
      </c>
      <c r="C141" s="32" t="s">
        <v>27</v>
      </c>
      <c r="D141" s="32" t="s">
        <v>132</v>
      </c>
      <c r="E141" s="36">
        <f t="shared" si="7"/>
        <v>20608958.946854223</v>
      </c>
      <c r="F141" s="36">
        <v>14776.7</v>
      </c>
      <c r="G141" s="58">
        <v>0</v>
      </c>
      <c r="H141" s="35">
        <f t="shared" si="8"/>
        <v>14776.7</v>
      </c>
      <c r="I141" s="35">
        <f t="shared" si="5"/>
        <v>0</v>
      </c>
      <c r="J141" s="35">
        <f t="shared" si="6"/>
        <v>1118.1441204995806</v>
      </c>
      <c r="K141" s="45">
        <f t="shared" si="10"/>
        <v>20622617.502733722</v>
      </c>
    </row>
    <row r="142" spans="2:12">
      <c r="B142" s="43">
        <v>45308</v>
      </c>
      <c r="C142" s="32" t="s">
        <v>25</v>
      </c>
      <c r="D142" s="32" t="s">
        <v>132</v>
      </c>
      <c r="E142" s="36">
        <f t="shared" si="7"/>
        <v>20622617.502733722</v>
      </c>
      <c r="F142" s="36">
        <v>15169.95</v>
      </c>
      <c r="G142" s="58">
        <v>0</v>
      </c>
      <c r="H142" s="35">
        <f t="shared" si="8"/>
        <v>15169.95</v>
      </c>
      <c r="I142" s="35">
        <f t="shared" si="5"/>
        <v>0</v>
      </c>
      <c r="J142" s="35">
        <f t="shared" si="6"/>
        <v>1118.8851687975834</v>
      </c>
      <c r="K142" s="45">
        <f t="shared" si="10"/>
        <v>20636668.567564923</v>
      </c>
    </row>
    <row r="143" spans="2:12">
      <c r="B143" s="43">
        <v>45308</v>
      </c>
      <c r="C143" s="32" t="s">
        <v>27</v>
      </c>
      <c r="D143" s="32" t="s">
        <v>134</v>
      </c>
      <c r="E143" s="36">
        <f t="shared" si="7"/>
        <v>20636668.567564923</v>
      </c>
      <c r="F143" s="36">
        <v>0</v>
      </c>
      <c r="G143" s="58">
        <v>-4084.95</v>
      </c>
      <c r="H143" s="35">
        <f t="shared" si="8"/>
        <v>-4084.95</v>
      </c>
      <c r="I143" s="35">
        <f t="shared" si="5"/>
        <v>0</v>
      </c>
      <c r="J143" s="35">
        <f t="shared" si="6"/>
        <v>1119.6475127649949</v>
      </c>
      <c r="K143" s="45">
        <f t="shared" si="10"/>
        <v>20631463.97005216</v>
      </c>
    </row>
    <row r="144" spans="2:12">
      <c r="B144" s="43">
        <v>45308</v>
      </c>
      <c r="C144" s="32" t="s">
        <v>25</v>
      </c>
      <c r="D144" s="32" t="s">
        <v>134</v>
      </c>
      <c r="E144" s="36">
        <f t="shared" si="7"/>
        <v>20631463.97005216</v>
      </c>
      <c r="F144" s="36">
        <v>0</v>
      </c>
      <c r="G144" s="58">
        <v>-3586.53</v>
      </c>
      <c r="H144" s="35">
        <f t="shared" si="8"/>
        <v>-3586.53</v>
      </c>
      <c r="I144" s="35">
        <f t="shared" si="5"/>
        <v>0</v>
      </c>
      <c r="J144" s="35">
        <f t="shared" si="6"/>
        <v>1119.3651360508936</v>
      </c>
      <c r="K144" s="45">
        <f t="shared" si="10"/>
        <v>20626758.074916109</v>
      </c>
    </row>
    <row r="145" spans="2:11">
      <c r="B145" s="43">
        <v>45308</v>
      </c>
      <c r="C145" s="32" t="s">
        <v>27</v>
      </c>
      <c r="D145" s="32" t="s">
        <v>134</v>
      </c>
      <c r="E145" s="36">
        <f t="shared" si="7"/>
        <v>20626758.074916109</v>
      </c>
      <c r="F145" s="36">
        <v>0</v>
      </c>
      <c r="G145" s="58">
        <v>-13181</v>
      </c>
      <c r="H145" s="35">
        <f t="shared" si="8"/>
        <v>-13181</v>
      </c>
      <c r="I145" s="35">
        <f t="shared" si="5"/>
        <v>0</v>
      </c>
      <c r="J145" s="35">
        <f t="shared" si="6"/>
        <v>1119.1098165565111</v>
      </c>
      <c r="K145" s="45">
        <f t="shared" si="10"/>
        <v>20612457.965099555</v>
      </c>
    </row>
    <row r="146" spans="2:11">
      <c r="B146" s="43">
        <v>45308</v>
      </c>
      <c r="C146" s="32" t="s">
        <v>25</v>
      </c>
      <c r="D146" s="32" t="s">
        <v>134</v>
      </c>
      <c r="E146" s="36">
        <f t="shared" si="7"/>
        <v>20612457.965099555</v>
      </c>
      <c r="F146" s="36">
        <v>0</v>
      </c>
      <c r="G146" s="58">
        <v>-16084</v>
      </c>
      <c r="H146" s="35">
        <f t="shared" si="8"/>
        <v>-16084</v>
      </c>
      <c r="I146" s="35">
        <f t="shared" si="5"/>
        <v>0</v>
      </c>
      <c r="J146" s="35">
        <f t="shared" si="6"/>
        <v>1118.3339605923591</v>
      </c>
      <c r="K146" s="45">
        <f t="shared" si="10"/>
        <v>20595255.631138962</v>
      </c>
    </row>
    <row r="147" spans="2:11">
      <c r="B147" s="43">
        <v>45308</v>
      </c>
      <c r="C147" s="32" t="s">
        <v>25</v>
      </c>
      <c r="D147" s="32" t="s">
        <v>134</v>
      </c>
      <c r="E147" s="36">
        <f t="shared" si="7"/>
        <v>20595255.631138962</v>
      </c>
      <c r="F147" s="36">
        <v>0</v>
      </c>
      <c r="G147" s="58">
        <v>-10579</v>
      </c>
      <c r="H147" s="35">
        <f t="shared" si="8"/>
        <v>-10579</v>
      </c>
      <c r="I147" s="35">
        <f t="shared" si="5"/>
        <v>0</v>
      </c>
      <c r="J147" s="35">
        <f t="shared" si="6"/>
        <v>1117.4006437457144</v>
      </c>
      <c r="K147" s="45">
        <f t="shared" si="10"/>
        <v>20583559.230495214</v>
      </c>
    </row>
    <row r="148" spans="2:11">
      <c r="B148" s="43">
        <v>45308</v>
      </c>
      <c r="C148" s="32" t="s">
        <v>25</v>
      </c>
      <c r="D148" s="32" t="s">
        <v>134</v>
      </c>
      <c r="E148" s="36">
        <f t="shared" si="7"/>
        <v>20583559.230495214</v>
      </c>
      <c r="F148" s="36">
        <v>0</v>
      </c>
      <c r="G148" s="58">
        <v>-12591</v>
      </c>
      <c r="H148" s="35">
        <f t="shared" si="8"/>
        <v>-12591</v>
      </c>
      <c r="I148" s="35">
        <f t="shared" ref="I148:I211" si="11">(($E148*Daily_Interest)*(_xlfn.DAYS(B148,B147)+1))+((IF(DAY($B147)&gt;Monthly_Cut_off_Date,0,Daily_Interest*H148))*(_xlfn.DAYS(B148,B147)+1))</f>
        <v>0</v>
      </c>
      <c r="J148" s="35">
        <f t="shared" ref="J148:J211" si="12">(($I148+E148)*Daily_Fees_Rate)*((_xlfn.DAYS(B148,B147)+1))</f>
        <v>1116.7660526611021</v>
      </c>
      <c r="K148" s="45">
        <f t="shared" si="10"/>
        <v>20569851.464442555</v>
      </c>
    </row>
    <row r="149" spans="2:11">
      <c r="B149" s="43">
        <v>45309</v>
      </c>
      <c r="C149" s="32" t="s">
        <v>25</v>
      </c>
      <c r="D149" s="32" t="s">
        <v>132</v>
      </c>
      <c r="E149" s="36">
        <f t="shared" ref="E149:E212" si="13">K148</f>
        <v>20569851.464442555</v>
      </c>
      <c r="F149" s="36">
        <v>16831.11</v>
      </c>
      <c r="G149" s="58">
        <v>0</v>
      </c>
      <c r="H149" s="35">
        <f t="shared" ref="H149:H212" si="14">SUM(F149:G149)</f>
        <v>16831.11</v>
      </c>
      <c r="I149" s="35">
        <f t="shared" si="11"/>
        <v>0</v>
      </c>
      <c r="J149" s="35">
        <f t="shared" si="12"/>
        <v>2232.0446689061787</v>
      </c>
      <c r="K149" s="45">
        <f t="shared" si="10"/>
        <v>20584450.529773649</v>
      </c>
    </row>
    <row r="150" spans="2:11">
      <c r="B150" s="43">
        <v>45309</v>
      </c>
      <c r="C150" s="32" t="s">
        <v>29</v>
      </c>
      <c r="D150" s="32" t="s">
        <v>132</v>
      </c>
      <c r="E150" s="36">
        <f t="shared" si="13"/>
        <v>20584450.529773649</v>
      </c>
      <c r="F150" s="36">
        <v>19146.48</v>
      </c>
      <c r="G150" s="58">
        <v>0</v>
      </c>
      <c r="H150" s="35">
        <f t="shared" si="14"/>
        <v>19146.48</v>
      </c>
      <c r="I150" s="35">
        <f t="shared" si="11"/>
        <v>0</v>
      </c>
      <c r="J150" s="35">
        <f t="shared" si="12"/>
        <v>1116.8144103219795</v>
      </c>
      <c r="K150" s="45">
        <f t="shared" si="10"/>
        <v>20602480.195363328</v>
      </c>
    </row>
    <row r="151" spans="2:11">
      <c r="B151" s="43">
        <v>45309</v>
      </c>
      <c r="C151" s="32" t="s">
        <v>29</v>
      </c>
      <c r="D151" s="32" t="s">
        <v>134</v>
      </c>
      <c r="E151" s="36">
        <f t="shared" si="13"/>
        <v>20602480.195363328</v>
      </c>
      <c r="F151" s="36">
        <v>0</v>
      </c>
      <c r="G151" s="58">
        <v>-15245</v>
      </c>
      <c r="H151" s="35">
        <f t="shared" si="14"/>
        <v>-15245</v>
      </c>
      <c r="I151" s="35">
        <f t="shared" si="11"/>
        <v>0</v>
      </c>
      <c r="J151" s="35">
        <f t="shared" si="12"/>
        <v>1117.7926142490028</v>
      </c>
      <c r="K151" s="45">
        <f t="shared" si="10"/>
        <v>20586117.40274908</v>
      </c>
    </row>
    <row r="152" spans="2:11">
      <c r="B152" s="43">
        <v>45309</v>
      </c>
      <c r="C152" s="32" t="s">
        <v>27</v>
      </c>
      <c r="D152" s="32" t="s">
        <v>134</v>
      </c>
      <c r="E152" s="36">
        <f t="shared" si="13"/>
        <v>20586117.40274908</v>
      </c>
      <c r="F152" s="36">
        <v>0</v>
      </c>
      <c r="G152" s="58">
        <v>-8843</v>
      </c>
      <c r="H152" s="35">
        <f t="shared" si="14"/>
        <v>-8843</v>
      </c>
      <c r="I152" s="35">
        <f t="shared" si="11"/>
        <v>0</v>
      </c>
      <c r="J152" s="35">
        <f t="shared" si="12"/>
        <v>1116.9048469239401</v>
      </c>
      <c r="K152" s="45">
        <f t="shared" si="10"/>
        <v>20576157.497902155</v>
      </c>
    </row>
    <row r="153" spans="2:11">
      <c r="B153" s="43">
        <v>45310</v>
      </c>
      <c r="C153" s="32" t="s">
        <v>25</v>
      </c>
      <c r="D153" s="32" t="s">
        <v>132</v>
      </c>
      <c r="E153" s="36">
        <f t="shared" si="13"/>
        <v>20576157.497902155</v>
      </c>
      <c r="F153" s="36">
        <v>16539.8</v>
      </c>
      <c r="G153" s="58">
        <v>0</v>
      </c>
      <c r="H153" s="35">
        <f t="shared" si="14"/>
        <v>16539.8</v>
      </c>
      <c r="I153" s="35">
        <f t="shared" si="11"/>
        <v>0</v>
      </c>
      <c r="J153" s="35">
        <f t="shared" si="12"/>
        <v>2232.7289396890656</v>
      </c>
      <c r="K153" s="45">
        <f t="shared" si="10"/>
        <v>20590464.568962466</v>
      </c>
    </row>
    <row r="154" spans="2:11">
      <c r="B154" s="43">
        <v>45310</v>
      </c>
      <c r="C154" s="32" t="s">
        <v>25</v>
      </c>
      <c r="D154" s="32" t="s">
        <v>132</v>
      </c>
      <c r="E154" s="36">
        <f t="shared" si="13"/>
        <v>20590464.568962466</v>
      </c>
      <c r="F154" s="36">
        <v>18296.330000000002</v>
      </c>
      <c r="G154" s="58">
        <v>0</v>
      </c>
      <c r="H154" s="35">
        <f t="shared" si="14"/>
        <v>18296.330000000002</v>
      </c>
      <c r="I154" s="35">
        <f t="shared" si="11"/>
        <v>0</v>
      </c>
      <c r="J154" s="35">
        <f t="shared" si="12"/>
        <v>1117.1407034926715</v>
      </c>
      <c r="K154" s="45">
        <f t="shared" si="10"/>
        <v>20607643.758258972</v>
      </c>
    </row>
    <row r="155" spans="2:11">
      <c r="B155" s="43">
        <v>45310</v>
      </c>
      <c r="C155" s="32" t="s">
        <v>25</v>
      </c>
      <c r="D155" s="32" t="s">
        <v>132</v>
      </c>
      <c r="E155" s="36">
        <f t="shared" si="13"/>
        <v>20607643.758258972</v>
      </c>
      <c r="F155" s="36">
        <v>17100.93</v>
      </c>
      <c r="G155" s="58">
        <v>0</v>
      </c>
      <c r="H155" s="35">
        <f t="shared" si="14"/>
        <v>17100.93</v>
      </c>
      <c r="I155" s="35">
        <f t="shared" si="11"/>
        <v>0</v>
      </c>
      <c r="J155" s="35">
        <f t="shared" si="12"/>
        <v>1118.0727646198916</v>
      </c>
      <c r="K155" s="45">
        <f t="shared" si="10"/>
        <v>20623626.615494352</v>
      </c>
    </row>
    <row r="156" spans="2:11">
      <c r="B156" s="43">
        <v>45310</v>
      </c>
      <c r="C156" s="32" t="s">
        <v>29</v>
      </c>
      <c r="D156" s="32" t="s">
        <v>132</v>
      </c>
      <c r="E156" s="36">
        <f t="shared" si="13"/>
        <v>20623626.615494352</v>
      </c>
      <c r="F156" s="36">
        <v>16936.45</v>
      </c>
      <c r="G156" s="58">
        <v>0</v>
      </c>
      <c r="H156" s="35">
        <f t="shared" si="14"/>
        <v>16936.45</v>
      </c>
      <c r="I156" s="35">
        <f t="shared" si="11"/>
        <v>0</v>
      </c>
      <c r="J156" s="35">
        <f t="shared" si="12"/>
        <v>1118.9399184578224</v>
      </c>
      <c r="K156" s="45">
        <f t="shared" si="10"/>
        <v>20639444.125575893</v>
      </c>
    </row>
    <row r="157" spans="2:11">
      <c r="B157" s="43">
        <v>45310</v>
      </c>
      <c r="C157" s="32" t="s">
        <v>29</v>
      </c>
      <c r="D157" s="32" t="s">
        <v>132</v>
      </c>
      <c r="E157" s="36">
        <f t="shared" si="13"/>
        <v>20639444.125575893</v>
      </c>
      <c r="F157" s="36">
        <v>16482.09</v>
      </c>
      <c r="G157" s="58">
        <v>0</v>
      </c>
      <c r="H157" s="35">
        <f t="shared" si="14"/>
        <v>16482.09</v>
      </c>
      <c r="I157" s="35">
        <f t="shared" si="11"/>
        <v>0</v>
      </c>
      <c r="J157" s="35">
        <f t="shared" si="12"/>
        <v>1119.7981013453825</v>
      </c>
      <c r="K157" s="45">
        <f t="shared" si="10"/>
        <v>20654806.417474546</v>
      </c>
    </row>
    <row r="158" spans="2:11">
      <c r="B158" s="43">
        <v>45310</v>
      </c>
      <c r="C158" s="32" t="s">
        <v>29</v>
      </c>
      <c r="D158" s="32" t="s">
        <v>132</v>
      </c>
      <c r="E158" s="36">
        <f t="shared" si="13"/>
        <v>20654806.417474546</v>
      </c>
      <c r="F158" s="36">
        <v>14107.31</v>
      </c>
      <c r="G158" s="58">
        <v>0</v>
      </c>
      <c r="H158" s="35">
        <f t="shared" si="14"/>
        <v>14107.31</v>
      </c>
      <c r="I158" s="35">
        <f t="shared" si="11"/>
        <v>0</v>
      </c>
      <c r="J158" s="35">
        <f t="shared" si="12"/>
        <v>1120.631586258821</v>
      </c>
      <c r="K158" s="45">
        <f t="shared" si="10"/>
        <v>20667793.095888287</v>
      </c>
    </row>
    <row r="159" spans="2:11">
      <c r="B159" s="43">
        <v>45310</v>
      </c>
      <c r="C159" s="32" t="s">
        <v>25</v>
      </c>
      <c r="D159" s="32" t="s">
        <v>132</v>
      </c>
      <c r="E159" s="36">
        <f t="shared" si="13"/>
        <v>20667793.095888287</v>
      </c>
      <c r="F159" s="36">
        <v>12288.28</v>
      </c>
      <c r="G159" s="58">
        <v>0</v>
      </c>
      <c r="H159" s="35">
        <f t="shared" si="14"/>
        <v>12288.28</v>
      </c>
      <c r="I159" s="35">
        <f t="shared" si="11"/>
        <v>0</v>
      </c>
      <c r="J159" s="35">
        <f t="shared" si="12"/>
        <v>1121.3361816801903</v>
      </c>
      <c r="K159" s="45">
        <f t="shared" si="10"/>
        <v>20678960.039706606</v>
      </c>
    </row>
    <row r="160" spans="2:11">
      <c r="B160" s="43">
        <v>45310</v>
      </c>
      <c r="C160" s="32" t="s">
        <v>25</v>
      </c>
      <c r="D160" s="32" t="s">
        <v>134</v>
      </c>
      <c r="E160" s="36">
        <f t="shared" si="13"/>
        <v>20678960.039706606</v>
      </c>
      <c r="F160" s="36">
        <v>0</v>
      </c>
      <c r="G160" s="58">
        <v>-3427.98</v>
      </c>
      <c r="H160" s="35">
        <f t="shared" si="14"/>
        <v>-3427.98</v>
      </c>
      <c r="I160" s="35">
        <f t="shared" si="11"/>
        <v>0</v>
      </c>
      <c r="J160" s="35">
        <f t="shared" si="12"/>
        <v>1121.9420469549286</v>
      </c>
      <c r="K160" s="45">
        <f t="shared" si="10"/>
        <v>20674410.117659651</v>
      </c>
    </row>
    <row r="161" spans="2:11">
      <c r="B161" s="43">
        <v>45310</v>
      </c>
      <c r="C161" s="32" t="s">
        <v>29</v>
      </c>
      <c r="D161" s="32" t="s">
        <v>134</v>
      </c>
      <c r="E161" s="36">
        <f t="shared" si="13"/>
        <v>20674410.117659651</v>
      </c>
      <c r="F161" s="36">
        <v>0</v>
      </c>
      <c r="G161" s="58">
        <v>-13591</v>
      </c>
      <c r="H161" s="35">
        <f t="shared" si="14"/>
        <v>-13591</v>
      </c>
      <c r="I161" s="35">
        <f t="shared" si="11"/>
        <v>0</v>
      </c>
      <c r="J161" s="35">
        <f t="shared" si="12"/>
        <v>1121.6951898187358</v>
      </c>
      <c r="K161" s="45">
        <f t="shared" si="10"/>
        <v>20659697.422469832</v>
      </c>
    </row>
    <row r="162" spans="2:11">
      <c r="B162" s="43">
        <v>45311</v>
      </c>
      <c r="C162" s="32" t="s">
        <v>29</v>
      </c>
      <c r="D162" s="32" t="s">
        <v>132</v>
      </c>
      <c r="E162" s="36">
        <f t="shared" si="13"/>
        <v>20659697.422469832</v>
      </c>
      <c r="F162" s="36">
        <v>21277.16</v>
      </c>
      <c r="G162" s="58">
        <v>0</v>
      </c>
      <c r="H162" s="35">
        <f t="shared" si="14"/>
        <v>21277.16</v>
      </c>
      <c r="I162" s="35">
        <f t="shared" si="11"/>
        <v>0</v>
      </c>
      <c r="J162" s="35">
        <f t="shared" si="12"/>
        <v>2241.7938978680022</v>
      </c>
      <c r="K162" s="45">
        <f t="shared" si="10"/>
        <v>20678732.788571965</v>
      </c>
    </row>
    <row r="163" spans="2:11">
      <c r="B163" s="43">
        <v>45311</v>
      </c>
      <c r="C163" s="32" t="s">
        <v>27</v>
      </c>
      <c r="D163" s="32" t="s">
        <v>132</v>
      </c>
      <c r="E163" s="36">
        <f t="shared" si="13"/>
        <v>20678732.788571965</v>
      </c>
      <c r="F163" s="36">
        <v>12697.96</v>
      </c>
      <c r="G163" s="58">
        <v>0</v>
      </c>
      <c r="H163" s="35">
        <f t="shared" si="14"/>
        <v>12697.96</v>
      </c>
      <c r="I163" s="35">
        <f t="shared" si="11"/>
        <v>0</v>
      </c>
      <c r="J163" s="35">
        <f t="shared" si="12"/>
        <v>1121.929717388902</v>
      </c>
      <c r="K163" s="45">
        <f t="shared" si="10"/>
        <v>20690308.818854578</v>
      </c>
    </row>
    <row r="164" spans="2:11">
      <c r="B164" s="43">
        <v>45311</v>
      </c>
      <c r="C164" s="32" t="s">
        <v>29</v>
      </c>
      <c r="D164" s="32" t="s">
        <v>132</v>
      </c>
      <c r="E164" s="36">
        <f t="shared" si="13"/>
        <v>20690308.818854578</v>
      </c>
      <c r="F164" s="36">
        <v>15702.64</v>
      </c>
      <c r="G164" s="58">
        <v>0</v>
      </c>
      <c r="H164" s="35">
        <f t="shared" si="14"/>
        <v>15702.64</v>
      </c>
      <c r="I164" s="35">
        <f t="shared" si="11"/>
        <v>0</v>
      </c>
      <c r="J164" s="35">
        <f t="shared" si="12"/>
        <v>1122.5577777500587</v>
      </c>
      <c r="K164" s="45">
        <f t="shared" si="10"/>
        <v>20704888.901076827</v>
      </c>
    </row>
    <row r="165" spans="2:11">
      <c r="B165" s="43">
        <v>45311</v>
      </c>
      <c r="C165" s="32" t="s">
        <v>27</v>
      </c>
      <c r="D165" s="32" t="s">
        <v>132</v>
      </c>
      <c r="E165" s="36">
        <f t="shared" si="13"/>
        <v>20704888.901076827</v>
      </c>
      <c r="F165" s="36">
        <v>16320.04</v>
      </c>
      <c r="G165" s="58">
        <v>0</v>
      </c>
      <c r="H165" s="35">
        <f t="shared" si="14"/>
        <v>16320.04</v>
      </c>
      <c r="I165" s="35">
        <f t="shared" si="11"/>
        <v>0</v>
      </c>
      <c r="J165" s="35">
        <f t="shared" si="12"/>
        <v>1123.3488236857245</v>
      </c>
      <c r="K165" s="45">
        <f t="shared" si="10"/>
        <v>20720085.592253141</v>
      </c>
    </row>
    <row r="166" spans="2:11">
      <c r="B166" s="43">
        <v>45311</v>
      </c>
      <c r="C166" s="32" t="s">
        <v>27</v>
      </c>
      <c r="D166" s="32" t="s">
        <v>132</v>
      </c>
      <c r="E166" s="36">
        <f t="shared" si="13"/>
        <v>20720085.592253141</v>
      </c>
      <c r="F166" s="36">
        <v>18743.23</v>
      </c>
      <c r="G166" s="58">
        <v>0</v>
      </c>
      <c r="H166" s="35">
        <f t="shared" si="14"/>
        <v>18743.23</v>
      </c>
      <c r="I166" s="35">
        <f t="shared" si="11"/>
        <v>0</v>
      </c>
      <c r="J166" s="35">
        <f t="shared" si="12"/>
        <v>1124.173323891371</v>
      </c>
      <c r="K166" s="45">
        <f t="shared" si="10"/>
        <v>20737704.648929249</v>
      </c>
    </row>
    <row r="167" spans="2:11">
      <c r="B167" s="43">
        <v>45311</v>
      </c>
      <c r="C167" s="32" t="s">
        <v>25</v>
      </c>
      <c r="D167" s="32" t="s">
        <v>134</v>
      </c>
      <c r="E167" s="36">
        <f t="shared" si="13"/>
        <v>20737704.648929249</v>
      </c>
      <c r="F167" s="36">
        <v>0</v>
      </c>
      <c r="G167" s="58">
        <v>-2110</v>
      </c>
      <c r="H167" s="35">
        <f t="shared" si="14"/>
        <v>-2110</v>
      </c>
      <c r="I167" s="35">
        <f t="shared" si="11"/>
        <v>0</v>
      </c>
      <c r="J167" s="35">
        <f t="shared" si="12"/>
        <v>1125.1292501311166</v>
      </c>
      <c r="K167" s="45">
        <f t="shared" si="10"/>
        <v>20734469.519679118</v>
      </c>
    </row>
    <row r="168" spans="2:11">
      <c r="B168" s="43">
        <v>45312</v>
      </c>
      <c r="C168" s="32" t="s">
        <v>25</v>
      </c>
      <c r="D168" s="32" t="s">
        <v>132</v>
      </c>
      <c r="E168" s="36">
        <f t="shared" si="13"/>
        <v>20734469.519679118</v>
      </c>
      <c r="F168" s="36">
        <v>17773.900000000001</v>
      </c>
      <c r="G168" s="58">
        <v>0</v>
      </c>
      <c r="H168" s="35">
        <f t="shared" si="14"/>
        <v>17773.900000000001</v>
      </c>
      <c r="I168" s="35">
        <f t="shared" si="11"/>
        <v>0</v>
      </c>
      <c r="J168" s="35">
        <f t="shared" si="12"/>
        <v>2249.9074548009444</v>
      </c>
      <c r="K168" s="45">
        <f t="shared" si="10"/>
        <v>20749993.512224317</v>
      </c>
    </row>
    <row r="169" spans="2:11">
      <c r="B169" s="43">
        <v>45312</v>
      </c>
      <c r="C169" s="32" t="s">
        <v>27</v>
      </c>
      <c r="D169" s="32" t="s">
        <v>132</v>
      </c>
      <c r="E169" s="36">
        <f t="shared" si="13"/>
        <v>20749993.512224317</v>
      </c>
      <c r="F169" s="36">
        <v>13835.47</v>
      </c>
      <c r="G169" s="58">
        <v>0</v>
      </c>
      <c r="H169" s="35">
        <f t="shared" si="14"/>
        <v>13835.47</v>
      </c>
      <c r="I169" s="35">
        <f t="shared" si="11"/>
        <v>0</v>
      </c>
      <c r="J169" s="35">
        <f t="shared" si="12"/>
        <v>1125.7959854221342</v>
      </c>
      <c r="K169" s="45">
        <f t="shared" si="10"/>
        <v>20762703.186238892</v>
      </c>
    </row>
    <row r="170" spans="2:11">
      <c r="B170" s="43">
        <v>45312</v>
      </c>
      <c r="C170" s="32" t="s">
        <v>27</v>
      </c>
      <c r="D170" s="32" t="s">
        <v>132</v>
      </c>
      <c r="E170" s="36">
        <f t="shared" si="13"/>
        <v>20762703.186238892</v>
      </c>
      <c r="F170" s="36">
        <v>7338.24</v>
      </c>
      <c r="G170" s="58">
        <v>0</v>
      </c>
      <c r="H170" s="35">
        <f t="shared" si="14"/>
        <v>7338.24</v>
      </c>
      <c r="I170" s="35">
        <f t="shared" si="11"/>
        <v>0</v>
      </c>
      <c r="J170" s="35">
        <f t="shared" si="12"/>
        <v>1126.485551901912</v>
      </c>
      <c r="K170" s="45">
        <f t="shared" si="10"/>
        <v>20768914.94068699</v>
      </c>
    </row>
    <row r="171" spans="2:11">
      <c r="B171" s="43">
        <v>45312</v>
      </c>
      <c r="C171" s="32" t="s">
        <v>27</v>
      </c>
      <c r="D171" s="32" t="s">
        <v>132</v>
      </c>
      <c r="E171" s="36">
        <f t="shared" si="13"/>
        <v>20768914.94068699</v>
      </c>
      <c r="F171" s="36">
        <v>13193.36</v>
      </c>
      <c r="G171" s="58">
        <v>0</v>
      </c>
      <c r="H171" s="35">
        <f t="shared" si="14"/>
        <v>13193.36</v>
      </c>
      <c r="I171" s="35">
        <f t="shared" si="11"/>
        <v>0</v>
      </c>
      <c r="J171" s="35">
        <f t="shared" si="12"/>
        <v>1126.8225721624713</v>
      </c>
      <c r="K171" s="45">
        <f t="shared" si="10"/>
        <v>20780981.478114825</v>
      </c>
    </row>
    <row r="172" spans="2:11">
      <c r="B172" s="43">
        <v>45313</v>
      </c>
      <c r="C172" s="32" t="s">
        <v>27</v>
      </c>
      <c r="D172" s="32" t="s">
        <v>132</v>
      </c>
      <c r="E172" s="36">
        <f t="shared" si="13"/>
        <v>20780981.478114825</v>
      </c>
      <c r="F172" s="36">
        <v>15073.53</v>
      </c>
      <c r="G172" s="58">
        <v>0</v>
      </c>
      <c r="H172" s="35">
        <f t="shared" si="14"/>
        <v>15073.53</v>
      </c>
      <c r="I172" s="35">
        <f t="shared" si="11"/>
        <v>0</v>
      </c>
      <c r="J172" s="35">
        <f t="shared" si="12"/>
        <v>2254.9544902181065</v>
      </c>
      <c r="K172" s="45">
        <f t="shared" si="10"/>
        <v>20793800.053624608</v>
      </c>
    </row>
    <row r="173" spans="2:11">
      <c r="B173" s="43">
        <v>45313</v>
      </c>
      <c r="C173" s="32" t="s">
        <v>25</v>
      </c>
      <c r="D173" s="32" t="s">
        <v>132</v>
      </c>
      <c r="E173" s="36">
        <f t="shared" si="13"/>
        <v>20793800.053624608</v>
      </c>
      <c r="F173" s="36">
        <v>14342.7</v>
      </c>
      <c r="G173" s="58">
        <v>0</v>
      </c>
      <c r="H173" s="35">
        <f t="shared" si="14"/>
        <v>14342.7</v>
      </c>
      <c r="I173" s="35">
        <f t="shared" si="11"/>
        <v>0</v>
      </c>
      <c r="J173" s="35">
        <f t="shared" si="12"/>
        <v>1128.1727200661535</v>
      </c>
      <c r="K173" s="45">
        <f t="shared" si="10"/>
        <v>20807014.58090454</v>
      </c>
    </row>
    <row r="174" spans="2:11">
      <c r="B174" s="43">
        <v>45313</v>
      </c>
      <c r="C174" s="32" t="s">
        <v>27</v>
      </c>
      <c r="D174" s="32" t="s">
        <v>132</v>
      </c>
      <c r="E174" s="36">
        <f t="shared" si="13"/>
        <v>20807014.58090454</v>
      </c>
      <c r="F174" s="36">
        <v>13407.39</v>
      </c>
      <c r="G174" s="58">
        <v>0</v>
      </c>
      <c r="H174" s="35">
        <f t="shared" si="14"/>
        <v>13407.39</v>
      </c>
      <c r="I174" s="35">
        <f t="shared" si="11"/>
        <v>0</v>
      </c>
      <c r="J174" s="35">
        <f t="shared" si="12"/>
        <v>1128.8896774836212</v>
      </c>
      <c r="K174" s="45">
        <f t="shared" si="10"/>
        <v>20819293.081227057</v>
      </c>
    </row>
    <row r="175" spans="2:11">
      <c r="B175" s="43">
        <v>45313</v>
      </c>
      <c r="C175" s="32" t="s">
        <v>25</v>
      </c>
      <c r="D175" s="32" t="s">
        <v>132</v>
      </c>
      <c r="E175" s="36">
        <f t="shared" si="13"/>
        <v>20819293.081227057</v>
      </c>
      <c r="F175" s="36">
        <v>16424.09</v>
      </c>
      <c r="G175" s="58">
        <v>0</v>
      </c>
      <c r="H175" s="35">
        <f t="shared" si="14"/>
        <v>16424.09</v>
      </c>
      <c r="I175" s="35">
        <f t="shared" si="11"/>
        <v>0</v>
      </c>
      <c r="J175" s="35">
        <f t="shared" si="12"/>
        <v>1129.5558505290226</v>
      </c>
      <c r="K175" s="45">
        <f t="shared" si="10"/>
        <v>20834587.615376528</v>
      </c>
    </row>
    <row r="176" spans="2:11">
      <c r="B176" s="43">
        <v>45313</v>
      </c>
      <c r="C176" s="32" t="s">
        <v>27</v>
      </c>
      <c r="D176" s="32" t="s">
        <v>132</v>
      </c>
      <c r="E176" s="36">
        <f t="shared" si="13"/>
        <v>20834587.615376528</v>
      </c>
      <c r="F176" s="36">
        <v>17167.14</v>
      </c>
      <c r="G176" s="58">
        <v>0</v>
      </c>
      <c r="H176" s="35">
        <f t="shared" si="14"/>
        <v>17167.14</v>
      </c>
      <c r="I176" s="35">
        <f t="shared" si="11"/>
        <v>0</v>
      </c>
      <c r="J176" s="35">
        <f t="shared" si="12"/>
        <v>1130.3856592291665</v>
      </c>
      <c r="K176" s="45">
        <f t="shared" si="10"/>
        <v>20850624.3697173</v>
      </c>
    </row>
    <row r="177" spans="2:11">
      <c r="B177" s="43">
        <v>45313</v>
      </c>
      <c r="C177" s="32" t="s">
        <v>27</v>
      </c>
      <c r="D177" s="32" t="s">
        <v>134</v>
      </c>
      <c r="E177" s="36">
        <f t="shared" si="13"/>
        <v>20850624.3697173</v>
      </c>
      <c r="F177" s="36">
        <v>0</v>
      </c>
      <c r="G177" s="58">
        <v>-3893.94</v>
      </c>
      <c r="H177" s="35">
        <f t="shared" si="14"/>
        <v>-3893.94</v>
      </c>
      <c r="I177" s="35">
        <f t="shared" si="11"/>
        <v>0</v>
      </c>
      <c r="J177" s="35">
        <f t="shared" si="12"/>
        <v>1131.2557372677647</v>
      </c>
      <c r="K177" s="45">
        <f t="shared" si="10"/>
        <v>20845599.173980031</v>
      </c>
    </row>
    <row r="178" spans="2:11">
      <c r="B178" s="43">
        <v>45313</v>
      </c>
      <c r="C178" s="32" t="s">
        <v>27</v>
      </c>
      <c r="D178" s="32" t="s">
        <v>134</v>
      </c>
      <c r="E178" s="36">
        <f t="shared" si="13"/>
        <v>20845599.173980031</v>
      </c>
      <c r="F178" s="36">
        <v>0</v>
      </c>
      <c r="G178" s="58">
        <v>-12770</v>
      </c>
      <c r="H178" s="35">
        <f t="shared" si="14"/>
        <v>-12770</v>
      </c>
      <c r="I178" s="35">
        <f t="shared" si="11"/>
        <v>0</v>
      </c>
      <c r="J178" s="35">
        <f t="shared" si="12"/>
        <v>1130.9830940409781</v>
      </c>
      <c r="K178" s="45">
        <f t="shared" si="10"/>
        <v>20831698.190885991</v>
      </c>
    </row>
    <row r="179" spans="2:11">
      <c r="B179" s="43">
        <v>45313</v>
      </c>
      <c r="C179" s="32" t="s">
        <v>29</v>
      </c>
      <c r="D179" s="32" t="s">
        <v>134</v>
      </c>
      <c r="E179" s="36">
        <f t="shared" si="13"/>
        <v>20831698.190885991</v>
      </c>
      <c r="F179" s="36">
        <v>0</v>
      </c>
      <c r="G179" s="58">
        <v>-5587</v>
      </c>
      <c r="H179" s="35">
        <f t="shared" si="14"/>
        <v>-5587</v>
      </c>
      <c r="I179" s="35">
        <f t="shared" si="11"/>
        <v>0</v>
      </c>
      <c r="J179" s="35">
        <f t="shared" si="12"/>
        <v>1130.2288927950128</v>
      </c>
      <c r="K179" s="45">
        <f t="shared" si="10"/>
        <v>20824980.961993195</v>
      </c>
    </row>
    <row r="180" spans="2:11">
      <c r="B180" s="43">
        <v>45313</v>
      </c>
      <c r="C180" s="32" t="s">
        <v>29</v>
      </c>
      <c r="D180" s="32" t="s">
        <v>134</v>
      </c>
      <c r="E180" s="36">
        <f t="shared" si="13"/>
        <v>20824980.961993195</v>
      </c>
      <c r="F180" s="36">
        <v>0</v>
      </c>
      <c r="G180" s="58">
        <v>-12406</v>
      </c>
      <c r="H180" s="35">
        <f t="shared" si="14"/>
        <v>-12406</v>
      </c>
      <c r="I180" s="35">
        <f t="shared" si="11"/>
        <v>0</v>
      </c>
      <c r="J180" s="35">
        <f t="shared" si="12"/>
        <v>1129.8644478945257</v>
      </c>
      <c r="K180" s="45">
        <f t="shared" si="10"/>
        <v>20811445.0975453</v>
      </c>
    </row>
    <row r="181" spans="2:11">
      <c r="B181" s="43">
        <v>45314</v>
      </c>
      <c r="C181" s="32" t="s">
        <v>25</v>
      </c>
      <c r="D181" s="32" t="s">
        <v>132</v>
      </c>
      <c r="E181" s="36">
        <f t="shared" si="13"/>
        <v>20811445.0975453</v>
      </c>
      <c r="F181" s="36">
        <v>15801.15</v>
      </c>
      <c r="G181" s="58">
        <v>0</v>
      </c>
      <c r="H181" s="35">
        <f t="shared" si="14"/>
        <v>15801.15</v>
      </c>
      <c r="I181" s="35">
        <f t="shared" si="11"/>
        <v>0</v>
      </c>
      <c r="J181" s="35">
        <f t="shared" si="12"/>
        <v>2258.2601125004512</v>
      </c>
      <c r="K181" s="45">
        <f t="shared" si="10"/>
        <v>20824987.987432797</v>
      </c>
    </row>
    <row r="182" spans="2:11">
      <c r="B182" s="43">
        <v>45314</v>
      </c>
      <c r="C182" s="32" t="s">
        <v>27</v>
      </c>
      <c r="D182" s="32" t="s">
        <v>132</v>
      </c>
      <c r="E182" s="36">
        <f t="shared" si="13"/>
        <v>20824987.987432797</v>
      </c>
      <c r="F182" s="36">
        <v>10966.65</v>
      </c>
      <c r="G182" s="58">
        <v>0</v>
      </c>
      <c r="H182" s="35">
        <f t="shared" si="14"/>
        <v>10966.65</v>
      </c>
      <c r="I182" s="35">
        <f t="shared" si="11"/>
        <v>0</v>
      </c>
      <c r="J182" s="35">
        <f t="shared" si="12"/>
        <v>1129.8648290614738</v>
      </c>
      <c r="K182" s="45">
        <f t="shared" si="10"/>
        <v>20834824.772603735</v>
      </c>
    </row>
    <row r="183" spans="2:11">
      <c r="B183" s="43">
        <v>45314</v>
      </c>
      <c r="C183" s="32" t="s">
        <v>29</v>
      </c>
      <c r="D183" s="32" t="s">
        <v>132</v>
      </c>
      <c r="E183" s="36">
        <f t="shared" si="13"/>
        <v>20834824.772603735</v>
      </c>
      <c r="F183" s="36">
        <v>13086.78</v>
      </c>
      <c r="G183" s="58">
        <v>0</v>
      </c>
      <c r="H183" s="35">
        <f t="shared" si="14"/>
        <v>13086.78</v>
      </c>
      <c r="I183" s="35">
        <f t="shared" si="11"/>
        <v>0</v>
      </c>
      <c r="J183" s="35">
        <f t="shared" si="12"/>
        <v>1130.3985262526742</v>
      </c>
      <c r="K183" s="45">
        <f t="shared" si="10"/>
        <v>20846781.154077485</v>
      </c>
    </row>
    <row r="184" spans="2:11">
      <c r="B184" s="43">
        <v>45314</v>
      </c>
      <c r="C184" s="32" t="s">
        <v>25</v>
      </c>
      <c r="D184" s="32" t="s">
        <v>132</v>
      </c>
      <c r="E184" s="36">
        <f t="shared" si="13"/>
        <v>20846781.154077485</v>
      </c>
      <c r="F184" s="36">
        <v>12304.6</v>
      </c>
      <c r="G184" s="58">
        <v>0</v>
      </c>
      <c r="H184" s="35">
        <f t="shared" si="14"/>
        <v>12304.6</v>
      </c>
      <c r="I184" s="35">
        <f t="shared" si="11"/>
        <v>0</v>
      </c>
      <c r="J184" s="35">
        <f t="shared" si="12"/>
        <v>1131.0472226609595</v>
      </c>
      <c r="K184" s="45">
        <f t="shared" si="10"/>
        <v>20857954.706854824</v>
      </c>
    </row>
    <row r="185" spans="2:11">
      <c r="B185" s="43">
        <v>45314</v>
      </c>
      <c r="C185" s="32" t="s">
        <v>25</v>
      </c>
      <c r="D185" s="32" t="s">
        <v>132</v>
      </c>
      <c r="E185" s="36">
        <f t="shared" si="13"/>
        <v>20857954.706854824</v>
      </c>
      <c r="F185" s="36">
        <v>18905.22</v>
      </c>
      <c r="G185" s="58">
        <v>0</v>
      </c>
      <c r="H185" s="35">
        <f t="shared" si="14"/>
        <v>18905.22</v>
      </c>
      <c r="I185" s="35">
        <f t="shared" si="11"/>
        <v>0</v>
      </c>
      <c r="J185" s="35">
        <f t="shared" si="12"/>
        <v>1131.6534465063896</v>
      </c>
      <c r="K185" s="45">
        <f t="shared" si="10"/>
        <v>20875728.273408316</v>
      </c>
    </row>
    <row r="186" spans="2:11">
      <c r="B186" s="43">
        <v>45314</v>
      </c>
      <c r="C186" s="32" t="s">
        <v>25</v>
      </c>
      <c r="D186" s="32" t="s">
        <v>132</v>
      </c>
      <c r="E186" s="36">
        <f t="shared" si="13"/>
        <v>20875728.273408316</v>
      </c>
      <c r="F186" s="36">
        <v>7911.2</v>
      </c>
      <c r="G186" s="58">
        <v>0</v>
      </c>
      <c r="H186" s="35">
        <f t="shared" si="14"/>
        <v>7911.2</v>
      </c>
      <c r="I186" s="35">
        <f t="shared" si="11"/>
        <v>0</v>
      </c>
      <c r="J186" s="35">
        <f t="shared" si="12"/>
        <v>1132.6177557174149</v>
      </c>
      <c r="K186" s="45">
        <f t="shared" si="10"/>
        <v>20882506.855652597</v>
      </c>
    </row>
    <row r="187" spans="2:11">
      <c r="B187" s="43">
        <v>45314</v>
      </c>
      <c r="C187" s="32" t="s">
        <v>29</v>
      </c>
      <c r="D187" s="32" t="s">
        <v>134</v>
      </c>
      <c r="E187" s="36">
        <f t="shared" si="13"/>
        <v>20882506.855652597</v>
      </c>
      <c r="F187" s="36">
        <v>0</v>
      </c>
      <c r="G187" s="58">
        <v>-6441</v>
      </c>
      <c r="H187" s="35">
        <f t="shared" si="14"/>
        <v>-6441</v>
      </c>
      <c r="I187" s="35">
        <f t="shared" si="11"/>
        <v>0</v>
      </c>
      <c r="J187" s="35">
        <f t="shared" si="12"/>
        <v>1132.9855293590292</v>
      </c>
      <c r="K187" s="45">
        <f t="shared" si="10"/>
        <v>20874932.870123237</v>
      </c>
    </row>
    <row r="188" spans="2:11">
      <c r="B188" s="43">
        <v>45314</v>
      </c>
      <c r="C188" s="32" t="s">
        <v>29</v>
      </c>
      <c r="D188" s="32" t="s">
        <v>134</v>
      </c>
      <c r="E188" s="36">
        <f t="shared" si="13"/>
        <v>20874932.870123237</v>
      </c>
      <c r="F188" s="36">
        <v>0</v>
      </c>
      <c r="G188" s="58">
        <v>-3849</v>
      </c>
      <c r="H188" s="35">
        <f t="shared" si="14"/>
        <v>-3849</v>
      </c>
      <c r="I188" s="35">
        <f t="shared" si="11"/>
        <v>0</v>
      </c>
      <c r="J188" s="35">
        <f t="shared" si="12"/>
        <v>1132.5746009171685</v>
      </c>
      <c r="K188" s="45">
        <f t="shared" si="10"/>
        <v>20869951.295522321</v>
      </c>
    </row>
    <row r="189" spans="2:11">
      <c r="B189" s="43">
        <v>45315</v>
      </c>
      <c r="C189" s="32" t="s">
        <v>29</v>
      </c>
      <c r="D189" s="32" t="s">
        <v>132</v>
      </c>
      <c r="E189" s="36">
        <f t="shared" si="13"/>
        <v>20869951.295522321</v>
      </c>
      <c r="F189" s="36">
        <v>10180.66</v>
      </c>
      <c r="G189" s="58">
        <v>0</v>
      </c>
      <c r="H189" s="35">
        <f t="shared" si="14"/>
        <v>10180.66</v>
      </c>
      <c r="I189" s="35">
        <f t="shared" si="11"/>
        <v>0</v>
      </c>
      <c r="J189" s="35">
        <f t="shared" si="12"/>
        <v>2264.6086487316588</v>
      </c>
      <c r="K189" s="45">
        <f t="shared" si="10"/>
        <v>20877867.346873589</v>
      </c>
    </row>
    <row r="190" spans="2:11">
      <c r="B190" s="43">
        <v>45315</v>
      </c>
      <c r="C190" s="32" t="s">
        <v>27</v>
      </c>
      <c r="D190" s="32" t="s">
        <v>132</v>
      </c>
      <c r="E190" s="36">
        <f t="shared" si="13"/>
        <v>20877867.346873589</v>
      </c>
      <c r="F190" s="36">
        <v>11266.04</v>
      </c>
      <c r="G190" s="58">
        <v>0</v>
      </c>
      <c r="H190" s="35">
        <f t="shared" si="14"/>
        <v>11266.04</v>
      </c>
      <c r="I190" s="35">
        <f t="shared" si="11"/>
        <v>0</v>
      </c>
      <c r="J190" s="35">
        <f t="shared" si="12"/>
        <v>1132.7338116727244</v>
      </c>
      <c r="K190" s="45">
        <f t="shared" si="10"/>
        <v>20888000.653061915</v>
      </c>
    </row>
    <row r="191" spans="2:11">
      <c r="B191" s="43">
        <v>45315</v>
      </c>
      <c r="C191" s="32" t="s">
        <v>29</v>
      </c>
      <c r="D191" s="32" t="s">
        <v>132</v>
      </c>
      <c r="E191" s="36">
        <f t="shared" si="13"/>
        <v>20888000.653061915</v>
      </c>
      <c r="F191" s="36">
        <v>20256.810000000001</v>
      </c>
      <c r="G191" s="58">
        <v>0</v>
      </c>
      <c r="H191" s="35">
        <f t="shared" si="14"/>
        <v>20256.810000000001</v>
      </c>
      <c r="I191" s="35">
        <f t="shared" si="11"/>
        <v>0</v>
      </c>
      <c r="J191" s="35">
        <f t="shared" si="12"/>
        <v>1133.2835966844234</v>
      </c>
      <c r="K191" s="45">
        <f t="shared" si="10"/>
        <v>20907124.179465231</v>
      </c>
    </row>
    <row r="192" spans="2:11">
      <c r="B192" s="43">
        <v>45315</v>
      </c>
      <c r="C192" s="32" t="s">
        <v>27</v>
      </c>
      <c r="D192" s="32" t="s">
        <v>132</v>
      </c>
      <c r="E192" s="36">
        <f t="shared" si="13"/>
        <v>20907124.179465231</v>
      </c>
      <c r="F192" s="36">
        <v>18326.11</v>
      </c>
      <c r="G192" s="58">
        <v>0</v>
      </c>
      <c r="H192" s="35">
        <f t="shared" si="14"/>
        <v>18326.11</v>
      </c>
      <c r="I192" s="35">
        <f t="shared" si="11"/>
        <v>0</v>
      </c>
      <c r="J192" s="35">
        <f t="shared" si="12"/>
        <v>1134.3211482980796</v>
      </c>
      <c r="K192" s="45">
        <f t="shared" si="10"/>
        <v>20924315.968316931</v>
      </c>
    </row>
    <row r="193" spans="2:11">
      <c r="B193" s="43">
        <v>45315</v>
      </c>
      <c r="C193" s="32" t="s">
        <v>25</v>
      </c>
      <c r="D193" s="32" t="s">
        <v>132</v>
      </c>
      <c r="E193" s="36">
        <f t="shared" si="13"/>
        <v>20924315.968316931</v>
      </c>
      <c r="F193" s="36">
        <v>19170.62</v>
      </c>
      <c r="G193" s="58">
        <v>0</v>
      </c>
      <c r="H193" s="35">
        <f t="shared" si="14"/>
        <v>19170.62</v>
      </c>
      <c r="I193" s="35">
        <f t="shared" si="11"/>
        <v>0</v>
      </c>
      <c r="J193" s="35">
        <f t="shared" si="12"/>
        <v>1135.2538930172559</v>
      </c>
      <c r="K193" s="45">
        <f t="shared" si="10"/>
        <v>20942351.334423915</v>
      </c>
    </row>
    <row r="194" spans="2:11">
      <c r="B194" s="43">
        <v>45315</v>
      </c>
      <c r="C194" s="32" t="s">
        <v>25</v>
      </c>
      <c r="D194" s="32" t="s">
        <v>134</v>
      </c>
      <c r="E194" s="36">
        <f t="shared" si="13"/>
        <v>20942351.334423915</v>
      </c>
      <c r="F194" s="36">
        <v>0</v>
      </c>
      <c r="G194" s="58">
        <v>-11301.67</v>
      </c>
      <c r="H194" s="35">
        <f t="shared" si="14"/>
        <v>-11301.67</v>
      </c>
      <c r="I194" s="35">
        <f t="shared" si="11"/>
        <v>0</v>
      </c>
      <c r="J194" s="35">
        <f t="shared" si="12"/>
        <v>1136.2324062272432</v>
      </c>
      <c r="K194" s="45">
        <f t="shared" si="10"/>
        <v>20929913.432017684</v>
      </c>
    </row>
    <row r="195" spans="2:11">
      <c r="B195" s="43">
        <v>45315</v>
      </c>
      <c r="C195" s="32" t="s">
        <v>29</v>
      </c>
      <c r="D195" s="32" t="s">
        <v>134</v>
      </c>
      <c r="E195" s="36">
        <f t="shared" si="13"/>
        <v>20929913.432017684</v>
      </c>
      <c r="F195" s="36">
        <v>0</v>
      </c>
      <c r="G195" s="58">
        <v>-9640</v>
      </c>
      <c r="H195" s="35">
        <f t="shared" si="14"/>
        <v>-9640</v>
      </c>
      <c r="I195" s="35">
        <f t="shared" si="11"/>
        <v>0</v>
      </c>
      <c r="J195" s="35">
        <f t="shared" si="12"/>
        <v>1135.5575847827083</v>
      </c>
      <c r="K195" s="45">
        <f t="shared" si="10"/>
        <v>20919137.874432903</v>
      </c>
    </row>
    <row r="196" spans="2:11">
      <c r="B196" s="43">
        <v>45316</v>
      </c>
      <c r="C196" s="32" t="s">
        <v>29</v>
      </c>
      <c r="D196" s="32" t="s">
        <v>132</v>
      </c>
      <c r="E196" s="36">
        <f t="shared" si="13"/>
        <v>20919137.874432903</v>
      </c>
      <c r="F196" s="36">
        <v>20494.38</v>
      </c>
      <c r="G196" s="58">
        <v>0</v>
      </c>
      <c r="H196" s="35">
        <f t="shared" si="14"/>
        <v>20494.38</v>
      </c>
      <c r="I196" s="35">
        <f t="shared" si="11"/>
        <v>0</v>
      </c>
      <c r="J196" s="35">
        <f t="shared" si="12"/>
        <v>2269.9459085280596</v>
      </c>
      <c r="K196" s="45">
        <f t="shared" si="10"/>
        <v>20937362.308524374</v>
      </c>
    </row>
    <row r="197" spans="2:11">
      <c r="B197" s="43">
        <v>45316</v>
      </c>
      <c r="C197" s="32" t="s">
        <v>29</v>
      </c>
      <c r="D197" s="32" t="s">
        <v>132</v>
      </c>
      <c r="E197" s="36">
        <f t="shared" si="13"/>
        <v>20937362.308524374</v>
      </c>
      <c r="F197" s="36">
        <v>16477.349999999999</v>
      </c>
      <c r="G197" s="58">
        <v>0</v>
      </c>
      <c r="H197" s="35">
        <f t="shared" si="14"/>
        <v>16477.349999999999</v>
      </c>
      <c r="I197" s="35">
        <f t="shared" si="11"/>
        <v>0</v>
      </c>
      <c r="J197" s="35">
        <f t="shared" si="12"/>
        <v>1135.9617254038703</v>
      </c>
      <c r="K197" s="45">
        <f t="shared" si="10"/>
        <v>20952703.696798973</v>
      </c>
    </row>
    <row r="198" spans="2:11">
      <c r="B198" s="43">
        <v>45316</v>
      </c>
      <c r="C198" s="32" t="s">
        <v>27</v>
      </c>
      <c r="D198" s="32" t="s">
        <v>134</v>
      </c>
      <c r="E198" s="36">
        <f t="shared" si="13"/>
        <v>20952703.696798973</v>
      </c>
      <c r="F198" s="36">
        <v>0</v>
      </c>
      <c r="G198" s="58">
        <v>-18546</v>
      </c>
      <c r="H198" s="35">
        <f t="shared" si="14"/>
        <v>-18546</v>
      </c>
      <c r="I198" s="35">
        <f t="shared" si="11"/>
        <v>0</v>
      </c>
      <c r="J198" s="35">
        <f t="shared" si="12"/>
        <v>1136.7940761860607</v>
      </c>
      <c r="K198" s="45">
        <f t="shared" si="10"/>
        <v>20933020.902722787</v>
      </c>
    </row>
    <row r="199" spans="2:11">
      <c r="B199" s="43">
        <v>45316</v>
      </c>
      <c r="C199" s="32" t="s">
        <v>29</v>
      </c>
      <c r="D199" s="32" t="s">
        <v>134</v>
      </c>
      <c r="E199" s="36">
        <f t="shared" si="13"/>
        <v>20933020.902722787</v>
      </c>
      <c r="F199" s="36">
        <v>0</v>
      </c>
      <c r="G199" s="58">
        <v>-12862</v>
      </c>
      <c r="H199" s="35">
        <f t="shared" si="14"/>
        <v>-12862</v>
      </c>
      <c r="I199" s="35">
        <f t="shared" si="11"/>
        <v>0</v>
      </c>
      <c r="J199" s="35">
        <f t="shared" si="12"/>
        <v>1135.7261813676935</v>
      </c>
      <c r="K199" s="45">
        <f t="shared" si="10"/>
        <v>20919023.176541418</v>
      </c>
    </row>
    <row r="200" spans="2:11">
      <c r="B200" s="43">
        <v>45316</v>
      </c>
      <c r="C200" s="32" t="s">
        <v>25</v>
      </c>
      <c r="D200" s="32" t="s">
        <v>134</v>
      </c>
      <c r="E200" s="36">
        <f t="shared" si="13"/>
        <v>20919023.176541418</v>
      </c>
      <c r="F200" s="36">
        <v>0</v>
      </c>
      <c r="G200" s="58">
        <v>-7893</v>
      </c>
      <c r="H200" s="35">
        <f t="shared" si="14"/>
        <v>-7893</v>
      </c>
      <c r="I200" s="35">
        <f t="shared" si="11"/>
        <v>0</v>
      </c>
      <c r="J200" s="35">
        <f t="shared" si="12"/>
        <v>1134.966731301806</v>
      </c>
      <c r="K200" s="45">
        <f t="shared" ref="K200:K263" si="15">E200+H200+I200-J200</f>
        <v>20909995.209810115</v>
      </c>
    </row>
    <row r="201" spans="2:11">
      <c r="B201" s="43">
        <v>45317</v>
      </c>
      <c r="C201" s="32" t="s">
        <v>25</v>
      </c>
      <c r="D201" s="32" t="s">
        <v>132</v>
      </c>
      <c r="E201" s="36">
        <f t="shared" si="13"/>
        <v>20909995.209810115</v>
      </c>
      <c r="F201" s="36">
        <v>18249.150000000001</v>
      </c>
      <c r="G201" s="58">
        <v>0</v>
      </c>
      <c r="H201" s="35">
        <f t="shared" si="14"/>
        <v>18249.150000000001</v>
      </c>
      <c r="I201" s="35">
        <f t="shared" si="11"/>
        <v>0</v>
      </c>
      <c r="J201" s="35">
        <f t="shared" si="12"/>
        <v>2268.9538335067027</v>
      </c>
      <c r="K201" s="45">
        <f t="shared" si="15"/>
        <v>20925975.405976608</v>
      </c>
    </row>
    <row r="202" spans="2:11">
      <c r="B202" s="43">
        <v>45317</v>
      </c>
      <c r="C202" s="32" t="s">
        <v>27</v>
      </c>
      <c r="D202" s="32" t="s">
        <v>132</v>
      </c>
      <c r="E202" s="36">
        <f t="shared" si="13"/>
        <v>20925975.405976608</v>
      </c>
      <c r="F202" s="36">
        <v>16493.990000000002</v>
      </c>
      <c r="G202" s="58">
        <v>0</v>
      </c>
      <c r="H202" s="35">
        <f t="shared" si="14"/>
        <v>16493.990000000002</v>
      </c>
      <c r="I202" s="35">
        <f t="shared" si="11"/>
        <v>0</v>
      </c>
      <c r="J202" s="35">
        <f t="shared" si="12"/>
        <v>1135.3439262143374</v>
      </c>
      <c r="K202" s="45">
        <f t="shared" si="15"/>
        <v>20941334.052050393</v>
      </c>
    </row>
    <row r="203" spans="2:11">
      <c r="B203" s="43">
        <v>45317</v>
      </c>
      <c r="C203" s="32" t="s">
        <v>25</v>
      </c>
      <c r="D203" s="32" t="s">
        <v>132</v>
      </c>
      <c r="E203" s="36">
        <f t="shared" si="13"/>
        <v>20941334.052050393</v>
      </c>
      <c r="F203" s="36">
        <v>15779.17</v>
      </c>
      <c r="G203" s="58">
        <v>0</v>
      </c>
      <c r="H203" s="35">
        <f t="shared" si="14"/>
        <v>15779.17</v>
      </c>
      <c r="I203" s="35">
        <f t="shared" si="11"/>
        <v>0</v>
      </c>
      <c r="J203" s="35">
        <f t="shared" si="12"/>
        <v>1136.1772133226539</v>
      </c>
      <c r="K203" s="45">
        <f t="shared" si="15"/>
        <v>20955977.044837072</v>
      </c>
    </row>
    <row r="204" spans="2:11">
      <c r="B204" s="43">
        <v>45317</v>
      </c>
      <c r="C204" s="32" t="s">
        <v>25</v>
      </c>
      <c r="D204" s="32" t="s">
        <v>132</v>
      </c>
      <c r="E204" s="36">
        <f t="shared" si="13"/>
        <v>20955977.044837072</v>
      </c>
      <c r="F204" s="36">
        <v>17226.29</v>
      </c>
      <c r="G204" s="58">
        <v>0</v>
      </c>
      <c r="H204" s="35">
        <f t="shared" si="14"/>
        <v>17226.29</v>
      </c>
      <c r="I204" s="35">
        <f t="shared" si="11"/>
        <v>0</v>
      </c>
      <c r="J204" s="35">
        <f t="shared" si="12"/>
        <v>1136.9716724864168</v>
      </c>
      <c r="K204" s="45">
        <f t="shared" si="15"/>
        <v>20972066.363164585</v>
      </c>
    </row>
    <row r="205" spans="2:11">
      <c r="B205" s="43">
        <v>45317</v>
      </c>
      <c r="C205" s="32" t="s">
        <v>29</v>
      </c>
      <c r="D205" s="32" t="s">
        <v>132</v>
      </c>
      <c r="E205" s="36">
        <f t="shared" si="13"/>
        <v>20972066.363164585</v>
      </c>
      <c r="F205" s="36">
        <v>16547.82</v>
      </c>
      <c r="G205" s="58">
        <v>0</v>
      </c>
      <c r="H205" s="35">
        <f t="shared" si="14"/>
        <v>16547.82</v>
      </c>
      <c r="I205" s="35">
        <f t="shared" si="11"/>
        <v>0</v>
      </c>
      <c r="J205" s="35">
        <f t="shared" si="12"/>
        <v>1137.844602397003</v>
      </c>
      <c r="K205" s="45">
        <f t="shared" si="15"/>
        <v>20987476.338562187</v>
      </c>
    </row>
    <row r="206" spans="2:11">
      <c r="B206" s="43">
        <v>45317</v>
      </c>
      <c r="C206" s="32" t="s">
        <v>27</v>
      </c>
      <c r="D206" s="32" t="s">
        <v>134</v>
      </c>
      <c r="E206" s="36">
        <f t="shared" si="13"/>
        <v>20987476.338562187</v>
      </c>
      <c r="F206" s="36">
        <v>0</v>
      </c>
      <c r="G206" s="58">
        <v>-2319</v>
      </c>
      <c r="H206" s="35">
        <f t="shared" si="14"/>
        <v>-2319</v>
      </c>
      <c r="I206" s="35">
        <f t="shared" si="11"/>
        <v>0</v>
      </c>
      <c r="J206" s="35">
        <f t="shared" si="12"/>
        <v>1138.680674390368</v>
      </c>
      <c r="K206" s="45">
        <f t="shared" si="15"/>
        <v>20984018.657887798</v>
      </c>
    </row>
    <row r="207" spans="2:11">
      <c r="B207" s="43">
        <v>45317</v>
      </c>
      <c r="C207" s="32" t="s">
        <v>27</v>
      </c>
      <c r="D207" s="32" t="s">
        <v>134</v>
      </c>
      <c r="E207" s="36">
        <f t="shared" si="13"/>
        <v>20984018.657887798</v>
      </c>
      <c r="F207" s="36">
        <v>0</v>
      </c>
      <c r="G207" s="58">
        <v>-12383</v>
      </c>
      <c r="H207" s="35">
        <f t="shared" si="14"/>
        <v>-12383</v>
      </c>
      <c r="I207" s="35">
        <f t="shared" si="11"/>
        <v>0</v>
      </c>
      <c r="J207" s="35">
        <f t="shared" si="12"/>
        <v>1138.4930770776359</v>
      </c>
      <c r="K207" s="45">
        <f t="shared" si="15"/>
        <v>20970497.164810721</v>
      </c>
    </row>
    <row r="208" spans="2:11">
      <c r="B208" s="43">
        <v>45318</v>
      </c>
      <c r="C208" s="32" t="s">
        <v>27</v>
      </c>
      <c r="D208" s="32" t="s">
        <v>132</v>
      </c>
      <c r="E208" s="36">
        <f t="shared" si="13"/>
        <v>20970497.164810721</v>
      </c>
      <c r="F208" s="36">
        <v>15298.95</v>
      </c>
      <c r="G208" s="58">
        <v>0</v>
      </c>
      <c r="H208" s="35">
        <f t="shared" si="14"/>
        <v>15298.95</v>
      </c>
      <c r="I208" s="35">
        <f t="shared" si="11"/>
        <v>0</v>
      </c>
      <c r="J208" s="35">
        <f t="shared" si="12"/>
        <v>2275.5189303111665</v>
      </c>
      <c r="K208" s="45">
        <f t="shared" si="15"/>
        <v>20983520.595880408</v>
      </c>
    </row>
    <row r="209" spans="2:11">
      <c r="B209" s="43">
        <v>45318</v>
      </c>
      <c r="C209" s="32" t="s">
        <v>29</v>
      </c>
      <c r="D209" s="32" t="s">
        <v>132</v>
      </c>
      <c r="E209" s="36">
        <f t="shared" si="13"/>
        <v>20983520.595880408</v>
      </c>
      <c r="F209" s="36">
        <v>16238.79</v>
      </c>
      <c r="G209" s="58">
        <v>0</v>
      </c>
      <c r="H209" s="35">
        <f t="shared" si="14"/>
        <v>16238.79</v>
      </c>
      <c r="I209" s="35">
        <f t="shared" si="11"/>
        <v>0</v>
      </c>
      <c r="J209" s="35">
        <f t="shared" si="12"/>
        <v>1138.4660546013117</v>
      </c>
      <c r="K209" s="45">
        <f t="shared" si="15"/>
        <v>20998620.919825807</v>
      </c>
    </row>
    <row r="210" spans="2:11">
      <c r="B210" s="43">
        <v>45318</v>
      </c>
      <c r="C210" s="32" t="s">
        <v>25</v>
      </c>
      <c r="D210" s="32" t="s">
        <v>132</v>
      </c>
      <c r="E210" s="36">
        <f t="shared" si="13"/>
        <v>20998620.919825807</v>
      </c>
      <c r="F210" s="36">
        <v>18952.18</v>
      </c>
      <c r="G210" s="58">
        <v>0</v>
      </c>
      <c r="H210" s="35">
        <f t="shared" si="14"/>
        <v>18952.18</v>
      </c>
      <c r="I210" s="35">
        <f t="shared" si="11"/>
        <v>0</v>
      </c>
      <c r="J210" s="35">
        <f t="shared" si="12"/>
        <v>1139.2853263792181</v>
      </c>
      <c r="K210" s="45">
        <f t="shared" si="15"/>
        <v>21016433.814499427</v>
      </c>
    </row>
    <row r="211" spans="2:11">
      <c r="B211" s="43">
        <v>45318</v>
      </c>
      <c r="C211" s="32" t="s">
        <v>27</v>
      </c>
      <c r="D211" s="32" t="s">
        <v>132</v>
      </c>
      <c r="E211" s="36">
        <f t="shared" si="13"/>
        <v>21016433.814499427</v>
      </c>
      <c r="F211" s="36">
        <v>20248.73</v>
      </c>
      <c r="G211" s="58">
        <v>0</v>
      </c>
      <c r="H211" s="35">
        <f t="shared" si="14"/>
        <v>20248.73</v>
      </c>
      <c r="I211" s="35">
        <f t="shared" si="11"/>
        <v>0</v>
      </c>
      <c r="J211" s="35">
        <f t="shared" si="12"/>
        <v>1140.2517693470434</v>
      </c>
      <c r="K211" s="45">
        <f t="shared" si="15"/>
        <v>21035542.292730082</v>
      </c>
    </row>
    <row r="212" spans="2:11">
      <c r="B212" s="43">
        <v>45318</v>
      </c>
      <c r="C212" s="32" t="s">
        <v>27</v>
      </c>
      <c r="D212" s="32" t="s">
        <v>132</v>
      </c>
      <c r="E212" s="36">
        <f t="shared" si="13"/>
        <v>21035542.292730082</v>
      </c>
      <c r="F212" s="36">
        <v>12493.96</v>
      </c>
      <c r="G212" s="58">
        <v>0</v>
      </c>
      <c r="H212" s="35">
        <f t="shared" si="14"/>
        <v>12493.96</v>
      </c>
      <c r="I212" s="35">
        <f t="shared" ref="I212:I275" si="16">(($E212*Daily_Interest)*(_xlfn.DAYS(B212,B211)+1))+((IF(DAY($B211)&gt;Monthly_Cut_off_Date,0,Daily_Interest*H212))*(_xlfn.DAYS(B212,B211)+1))</f>
        <v>0</v>
      </c>
      <c r="J212" s="35">
        <f t="shared" ref="J212:J275" si="17">(($I212+E212)*Daily_Fees_Rate)*((_xlfn.DAYS(B212,B211)+1))</f>
        <v>1141.2885045184025</v>
      </c>
      <c r="K212" s="45">
        <f t="shared" si="15"/>
        <v>21046894.964225564</v>
      </c>
    </row>
    <row r="213" spans="2:11">
      <c r="B213" s="43">
        <v>45318</v>
      </c>
      <c r="C213" s="32" t="s">
        <v>29</v>
      </c>
      <c r="D213" s="32" t="s">
        <v>132</v>
      </c>
      <c r="E213" s="36">
        <f t="shared" ref="E213:E276" si="18">K212</f>
        <v>21046894.964225564</v>
      </c>
      <c r="F213" s="36">
        <v>16184.01</v>
      </c>
      <c r="G213" s="58">
        <v>0</v>
      </c>
      <c r="H213" s="35">
        <f t="shared" ref="H213:H276" si="19">SUM(F213:G213)</f>
        <v>16184.01</v>
      </c>
      <c r="I213" s="35">
        <f t="shared" si="16"/>
        <v>0</v>
      </c>
      <c r="J213" s="35">
        <f t="shared" si="17"/>
        <v>1141.9044464938013</v>
      </c>
      <c r="K213" s="45">
        <f t="shared" si="15"/>
        <v>21061937.069779072</v>
      </c>
    </row>
    <row r="214" spans="2:11">
      <c r="B214" s="43">
        <v>45318</v>
      </c>
      <c r="C214" s="32" t="s">
        <v>25</v>
      </c>
      <c r="D214" s="32" t="s">
        <v>132</v>
      </c>
      <c r="E214" s="36">
        <f t="shared" si="18"/>
        <v>21061937.069779072</v>
      </c>
      <c r="F214" s="36">
        <v>13883.38</v>
      </c>
      <c r="G214" s="58">
        <v>0</v>
      </c>
      <c r="H214" s="35">
        <f t="shared" si="19"/>
        <v>13883.38</v>
      </c>
      <c r="I214" s="35">
        <f t="shared" si="16"/>
        <v>0</v>
      </c>
      <c r="J214" s="35">
        <f t="shared" si="17"/>
        <v>1142.7205596185818</v>
      </c>
      <c r="K214" s="45">
        <f t="shared" si="15"/>
        <v>21074677.729219452</v>
      </c>
    </row>
    <row r="215" spans="2:11">
      <c r="B215" s="43">
        <v>45318</v>
      </c>
      <c r="C215" s="32" t="s">
        <v>27</v>
      </c>
      <c r="D215" s="32" t="s">
        <v>134</v>
      </c>
      <c r="E215" s="36">
        <f t="shared" si="18"/>
        <v>21074677.729219452</v>
      </c>
      <c r="F215" s="36">
        <v>0</v>
      </c>
      <c r="G215" s="58">
        <v>-12954</v>
      </c>
      <c r="H215" s="35">
        <f t="shared" si="19"/>
        <v>-12954</v>
      </c>
      <c r="I215" s="35">
        <f t="shared" si="16"/>
        <v>0</v>
      </c>
      <c r="J215" s="35">
        <f t="shared" si="17"/>
        <v>1143.4118072202332</v>
      </c>
      <c r="K215" s="45">
        <f t="shared" si="15"/>
        <v>21060580.317412231</v>
      </c>
    </row>
    <row r="216" spans="2:11">
      <c r="B216" s="43">
        <v>45319</v>
      </c>
      <c r="C216" s="32" t="s">
        <v>29</v>
      </c>
      <c r="D216" s="32" t="s">
        <v>132</v>
      </c>
      <c r="E216" s="36">
        <f t="shared" si="18"/>
        <v>21060580.317412231</v>
      </c>
      <c r="F216" s="36">
        <v>19439.830000000002</v>
      </c>
      <c r="G216" s="58">
        <v>0</v>
      </c>
      <c r="H216" s="35">
        <f t="shared" si="19"/>
        <v>19439.830000000002</v>
      </c>
      <c r="I216" s="35">
        <f t="shared" si="16"/>
        <v>0</v>
      </c>
      <c r="J216" s="35">
        <f t="shared" si="17"/>
        <v>2285.2938973725491</v>
      </c>
      <c r="K216" s="45">
        <f t="shared" si="15"/>
        <v>21077734.853514858</v>
      </c>
    </row>
    <row r="217" spans="2:11">
      <c r="B217" s="43">
        <v>45319</v>
      </c>
      <c r="C217" s="32" t="s">
        <v>25</v>
      </c>
      <c r="D217" s="32" t="s">
        <v>134</v>
      </c>
      <c r="E217" s="36">
        <f t="shared" si="18"/>
        <v>21077734.853514858</v>
      </c>
      <c r="F217" s="36">
        <v>0</v>
      </c>
      <c r="G217" s="58">
        <v>-4684.0200000000004</v>
      </c>
      <c r="H217" s="35">
        <f t="shared" si="19"/>
        <v>-4684.0200000000004</v>
      </c>
      <c r="I217" s="35">
        <f t="shared" si="16"/>
        <v>0</v>
      </c>
      <c r="J217" s="35">
        <f t="shared" si="17"/>
        <v>1143.5776722484163</v>
      </c>
      <c r="K217" s="45">
        <f t="shared" si="15"/>
        <v>21071907.255842611</v>
      </c>
    </row>
    <row r="218" spans="2:11">
      <c r="B218" s="43">
        <v>45319</v>
      </c>
      <c r="C218" s="32" t="s">
        <v>29</v>
      </c>
      <c r="D218" s="32" t="s">
        <v>134</v>
      </c>
      <c r="E218" s="36">
        <f t="shared" si="18"/>
        <v>21071907.255842611</v>
      </c>
      <c r="F218" s="36">
        <v>0</v>
      </c>
      <c r="G218" s="58">
        <v>-4437</v>
      </c>
      <c r="H218" s="35">
        <f t="shared" si="19"/>
        <v>-4437</v>
      </c>
      <c r="I218" s="35">
        <f t="shared" si="16"/>
        <v>0</v>
      </c>
      <c r="J218" s="35">
        <f t="shared" si="17"/>
        <v>1143.261494507917</v>
      </c>
      <c r="K218" s="45">
        <f t="shared" si="15"/>
        <v>21066326.994348105</v>
      </c>
    </row>
    <row r="219" spans="2:11">
      <c r="B219" s="43">
        <v>45319</v>
      </c>
      <c r="C219" s="32" t="s">
        <v>27</v>
      </c>
      <c r="D219" s="32" t="s">
        <v>134</v>
      </c>
      <c r="E219" s="36">
        <f t="shared" si="18"/>
        <v>21066326.994348105</v>
      </c>
      <c r="F219" s="36">
        <v>0</v>
      </c>
      <c r="G219" s="58">
        <v>-16027</v>
      </c>
      <c r="H219" s="35">
        <f t="shared" si="19"/>
        <v>-16027</v>
      </c>
      <c r="I219" s="35">
        <f t="shared" si="16"/>
        <v>0</v>
      </c>
      <c r="J219" s="35">
        <f t="shared" si="17"/>
        <v>1142.9587360523822</v>
      </c>
      <c r="K219" s="45">
        <f t="shared" si="15"/>
        <v>21049157.035612054</v>
      </c>
    </row>
    <row r="220" spans="2:11">
      <c r="B220" s="43">
        <v>45319</v>
      </c>
      <c r="C220" s="32" t="s">
        <v>29</v>
      </c>
      <c r="D220" s="32" t="s">
        <v>134</v>
      </c>
      <c r="E220" s="36">
        <f t="shared" si="18"/>
        <v>21049157.035612054</v>
      </c>
      <c r="F220" s="36">
        <v>0</v>
      </c>
      <c r="G220" s="58">
        <v>-8397</v>
      </c>
      <c r="H220" s="35">
        <f t="shared" si="19"/>
        <v>-8397</v>
      </c>
      <c r="I220" s="35">
        <f t="shared" si="16"/>
        <v>0</v>
      </c>
      <c r="J220" s="35">
        <f t="shared" si="17"/>
        <v>1142.0271757314827</v>
      </c>
      <c r="K220" s="45">
        <f t="shared" si="15"/>
        <v>21039618.008436322</v>
      </c>
    </row>
    <row r="221" spans="2:11">
      <c r="B221" s="43">
        <v>45319</v>
      </c>
      <c r="C221" s="32" t="s">
        <v>25</v>
      </c>
      <c r="D221" s="32" t="s">
        <v>134</v>
      </c>
      <c r="E221" s="36">
        <f t="shared" si="18"/>
        <v>21039618.008436322</v>
      </c>
      <c r="F221" s="36">
        <v>0</v>
      </c>
      <c r="G221" s="58">
        <v>-15459</v>
      </c>
      <c r="H221" s="35">
        <f t="shared" si="19"/>
        <v>-15459</v>
      </c>
      <c r="I221" s="35">
        <f t="shared" si="16"/>
        <v>0</v>
      </c>
      <c r="J221" s="35">
        <f t="shared" si="17"/>
        <v>1141.5096334733155</v>
      </c>
      <c r="K221" s="45">
        <f t="shared" si="15"/>
        <v>21023017.498802848</v>
      </c>
    </row>
    <row r="222" spans="2:11">
      <c r="B222" s="43">
        <v>45319</v>
      </c>
      <c r="C222" s="32" t="s">
        <v>25</v>
      </c>
      <c r="D222" s="32" t="s">
        <v>134</v>
      </c>
      <c r="E222" s="36">
        <f t="shared" si="18"/>
        <v>21023017.498802848</v>
      </c>
      <c r="F222" s="36">
        <v>0</v>
      </c>
      <c r="G222" s="58">
        <v>-19177</v>
      </c>
      <c r="H222" s="35">
        <f t="shared" si="19"/>
        <v>-19177</v>
      </c>
      <c r="I222" s="35">
        <f t="shared" si="16"/>
        <v>0</v>
      </c>
      <c r="J222" s="35">
        <f t="shared" si="17"/>
        <v>1140.6089687530919</v>
      </c>
      <c r="K222" s="45">
        <f t="shared" si="15"/>
        <v>21002699.889834095</v>
      </c>
    </row>
    <row r="223" spans="2:11">
      <c r="B223" s="43">
        <v>45320</v>
      </c>
      <c r="C223" s="32" t="s">
        <v>27</v>
      </c>
      <c r="D223" s="32" t="s">
        <v>132</v>
      </c>
      <c r="E223" s="36">
        <f t="shared" si="18"/>
        <v>21002699.889834095</v>
      </c>
      <c r="F223" s="36">
        <v>16214.95</v>
      </c>
      <c r="G223" s="58">
        <v>0</v>
      </c>
      <c r="H223" s="35">
        <f t="shared" si="19"/>
        <v>16214.95</v>
      </c>
      <c r="I223" s="35">
        <f t="shared" si="16"/>
        <v>0</v>
      </c>
      <c r="J223" s="35">
        <f t="shared" si="17"/>
        <v>2279.0132637941729</v>
      </c>
      <c r="K223" s="45">
        <f t="shared" si="15"/>
        <v>21016635.826570299</v>
      </c>
    </row>
    <row r="224" spans="2:11">
      <c r="B224" s="43">
        <v>45320</v>
      </c>
      <c r="C224" s="32" t="s">
        <v>29</v>
      </c>
      <c r="D224" s="32" t="s">
        <v>132</v>
      </c>
      <c r="E224" s="36">
        <f t="shared" si="18"/>
        <v>21016635.826570299</v>
      </c>
      <c r="F224" s="36">
        <v>14482.12</v>
      </c>
      <c r="G224" s="58">
        <v>0</v>
      </c>
      <c r="H224" s="35">
        <f t="shared" si="19"/>
        <v>14482.12</v>
      </c>
      <c r="I224" s="35">
        <f t="shared" si="16"/>
        <v>0</v>
      </c>
      <c r="J224" s="35">
        <f t="shared" si="17"/>
        <v>1140.2627295614773</v>
      </c>
      <c r="K224" s="45">
        <f t="shared" si="15"/>
        <v>21029977.683840737</v>
      </c>
    </row>
    <row r="225" spans="2:11">
      <c r="B225" s="43">
        <v>45320</v>
      </c>
      <c r="C225" s="32" t="s">
        <v>25</v>
      </c>
      <c r="D225" s="32" t="s">
        <v>134</v>
      </c>
      <c r="E225" s="36">
        <f t="shared" si="18"/>
        <v>21029977.683840737</v>
      </c>
      <c r="F225" s="36">
        <v>0</v>
      </c>
      <c r="G225" s="58">
        <v>-15656.13</v>
      </c>
      <c r="H225" s="35">
        <f t="shared" si="19"/>
        <v>-15656.13</v>
      </c>
      <c r="I225" s="35">
        <f t="shared" si="16"/>
        <v>0</v>
      </c>
      <c r="J225" s="35">
        <f t="shared" si="17"/>
        <v>1140.9865952987982</v>
      </c>
      <c r="K225" s="45">
        <f t="shared" si="15"/>
        <v>21013180.567245439</v>
      </c>
    </row>
    <row r="226" spans="2:11">
      <c r="B226" s="43">
        <v>45320</v>
      </c>
      <c r="C226" s="32" t="s">
        <v>27</v>
      </c>
      <c r="D226" s="32" t="s">
        <v>134</v>
      </c>
      <c r="E226" s="36">
        <f t="shared" si="18"/>
        <v>21013180.567245439</v>
      </c>
      <c r="F226" s="36">
        <v>0</v>
      </c>
      <c r="G226" s="58">
        <v>-3024.55</v>
      </c>
      <c r="H226" s="35">
        <f t="shared" si="19"/>
        <v>-3024.55</v>
      </c>
      <c r="I226" s="35">
        <f t="shared" si="16"/>
        <v>0</v>
      </c>
      <c r="J226" s="35">
        <f t="shared" si="17"/>
        <v>1140.0752636196576</v>
      </c>
      <c r="K226" s="45">
        <f t="shared" si="15"/>
        <v>21009015.941981819</v>
      </c>
    </row>
    <row r="227" spans="2:11">
      <c r="B227" s="43">
        <v>45320</v>
      </c>
      <c r="C227" s="32" t="s">
        <v>29</v>
      </c>
      <c r="D227" s="32" t="s">
        <v>134</v>
      </c>
      <c r="E227" s="36">
        <f t="shared" si="18"/>
        <v>21009015.941981819</v>
      </c>
      <c r="F227" s="36">
        <v>0</v>
      </c>
      <c r="G227" s="58">
        <v>-14859</v>
      </c>
      <c r="H227" s="35">
        <f t="shared" si="19"/>
        <v>-14859</v>
      </c>
      <c r="I227" s="35">
        <f t="shared" si="16"/>
        <v>0</v>
      </c>
      <c r="J227" s="35">
        <f t="shared" si="17"/>
        <v>1139.8493108549105</v>
      </c>
      <c r="K227" s="45">
        <f t="shared" si="15"/>
        <v>20993017.092670962</v>
      </c>
    </row>
    <row r="228" spans="2:11">
      <c r="B228" s="43">
        <v>45321</v>
      </c>
      <c r="C228" s="32" t="s">
        <v>25</v>
      </c>
      <c r="D228" s="32" t="s">
        <v>132</v>
      </c>
      <c r="E228" s="36">
        <f t="shared" si="18"/>
        <v>20993017.092670962</v>
      </c>
      <c r="F228" s="36">
        <v>16487.05</v>
      </c>
      <c r="G228" s="58">
        <v>0</v>
      </c>
      <c r="H228" s="35">
        <f t="shared" si="19"/>
        <v>16487.05</v>
      </c>
      <c r="I228" s="35">
        <f t="shared" si="16"/>
        <v>0</v>
      </c>
      <c r="J228" s="35">
        <f t="shared" si="17"/>
        <v>2277.9625787260075</v>
      </c>
      <c r="K228" s="45">
        <f t="shared" si="15"/>
        <v>21007226.180092238</v>
      </c>
    </row>
    <row r="229" spans="2:11">
      <c r="B229" s="43">
        <v>45321</v>
      </c>
      <c r="C229" s="32" t="s">
        <v>25</v>
      </c>
      <c r="D229" s="32" t="s">
        <v>132</v>
      </c>
      <c r="E229" s="36">
        <f t="shared" si="18"/>
        <v>21007226.180092238</v>
      </c>
      <c r="F229" s="36">
        <v>15965.09</v>
      </c>
      <c r="G229" s="58">
        <v>0</v>
      </c>
      <c r="H229" s="35">
        <f t="shared" si="19"/>
        <v>15965.09</v>
      </c>
      <c r="I229" s="35">
        <f t="shared" si="16"/>
        <v>0</v>
      </c>
      <c r="J229" s="35">
        <f t="shared" si="17"/>
        <v>1139.7522068847832</v>
      </c>
      <c r="K229" s="45">
        <f t="shared" si="15"/>
        <v>21022051.517885353</v>
      </c>
    </row>
    <row r="230" spans="2:11">
      <c r="B230" s="43">
        <v>45321</v>
      </c>
      <c r="C230" s="32" t="s">
        <v>25</v>
      </c>
      <c r="D230" s="32" t="s">
        <v>134</v>
      </c>
      <c r="E230" s="36">
        <f t="shared" si="18"/>
        <v>21022051.517885353</v>
      </c>
      <c r="F230" s="36">
        <v>0</v>
      </c>
      <c r="G230" s="58">
        <v>-14529.65</v>
      </c>
      <c r="H230" s="35">
        <f t="shared" si="19"/>
        <v>-14529.65</v>
      </c>
      <c r="I230" s="35">
        <f t="shared" si="16"/>
        <v>0</v>
      </c>
      <c r="J230" s="35">
        <f t="shared" si="17"/>
        <v>1140.5565592215771</v>
      </c>
      <c r="K230" s="45">
        <f t="shared" si="15"/>
        <v>21006381.311326135</v>
      </c>
    </row>
    <row r="231" spans="2:11">
      <c r="B231" s="43">
        <v>45321</v>
      </c>
      <c r="C231" s="32" t="s">
        <v>27</v>
      </c>
      <c r="D231" s="32" t="s">
        <v>134</v>
      </c>
      <c r="E231" s="36">
        <f t="shared" si="18"/>
        <v>21006381.311326135</v>
      </c>
      <c r="F231" s="36">
        <v>0</v>
      </c>
      <c r="G231" s="58">
        <v>-5138.79</v>
      </c>
      <c r="H231" s="35">
        <f t="shared" si="19"/>
        <v>-5138.79</v>
      </c>
      <c r="I231" s="35">
        <f t="shared" si="16"/>
        <v>0</v>
      </c>
      <c r="J231" s="35">
        <f t="shared" si="17"/>
        <v>1139.7063683227361</v>
      </c>
      <c r="K231" s="45">
        <f t="shared" si="15"/>
        <v>21000102.814957812</v>
      </c>
    </row>
    <row r="232" spans="2:11">
      <c r="B232" s="43">
        <v>45321</v>
      </c>
      <c r="C232" s="32" t="s">
        <v>27</v>
      </c>
      <c r="D232" s="32" t="s">
        <v>134</v>
      </c>
      <c r="E232" s="36">
        <f t="shared" si="18"/>
        <v>21000102.814957812</v>
      </c>
      <c r="F232" s="36">
        <v>0</v>
      </c>
      <c r="G232" s="58">
        <v>-2207.94</v>
      </c>
      <c r="H232" s="35">
        <f t="shared" si="19"/>
        <v>-2207.94</v>
      </c>
      <c r="I232" s="35">
        <f t="shared" si="16"/>
        <v>0</v>
      </c>
      <c r="J232" s="35">
        <f t="shared" si="17"/>
        <v>1139.3657269629314</v>
      </c>
      <c r="K232" s="45">
        <f t="shared" si="15"/>
        <v>20996755.509230848</v>
      </c>
    </row>
    <row r="233" spans="2:11">
      <c r="B233" s="43">
        <v>45321</v>
      </c>
      <c r="C233" s="32" t="s">
        <v>29</v>
      </c>
      <c r="D233" s="32" t="s">
        <v>134</v>
      </c>
      <c r="E233" s="36">
        <f t="shared" si="18"/>
        <v>20996755.509230848</v>
      </c>
      <c r="F233" s="36">
        <v>0</v>
      </c>
      <c r="G233" s="58">
        <v>-13107</v>
      </c>
      <c r="H233" s="35">
        <f t="shared" si="19"/>
        <v>-13107</v>
      </c>
      <c r="I233" s="35">
        <f t="shared" si="16"/>
        <v>0</v>
      </c>
      <c r="J233" s="35">
        <f t="shared" si="17"/>
        <v>1139.1841180700333</v>
      </c>
      <c r="K233" s="45">
        <f t="shared" si="15"/>
        <v>20982509.325112779</v>
      </c>
    </row>
    <row r="234" spans="2:11">
      <c r="B234" s="43">
        <v>45321</v>
      </c>
      <c r="C234" s="32" t="s">
        <v>27</v>
      </c>
      <c r="D234" s="32" t="s">
        <v>134</v>
      </c>
      <c r="E234" s="36">
        <f t="shared" si="18"/>
        <v>20982509.325112779</v>
      </c>
      <c r="F234" s="36">
        <v>0</v>
      </c>
      <c r="G234" s="58">
        <v>-11986</v>
      </c>
      <c r="H234" s="35">
        <f t="shared" si="19"/>
        <v>-11986</v>
      </c>
      <c r="I234" s="35">
        <f t="shared" si="16"/>
        <v>0</v>
      </c>
      <c r="J234" s="35">
        <f t="shared" si="17"/>
        <v>1138.411187857874</v>
      </c>
      <c r="K234" s="45">
        <f t="shared" si="15"/>
        <v>20969384.913924921</v>
      </c>
    </row>
    <row r="235" spans="2:11">
      <c r="B235" s="43">
        <v>45322</v>
      </c>
      <c r="C235" s="32" t="s">
        <v>27</v>
      </c>
      <c r="D235" s="32" t="s">
        <v>132</v>
      </c>
      <c r="E235" s="36">
        <f t="shared" si="18"/>
        <v>20969384.913924921</v>
      </c>
      <c r="F235" s="36">
        <v>15783.17</v>
      </c>
      <c r="G235" s="58">
        <v>0</v>
      </c>
      <c r="H235" s="35">
        <f t="shared" si="19"/>
        <v>15783.17</v>
      </c>
      <c r="I235" s="35">
        <f t="shared" si="16"/>
        <v>0</v>
      </c>
      <c r="J235" s="35">
        <f t="shared" si="17"/>
        <v>2275.3982394221521</v>
      </c>
      <c r="K235" s="45">
        <f t="shared" si="15"/>
        <v>20982892.685685501</v>
      </c>
    </row>
    <row r="236" spans="2:11">
      <c r="B236" s="43">
        <v>45322</v>
      </c>
      <c r="C236" s="32" t="s">
        <v>29</v>
      </c>
      <c r="D236" s="32" t="s">
        <v>132</v>
      </c>
      <c r="E236" s="36">
        <f t="shared" si="18"/>
        <v>20982892.685685501</v>
      </c>
      <c r="F236" s="36">
        <v>16616.73</v>
      </c>
      <c r="G236" s="58">
        <v>0</v>
      </c>
      <c r="H236" s="35">
        <f t="shared" si="19"/>
        <v>16616.73</v>
      </c>
      <c r="I236" s="35">
        <f t="shared" si="16"/>
        <v>0</v>
      </c>
      <c r="J236" s="35">
        <f t="shared" si="17"/>
        <v>1138.4319871797381</v>
      </c>
      <c r="K236" s="45">
        <f t="shared" si="15"/>
        <v>20998370.98369832</v>
      </c>
    </row>
    <row r="237" spans="2:11">
      <c r="B237" s="43">
        <v>45322</v>
      </c>
      <c r="C237" s="32" t="s">
        <v>27</v>
      </c>
      <c r="D237" s="32" t="s">
        <v>132</v>
      </c>
      <c r="E237" s="36">
        <f t="shared" si="18"/>
        <v>20998370.98369832</v>
      </c>
      <c r="F237" s="36">
        <v>15959.35</v>
      </c>
      <c r="G237" s="58">
        <v>0</v>
      </c>
      <c r="H237" s="35">
        <f t="shared" si="19"/>
        <v>15959.35</v>
      </c>
      <c r="I237" s="35">
        <f t="shared" si="16"/>
        <v>0</v>
      </c>
      <c r="J237" s="35">
        <f t="shared" si="17"/>
        <v>1139.2717660333428</v>
      </c>
      <c r="K237" s="45">
        <f t="shared" si="15"/>
        <v>21013191.061932288</v>
      </c>
    </row>
    <row r="238" spans="2:11">
      <c r="B238" s="43">
        <v>45322</v>
      </c>
      <c r="C238" s="32" t="s">
        <v>29</v>
      </c>
      <c r="D238" s="32" t="s">
        <v>134</v>
      </c>
      <c r="E238" s="36">
        <f t="shared" si="18"/>
        <v>21013191.061932288</v>
      </c>
      <c r="F238" s="36">
        <v>0</v>
      </c>
      <c r="G238" s="58">
        <v>-4932</v>
      </c>
      <c r="H238" s="35">
        <f t="shared" si="19"/>
        <v>-4932</v>
      </c>
      <c r="I238" s="35">
        <f t="shared" si="16"/>
        <v>0</v>
      </c>
      <c r="J238" s="35">
        <f t="shared" si="17"/>
        <v>1140.0758330114656</v>
      </c>
      <c r="K238" s="45">
        <f t="shared" si="15"/>
        <v>21007118.986099277</v>
      </c>
    </row>
    <row r="239" spans="2:11">
      <c r="B239" s="43">
        <v>45323</v>
      </c>
      <c r="C239" s="32" t="s">
        <v>25</v>
      </c>
      <c r="D239" s="32" t="s">
        <v>132</v>
      </c>
      <c r="E239" s="36">
        <f t="shared" si="18"/>
        <v>21007118.986099277</v>
      </c>
      <c r="F239" s="36">
        <v>13737.05</v>
      </c>
      <c r="G239" s="58">
        <v>0</v>
      </c>
      <c r="H239" s="35">
        <f t="shared" si="19"/>
        <v>13737.05</v>
      </c>
      <c r="I239" s="35">
        <f t="shared" si="16"/>
        <v>0</v>
      </c>
      <c r="J239" s="35">
        <f t="shared" si="17"/>
        <v>2279.4927820968273</v>
      </c>
      <c r="K239" s="45">
        <f t="shared" si="15"/>
        <v>21018576.54331718</v>
      </c>
    </row>
    <row r="240" spans="2:11">
      <c r="B240" s="43">
        <v>45323</v>
      </c>
      <c r="C240" s="32" t="s">
        <v>29</v>
      </c>
      <c r="D240" s="32" t="s">
        <v>132</v>
      </c>
      <c r="E240" s="36">
        <f t="shared" si="18"/>
        <v>21018576.54331718</v>
      </c>
      <c r="F240" s="36">
        <v>12230.3</v>
      </c>
      <c r="G240" s="58">
        <v>0</v>
      </c>
      <c r="H240" s="35">
        <f t="shared" si="19"/>
        <v>12230.3</v>
      </c>
      <c r="I240" s="35">
        <f t="shared" si="16"/>
        <v>0</v>
      </c>
      <c r="J240" s="35">
        <f t="shared" si="17"/>
        <v>1140.3680236243979</v>
      </c>
      <c r="K240" s="45">
        <f t="shared" si="15"/>
        <v>21029666.475293558</v>
      </c>
    </row>
    <row r="241" spans="2:11">
      <c r="B241" s="43">
        <v>45323</v>
      </c>
      <c r="C241" s="32" t="s">
        <v>27</v>
      </c>
      <c r="D241" s="32" t="s">
        <v>132</v>
      </c>
      <c r="E241" s="36">
        <f t="shared" si="18"/>
        <v>21029666.475293558</v>
      </c>
      <c r="F241" s="36">
        <v>13431.42</v>
      </c>
      <c r="G241" s="58">
        <v>0</v>
      </c>
      <c r="H241" s="35">
        <f t="shared" si="19"/>
        <v>13431.42</v>
      </c>
      <c r="I241" s="35">
        <f t="shared" si="16"/>
        <v>0</v>
      </c>
      <c r="J241" s="35">
        <f t="shared" si="17"/>
        <v>1140.96971060277</v>
      </c>
      <c r="K241" s="45">
        <f t="shared" si="15"/>
        <v>21041956.925582957</v>
      </c>
    </row>
    <row r="242" spans="2:11">
      <c r="B242" s="43">
        <v>45323</v>
      </c>
      <c r="C242" s="32" t="s">
        <v>27</v>
      </c>
      <c r="D242" s="32" t="s">
        <v>132</v>
      </c>
      <c r="E242" s="36">
        <f t="shared" si="18"/>
        <v>21041956.925582957</v>
      </c>
      <c r="F242" s="36">
        <v>17617.37</v>
      </c>
      <c r="G242" s="58">
        <v>0</v>
      </c>
      <c r="H242" s="35">
        <f t="shared" si="19"/>
        <v>17617.37</v>
      </c>
      <c r="I242" s="35">
        <f t="shared" si="16"/>
        <v>0</v>
      </c>
      <c r="J242" s="35">
        <f t="shared" si="17"/>
        <v>1141.6365319965541</v>
      </c>
      <c r="K242" s="45">
        <f t="shared" si="15"/>
        <v>21058432.65905096</v>
      </c>
    </row>
    <row r="243" spans="2:11">
      <c r="B243" s="43">
        <v>45323</v>
      </c>
      <c r="C243" s="32" t="s">
        <v>27</v>
      </c>
      <c r="D243" s="32" t="s">
        <v>132</v>
      </c>
      <c r="E243" s="36">
        <f t="shared" si="18"/>
        <v>21058432.65905096</v>
      </c>
      <c r="F243" s="36">
        <v>17848.66</v>
      </c>
      <c r="G243" s="58">
        <v>0</v>
      </c>
      <c r="H243" s="35">
        <f t="shared" si="19"/>
        <v>17848.66</v>
      </c>
      <c r="I243" s="35">
        <f t="shared" si="16"/>
        <v>0</v>
      </c>
      <c r="J243" s="35">
        <f t="shared" si="17"/>
        <v>1142.5304269553278</v>
      </c>
      <c r="K243" s="45">
        <f t="shared" si="15"/>
        <v>21075138.788624004</v>
      </c>
    </row>
    <row r="244" spans="2:11">
      <c r="B244" s="43">
        <v>45323</v>
      </c>
      <c r="C244" s="32" t="s">
        <v>27</v>
      </c>
      <c r="D244" s="32" t="s">
        <v>132</v>
      </c>
      <c r="E244" s="36">
        <f t="shared" si="18"/>
        <v>21075138.788624004</v>
      </c>
      <c r="F244" s="36">
        <v>19504</v>
      </c>
      <c r="G244" s="58">
        <v>0</v>
      </c>
      <c r="H244" s="35">
        <f t="shared" si="19"/>
        <v>19504</v>
      </c>
      <c r="I244" s="35">
        <f t="shared" si="16"/>
        <v>0</v>
      </c>
      <c r="J244" s="35">
        <f t="shared" si="17"/>
        <v>1143.4368221112682</v>
      </c>
      <c r="K244" s="45">
        <f t="shared" si="15"/>
        <v>21093499.351801891</v>
      </c>
    </row>
    <row r="245" spans="2:11">
      <c r="B245" s="43">
        <v>45323</v>
      </c>
      <c r="C245" s="32" t="s">
        <v>25</v>
      </c>
      <c r="D245" s="32" t="s">
        <v>134</v>
      </c>
      <c r="E245" s="36">
        <f t="shared" si="18"/>
        <v>21093499.351801891</v>
      </c>
      <c r="F245" s="36">
        <v>0</v>
      </c>
      <c r="G245" s="58">
        <v>-7252.11</v>
      </c>
      <c r="H245" s="35">
        <f t="shared" si="19"/>
        <v>-7252.11</v>
      </c>
      <c r="I245" s="35">
        <f t="shared" si="16"/>
        <v>0</v>
      </c>
      <c r="J245" s="35">
        <f t="shared" si="17"/>
        <v>1144.432978968068</v>
      </c>
      <c r="K245" s="45">
        <f t="shared" si="15"/>
        <v>21085102.808822922</v>
      </c>
    </row>
    <row r="246" spans="2:11">
      <c r="B246" s="43">
        <v>45323</v>
      </c>
      <c r="C246" s="32" t="s">
        <v>27</v>
      </c>
      <c r="D246" s="32" t="s">
        <v>134</v>
      </c>
      <c r="E246" s="36">
        <f t="shared" si="18"/>
        <v>21085102.808822922</v>
      </c>
      <c r="F246" s="36">
        <v>0</v>
      </c>
      <c r="G246" s="58">
        <v>-12669</v>
      </c>
      <c r="H246" s="35">
        <f t="shared" si="19"/>
        <v>-12669</v>
      </c>
      <c r="I246" s="35">
        <f t="shared" si="16"/>
        <v>0</v>
      </c>
      <c r="J246" s="35">
        <f t="shared" si="17"/>
        <v>1143.9774224701068</v>
      </c>
      <c r="K246" s="45">
        <f t="shared" si="15"/>
        <v>21071289.831400454</v>
      </c>
    </row>
    <row r="247" spans="2:11">
      <c r="B247" s="43">
        <v>45323</v>
      </c>
      <c r="C247" s="32" t="s">
        <v>27</v>
      </c>
      <c r="D247" s="32" t="s">
        <v>134</v>
      </c>
      <c r="E247" s="36">
        <f t="shared" si="18"/>
        <v>21071289.831400454</v>
      </c>
      <c r="F247" s="36">
        <v>0</v>
      </c>
      <c r="G247" s="58">
        <v>-16079</v>
      </c>
      <c r="H247" s="35">
        <f t="shared" si="19"/>
        <v>-16079</v>
      </c>
      <c r="I247" s="35">
        <f t="shared" si="16"/>
        <v>0</v>
      </c>
      <c r="J247" s="35">
        <f t="shared" si="17"/>
        <v>1143.2279959934297</v>
      </c>
      <c r="K247" s="45">
        <f t="shared" si="15"/>
        <v>21054067.603404462</v>
      </c>
    </row>
    <row r="248" spans="2:11">
      <c r="B248" s="43">
        <v>45323</v>
      </c>
      <c r="C248" s="32" t="s">
        <v>29</v>
      </c>
      <c r="D248" s="32" t="s">
        <v>134</v>
      </c>
      <c r="E248" s="36">
        <f t="shared" si="18"/>
        <v>21054067.603404462</v>
      </c>
      <c r="F248" s="36">
        <v>0</v>
      </c>
      <c r="G248" s="58">
        <v>-6383</v>
      </c>
      <c r="H248" s="35">
        <f t="shared" si="19"/>
        <v>-6383</v>
      </c>
      <c r="I248" s="35">
        <f t="shared" si="16"/>
        <v>0</v>
      </c>
      <c r="J248" s="35">
        <f t="shared" si="17"/>
        <v>1142.293599791017</v>
      </c>
      <c r="K248" s="45">
        <f t="shared" si="15"/>
        <v>21046542.309804671</v>
      </c>
    </row>
    <row r="249" spans="2:11">
      <c r="B249" s="43">
        <v>45323</v>
      </c>
      <c r="C249" s="32" t="s">
        <v>25</v>
      </c>
      <c r="D249" s="32" t="s">
        <v>134</v>
      </c>
      <c r="E249" s="36">
        <f t="shared" si="18"/>
        <v>21046542.309804671</v>
      </c>
      <c r="F249" s="36">
        <v>0</v>
      </c>
      <c r="G249" s="58">
        <v>-4896</v>
      </c>
      <c r="H249" s="35">
        <f t="shared" si="19"/>
        <v>-4896</v>
      </c>
      <c r="I249" s="35">
        <f t="shared" si="16"/>
        <v>0</v>
      </c>
      <c r="J249" s="35">
        <f t="shared" si="17"/>
        <v>1141.8853131417329</v>
      </c>
      <c r="K249" s="45">
        <f t="shared" si="15"/>
        <v>21040504.424491528</v>
      </c>
    </row>
    <row r="250" spans="2:11">
      <c r="B250" s="43">
        <v>45324</v>
      </c>
      <c r="C250" s="32" t="s">
        <v>27</v>
      </c>
      <c r="D250" s="32" t="s">
        <v>132</v>
      </c>
      <c r="E250" s="36">
        <f t="shared" si="18"/>
        <v>21040504.424491528</v>
      </c>
      <c r="F250" s="36">
        <v>15205.69</v>
      </c>
      <c r="G250" s="58">
        <v>0</v>
      </c>
      <c r="H250" s="35">
        <f t="shared" si="19"/>
        <v>15205.69</v>
      </c>
      <c r="I250" s="35">
        <f t="shared" si="16"/>
        <v>0</v>
      </c>
      <c r="J250" s="35">
        <f t="shared" si="17"/>
        <v>2283.1154523874384</v>
      </c>
      <c r="K250" s="45">
        <f t="shared" si="15"/>
        <v>21053426.999039143</v>
      </c>
    </row>
    <row r="251" spans="2:11">
      <c r="B251" s="43">
        <v>45324</v>
      </c>
      <c r="C251" s="32" t="s">
        <v>27</v>
      </c>
      <c r="D251" s="32" t="s">
        <v>132</v>
      </c>
      <c r="E251" s="36">
        <f t="shared" si="18"/>
        <v>21053426.999039143</v>
      </c>
      <c r="F251" s="36">
        <v>14337.09</v>
      </c>
      <c r="G251" s="58">
        <v>0</v>
      </c>
      <c r="H251" s="35">
        <f t="shared" si="19"/>
        <v>14337.09</v>
      </c>
      <c r="I251" s="35">
        <f t="shared" si="16"/>
        <v>0</v>
      </c>
      <c r="J251" s="35">
        <f t="shared" si="17"/>
        <v>1142.2588436441151</v>
      </c>
      <c r="K251" s="45">
        <f t="shared" si="15"/>
        <v>21066621.830195498</v>
      </c>
    </row>
    <row r="252" spans="2:11">
      <c r="B252" s="43">
        <v>45324</v>
      </c>
      <c r="C252" s="32" t="s">
        <v>27</v>
      </c>
      <c r="D252" s="32" t="s">
        <v>132</v>
      </c>
      <c r="E252" s="36">
        <f t="shared" si="18"/>
        <v>21066621.830195498</v>
      </c>
      <c r="F252" s="36">
        <v>18112.62</v>
      </c>
      <c r="G252" s="58">
        <v>0</v>
      </c>
      <c r="H252" s="35">
        <f t="shared" si="19"/>
        <v>18112.62</v>
      </c>
      <c r="I252" s="35">
        <f t="shared" si="16"/>
        <v>0</v>
      </c>
      <c r="J252" s="35">
        <f t="shared" si="17"/>
        <v>1142.9747324435693</v>
      </c>
      <c r="K252" s="45">
        <f t="shared" si="15"/>
        <v>21083591.475463055</v>
      </c>
    </row>
    <row r="253" spans="2:11">
      <c r="B253" s="43">
        <v>45324</v>
      </c>
      <c r="C253" s="32" t="s">
        <v>25</v>
      </c>
      <c r="D253" s="32" t="s">
        <v>132</v>
      </c>
      <c r="E253" s="36">
        <f t="shared" si="18"/>
        <v>21083591.475463055</v>
      </c>
      <c r="F253" s="36">
        <v>19684.53</v>
      </c>
      <c r="G253" s="58">
        <v>0</v>
      </c>
      <c r="H253" s="35">
        <f t="shared" si="19"/>
        <v>19684.53</v>
      </c>
      <c r="I253" s="35">
        <f t="shared" si="16"/>
        <v>0</v>
      </c>
      <c r="J253" s="35">
        <f t="shared" si="17"/>
        <v>1143.8954247081235</v>
      </c>
      <c r="K253" s="45">
        <f t="shared" si="15"/>
        <v>21102132.110038348</v>
      </c>
    </row>
    <row r="254" spans="2:11">
      <c r="B254" s="43">
        <v>45324</v>
      </c>
      <c r="C254" s="32" t="s">
        <v>25</v>
      </c>
      <c r="D254" s="32" t="s">
        <v>134</v>
      </c>
      <c r="E254" s="36">
        <f t="shared" si="18"/>
        <v>21102132.110038348</v>
      </c>
      <c r="F254" s="36">
        <v>0</v>
      </c>
      <c r="G254" s="58">
        <v>-13765.09</v>
      </c>
      <c r="H254" s="35">
        <f t="shared" si="19"/>
        <v>-13765.09</v>
      </c>
      <c r="I254" s="35">
        <f t="shared" si="16"/>
        <v>0</v>
      </c>
      <c r="J254" s="35">
        <f t="shared" si="17"/>
        <v>1144.9013513827388</v>
      </c>
      <c r="K254" s="45">
        <f t="shared" si="15"/>
        <v>21087222.118686967</v>
      </c>
    </row>
    <row r="255" spans="2:11">
      <c r="B255" s="43">
        <v>45324</v>
      </c>
      <c r="C255" s="32" t="s">
        <v>27</v>
      </c>
      <c r="D255" s="32" t="s">
        <v>134</v>
      </c>
      <c r="E255" s="36">
        <f t="shared" si="18"/>
        <v>21087222.118686967</v>
      </c>
      <c r="F255" s="36">
        <v>0</v>
      </c>
      <c r="G255" s="58">
        <v>-10482.69</v>
      </c>
      <c r="H255" s="35">
        <f t="shared" si="19"/>
        <v>-10482.69</v>
      </c>
      <c r="I255" s="35">
        <f t="shared" si="16"/>
        <v>0</v>
      </c>
      <c r="J255" s="35">
        <f t="shared" si="17"/>
        <v>1144.0924061463861</v>
      </c>
      <c r="K255" s="45">
        <f t="shared" si="15"/>
        <v>21075595.336280819</v>
      </c>
    </row>
    <row r="256" spans="2:11">
      <c r="B256" s="43">
        <v>45324</v>
      </c>
      <c r="C256" s="32" t="s">
        <v>25</v>
      </c>
      <c r="D256" s="32" t="s">
        <v>134</v>
      </c>
      <c r="E256" s="36">
        <f t="shared" si="18"/>
        <v>21075595.336280819</v>
      </c>
      <c r="F256" s="36">
        <v>0</v>
      </c>
      <c r="G256" s="58">
        <v>-5612</v>
      </c>
      <c r="H256" s="35">
        <f t="shared" si="19"/>
        <v>-5612</v>
      </c>
      <c r="I256" s="35">
        <f t="shared" si="16"/>
        <v>0</v>
      </c>
      <c r="J256" s="35">
        <f t="shared" si="17"/>
        <v>1143.4615922163237</v>
      </c>
      <c r="K256" s="45">
        <f t="shared" si="15"/>
        <v>21068839.874688603</v>
      </c>
    </row>
    <row r="257" spans="2:11">
      <c r="B257" s="43">
        <v>45324</v>
      </c>
      <c r="C257" s="32" t="s">
        <v>29</v>
      </c>
      <c r="D257" s="32" t="s">
        <v>134</v>
      </c>
      <c r="E257" s="36">
        <f t="shared" si="18"/>
        <v>21068839.874688603</v>
      </c>
      <c r="F257" s="36">
        <v>0</v>
      </c>
      <c r="G257" s="58">
        <v>-7209</v>
      </c>
      <c r="H257" s="35">
        <f t="shared" si="19"/>
        <v>-7209</v>
      </c>
      <c r="I257" s="35">
        <f t="shared" si="16"/>
        <v>0</v>
      </c>
      <c r="J257" s="35">
        <f t="shared" si="17"/>
        <v>1143.0950729913557</v>
      </c>
      <c r="K257" s="45">
        <f t="shared" si="15"/>
        <v>21060487.779615611</v>
      </c>
    </row>
    <row r="258" spans="2:11">
      <c r="B258" s="43">
        <v>45324</v>
      </c>
      <c r="C258" s="32" t="s">
        <v>29</v>
      </c>
      <c r="D258" s="32" t="s">
        <v>134</v>
      </c>
      <c r="E258" s="36">
        <f t="shared" si="18"/>
        <v>21060487.779615611</v>
      </c>
      <c r="F258" s="36">
        <v>0</v>
      </c>
      <c r="G258" s="58">
        <v>-9595</v>
      </c>
      <c r="H258" s="35">
        <f t="shared" si="19"/>
        <v>-9595</v>
      </c>
      <c r="I258" s="35">
        <f t="shared" si="16"/>
        <v>0</v>
      </c>
      <c r="J258" s="35">
        <f t="shared" si="17"/>
        <v>1142.6419280254308</v>
      </c>
      <c r="K258" s="45">
        <f t="shared" si="15"/>
        <v>21049750.137687586</v>
      </c>
    </row>
    <row r="259" spans="2:11">
      <c r="B259" s="43">
        <v>45325</v>
      </c>
      <c r="C259" s="32" t="s">
        <v>25</v>
      </c>
      <c r="D259" s="32" t="s">
        <v>134</v>
      </c>
      <c r="E259" s="36">
        <f t="shared" si="18"/>
        <v>21049750.137687586</v>
      </c>
      <c r="F259" s="36">
        <v>0</v>
      </c>
      <c r="G259" s="58">
        <v>-12376.77</v>
      </c>
      <c r="H259" s="35">
        <f t="shared" si="19"/>
        <v>-12376.77</v>
      </c>
      <c r="I259" s="35">
        <f t="shared" si="16"/>
        <v>0</v>
      </c>
      <c r="J259" s="35">
        <f t="shared" si="17"/>
        <v>2284.1187092600107</v>
      </c>
      <c r="K259" s="45">
        <f t="shared" si="15"/>
        <v>21035089.248978328</v>
      </c>
    </row>
    <row r="260" spans="2:11">
      <c r="B260" s="43">
        <v>45325</v>
      </c>
      <c r="C260" s="32" t="s">
        <v>25</v>
      </c>
      <c r="D260" s="32" t="s">
        <v>134</v>
      </c>
      <c r="E260" s="36">
        <f t="shared" si="18"/>
        <v>21035089.248978328</v>
      </c>
      <c r="F260" s="36">
        <v>0</v>
      </c>
      <c r="G260" s="58">
        <v>-9701.83</v>
      </c>
      <c r="H260" s="35">
        <f t="shared" si="19"/>
        <v>-9701.83</v>
      </c>
      <c r="I260" s="35">
        <f t="shared" si="16"/>
        <v>0</v>
      </c>
      <c r="J260" s="35">
        <f t="shared" si="17"/>
        <v>1141.2639245185753</v>
      </c>
      <c r="K260" s="45">
        <f t="shared" si="15"/>
        <v>21024246.155053813</v>
      </c>
    </row>
    <row r="261" spans="2:11">
      <c r="B261" s="43">
        <v>45325</v>
      </c>
      <c r="C261" s="32" t="s">
        <v>29</v>
      </c>
      <c r="D261" s="32" t="s">
        <v>134</v>
      </c>
      <c r="E261" s="36">
        <f t="shared" si="18"/>
        <v>21024246.155053813</v>
      </c>
      <c r="F261" s="36">
        <v>0</v>
      </c>
      <c r="G261" s="58">
        <v>-1897</v>
      </c>
      <c r="H261" s="35">
        <f t="shared" si="19"/>
        <v>-1897</v>
      </c>
      <c r="I261" s="35">
        <f t="shared" si="16"/>
        <v>0</v>
      </c>
      <c r="J261" s="35">
        <f t="shared" si="17"/>
        <v>1140.675629799226</v>
      </c>
      <c r="K261" s="45">
        <f t="shared" si="15"/>
        <v>21021208.479424015</v>
      </c>
    </row>
    <row r="262" spans="2:11">
      <c r="B262" s="43">
        <v>45325</v>
      </c>
      <c r="C262" s="32" t="s">
        <v>25</v>
      </c>
      <c r="D262" s="32" t="s">
        <v>134</v>
      </c>
      <c r="E262" s="36">
        <f t="shared" si="18"/>
        <v>21021208.479424015</v>
      </c>
      <c r="F262" s="36">
        <v>0</v>
      </c>
      <c r="G262" s="58">
        <v>-6663</v>
      </c>
      <c r="H262" s="35">
        <f t="shared" si="19"/>
        <v>-6663</v>
      </c>
      <c r="I262" s="35">
        <f t="shared" si="16"/>
        <v>0</v>
      </c>
      <c r="J262" s="35">
        <f t="shared" si="17"/>
        <v>1140.5108199631638</v>
      </c>
      <c r="K262" s="45">
        <f t="shared" si="15"/>
        <v>21013404.968604051</v>
      </c>
    </row>
    <row r="263" spans="2:11">
      <c r="B263" s="43">
        <v>45326</v>
      </c>
      <c r="C263" s="32" t="s">
        <v>27</v>
      </c>
      <c r="D263" s="32" t="s">
        <v>132</v>
      </c>
      <c r="E263" s="36">
        <f t="shared" si="18"/>
        <v>21013404.968604051</v>
      </c>
      <c r="F263" s="36">
        <v>18132.48</v>
      </c>
      <c r="G263" s="58">
        <v>0</v>
      </c>
      <c r="H263" s="35">
        <f t="shared" si="19"/>
        <v>18132.48</v>
      </c>
      <c r="I263" s="35">
        <f t="shared" si="16"/>
        <v>0</v>
      </c>
      <c r="J263" s="35">
        <f t="shared" si="17"/>
        <v>2280.1748771407742</v>
      </c>
      <c r="K263" s="45">
        <f t="shared" si="15"/>
        <v>21029257.27372691</v>
      </c>
    </row>
    <row r="264" spans="2:11">
      <c r="B264" s="43">
        <v>45326</v>
      </c>
      <c r="C264" s="32" t="s">
        <v>29</v>
      </c>
      <c r="D264" s="32" t="s">
        <v>132</v>
      </c>
      <c r="E264" s="36">
        <f t="shared" si="18"/>
        <v>21029257.27372691</v>
      </c>
      <c r="F264" s="36">
        <v>8539.83</v>
      </c>
      <c r="G264" s="58">
        <v>0</v>
      </c>
      <c r="H264" s="35">
        <f t="shared" si="19"/>
        <v>8539.83</v>
      </c>
      <c r="I264" s="35">
        <f t="shared" si="16"/>
        <v>0</v>
      </c>
      <c r="J264" s="35">
        <f t="shared" si="17"/>
        <v>1140.9475092714447</v>
      </c>
      <c r="K264" s="45">
        <f t="shared" ref="K264:K327" si="20">E264+H264+I264-J264</f>
        <v>21036656.156217638</v>
      </c>
    </row>
    <row r="265" spans="2:11">
      <c r="B265" s="43">
        <v>45326</v>
      </c>
      <c r="C265" s="32" t="s">
        <v>29</v>
      </c>
      <c r="D265" s="32" t="s">
        <v>132</v>
      </c>
      <c r="E265" s="36">
        <f t="shared" si="18"/>
        <v>21036656.156217638</v>
      </c>
      <c r="F265" s="36">
        <v>19822.04</v>
      </c>
      <c r="G265" s="58">
        <v>0</v>
      </c>
      <c r="H265" s="35">
        <f t="shared" si="19"/>
        <v>19822.04</v>
      </c>
      <c r="I265" s="35">
        <f t="shared" si="16"/>
        <v>0</v>
      </c>
      <c r="J265" s="35">
        <f t="shared" si="17"/>
        <v>1141.3489374550134</v>
      </c>
      <c r="K265" s="45">
        <f t="shared" si="20"/>
        <v>21055336.847280182</v>
      </c>
    </row>
    <row r="266" spans="2:11">
      <c r="B266" s="43">
        <v>45326</v>
      </c>
      <c r="C266" s="32" t="s">
        <v>29</v>
      </c>
      <c r="D266" s="32" t="s">
        <v>134</v>
      </c>
      <c r="E266" s="36">
        <f t="shared" si="18"/>
        <v>21055336.847280182</v>
      </c>
      <c r="F266" s="36">
        <v>0</v>
      </c>
      <c r="G266" s="58">
        <v>-3840.38</v>
      </c>
      <c r="H266" s="35">
        <f t="shared" si="19"/>
        <v>-3840.38</v>
      </c>
      <c r="I266" s="35">
        <f t="shared" si="16"/>
        <v>0</v>
      </c>
      <c r="J266" s="35">
        <f t="shared" si="17"/>
        <v>1142.3624629286833</v>
      </c>
      <c r="K266" s="45">
        <f t="shared" si="20"/>
        <v>21050354.104817253</v>
      </c>
    </row>
    <row r="267" spans="2:11">
      <c r="B267" s="43">
        <v>45326</v>
      </c>
      <c r="C267" s="32" t="s">
        <v>29</v>
      </c>
      <c r="D267" s="32" t="s">
        <v>134</v>
      </c>
      <c r="E267" s="36">
        <f t="shared" si="18"/>
        <v>21050354.104817253</v>
      </c>
      <c r="F267" s="36">
        <v>0</v>
      </c>
      <c r="G267" s="58">
        <v>-12197</v>
      </c>
      <c r="H267" s="35">
        <f t="shared" si="19"/>
        <v>-12197</v>
      </c>
      <c r="I267" s="35">
        <f t="shared" si="16"/>
        <v>0</v>
      </c>
      <c r="J267" s="35">
        <f t="shared" si="17"/>
        <v>1142.0921230147042</v>
      </c>
      <c r="K267" s="45">
        <f t="shared" si="20"/>
        <v>21037015.01269424</v>
      </c>
    </row>
    <row r="268" spans="2:11">
      <c r="B268" s="43">
        <v>45327</v>
      </c>
      <c r="C268" s="32" t="s">
        <v>25</v>
      </c>
      <c r="D268" s="32" t="s">
        <v>132</v>
      </c>
      <c r="E268" s="36">
        <f t="shared" si="18"/>
        <v>21037015.01269424</v>
      </c>
      <c r="F268" s="36">
        <v>8541.33</v>
      </c>
      <c r="G268" s="58">
        <v>0</v>
      </c>
      <c r="H268" s="35">
        <f t="shared" si="19"/>
        <v>8541.33</v>
      </c>
      <c r="I268" s="35">
        <f t="shared" si="16"/>
        <v>0</v>
      </c>
      <c r="J268" s="35">
        <f t="shared" si="17"/>
        <v>2282.7368146022691</v>
      </c>
      <c r="K268" s="45">
        <f t="shared" si="20"/>
        <v>21043273.605879635</v>
      </c>
    </row>
    <row r="269" spans="2:11">
      <c r="B269" s="43">
        <v>45327</v>
      </c>
      <c r="C269" s="32" t="s">
        <v>25</v>
      </c>
      <c r="D269" s="32" t="s">
        <v>132</v>
      </c>
      <c r="E269" s="36">
        <f t="shared" si="18"/>
        <v>21043273.605879635</v>
      </c>
      <c r="F269" s="36">
        <v>11970.81</v>
      </c>
      <c r="G269" s="58">
        <v>0</v>
      </c>
      <c r="H269" s="35">
        <f t="shared" si="19"/>
        <v>11970.81</v>
      </c>
      <c r="I269" s="35">
        <f t="shared" si="16"/>
        <v>0</v>
      </c>
      <c r="J269" s="35">
        <f t="shared" si="17"/>
        <v>1141.70796880887</v>
      </c>
      <c r="K269" s="45">
        <f t="shared" si="20"/>
        <v>21054102.707910825</v>
      </c>
    </row>
    <row r="270" spans="2:11">
      <c r="B270" s="43">
        <v>45327</v>
      </c>
      <c r="C270" s="32" t="s">
        <v>25</v>
      </c>
      <c r="D270" s="32" t="s">
        <v>134</v>
      </c>
      <c r="E270" s="36">
        <f t="shared" si="18"/>
        <v>21054102.707910825</v>
      </c>
      <c r="F270" s="36">
        <v>0</v>
      </c>
      <c r="G270" s="58">
        <v>-1967</v>
      </c>
      <c r="H270" s="35">
        <f t="shared" si="19"/>
        <v>-1967</v>
      </c>
      <c r="I270" s="35">
        <f t="shared" si="16"/>
        <v>0</v>
      </c>
      <c r="J270" s="35">
        <f t="shared" si="17"/>
        <v>1142.2955043946165</v>
      </c>
      <c r="K270" s="45">
        <f t="shared" si="20"/>
        <v>21050993.41240643</v>
      </c>
    </row>
    <row r="271" spans="2:11">
      <c r="B271" s="43">
        <v>45328</v>
      </c>
      <c r="C271" s="32" t="s">
        <v>29</v>
      </c>
      <c r="D271" s="32" t="s">
        <v>132</v>
      </c>
      <c r="E271" s="36">
        <f t="shared" si="18"/>
        <v>21050993.41240643</v>
      </c>
      <c r="F271" s="36">
        <v>11246.66</v>
      </c>
      <c r="G271" s="58">
        <v>0</v>
      </c>
      <c r="H271" s="35">
        <f t="shared" si="19"/>
        <v>11246.66</v>
      </c>
      <c r="I271" s="35">
        <f t="shared" si="16"/>
        <v>0</v>
      </c>
      <c r="J271" s="35">
        <f t="shared" si="17"/>
        <v>2284.2536176093968</v>
      </c>
      <c r="K271" s="45">
        <f t="shared" si="20"/>
        <v>21059955.818788819</v>
      </c>
    </row>
    <row r="272" spans="2:11">
      <c r="B272" s="43">
        <v>45328</v>
      </c>
      <c r="C272" s="32" t="s">
        <v>25</v>
      </c>
      <c r="D272" s="32" t="s">
        <v>132</v>
      </c>
      <c r="E272" s="36">
        <f t="shared" si="18"/>
        <v>21059955.818788819</v>
      </c>
      <c r="F272" s="36">
        <v>14972.64</v>
      </c>
      <c r="G272" s="58">
        <v>0</v>
      </c>
      <c r="H272" s="35">
        <f t="shared" si="19"/>
        <v>14972.64</v>
      </c>
      <c r="I272" s="35">
        <f t="shared" si="16"/>
        <v>0</v>
      </c>
      <c r="J272" s="35">
        <f t="shared" si="17"/>
        <v>1142.6130663603487</v>
      </c>
      <c r="K272" s="45">
        <f t="shared" si="20"/>
        <v>21073785.845722459</v>
      </c>
    </row>
    <row r="273" spans="2:11">
      <c r="B273" s="43">
        <v>45328</v>
      </c>
      <c r="C273" s="32" t="s">
        <v>29</v>
      </c>
      <c r="D273" s="32" t="s">
        <v>134</v>
      </c>
      <c r="E273" s="36">
        <f t="shared" si="18"/>
        <v>21073785.845722459</v>
      </c>
      <c r="F273" s="36">
        <v>0</v>
      </c>
      <c r="G273" s="58">
        <v>-10354.31</v>
      </c>
      <c r="H273" s="35">
        <f t="shared" si="19"/>
        <v>-10354.31</v>
      </c>
      <c r="I273" s="35">
        <f t="shared" si="16"/>
        <v>0</v>
      </c>
      <c r="J273" s="35">
        <f t="shared" si="17"/>
        <v>1143.3634178624347</v>
      </c>
      <c r="K273" s="45">
        <f t="shared" si="20"/>
        <v>21062288.172304597</v>
      </c>
    </row>
    <row r="274" spans="2:11">
      <c r="B274" s="43">
        <v>45328</v>
      </c>
      <c r="C274" s="32" t="s">
        <v>25</v>
      </c>
      <c r="D274" s="32" t="s">
        <v>134</v>
      </c>
      <c r="E274" s="36">
        <f t="shared" si="18"/>
        <v>21062288.172304597</v>
      </c>
      <c r="F274" s="36">
        <v>0</v>
      </c>
      <c r="G274" s="58">
        <v>-9775.2800000000007</v>
      </c>
      <c r="H274" s="35">
        <f t="shared" si="19"/>
        <v>-9775.2800000000007</v>
      </c>
      <c r="I274" s="35">
        <f t="shared" si="16"/>
        <v>0</v>
      </c>
      <c r="J274" s="35">
        <f t="shared" si="17"/>
        <v>1142.7396087721863</v>
      </c>
      <c r="K274" s="45">
        <f t="shared" si="20"/>
        <v>21051370.152695823</v>
      </c>
    </row>
    <row r="275" spans="2:11">
      <c r="B275" s="43">
        <v>45328</v>
      </c>
      <c r="C275" s="32" t="s">
        <v>29</v>
      </c>
      <c r="D275" s="32" t="s">
        <v>134</v>
      </c>
      <c r="E275" s="36">
        <f t="shared" si="18"/>
        <v>21051370.152695823</v>
      </c>
      <c r="F275" s="36">
        <v>0</v>
      </c>
      <c r="G275" s="58">
        <v>-21265</v>
      </c>
      <c r="H275" s="35">
        <f t="shared" si="19"/>
        <v>-21265</v>
      </c>
      <c r="I275" s="35">
        <f t="shared" si="16"/>
        <v>0</v>
      </c>
      <c r="J275" s="35">
        <f t="shared" si="17"/>
        <v>1142.1472489414675</v>
      </c>
      <c r="K275" s="45">
        <f t="shared" si="20"/>
        <v>21028963.005446881</v>
      </c>
    </row>
    <row r="276" spans="2:11">
      <c r="B276" s="43">
        <v>45328</v>
      </c>
      <c r="C276" s="32" t="s">
        <v>29</v>
      </c>
      <c r="D276" s="32" t="s">
        <v>134</v>
      </c>
      <c r="E276" s="36">
        <f t="shared" si="18"/>
        <v>21028963.005446881</v>
      </c>
      <c r="F276" s="36">
        <v>0</v>
      </c>
      <c r="G276" s="58">
        <v>-21045</v>
      </c>
      <c r="H276" s="35">
        <f t="shared" si="19"/>
        <v>-21045</v>
      </c>
      <c r="I276" s="35">
        <f t="shared" ref="I276:I339" si="21">(($E276*Daily_Interest)*(_xlfn.DAYS(B276,B275)+1))+((IF(DAY($B275)&gt;Monthly_Cut_off_Date,0,Daily_Interest*H276))*(_xlfn.DAYS(B276,B275)+1))</f>
        <v>0</v>
      </c>
      <c r="J276" s="35">
        <f t="shared" ref="J276:J339" si="22">(($I276+E276)*Daily_Fees_Rate)*((_xlfn.DAYS(B276,B275)+1))</f>
        <v>1140.9315436737641</v>
      </c>
      <c r="K276" s="45">
        <f t="shared" si="20"/>
        <v>21006777.073903207</v>
      </c>
    </row>
    <row r="277" spans="2:11">
      <c r="B277" s="43">
        <v>45328</v>
      </c>
      <c r="C277" s="32" t="s">
        <v>29</v>
      </c>
      <c r="D277" s="32" t="s">
        <v>134</v>
      </c>
      <c r="E277" s="36">
        <f t="shared" ref="E277:E340" si="23">K276</f>
        <v>21006777.073903207</v>
      </c>
      <c r="F277" s="36">
        <v>0</v>
      </c>
      <c r="G277" s="58">
        <v>-2544</v>
      </c>
      <c r="H277" s="35">
        <f t="shared" ref="H277:H340" si="24">SUM(F277:G277)</f>
        <v>-2544</v>
      </c>
      <c r="I277" s="35">
        <f t="shared" si="21"/>
        <v>0</v>
      </c>
      <c r="J277" s="35">
        <f t="shared" si="22"/>
        <v>1139.727840518387</v>
      </c>
      <c r="K277" s="45">
        <f t="shared" si="20"/>
        <v>21003093.34606269</v>
      </c>
    </row>
    <row r="278" spans="2:11">
      <c r="B278" s="43">
        <v>45328</v>
      </c>
      <c r="C278" s="32" t="s">
        <v>29</v>
      </c>
      <c r="D278" s="32" t="s">
        <v>134</v>
      </c>
      <c r="E278" s="36">
        <f t="shared" si="23"/>
        <v>21003093.34606269</v>
      </c>
      <c r="F278" s="36">
        <v>0</v>
      </c>
      <c r="G278" s="58">
        <v>-18154</v>
      </c>
      <c r="H278" s="35">
        <f t="shared" si="24"/>
        <v>-18154</v>
      </c>
      <c r="I278" s="35">
        <f t="shared" si="21"/>
        <v>0</v>
      </c>
      <c r="J278" s="35">
        <f t="shared" si="22"/>
        <v>1139.5279789612352</v>
      </c>
      <c r="K278" s="45">
        <f t="shared" si="20"/>
        <v>20983799.81808373</v>
      </c>
    </row>
    <row r="279" spans="2:11">
      <c r="B279" s="43">
        <v>45328</v>
      </c>
      <c r="C279" s="32" t="s">
        <v>29</v>
      </c>
      <c r="D279" s="32" t="s">
        <v>134</v>
      </c>
      <c r="E279" s="36">
        <f t="shared" si="23"/>
        <v>20983799.81808373</v>
      </c>
      <c r="F279" s="36">
        <v>0</v>
      </c>
      <c r="G279" s="58">
        <v>-4056</v>
      </c>
      <c r="H279" s="35">
        <f t="shared" si="24"/>
        <v>-4056</v>
      </c>
      <c r="I279" s="35">
        <f t="shared" si="21"/>
        <v>0</v>
      </c>
      <c r="J279" s="35">
        <f t="shared" si="22"/>
        <v>1138.4812038704119</v>
      </c>
      <c r="K279" s="45">
        <f t="shared" si="20"/>
        <v>20978605.336879861</v>
      </c>
    </row>
    <row r="280" spans="2:11">
      <c r="B280" s="43">
        <v>45329</v>
      </c>
      <c r="C280" s="32" t="s">
        <v>25</v>
      </c>
      <c r="D280" s="32" t="s">
        <v>132</v>
      </c>
      <c r="E280" s="36">
        <f t="shared" si="23"/>
        <v>20978605.336879861</v>
      </c>
      <c r="F280" s="36">
        <v>10692.41</v>
      </c>
      <c r="G280" s="58">
        <v>0</v>
      </c>
      <c r="H280" s="35">
        <f t="shared" si="24"/>
        <v>10692.41</v>
      </c>
      <c r="I280" s="35">
        <f t="shared" si="21"/>
        <v>0</v>
      </c>
      <c r="J280" s="35">
        <f t="shared" si="22"/>
        <v>2276.3987520382598</v>
      </c>
      <c r="K280" s="45">
        <f t="shared" si="20"/>
        <v>20987021.348127823</v>
      </c>
    </row>
    <row r="281" spans="2:11">
      <c r="B281" s="43">
        <v>45329</v>
      </c>
      <c r="C281" s="32" t="s">
        <v>27</v>
      </c>
      <c r="D281" s="32" t="s">
        <v>132</v>
      </c>
      <c r="E281" s="36">
        <f t="shared" si="23"/>
        <v>20987021.348127823</v>
      </c>
      <c r="F281" s="36">
        <v>13667.12</v>
      </c>
      <c r="G281" s="58">
        <v>0</v>
      </c>
      <c r="H281" s="35">
        <f t="shared" si="24"/>
        <v>13667.12</v>
      </c>
      <c r="I281" s="35">
        <f t="shared" si="21"/>
        <v>0</v>
      </c>
      <c r="J281" s="35">
        <f t="shared" si="22"/>
        <v>1138.6559887727985</v>
      </c>
      <c r="K281" s="45">
        <f t="shared" si="20"/>
        <v>20999549.812139053</v>
      </c>
    </row>
    <row r="282" spans="2:11">
      <c r="B282" s="43">
        <v>45329</v>
      </c>
      <c r="C282" s="32" t="s">
        <v>29</v>
      </c>
      <c r="D282" s="32" t="s">
        <v>132</v>
      </c>
      <c r="E282" s="36">
        <f t="shared" si="23"/>
        <v>20999549.812139053</v>
      </c>
      <c r="F282" s="36">
        <v>15625.15</v>
      </c>
      <c r="G282" s="58">
        <v>0</v>
      </c>
      <c r="H282" s="35">
        <f t="shared" si="24"/>
        <v>15625.15</v>
      </c>
      <c r="I282" s="35">
        <f t="shared" si="21"/>
        <v>0</v>
      </c>
      <c r="J282" s="35">
        <f t="shared" si="22"/>
        <v>1139.3357236594161</v>
      </c>
      <c r="K282" s="45">
        <f t="shared" si="20"/>
        <v>21014035.626415391</v>
      </c>
    </row>
    <row r="283" spans="2:11">
      <c r="B283" s="43">
        <v>45329</v>
      </c>
      <c r="C283" s="32" t="s">
        <v>29</v>
      </c>
      <c r="D283" s="32" t="s">
        <v>132</v>
      </c>
      <c r="E283" s="36">
        <f t="shared" si="23"/>
        <v>21014035.626415391</v>
      </c>
      <c r="F283" s="36">
        <v>11995.14</v>
      </c>
      <c r="G283" s="58">
        <v>0</v>
      </c>
      <c r="H283" s="35">
        <f t="shared" si="24"/>
        <v>11995.14</v>
      </c>
      <c r="I283" s="35">
        <f t="shared" si="21"/>
        <v>0</v>
      </c>
      <c r="J283" s="35">
        <f t="shared" si="22"/>
        <v>1140.121655064564</v>
      </c>
      <c r="K283" s="45">
        <f t="shared" si="20"/>
        <v>21024890.644760326</v>
      </c>
    </row>
    <row r="284" spans="2:11">
      <c r="B284" s="43">
        <v>45329</v>
      </c>
      <c r="C284" s="32" t="s">
        <v>27</v>
      </c>
      <c r="D284" s="32" t="s">
        <v>132</v>
      </c>
      <c r="E284" s="36">
        <f t="shared" si="23"/>
        <v>21024890.644760326</v>
      </c>
      <c r="F284" s="36">
        <v>17891.64</v>
      </c>
      <c r="G284" s="58">
        <v>0</v>
      </c>
      <c r="H284" s="35">
        <f t="shared" si="24"/>
        <v>17891.64</v>
      </c>
      <c r="I284" s="35">
        <f t="shared" si="21"/>
        <v>0</v>
      </c>
      <c r="J284" s="35">
        <f t="shared" si="22"/>
        <v>1140.7105967462667</v>
      </c>
      <c r="K284" s="45">
        <f t="shared" si="20"/>
        <v>21041641.574163578</v>
      </c>
    </row>
    <row r="285" spans="2:11">
      <c r="B285" s="43">
        <v>45329</v>
      </c>
      <c r="C285" s="32" t="s">
        <v>25</v>
      </c>
      <c r="D285" s="32" t="s">
        <v>132</v>
      </c>
      <c r="E285" s="36">
        <f t="shared" si="23"/>
        <v>21041641.574163578</v>
      </c>
      <c r="F285" s="36">
        <v>20106.64</v>
      </c>
      <c r="G285" s="58">
        <v>0</v>
      </c>
      <c r="H285" s="35">
        <f t="shared" si="24"/>
        <v>20106.64</v>
      </c>
      <c r="I285" s="35">
        <f t="shared" si="21"/>
        <v>0</v>
      </c>
      <c r="J285" s="35">
        <f t="shared" si="22"/>
        <v>1141.6194225279789</v>
      </c>
      <c r="K285" s="45">
        <f t="shared" si="20"/>
        <v>21060606.59474105</v>
      </c>
    </row>
    <row r="286" spans="2:11">
      <c r="B286" s="43">
        <v>45330</v>
      </c>
      <c r="C286" s="32" t="s">
        <v>29</v>
      </c>
      <c r="D286" s="32" t="s">
        <v>132</v>
      </c>
      <c r="E286" s="36">
        <f t="shared" si="23"/>
        <v>21060606.59474105</v>
      </c>
      <c r="F286" s="36">
        <v>19331.29</v>
      </c>
      <c r="G286" s="58">
        <v>0</v>
      </c>
      <c r="H286" s="35">
        <f t="shared" si="24"/>
        <v>19331.29</v>
      </c>
      <c r="I286" s="35">
        <f t="shared" si="21"/>
        <v>0</v>
      </c>
      <c r="J286" s="35">
        <f t="shared" si="22"/>
        <v>2285.2967487383844</v>
      </c>
      <c r="K286" s="45">
        <f t="shared" si="20"/>
        <v>21077652.587992311</v>
      </c>
    </row>
    <row r="287" spans="2:11">
      <c r="B287" s="43">
        <v>45330</v>
      </c>
      <c r="C287" s="32" t="s">
        <v>29</v>
      </c>
      <c r="D287" s="32" t="s">
        <v>134</v>
      </c>
      <c r="E287" s="36">
        <f t="shared" si="23"/>
        <v>21077652.587992311</v>
      </c>
      <c r="F287" s="36">
        <v>0</v>
      </c>
      <c r="G287" s="58">
        <v>-9181</v>
      </c>
      <c r="H287" s="35">
        <f t="shared" si="24"/>
        <v>-9181</v>
      </c>
      <c r="I287" s="35">
        <f t="shared" si="21"/>
        <v>0</v>
      </c>
      <c r="J287" s="35">
        <f t="shared" si="22"/>
        <v>1143.573208912321</v>
      </c>
      <c r="K287" s="45">
        <f t="shared" si="20"/>
        <v>21067328.014783397</v>
      </c>
    </row>
    <row r="288" spans="2:11">
      <c r="B288" s="43">
        <v>45330</v>
      </c>
      <c r="C288" s="32" t="s">
        <v>29</v>
      </c>
      <c r="D288" s="32" t="s">
        <v>134</v>
      </c>
      <c r="E288" s="36">
        <f t="shared" si="23"/>
        <v>21067328.014783397</v>
      </c>
      <c r="F288" s="36">
        <v>0</v>
      </c>
      <c r="G288" s="58">
        <v>-12299</v>
      </c>
      <c r="H288" s="35">
        <f t="shared" si="24"/>
        <v>-12299</v>
      </c>
      <c r="I288" s="35">
        <f t="shared" si="21"/>
        <v>0</v>
      </c>
      <c r="J288" s="35">
        <f t="shared" si="22"/>
        <v>1143.0130466615258</v>
      </c>
      <c r="K288" s="45">
        <f t="shared" si="20"/>
        <v>21053886.001736734</v>
      </c>
    </row>
    <row r="289" spans="2:11">
      <c r="B289" s="43">
        <v>45330</v>
      </c>
      <c r="C289" s="32" t="s">
        <v>25</v>
      </c>
      <c r="D289" s="32" t="s">
        <v>134</v>
      </c>
      <c r="E289" s="36">
        <f t="shared" si="23"/>
        <v>21053886.001736734</v>
      </c>
      <c r="F289" s="36">
        <v>0</v>
      </c>
      <c r="G289" s="58">
        <v>-16535</v>
      </c>
      <c r="H289" s="35">
        <f t="shared" si="24"/>
        <v>-16535</v>
      </c>
      <c r="I289" s="35">
        <f t="shared" si="21"/>
        <v>0</v>
      </c>
      <c r="J289" s="35">
        <f t="shared" si="22"/>
        <v>1142.2837469480098</v>
      </c>
      <c r="K289" s="45">
        <f t="shared" si="20"/>
        <v>21036208.717989787</v>
      </c>
    </row>
    <row r="290" spans="2:11">
      <c r="B290" s="43">
        <v>45330</v>
      </c>
      <c r="C290" s="32" t="s">
        <v>27</v>
      </c>
      <c r="D290" s="32" t="s">
        <v>134</v>
      </c>
      <c r="E290" s="36">
        <f t="shared" si="23"/>
        <v>21036208.717989787</v>
      </c>
      <c r="F290" s="36">
        <v>0</v>
      </c>
      <c r="G290" s="58">
        <v>-8990</v>
      </c>
      <c r="H290" s="35">
        <f t="shared" si="24"/>
        <v>-8990</v>
      </c>
      <c r="I290" s="35">
        <f t="shared" si="21"/>
        <v>0</v>
      </c>
      <c r="J290" s="35">
        <f t="shared" si="22"/>
        <v>1141.32466158426</v>
      </c>
      <c r="K290" s="45">
        <f t="shared" si="20"/>
        <v>21026077.393328205</v>
      </c>
    </row>
    <row r="291" spans="2:11">
      <c r="B291" s="43">
        <v>45331</v>
      </c>
      <c r="C291" s="32" t="s">
        <v>29</v>
      </c>
      <c r="D291" s="32" t="s">
        <v>132</v>
      </c>
      <c r="E291" s="36">
        <f t="shared" si="23"/>
        <v>21026077.393328205</v>
      </c>
      <c r="F291" s="36">
        <v>14829.16</v>
      </c>
      <c r="G291" s="58">
        <v>0</v>
      </c>
      <c r="H291" s="35">
        <f t="shared" si="24"/>
        <v>14829.16</v>
      </c>
      <c r="I291" s="35">
        <f t="shared" si="21"/>
        <v>0</v>
      </c>
      <c r="J291" s="35">
        <f t="shared" si="22"/>
        <v>2281.5499681615606</v>
      </c>
      <c r="K291" s="45">
        <f t="shared" si="20"/>
        <v>21038625.003360044</v>
      </c>
    </row>
    <row r="292" spans="2:11">
      <c r="B292" s="43">
        <v>45331</v>
      </c>
      <c r="C292" s="32" t="s">
        <v>27</v>
      </c>
      <c r="D292" s="32" t="s">
        <v>132</v>
      </c>
      <c r="E292" s="36">
        <f t="shared" si="23"/>
        <v>21038625.003360044</v>
      </c>
      <c r="F292" s="36">
        <v>22319.26</v>
      </c>
      <c r="G292" s="58">
        <v>0</v>
      </c>
      <c r="H292" s="35">
        <f t="shared" si="24"/>
        <v>22319.26</v>
      </c>
      <c r="I292" s="35">
        <f t="shared" si="21"/>
        <v>0</v>
      </c>
      <c r="J292" s="35">
        <f t="shared" si="22"/>
        <v>1141.4557577394403</v>
      </c>
      <c r="K292" s="45">
        <f t="shared" si="20"/>
        <v>21059802.807602305</v>
      </c>
    </row>
    <row r="293" spans="2:11">
      <c r="B293" s="43">
        <v>45331</v>
      </c>
      <c r="C293" s="32" t="s">
        <v>25</v>
      </c>
      <c r="D293" s="32" t="s">
        <v>132</v>
      </c>
      <c r="E293" s="36">
        <f t="shared" si="23"/>
        <v>21059802.807602305</v>
      </c>
      <c r="F293" s="36">
        <v>12181.99</v>
      </c>
      <c r="G293" s="58">
        <v>0</v>
      </c>
      <c r="H293" s="35">
        <f t="shared" si="24"/>
        <v>12181.99</v>
      </c>
      <c r="I293" s="35">
        <f t="shared" si="21"/>
        <v>0</v>
      </c>
      <c r="J293" s="35">
        <f t="shared" si="22"/>
        <v>1142.6047647009098</v>
      </c>
      <c r="K293" s="45">
        <f t="shared" si="20"/>
        <v>21070842.192837603</v>
      </c>
    </row>
    <row r="294" spans="2:11">
      <c r="B294" s="43">
        <v>45331</v>
      </c>
      <c r="C294" s="32" t="s">
        <v>25</v>
      </c>
      <c r="D294" s="32" t="s">
        <v>134</v>
      </c>
      <c r="E294" s="36">
        <f t="shared" si="23"/>
        <v>21070842.192837603</v>
      </c>
      <c r="F294" s="36">
        <v>0</v>
      </c>
      <c r="G294" s="58">
        <v>-7743.45</v>
      </c>
      <c r="H294" s="35">
        <f t="shared" si="24"/>
        <v>-7743.45</v>
      </c>
      <c r="I294" s="35">
        <f t="shared" si="21"/>
        <v>0</v>
      </c>
      <c r="J294" s="35">
        <f t="shared" si="22"/>
        <v>1143.2037092534517</v>
      </c>
      <c r="K294" s="45">
        <f t="shared" si="20"/>
        <v>21061955.539128352</v>
      </c>
    </row>
    <row r="295" spans="2:11">
      <c r="B295" s="43">
        <v>45331</v>
      </c>
      <c r="C295" s="32" t="s">
        <v>25</v>
      </c>
      <c r="D295" s="32" t="s">
        <v>134</v>
      </c>
      <c r="E295" s="36">
        <f t="shared" si="23"/>
        <v>21061955.539128352</v>
      </c>
      <c r="F295" s="36">
        <v>0</v>
      </c>
      <c r="G295" s="58">
        <v>-7604.44</v>
      </c>
      <c r="H295" s="35">
        <f t="shared" si="24"/>
        <v>-7604.44</v>
      </c>
      <c r="I295" s="35">
        <f t="shared" si="21"/>
        <v>0</v>
      </c>
      <c r="J295" s="35">
        <f t="shared" si="22"/>
        <v>1142.7215616776552</v>
      </c>
      <c r="K295" s="45">
        <f t="shared" si="20"/>
        <v>21053208.377566673</v>
      </c>
    </row>
    <row r="296" spans="2:11">
      <c r="B296" s="43">
        <v>45331</v>
      </c>
      <c r="C296" s="32" t="s">
        <v>27</v>
      </c>
      <c r="D296" s="32" t="s">
        <v>134</v>
      </c>
      <c r="E296" s="36">
        <f t="shared" si="23"/>
        <v>21053208.377566673</v>
      </c>
      <c r="F296" s="36">
        <v>0</v>
      </c>
      <c r="G296" s="58">
        <v>-4259</v>
      </c>
      <c r="H296" s="35">
        <f t="shared" si="24"/>
        <v>-4259</v>
      </c>
      <c r="I296" s="35">
        <f t="shared" si="21"/>
        <v>0</v>
      </c>
      <c r="J296" s="35">
        <f t="shared" si="22"/>
        <v>1142.2469822825253</v>
      </c>
      <c r="K296" s="45">
        <f t="shared" si="20"/>
        <v>21047807.130584389</v>
      </c>
    </row>
    <row r="297" spans="2:11">
      <c r="B297" s="43">
        <v>45331</v>
      </c>
      <c r="C297" s="32" t="s">
        <v>25</v>
      </c>
      <c r="D297" s="32" t="s">
        <v>134</v>
      </c>
      <c r="E297" s="36">
        <f t="shared" si="23"/>
        <v>21047807.130584389</v>
      </c>
      <c r="F297" s="36">
        <v>0</v>
      </c>
      <c r="G297" s="58">
        <v>-17347</v>
      </c>
      <c r="H297" s="35">
        <f t="shared" si="24"/>
        <v>-17347</v>
      </c>
      <c r="I297" s="35">
        <f t="shared" si="21"/>
        <v>0</v>
      </c>
      <c r="J297" s="35">
        <f t="shared" si="22"/>
        <v>1141.9539363032413</v>
      </c>
      <c r="K297" s="45">
        <f t="shared" si="20"/>
        <v>21029318.176648084</v>
      </c>
    </row>
    <row r="298" spans="2:11">
      <c r="B298" s="43">
        <v>45331</v>
      </c>
      <c r="C298" s="32" t="s">
        <v>27</v>
      </c>
      <c r="D298" s="32" t="s">
        <v>134</v>
      </c>
      <c r="E298" s="36">
        <f t="shared" si="23"/>
        <v>21029318.176648084</v>
      </c>
      <c r="F298" s="36">
        <v>0</v>
      </c>
      <c r="G298" s="58">
        <v>-11475</v>
      </c>
      <c r="H298" s="35">
        <f t="shared" si="24"/>
        <v>-11475</v>
      </c>
      <c r="I298" s="35">
        <f t="shared" si="21"/>
        <v>0</v>
      </c>
      <c r="J298" s="35">
        <f t="shared" si="22"/>
        <v>1140.9508135743652</v>
      </c>
      <c r="K298" s="45">
        <f t="shared" si="20"/>
        <v>21016702.225834511</v>
      </c>
    </row>
    <row r="299" spans="2:11">
      <c r="B299" s="43">
        <v>45332</v>
      </c>
      <c r="C299" s="32" t="s">
        <v>27</v>
      </c>
      <c r="D299" s="32" t="s">
        <v>132</v>
      </c>
      <c r="E299" s="36">
        <f t="shared" si="23"/>
        <v>21016702.225834511</v>
      </c>
      <c r="F299" s="36">
        <v>16099.79</v>
      </c>
      <c r="G299" s="58">
        <v>0</v>
      </c>
      <c r="H299" s="35">
        <f t="shared" si="24"/>
        <v>16099.79</v>
      </c>
      <c r="I299" s="35">
        <f t="shared" si="21"/>
        <v>0</v>
      </c>
      <c r="J299" s="35">
        <f t="shared" si="22"/>
        <v>2280.5326641396732</v>
      </c>
      <c r="K299" s="45">
        <f t="shared" si="20"/>
        <v>21030521.483170372</v>
      </c>
    </row>
    <row r="300" spans="2:11">
      <c r="B300" s="43">
        <v>45332</v>
      </c>
      <c r="C300" s="32" t="s">
        <v>25</v>
      </c>
      <c r="D300" s="32" t="s">
        <v>132</v>
      </c>
      <c r="E300" s="36">
        <f t="shared" si="23"/>
        <v>21030521.483170372</v>
      </c>
      <c r="F300" s="36">
        <v>17870.11</v>
      </c>
      <c r="G300" s="58">
        <v>0</v>
      </c>
      <c r="H300" s="35">
        <f t="shared" si="24"/>
        <v>17870.11</v>
      </c>
      <c r="I300" s="35">
        <f t="shared" si="21"/>
        <v>0</v>
      </c>
      <c r="J300" s="35">
        <f t="shared" si="22"/>
        <v>1141.0160992647545</v>
      </c>
      <c r="K300" s="45">
        <f t="shared" si="20"/>
        <v>21047250.577071108</v>
      </c>
    </row>
    <row r="301" spans="2:11">
      <c r="B301" s="43">
        <v>45332</v>
      </c>
      <c r="C301" s="32" t="s">
        <v>25</v>
      </c>
      <c r="D301" s="32" t="s">
        <v>134</v>
      </c>
      <c r="E301" s="36">
        <f t="shared" si="23"/>
        <v>21047250.577071108</v>
      </c>
      <c r="F301" s="36">
        <v>0</v>
      </c>
      <c r="G301" s="58">
        <v>-19921</v>
      </c>
      <c r="H301" s="35">
        <f t="shared" si="24"/>
        <v>-19921</v>
      </c>
      <c r="I301" s="35">
        <f t="shared" si="21"/>
        <v>0</v>
      </c>
      <c r="J301" s="35">
        <f t="shared" si="22"/>
        <v>1141.9237403559243</v>
      </c>
      <c r="K301" s="45">
        <f t="shared" si="20"/>
        <v>21026187.653330751</v>
      </c>
    </row>
    <row r="302" spans="2:11">
      <c r="B302" s="43">
        <v>45333</v>
      </c>
      <c r="C302" s="32" t="s">
        <v>25</v>
      </c>
      <c r="D302" s="32" t="s">
        <v>132</v>
      </c>
      <c r="E302" s="36">
        <f t="shared" si="23"/>
        <v>21026187.653330751</v>
      </c>
      <c r="F302" s="36">
        <v>17361.25</v>
      </c>
      <c r="G302" s="58">
        <v>0</v>
      </c>
      <c r="H302" s="35">
        <f t="shared" si="24"/>
        <v>17361.25</v>
      </c>
      <c r="I302" s="35">
        <f t="shared" si="21"/>
        <v>0</v>
      </c>
      <c r="J302" s="35">
        <f t="shared" si="22"/>
        <v>2281.5619325285029</v>
      </c>
      <c r="K302" s="45">
        <f t="shared" si="20"/>
        <v>21041267.341398221</v>
      </c>
    </row>
    <row r="303" spans="2:11">
      <c r="B303" s="43">
        <v>45333</v>
      </c>
      <c r="C303" s="32" t="s">
        <v>27</v>
      </c>
      <c r="D303" s="32" t="s">
        <v>132</v>
      </c>
      <c r="E303" s="36">
        <f t="shared" si="23"/>
        <v>21041267.341398221</v>
      </c>
      <c r="F303" s="36">
        <v>20266.02</v>
      </c>
      <c r="G303" s="58">
        <v>0</v>
      </c>
      <c r="H303" s="35">
        <f t="shared" si="24"/>
        <v>20266.02</v>
      </c>
      <c r="I303" s="35">
        <f t="shared" si="21"/>
        <v>0</v>
      </c>
      <c r="J303" s="35">
        <f t="shared" si="22"/>
        <v>1141.5991184375414</v>
      </c>
      <c r="K303" s="45">
        <f t="shared" si="20"/>
        <v>21060391.762279782</v>
      </c>
    </row>
    <row r="304" spans="2:11">
      <c r="B304" s="43">
        <v>45333</v>
      </c>
      <c r="C304" s="32" t="s">
        <v>29</v>
      </c>
      <c r="D304" s="32" t="s">
        <v>132</v>
      </c>
      <c r="E304" s="36">
        <f t="shared" si="23"/>
        <v>21060391.762279782</v>
      </c>
      <c r="F304" s="36">
        <v>13272.55</v>
      </c>
      <c r="G304" s="58">
        <v>0</v>
      </c>
      <c r="H304" s="35">
        <f t="shared" si="24"/>
        <v>13272.55</v>
      </c>
      <c r="I304" s="35">
        <f t="shared" si="21"/>
        <v>0</v>
      </c>
      <c r="J304" s="35">
        <f t="shared" si="22"/>
        <v>1142.6367185813342</v>
      </c>
      <c r="K304" s="45">
        <f t="shared" si="20"/>
        <v>21072521.675561201</v>
      </c>
    </row>
    <row r="305" spans="2:11">
      <c r="B305" s="43">
        <v>45333</v>
      </c>
      <c r="C305" s="32" t="s">
        <v>29</v>
      </c>
      <c r="D305" s="32" t="s">
        <v>132</v>
      </c>
      <c r="E305" s="36">
        <f t="shared" si="23"/>
        <v>21072521.675561201</v>
      </c>
      <c r="F305" s="36">
        <v>24236.639999999999</v>
      </c>
      <c r="G305" s="58">
        <v>0</v>
      </c>
      <c r="H305" s="35">
        <f t="shared" si="24"/>
        <v>24236.639999999999</v>
      </c>
      <c r="I305" s="35">
        <f t="shared" si="21"/>
        <v>0</v>
      </c>
      <c r="J305" s="35">
        <f t="shared" si="22"/>
        <v>1143.2948300003907</v>
      </c>
      <c r="K305" s="45">
        <f t="shared" si="20"/>
        <v>21095615.0207312</v>
      </c>
    </row>
    <row r="306" spans="2:11">
      <c r="B306" s="43">
        <v>45333</v>
      </c>
      <c r="C306" s="32" t="s">
        <v>29</v>
      </c>
      <c r="D306" s="32" t="s">
        <v>132</v>
      </c>
      <c r="E306" s="36">
        <f t="shared" si="23"/>
        <v>21095615.0207312</v>
      </c>
      <c r="F306" s="36">
        <v>18984.580000000002</v>
      </c>
      <c r="G306" s="58">
        <v>0</v>
      </c>
      <c r="H306" s="35">
        <f t="shared" si="24"/>
        <v>18984.580000000002</v>
      </c>
      <c r="I306" s="35">
        <f t="shared" si="21"/>
        <v>0</v>
      </c>
      <c r="J306" s="35">
        <f t="shared" si="22"/>
        <v>1144.5477651045405</v>
      </c>
      <c r="K306" s="45">
        <f t="shared" si="20"/>
        <v>21113455.052966092</v>
      </c>
    </row>
    <row r="307" spans="2:11">
      <c r="B307" s="43">
        <v>45333</v>
      </c>
      <c r="C307" s="32" t="s">
        <v>25</v>
      </c>
      <c r="D307" s="32" t="s">
        <v>134</v>
      </c>
      <c r="E307" s="36">
        <f t="shared" si="23"/>
        <v>21113455.052966092</v>
      </c>
      <c r="F307" s="36">
        <v>0</v>
      </c>
      <c r="G307" s="58">
        <v>-3234.79</v>
      </c>
      <c r="H307" s="35">
        <f t="shared" si="24"/>
        <v>-3234.79</v>
      </c>
      <c r="I307" s="35">
        <f t="shared" si="21"/>
        <v>0</v>
      </c>
      <c r="J307" s="35">
        <f t="shared" si="22"/>
        <v>1145.5156804274063</v>
      </c>
      <c r="K307" s="45">
        <f t="shared" si="20"/>
        <v>21109074.747285664</v>
      </c>
    </row>
    <row r="308" spans="2:11">
      <c r="B308" s="43">
        <v>45333</v>
      </c>
      <c r="C308" s="32" t="s">
        <v>29</v>
      </c>
      <c r="D308" s="32" t="s">
        <v>134</v>
      </c>
      <c r="E308" s="36">
        <f t="shared" si="23"/>
        <v>21109074.747285664</v>
      </c>
      <c r="F308" s="36">
        <v>0</v>
      </c>
      <c r="G308" s="58">
        <v>-11346</v>
      </c>
      <c r="H308" s="35">
        <f t="shared" si="24"/>
        <v>-11346</v>
      </c>
      <c r="I308" s="35">
        <f t="shared" si="21"/>
        <v>0</v>
      </c>
      <c r="J308" s="35">
        <f t="shared" si="22"/>
        <v>1145.2780258687653</v>
      </c>
      <c r="K308" s="45">
        <f t="shared" si="20"/>
        <v>21096583.469259795</v>
      </c>
    </row>
    <row r="309" spans="2:11">
      <c r="B309" s="43">
        <v>45334</v>
      </c>
      <c r="C309" s="32" t="s">
        <v>25</v>
      </c>
      <c r="D309" s="32" t="s">
        <v>132</v>
      </c>
      <c r="E309" s="36">
        <f t="shared" si="23"/>
        <v>21096583.469259795</v>
      </c>
      <c r="F309" s="36">
        <v>13339.24</v>
      </c>
      <c r="G309" s="58">
        <v>0</v>
      </c>
      <c r="H309" s="35">
        <f t="shared" si="24"/>
        <v>13339.24</v>
      </c>
      <c r="I309" s="35">
        <f t="shared" si="21"/>
        <v>0</v>
      </c>
      <c r="J309" s="35">
        <f t="shared" si="22"/>
        <v>2289.2006170338013</v>
      </c>
      <c r="K309" s="45">
        <f t="shared" si="20"/>
        <v>21107633.508642759</v>
      </c>
    </row>
    <row r="310" spans="2:11">
      <c r="B310" s="43">
        <v>45334</v>
      </c>
      <c r="C310" s="32" t="s">
        <v>25</v>
      </c>
      <c r="D310" s="32" t="s">
        <v>134</v>
      </c>
      <c r="E310" s="36">
        <f t="shared" si="23"/>
        <v>21107633.508642759</v>
      </c>
      <c r="F310" s="36">
        <v>0</v>
      </c>
      <c r="G310" s="58">
        <v>-17150</v>
      </c>
      <c r="H310" s="35">
        <f t="shared" si="24"/>
        <v>-17150</v>
      </c>
      <c r="I310" s="35">
        <f t="shared" si="21"/>
        <v>0</v>
      </c>
      <c r="J310" s="35">
        <f t="shared" si="22"/>
        <v>1145.1998311128364</v>
      </c>
      <c r="K310" s="45">
        <f t="shared" si="20"/>
        <v>21089338.308811646</v>
      </c>
    </row>
    <row r="311" spans="2:11">
      <c r="B311" s="43">
        <v>45334</v>
      </c>
      <c r="C311" s="32" t="s">
        <v>27</v>
      </c>
      <c r="D311" s="32" t="s">
        <v>134</v>
      </c>
      <c r="E311" s="36">
        <f t="shared" si="23"/>
        <v>21089338.308811646</v>
      </c>
      <c r="F311" s="36">
        <v>0</v>
      </c>
      <c r="G311" s="58">
        <v>-4832</v>
      </c>
      <c r="H311" s="35">
        <f t="shared" si="24"/>
        <v>-4832</v>
      </c>
      <c r="I311" s="35">
        <f t="shared" si="21"/>
        <v>0</v>
      </c>
      <c r="J311" s="35">
        <f t="shared" si="22"/>
        <v>1144.2072205604413</v>
      </c>
      <c r="K311" s="45">
        <f t="shared" si="20"/>
        <v>21083362.101591084</v>
      </c>
    </row>
    <row r="312" spans="2:11">
      <c r="B312" s="43">
        <v>45335</v>
      </c>
      <c r="C312" s="32" t="s">
        <v>25</v>
      </c>
      <c r="D312" s="32" t="s">
        <v>132</v>
      </c>
      <c r="E312" s="36">
        <f t="shared" si="23"/>
        <v>21083362.101591084</v>
      </c>
      <c r="F312" s="36">
        <v>12552.57</v>
      </c>
      <c r="G312" s="58">
        <v>0</v>
      </c>
      <c r="H312" s="35">
        <f t="shared" si="24"/>
        <v>12552.57</v>
      </c>
      <c r="I312" s="35">
        <f t="shared" si="21"/>
        <v>0</v>
      </c>
      <c r="J312" s="35">
        <f t="shared" si="22"/>
        <v>2287.7659599449253</v>
      </c>
      <c r="K312" s="45">
        <f t="shared" si="20"/>
        <v>21093626.90563114</v>
      </c>
    </row>
    <row r="313" spans="2:11">
      <c r="B313" s="43">
        <v>45335</v>
      </c>
      <c r="C313" s="32" t="s">
        <v>25</v>
      </c>
      <c r="D313" s="32" t="s">
        <v>132</v>
      </c>
      <c r="E313" s="36">
        <f t="shared" si="23"/>
        <v>21093626.90563114</v>
      </c>
      <c r="F313" s="36">
        <v>14567.74</v>
      </c>
      <c r="G313" s="58">
        <v>0</v>
      </c>
      <c r="H313" s="35">
        <f t="shared" si="24"/>
        <v>14567.74</v>
      </c>
      <c r="I313" s="35">
        <f t="shared" si="21"/>
        <v>0</v>
      </c>
      <c r="J313" s="35">
        <f t="shared" si="22"/>
        <v>1144.4398994323474</v>
      </c>
      <c r="K313" s="45">
        <f t="shared" si="20"/>
        <v>21107050.205731705</v>
      </c>
    </row>
    <row r="314" spans="2:11">
      <c r="B314" s="43">
        <v>45335</v>
      </c>
      <c r="C314" s="32" t="s">
        <v>27</v>
      </c>
      <c r="D314" s="32" t="s">
        <v>132</v>
      </c>
      <c r="E314" s="36">
        <f t="shared" si="23"/>
        <v>21107050.205731705</v>
      </c>
      <c r="F314" s="36">
        <v>16777.580000000002</v>
      </c>
      <c r="G314" s="58">
        <v>0</v>
      </c>
      <c r="H314" s="35">
        <f t="shared" si="24"/>
        <v>16777.580000000002</v>
      </c>
      <c r="I314" s="35">
        <f t="shared" si="21"/>
        <v>0</v>
      </c>
      <c r="J314" s="35">
        <f t="shared" si="22"/>
        <v>1145.1681838703848</v>
      </c>
      <c r="K314" s="45">
        <f t="shared" si="20"/>
        <v>21122682.617547832</v>
      </c>
    </row>
    <row r="315" spans="2:11">
      <c r="B315" s="43">
        <v>45335</v>
      </c>
      <c r="C315" s="32" t="s">
        <v>25</v>
      </c>
      <c r="D315" s="32" t="s">
        <v>132</v>
      </c>
      <c r="E315" s="36">
        <f t="shared" si="23"/>
        <v>21122682.617547832</v>
      </c>
      <c r="F315" s="36">
        <v>15969.5</v>
      </c>
      <c r="G315" s="58">
        <v>0</v>
      </c>
      <c r="H315" s="35">
        <f t="shared" si="24"/>
        <v>15969.5</v>
      </c>
      <c r="I315" s="35">
        <f t="shared" si="21"/>
        <v>0</v>
      </c>
      <c r="J315" s="35">
        <f t="shared" si="22"/>
        <v>1146.0163242061731</v>
      </c>
      <c r="K315" s="45">
        <f t="shared" si="20"/>
        <v>21137506.101223625</v>
      </c>
    </row>
    <row r="316" spans="2:11">
      <c r="B316" s="43">
        <v>45335</v>
      </c>
      <c r="C316" s="32" t="s">
        <v>29</v>
      </c>
      <c r="D316" s="32" t="s">
        <v>134</v>
      </c>
      <c r="E316" s="36">
        <f t="shared" si="23"/>
        <v>21137506.101223625</v>
      </c>
      <c r="F316" s="36">
        <v>0</v>
      </c>
      <c r="G316" s="58">
        <v>-9474.69</v>
      </c>
      <c r="H316" s="35">
        <f t="shared" si="24"/>
        <v>-9474.69</v>
      </c>
      <c r="I316" s="35">
        <f t="shared" si="21"/>
        <v>0</v>
      </c>
      <c r="J316" s="35">
        <f t="shared" si="22"/>
        <v>1146.8205759473769</v>
      </c>
      <c r="K316" s="45">
        <f t="shared" si="20"/>
        <v>21126884.590647675</v>
      </c>
    </row>
    <row r="317" spans="2:11">
      <c r="B317" s="43">
        <v>45335</v>
      </c>
      <c r="C317" s="32" t="s">
        <v>25</v>
      </c>
      <c r="D317" s="32" t="s">
        <v>134</v>
      </c>
      <c r="E317" s="36">
        <f t="shared" si="23"/>
        <v>21126884.590647675</v>
      </c>
      <c r="F317" s="36">
        <v>0</v>
      </c>
      <c r="G317" s="58">
        <v>-8614.9</v>
      </c>
      <c r="H317" s="35">
        <f t="shared" si="24"/>
        <v>-8614.9</v>
      </c>
      <c r="I317" s="35">
        <f t="shared" si="21"/>
        <v>0</v>
      </c>
      <c r="J317" s="35">
        <f t="shared" si="22"/>
        <v>1146.2443032869312</v>
      </c>
      <c r="K317" s="45">
        <f t="shared" si="20"/>
        <v>21117123.446344391</v>
      </c>
    </row>
    <row r="318" spans="2:11">
      <c r="B318" s="43">
        <v>45335</v>
      </c>
      <c r="C318" s="32" t="s">
        <v>25</v>
      </c>
      <c r="D318" s="32" t="s">
        <v>134</v>
      </c>
      <c r="E318" s="36">
        <f t="shared" si="23"/>
        <v>21117123.446344391</v>
      </c>
      <c r="F318" s="36">
        <v>0</v>
      </c>
      <c r="G318" s="58">
        <v>-8755</v>
      </c>
      <c r="H318" s="35">
        <f t="shared" si="24"/>
        <v>-8755</v>
      </c>
      <c r="I318" s="35">
        <f t="shared" si="21"/>
        <v>0</v>
      </c>
      <c r="J318" s="35">
        <f t="shared" si="22"/>
        <v>1145.7147100095506</v>
      </c>
      <c r="K318" s="45">
        <f t="shared" si="20"/>
        <v>21107222.731634382</v>
      </c>
    </row>
    <row r="319" spans="2:11">
      <c r="B319" s="43">
        <v>45336</v>
      </c>
      <c r="C319" s="32" t="s">
        <v>25</v>
      </c>
      <c r="D319" s="32" t="s">
        <v>132</v>
      </c>
      <c r="E319" s="36">
        <f t="shared" si="23"/>
        <v>21107222.731634382</v>
      </c>
      <c r="F319" s="36">
        <v>17440.53</v>
      </c>
      <c r="G319" s="58">
        <v>0</v>
      </c>
      <c r="H319" s="35">
        <f t="shared" si="24"/>
        <v>17440.53</v>
      </c>
      <c r="I319" s="35">
        <f t="shared" si="21"/>
        <v>0</v>
      </c>
      <c r="J319" s="35">
        <f t="shared" si="22"/>
        <v>2290.3550886110679</v>
      </c>
      <c r="K319" s="45">
        <f t="shared" si="20"/>
        <v>21122372.906545773</v>
      </c>
    </row>
    <row r="320" spans="2:11">
      <c r="B320" s="43">
        <v>45336</v>
      </c>
      <c r="C320" s="32" t="s">
        <v>25</v>
      </c>
      <c r="D320" s="32" t="s">
        <v>132</v>
      </c>
      <c r="E320" s="36">
        <f t="shared" si="23"/>
        <v>21122372.906545773</v>
      </c>
      <c r="F320" s="36">
        <v>9018.7900000000009</v>
      </c>
      <c r="G320" s="58">
        <v>0</v>
      </c>
      <c r="H320" s="35">
        <f t="shared" si="24"/>
        <v>9018.7900000000009</v>
      </c>
      <c r="I320" s="35">
        <f t="shared" si="21"/>
        <v>0</v>
      </c>
      <c r="J320" s="35">
        <f t="shared" si="22"/>
        <v>1145.9995207598224</v>
      </c>
      <c r="K320" s="45">
        <f t="shared" si="20"/>
        <v>21130245.697025012</v>
      </c>
    </row>
    <row r="321" spans="2:11">
      <c r="B321" s="43">
        <v>45336</v>
      </c>
      <c r="C321" s="32" t="s">
        <v>29</v>
      </c>
      <c r="D321" s="32" t="s">
        <v>134</v>
      </c>
      <c r="E321" s="36">
        <f t="shared" si="23"/>
        <v>21130245.697025012</v>
      </c>
      <c r="F321" s="36">
        <v>0</v>
      </c>
      <c r="G321" s="58">
        <v>-10523</v>
      </c>
      <c r="H321" s="35">
        <f t="shared" si="24"/>
        <v>-10523</v>
      </c>
      <c r="I321" s="35">
        <f t="shared" si="21"/>
        <v>0</v>
      </c>
      <c r="J321" s="35">
        <f t="shared" si="22"/>
        <v>1146.4266609374988</v>
      </c>
      <c r="K321" s="45">
        <f t="shared" si="20"/>
        <v>21118576.270364076</v>
      </c>
    </row>
    <row r="322" spans="2:11">
      <c r="B322" s="43">
        <v>45336</v>
      </c>
      <c r="C322" s="32" t="s">
        <v>29</v>
      </c>
      <c r="D322" s="32" t="s">
        <v>134</v>
      </c>
      <c r="E322" s="36">
        <f t="shared" si="23"/>
        <v>21118576.270364076</v>
      </c>
      <c r="F322" s="36">
        <v>0</v>
      </c>
      <c r="G322" s="58">
        <v>-19521</v>
      </c>
      <c r="H322" s="35">
        <f t="shared" si="24"/>
        <v>-19521</v>
      </c>
      <c r="I322" s="35">
        <f t="shared" si="21"/>
        <v>0</v>
      </c>
      <c r="J322" s="35">
        <f t="shared" si="22"/>
        <v>1145.7935333329374</v>
      </c>
      <c r="K322" s="45">
        <f t="shared" si="20"/>
        <v>21097909.476830743</v>
      </c>
    </row>
    <row r="323" spans="2:11">
      <c r="B323" s="43">
        <v>45337</v>
      </c>
      <c r="C323" s="32" t="s">
        <v>29</v>
      </c>
      <c r="D323" s="32" t="s">
        <v>132</v>
      </c>
      <c r="E323" s="36">
        <f t="shared" si="23"/>
        <v>21097909.476830743</v>
      </c>
      <c r="F323" s="36">
        <v>12730.95</v>
      </c>
      <c r="G323" s="58">
        <v>0</v>
      </c>
      <c r="H323" s="35">
        <f t="shared" si="24"/>
        <v>12730.95</v>
      </c>
      <c r="I323" s="35">
        <f t="shared" si="21"/>
        <v>0</v>
      </c>
      <c r="J323" s="35">
        <f t="shared" si="22"/>
        <v>2289.3445027655375</v>
      </c>
      <c r="K323" s="45">
        <f t="shared" si="20"/>
        <v>21108351.082327977</v>
      </c>
    </row>
    <row r="324" spans="2:11">
      <c r="B324" s="43">
        <v>45337</v>
      </c>
      <c r="C324" s="32" t="s">
        <v>29</v>
      </c>
      <c r="D324" s="32" t="s">
        <v>132</v>
      </c>
      <c r="E324" s="36">
        <f t="shared" si="23"/>
        <v>21108351.082327977</v>
      </c>
      <c r="F324" s="36">
        <v>10606.88</v>
      </c>
      <c r="G324" s="58">
        <v>0</v>
      </c>
      <c r="H324" s="35">
        <f t="shared" si="24"/>
        <v>10606.88</v>
      </c>
      <c r="I324" s="35">
        <f t="shared" si="21"/>
        <v>0</v>
      </c>
      <c r="J324" s="35">
        <f t="shared" si="22"/>
        <v>1145.2387632490602</v>
      </c>
      <c r="K324" s="45">
        <f t="shared" si="20"/>
        <v>21117812.723564725</v>
      </c>
    </row>
    <row r="325" spans="2:11">
      <c r="B325" s="43">
        <v>45337</v>
      </c>
      <c r="C325" s="32" t="s">
        <v>25</v>
      </c>
      <c r="D325" s="32" t="s">
        <v>134</v>
      </c>
      <c r="E325" s="36">
        <f t="shared" si="23"/>
        <v>21117812.723564725</v>
      </c>
      <c r="F325" s="36">
        <v>0</v>
      </c>
      <c r="G325" s="58">
        <v>-8963.01</v>
      </c>
      <c r="H325" s="35">
        <f t="shared" si="24"/>
        <v>-8963.01</v>
      </c>
      <c r="I325" s="35">
        <f t="shared" si="21"/>
        <v>0</v>
      </c>
      <c r="J325" s="35">
        <f t="shared" si="22"/>
        <v>1145.7521069141346</v>
      </c>
      <c r="K325" s="45">
        <f t="shared" si="20"/>
        <v>21107703.961457811</v>
      </c>
    </row>
    <row r="326" spans="2:11">
      <c r="B326" s="43">
        <v>45337</v>
      </c>
      <c r="C326" s="32" t="s">
        <v>29</v>
      </c>
      <c r="D326" s="32" t="s">
        <v>134</v>
      </c>
      <c r="E326" s="36">
        <f t="shared" si="23"/>
        <v>21107703.961457811</v>
      </c>
      <c r="F326" s="36">
        <v>0</v>
      </c>
      <c r="G326" s="58">
        <v>-7973</v>
      </c>
      <c r="H326" s="35">
        <f t="shared" si="24"/>
        <v>-7973</v>
      </c>
      <c r="I326" s="35">
        <f t="shared" si="21"/>
        <v>0</v>
      </c>
      <c r="J326" s="35">
        <f t="shared" si="22"/>
        <v>1145.2036535475904</v>
      </c>
      <c r="K326" s="45">
        <f t="shared" si="20"/>
        <v>21098585.757804263</v>
      </c>
    </row>
    <row r="327" spans="2:11">
      <c r="B327" s="43">
        <v>45337</v>
      </c>
      <c r="C327" s="32" t="s">
        <v>25</v>
      </c>
      <c r="D327" s="32" t="s">
        <v>134</v>
      </c>
      <c r="E327" s="36">
        <f t="shared" si="23"/>
        <v>21098585.757804263</v>
      </c>
      <c r="F327" s="36">
        <v>0</v>
      </c>
      <c r="G327" s="58">
        <v>-5559</v>
      </c>
      <c r="H327" s="35">
        <f t="shared" si="24"/>
        <v>-5559</v>
      </c>
      <c r="I327" s="35">
        <f t="shared" si="21"/>
        <v>0</v>
      </c>
      <c r="J327" s="35">
        <f t="shared" si="22"/>
        <v>1144.7089431727954</v>
      </c>
      <c r="K327" s="45">
        <f t="shared" si="20"/>
        <v>21091882.04886109</v>
      </c>
    </row>
    <row r="328" spans="2:11">
      <c r="B328" s="43">
        <v>45337</v>
      </c>
      <c r="C328" s="32" t="s">
        <v>29</v>
      </c>
      <c r="D328" s="32" t="s">
        <v>134</v>
      </c>
      <c r="E328" s="36">
        <f t="shared" si="23"/>
        <v>21091882.04886109</v>
      </c>
      <c r="F328" s="36">
        <v>0</v>
      </c>
      <c r="G328" s="58">
        <v>-5548</v>
      </c>
      <c r="H328" s="35">
        <f t="shared" si="24"/>
        <v>-5548</v>
      </c>
      <c r="I328" s="35">
        <f t="shared" si="21"/>
        <v>0</v>
      </c>
      <c r="J328" s="35">
        <f t="shared" si="22"/>
        <v>1144.34523180049</v>
      </c>
      <c r="K328" s="45">
        <f t="shared" ref="K328:K391" si="25">E328+H328+I328-J328</f>
        <v>21085189.703629289</v>
      </c>
    </row>
    <row r="329" spans="2:11">
      <c r="B329" s="43">
        <v>45337</v>
      </c>
      <c r="C329" s="32" t="s">
        <v>25</v>
      </c>
      <c r="D329" s="32" t="s">
        <v>134</v>
      </c>
      <c r="E329" s="36">
        <f t="shared" si="23"/>
        <v>21085189.703629289</v>
      </c>
      <c r="F329" s="36">
        <v>0</v>
      </c>
      <c r="G329" s="58">
        <v>-10693</v>
      </c>
      <c r="H329" s="35">
        <f t="shared" si="24"/>
        <v>-10693</v>
      </c>
      <c r="I329" s="35">
        <f t="shared" si="21"/>
        <v>0</v>
      </c>
      <c r="J329" s="35">
        <f t="shared" si="22"/>
        <v>1143.9821369691308</v>
      </c>
      <c r="K329" s="45">
        <f t="shared" si="25"/>
        <v>21073352.72149232</v>
      </c>
    </row>
    <row r="330" spans="2:11">
      <c r="B330" s="43">
        <v>45337</v>
      </c>
      <c r="C330" s="32" t="s">
        <v>27</v>
      </c>
      <c r="D330" s="32" t="s">
        <v>134</v>
      </c>
      <c r="E330" s="36">
        <f t="shared" si="23"/>
        <v>21073352.72149232</v>
      </c>
      <c r="F330" s="36">
        <v>0</v>
      </c>
      <c r="G330" s="58">
        <v>-5041</v>
      </c>
      <c r="H330" s="35">
        <f t="shared" si="24"/>
        <v>-5041</v>
      </c>
      <c r="I330" s="35">
        <f t="shared" si="21"/>
        <v>0</v>
      </c>
      <c r="J330" s="35">
        <f t="shared" si="22"/>
        <v>1143.3399186011366</v>
      </c>
      <c r="K330" s="45">
        <f t="shared" si="25"/>
        <v>21067168.381573718</v>
      </c>
    </row>
    <row r="331" spans="2:11">
      <c r="B331" s="43">
        <v>45338</v>
      </c>
      <c r="C331" s="32" t="s">
        <v>25</v>
      </c>
      <c r="D331" s="32" t="s">
        <v>132</v>
      </c>
      <c r="E331" s="36">
        <f t="shared" si="23"/>
        <v>21067168.381573718</v>
      </c>
      <c r="F331" s="36">
        <v>12031.19</v>
      </c>
      <c r="G331" s="58">
        <v>0</v>
      </c>
      <c r="H331" s="35">
        <f t="shared" si="24"/>
        <v>12031.19</v>
      </c>
      <c r="I331" s="35">
        <f t="shared" si="21"/>
        <v>0</v>
      </c>
      <c r="J331" s="35">
        <f t="shared" si="22"/>
        <v>2286.0087714451929</v>
      </c>
      <c r="K331" s="45">
        <f t="shared" si="25"/>
        <v>21076913.562802274</v>
      </c>
    </row>
    <row r="332" spans="2:11">
      <c r="B332" s="43">
        <v>45338</v>
      </c>
      <c r="C332" s="32" t="s">
        <v>29</v>
      </c>
      <c r="D332" s="32" t="s">
        <v>132</v>
      </c>
      <c r="E332" s="36">
        <f t="shared" si="23"/>
        <v>21076913.562802274</v>
      </c>
      <c r="F332" s="36">
        <v>20089.37</v>
      </c>
      <c r="G332" s="58">
        <v>0</v>
      </c>
      <c r="H332" s="35">
        <f t="shared" si="24"/>
        <v>20089.37</v>
      </c>
      <c r="I332" s="35">
        <f t="shared" si="21"/>
        <v>0</v>
      </c>
      <c r="J332" s="35">
        <f t="shared" si="22"/>
        <v>1143.5331129194437</v>
      </c>
      <c r="K332" s="45">
        <f t="shared" si="25"/>
        <v>21095859.399689354</v>
      </c>
    </row>
    <row r="333" spans="2:11">
      <c r="B333" s="43">
        <v>45338</v>
      </c>
      <c r="C333" s="32" t="s">
        <v>29</v>
      </c>
      <c r="D333" s="32" t="s">
        <v>134</v>
      </c>
      <c r="E333" s="36">
        <f t="shared" si="23"/>
        <v>21095859.399689354</v>
      </c>
      <c r="F333" s="36">
        <v>0</v>
      </c>
      <c r="G333" s="58">
        <v>-21517</v>
      </c>
      <c r="H333" s="35">
        <f t="shared" si="24"/>
        <v>-21517</v>
      </c>
      <c r="I333" s="35">
        <f t="shared" si="21"/>
        <v>0</v>
      </c>
      <c r="J333" s="35">
        <f t="shared" si="22"/>
        <v>1144.5610239448313</v>
      </c>
      <c r="K333" s="45">
        <f t="shared" si="25"/>
        <v>21073197.838665411</v>
      </c>
    </row>
    <row r="334" spans="2:11">
      <c r="B334" s="43">
        <v>45338</v>
      </c>
      <c r="C334" s="32" t="s">
        <v>29</v>
      </c>
      <c r="D334" s="32" t="s">
        <v>134</v>
      </c>
      <c r="E334" s="36">
        <f t="shared" si="23"/>
        <v>21073197.838665411</v>
      </c>
      <c r="F334" s="36">
        <v>0</v>
      </c>
      <c r="G334" s="58">
        <v>-6114</v>
      </c>
      <c r="H334" s="35">
        <f t="shared" si="24"/>
        <v>-6114</v>
      </c>
      <c r="I334" s="35">
        <f t="shared" si="21"/>
        <v>0</v>
      </c>
      <c r="J334" s="35">
        <f t="shared" si="22"/>
        <v>1143.331515395389</v>
      </c>
      <c r="K334" s="45">
        <f t="shared" si="25"/>
        <v>21065940.507150017</v>
      </c>
    </row>
    <row r="335" spans="2:11">
      <c r="B335" s="43">
        <v>45338</v>
      </c>
      <c r="C335" s="32" t="s">
        <v>29</v>
      </c>
      <c r="D335" s="32" t="s">
        <v>134</v>
      </c>
      <c r="E335" s="36">
        <f t="shared" si="23"/>
        <v>21065940.507150017</v>
      </c>
      <c r="F335" s="36">
        <v>0</v>
      </c>
      <c r="G335" s="58">
        <v>-6494</v>
      </c>
      <c r="H335" s="35">
        <f t="shared" si="24"/>
        <v>-6494</v>
      </c>
      <c r="I335" s="35">
        <f t="shared" si="21"/>
        <v>0</v>
      </c>
      <c r="J335" s="35">
        <f t="shared" si="22"/>
        <v>1142.9377670946922</v>
      </c>
      <c r="K335" s="45">
        <f t="shared" si="25"/>
        <v>21058303.569382921</v>
      </c>
    </row>
    <row r="336" spans="2:11">
      <c r="B336" s="43">
        <v>45338</v>
      </c>
      <c r="C336" s="32" t="s">
        <v>29</v>
      </c>
      <c r="D336" s="32" t="s">
        <v>134</v>
      </c>
      <c r="E336" s="36">
        <f t="shared" si="23"/>
        <v>21058303.569382921</v>
      </c>
      <c r="F336" s="36">
        <v>0</v>
      </c>
      <c r="G336" s="58">
        <v>-3690</v>
      </c>
      <c r="H336" s="35">
        <f t="shared" si="24"/>
        <v>-3690</v>
      </c>
      <c r="I336" s="35">
        <f t="shared" si="21"/>
        <v>0</v>
      </c>
      <c r="J336" s="35">
        <f t="shared" si="22"/>
        <v>1142.5234231637387</v>
      </c>
      <c r="K336" s="45">
        <f t="shared" si="25"/>
        <v>21053471.045959756</v>
      </c>
    </row>
    <row r="337" spans="2:11">
      <c r="B337" s="43">
        <v>45339</v>
      </c>
      <c r="C337" s="32" t="s">
        <v>29</v>
      </c>
      <c r="D337" s="32" t="s">
        <v>132</v>
      </c>
      <c r="E337" s="36">
        <f t="shared" si="23"/>
        <v>21053471.045959756</v>
      </c>
      <c r="F337" s="36">
        <v>13269.29</v>
      </c>
      <c r="G337" s="58">
        <v>0</v>
      </c>
      <c r="H337" s="35">
        <f t="shared" si="24"/>
        <v>13269.29</v>
      </c>
      <c r="I337" s="35">
        <f t="shared" si="21"/>
        <v>0</v>
      </c>
      <c r="J337" s="35">
        <f t="shared" si="22"/>
        <v>2284.5224668411847</v>
      </c>
      <c r="K337" s="45">
        <f t="shared" si="25"/>
        <v>21064455.813492913</v>
      </c>
    </row>
    <row r="338" spans="2:11">
      <c r="B338" s="43">
        <v>45339</v>
      </c>
      <c r="C338" s="32" t="s">
        <v>29</v>
      </c>
      <c r="D338" s="32" t="s">
        <v>132</v>
      </c>
      <c r="E338" s="36">
        <f t="shared" si="23"/>
        <v>21064455.813492913</v>
      </c>
      <c r="F338" s="36">
        <v>17132.88</v>
      </c>
      <c r="G338" s="58">
        <v>0</v>
      </c>
      <c r="H338" s="35">
        <f t="shared" si="24"/>
        <v>17132.88</v>
      </c>
      <c r="I338" s="35">
        <f t="shared" si="21"/>
        <v>0</v>
      </c>
      <c r="J338" s="35">
        <f t="shared" si="22"/>
        <v>1142.8572146763136</v>
      </c>
      <c r="K338" s="45">
        <f t="shared" si="25"/>
        <v>21080445.836278234</v>
      </c>
    </row>
    <row r="339" spans="2:11">
      <c r="B339" s="43">
        <v>45339</v>
      </c>
      <c r="C339" s="32" t="s">
        <v>29</v>
      </c>
      <c r="D339" s="32" t="s">
        <v>132</v>
      </c>
      <c r="E339" s="36">
        <f t="shared" si="23"/>
        <v>21080445.836278234</v>
      </c>
      <c r="F339" s="36">
        <v>13365.24</v>
      </c>
      <c r="G339" s="58">
        <v>0</v>
      </c>
      <c r="H339" s="35">
        <f t="shared" si="24"/>
        <v>13365.24</v>
      </c>
      <c r="I339" s="35">
        <f t="shared" si="21"/>
        <v>0</v>
      </c>
      <c r="J339" s="35">
        <f t="shared" si="22"/>
        <v>1143.7247572829133</v>
      </c>
      <c r="K339" s="45">
        <f t="shared" si="25"/>
        <v>21092667.351520948</v>
      </c>
    </row>
    <row r="340" spans="2:11">
      <c r="B340" s="43">
        <v>45339</v>
      </c>
      <c r="C340" s="32" t="s">
        <v>27</v>
      </c>
      <c r="D340" s="32" t="s">
        <v>132</v>
      </c>
      <c r="E340" s="36">
        <f t="shared" si="23"/>
        <v>21092667.351520948</v>
      </c>
      <c r="F340" s="36">
        <v>17461.45</v>
      </c>
      <c r="G340" s="58">
        <v>0</v>
      </c>
      <c r="H340" s="35">
        <f t="shared" si="24"/>
        <v>17461.45</v>
      </c>
      <c r="I340" s="35">
        <f t="shared" ref="I340:I403" si="26">(($E340*Daily_Interest)*(_xlfn.DAYS(B340,B339)+1))+((IF(DAY($B339)&gt;Monthly_Cut_off_Date,0,Daily_Interest*H340))*(_xlfn.DAYS(B340,B339)+1))</f>
        <v>0</v>
      </c>
      <c r="J340" s="35">
        <f t="shared" ref="J340:J403" si="27">(($I340+E340)*Daily_Fees_Rate)*((_xlfn.DAYS(B340,B339)+1))</f>
        <v>1144.3878385888383</v>
      </c>
      <c r="K340" s="45">
        <f t="shared" si="25"/>
        <v>21108984.41368236</v>
      </c>
    </row>
    <row r="341" spans="2:11">
      <c r="B341" s="43">
        <v>45339</v>
      </c>
      <c r="C341" s="32" t="s">
        <v>27</v>
      </c>
      <c r="D341" s="32" t="s">
        <v>132</v>
      </c>
      <c r="E341" s="36">
        <f t="shared" ref="E341:E404" si="28">K340</f>
        <v>21108984.41368236</v>
      </c>
      <c r="F341" s="36">
        <v>18220.900000000001</v>
      </c>
      <c r="G341" s="58">
        <v>0</v>
      </c>
      <c r="H341" s="35">
        <f t="shared" ref="H341:H404" si="29">SUM(F341:G341)</f>
        <v>18220.900000000001</v>
      </c>
      <c r="I341" s="35">
        <f t="shared" si="26"/>
        <v>0</v>
      </c>
      <c r="J341" s="35">
        <f t="shared" si="27"/>
        <v>1145.2731247969705</v>
      </c>
      <c r="K341" s="45">
        <f t="shared" si="25"/>
        <v>21126060.040557563</v>
      </c>
    </row>
    <row r="342" spans="2:11">
      <c r="B342" s="43">
        <v>45339</v>
      </c>
      <c r="C342" s="32" t="s">
        <v>25</v>
      </c>
      <c r="D342" s="32" t="s">
        <v>132</v>
      </c>
      <c r="E342" s="36">
        <f t="shared" si="28"/>
        <v>21126060.040557563</v>
      </c>
      <c r="F342" s="36">
        <v>11839.75</v>
      </c>
      <c r="G342" s="58">
        <v>0</v>
      </c>
      <c r="H342" s="35">
        <f t="shared" si="29"/>
        <v>11839.75</v>
      </c>
      <c r="I342" s="35">
        <f t="shared" si="26"/>
        <v>0</v>
      </c>
      <c r="J342" s="35">
        <f t="shared" si="27"/>
        <v>1146.1995671196316</v>
      </c>
      <c r="K342" s="45">
        <f t="shared" si="25"/>
        <v>21136753.590990443</v>
      </c>
    </row>
    <row r="343" spans="2:11">
      <c r="B343" s="43">
        <v>45339</v>
      </c>
      <c r="C343" s="32" t="s">
        <v>25</v>
      </c>
      <c r="D343" s="32" t="s">
        <v>134</v>
      </c>
      <c r="E343" s="36">
        <f t="shared" si="28"/>
        <v>21136753.590990443</v>
      </c>
      <c r="F343" s="36">
        <v>0</v>
      </c>
      <c r="G343" s="58">
        <v>-7691.59</v>
      </c>
      <c r="H343" s="35">
        <f t="shared" si="29"/>
        <v>-7691.59</v>
      </c>
      <c r="I343" s="35">
        <f t="shared" si="26"/>
        <v>0</v>
      </c>
      <c r="J343" s="35">
        <f t="shared" si="27"/>
        <v>1146.7797483201778</v>
      </c>
      <c r="K343" s="45">
        <f t="shared" si="25"/>
        <v>21127915.221242122</v>
      </c>
    </row>
    <row r="344" spans="2:11">
      <c r="B344" s="43">
        <v>45339</v>
      </c>
      <c r="C344" s="32" t="s">
        <v>27</v>
      </c>
      <c r="D344" s="32" t="s">
        <v>134</v>
      </c>
      <c r="E344" s="36">
        <f t="shared" si="28"/>
        <v>21127915.221242122</v>
      </c>
      <c r="F344" s="36">
        <v>0</v>
      </c>
      <c r="G344" s="58">
        <v>-6692</v>
      </c>
      <c r="H344" s="35">
        <f t="shared" si="29"/>
        <v>-6692</v>
      </c>
      <c r="I344" s="35">
        <f t="shared" si="26"/>
        <v>0</v>
      </c>
      <c r="J344" s="35">
        <f t="shared" si="27"/>
        <v>1146.3002204025197</v>
      </c>
      <c r="K344" s="45">
        <f t="shared" si="25"/>
        <v>21120076.921021719</v>
      </c>
    </row>
    <row r="345" spans="2:11">
      <c r="B345" s="43">
        <v>45340</v>
      </c>
      <c r="C345" s="32" t="s">
        <v>25</v>
      </c>
      <c r="D345" s="32" t="s">
        <v>132</v>
      </c>
      <c r="E345" s="36">
        <f t="shared" si="28"/>
        <v>21120076.921021719</v>
      </c>
      <c r="F345" s="36">
        <v>19360.599999999999</v>
      </c>
      <c r="G345" s="58">
        <v>0</v>
      </c>
      <c r="H345" s="35">
        <f t="shared" si="29"/>
        <v>19360.599999999999</v>
      </c>
      <c r="I345" s="35">
        <f t="shared" si="26"/>
        <v>0</v>
      </c>
      <c r="J345" s="35">
        <f t="shared" si="27"/>
        <v>2291.7499030045851</v>
      </c>
      <c r="K345" s="45">
        <f t="shared" si="25"/>
        <v>21137145.771118715</v>
      </c>
    </row>
    <row r="346" spans="2:11">
      <c r="B346" s="43">
        <v>45340</v>
      </c>
      <c r="C346" s="32" t="s">
        <v>29</v>
      </c>
      <c r="D346" s="32" t="s">
        <v>132</v>
      </c>
      <c r="E346" s="36">
        <f t="shared" si="28"/>
        <v>21137145.771118715</v>
      </c>
      <c r="F346" s="36">
        <v>15425.15</v>
      </c>
      <c r="G346" s="58">
        <v>0</v>
      </c>
      <c r="H346" s="35">
        <f t="shared" si="29"/>
        <v>15425.15</v>
      </c>
      <c r="I346" s="35">
        <f t="shared" si="26"/>
        <v>0</v>
      </c>
      <c r="J346" s="35">
        <f t="shared" si="27"/>
        <v>1146.8010261491906</v>
      </c>
      <c r="K346" s="45">
        <f t="shared" si="25"/>
        <v>21151424.120092563</v>
      </c>
    </row>
    <row r="347" spans="2:11">
      <c r="B347" s="43">
        <v>45340</v>
      </c>
      <c r="C347" s="32" t="s">
        <v>27</v>
      </c>
      <c r="D347" s="32" t="s">
        <v>134</v>
      </c>
      <c r="E347" s="36">
        <f t="shared" si="28"/>
        <v>21151424.120092563</v>
      </c>
      <c r="F347" s="36">
        <v>0</v>
      </c>
      <c r="G347" s="58">
        <v>-16759.21</v>
      </c>
      <c r="H347" s="35">
        <f t="shared" si="29"/>
        <v>-16759.21</v>
      </c>
      <c r="I347" s="35">
        <f t="shared" si="26"/>
        <v>0</v>
      </c>
      <c r="J347" s="35">
        <f t="shared" si="27"/>
        <v>1147.5757014734861</v>
      </c>
      <c r="K347" s="45">
        <f t="shared" si="25"/>
        <v>21133517.334391087</v>
      </c>
    </row>
    <row r="348" spans="2:11">
      <c r="B348" s="43">
        <v>45340</v>
      </c>
      <c r="C348" s="32" t="s">
        <v>25</v>
      </c>
      <c r="D348" s="32" t="s">
        <v>134</v>
      </c>
      <c r="E348" s="36">
        <f t="shared" si="28"/>
        <v>21133517.334391087</v>
      </c>
      <c r="F348" s="36">
        <v>0</v>
      </c>
      <c r="G348" s="58">
        <v>-8974</v>
      </c>
      <c r="H348" s="35">
        <f t="shared" si="29"/>
        <v>-8974</v>
      </c>
      <c r="I348" s="35">
        <f t="shared" si="26"/>
        <v>0</v>
      </c>
      <c r="J348" s="35">
        <f t="shared" si="27"/>
        <v>1146.6041644249246</v>
      </c>
      <c r="K348" s="45">
        <f t="shared" si="25"/>
        <v>21123396.730226662</v>
      </c>
    </row>
    <row r="349" spans="2:11">
      <c r="B349" s="43">
        <v>45340</v>
      </c>
      <c r="C349" s="32" t="s">
        <v>25</v>
      </c>
      <c r="D349" s="32" t="s">
        <v>134</v>
      </c>
      <c r="E349" s="36">
        <f t="shared" si="28"/>
        <v>21123396.730226662</v>
      </c>
      <c r="F349" s="36">
        <v>0</v>
      </c>
      <c r="G349" s="58">
        <v>-16601</v>
      </c>
      <c r="H349" s="35">
        <f t="shared" si="29"/>
        <v>-16601</v>
      </c>
      <c r="I349" s="35">
        <f t="shared" si="26"/>
        <v>0</v>
      </c>
      <c r="J349" s="35">
        <f t="shared" si="27"/>
        <v>1146.0550685646467</v>
      </c>
      <c r="K349" s="45">
        <f t="shared" si="25"/>
        <v>21105649.675158098</v>
      </c>
    </row>
    <row r="350" spans="2:11">
      <c r="B350" s="43">
        <v>45340</v>
      </c>
      <c r="C350" s="32" t="s">
        <v>29</v>
      </c>
      <c r="D350" s="32" t="s">
        <v>134</v>
      </c>
      <c r="E350" s="36">
        <f t="shared" si="28"/>
        <v>21105649.675158098</v>
      </c>
      <c r="F350" s="36">
        <v>0</v>
      </c>
      <c r="G350" s="58">
        <v>-19393</v>
      </c>
      <c r="H350" s="35">
        <f t="shared" si="29"/>
        <v>-19393</v>
      </c>
      <c r="I350" s="35">
        <f t="shared" si="26"/>
        <v>0</v>
      </c>
      <c r="J350" s="35">
        <f t="shared" si="27"/>
        <v>1145.0921977407363</v>
      </c>
      <c r="K350" s="45">
        <f t="shared" si="25"/>
        <v>21085111.582960356</v>
      </c>
    </row>
    <row r="351" spans="2:11">
      <c r="B351" s="43">
        <v>45340</v>
      </c>
      <c r="C351" s="32" t="s">
        <v>25</v>
      </c>
      <c r="D351" s="32" t="s">
        <v>134</v>
      </c>
      <c r="E351" s="36">
        <f t="shared" si="28"/>
        <v>21085111.582960356</v>
      </c>
      <c r="F351" s="36">
        <v>0</v>
      </c>
      <c r="G351" s="58">
        <v>-9264</v>
      </c>
      <c r="H351" s="35">
        <f t="shared" si="29"/>
        <v>-9264</v>
      </c>
      <c r="I351" s="35">
        <f t="shared" si="26"/>
        <v>0</v>
      </c>
      <c r="J351" s="35">
        <f t="shared" si="27"/>
        <v>1143.9778985130845</v>
      </c>
      <c r="K351" s="45">
        <f t="shared" si="25"/>
        <v>21074703.605061844</v>
      </c>
    </row>
    <row r="352" spans="2:11">
      <c r="B352" s="43">
        <v>45340</v>
      </c>
      <c r="C352" s="32" t="s">
        <v>29</v>
      </c>
      <c r="D352" s="32" t="s">
        <v>134</v>
      </c>
      <c r="E352" s="36">
        <f t="shared" si="28"/>
        <v>21074703.605061844</v>
      </c>
      <c r="F352" s="36">
        <v>0</v>
      </c>
      <c r="G352" s="58">
        <v>-7905</v>
      </c>
      <c r="H352" s="35">
        <f t="shared" si="29"/>
        <v>-7905</v>
      </c>
      <c r="I352" s="35">
        <f t="shared" si="26"/>
        <v>0</v>
      </c>
      <c r="J352" s="35">
        <f t="shared" si="27"/>
        <v>1143.4132111204065</v>
      </c>
      <c r="K352" s="45">
        <f t="shared" si="25"/>
        <v>21065655.191850722</v>
      </c>
    </row>
    <row r="353" spans="2:11">
      <c r="B353" s="43">
        <v>45341</v>
      </c>
      <c r="C353" s="32" t="s">
        <v>29</v>
      </c>
      <c r="D353" s="32" t="s">
        <v>132</v>
      </c>
      <c r="E353" s="36">
        <f t="shared" si="28"/>
        <v>21065655.191850722</v>
      </c>
      <c r="F353" s="36">
        <v>13258.43</v>
      </c>
      <c r="G353" s="58">
        <v>0</v>
      </c>
      <c r="H353" s="35">
        <f t="shared" si="29"/>
        <v>13258.43</v>
      </c>
      <c r="I353" s="35">
        <f t="shared" si="26"/>
        <v>0</v>
      </c>
      <c r="J353" s="35">
        <f t="shared" si="27"/>
        <v>2285.8445744863525</v>
      </c>
      <c r="K353" s="45">
        <f t="shared" si="25"/>
        <v>21076627.777276237</v>
      </c>
    </row>
    <row r="354" spans="2:11">
      <c r="B354" s="43">
        <v>45342</v>
      </c>
      <c r="C354" s="32" t="s">
        <v>25</v>
      </c>
      <c r="D354" s="32" t="s">
        <v>132</v>
      </c>
      <c r="E354" s="36">
        <f t="shared" si="28"/>
        <v>21076627.777276237</v>
      </c>
      <c r="F354" s="36">
        <v>13715.65</v>
      </c>
      <c r="G354" s="58">
        <v>0</v>
      </c>
      <c r="H354" s="35">
        <f t="shared" si="29"/>
        <v>13715.65</v>
      </c>
      <c r="I354" s="35">
        <f t="shared" si="26"/>
        <v>0</v>
      </c>
      <c r="J354" s="35">
        <f t="shared" si="27"/>
        <v>2287.0352151113211</v>
      </c>
      <c r="K354" s="45">
        <f t="shared" si="25"/>
        <v>21088056.392061125</v>
      </c>
    </row>
    <row r="355" spans="2:11">
      <c r="B355" s="43">
        <v>45342</v>
      </c>
      <c r="C355" s="32" t="s">
        <v>29</v>
      </c>
      <c r="D355" s="32" t="s">
        <v>132</v>
      </c>
      <c r="E355" s="36">
        <f t="shared" si="28"/>
        <v>21088056.392061125</v>
      </c>
      <c r="F355" s="36">
        <v>6311.23</v>
      </c>
      <c r="G355" s="58">
        <v>0</v>
      </c>
      <c r="H355" s="35">
        <f t="shared" si="29"/>
        <v>6311.23</v>
      </c>
      <c r="I355" s="35">
        <f t="shared" si="26"/>
        <v>0</v>
      </c>
      <c r="J355" s="35">
        <f t="shared" si="27"/>
        <v>1144.1376698528456</v>
      </c>
      <c r="K355" s="45">
        <f t="shared" si="25"/>
        <v>21093223.484391272</v>
      </c>
    </row>
    <row r="356" spans="2:11">
      <c r="B356" s="43">
        <v>45342</v>
      </c>
      <c r="C356" s="32" t="s">
        <v>25</v>
      </c>
      <c r="D356" s="32" t="s">
        <v>132</v>
      </c>
      <c r="E356" s="36">
        <f t="shared" si="28"/>
        <v>21093223.484391272</v>
      </c>
      <c r="F356" s="36">
        <v>15554.04</v>
      </c>
      <c r="G356" s="58">
        <v>0</v>
      </c>
      <c r="H356" s="35">
        <f t="shared" si="29"/>
        <v>15554.04</v>
      </c>
      <c r="I356" s="35">
        <f t="shared" si="26"/>
        <v>0</v>
      </c>
      <c r="J356" s="35">
        <f t="shared" si="27"/>
        <v>1144.4180117140688</v>
      </c>
      <c r="K356" s="45">
        <f t="shared" si="25"/>
        <v>21107633.106379557</v>
      </c>
    </row>
    <row r="357" spans="2:11">
      <c r="B357" s="43">
        <v>45342</v>
      </c>
      <c r="C357" s="32" t="s">
        <v>29</v>
      </c>
      <c r="D357" s="32" t="s">
        <v>134</v>
      </c>
      <c r="E357" s="36">
        <f t="shared" si="28"/>
        <v>21107633.106379557</v>
      </c>
      <c r="F357" s="36">
        <v>0</v>
      </c>
      <c r="G357" s="58">
        <v>-7985.59</v>
      </c>
      <c r="H357" s="35">
        <f t="shared" si="29"/>
        <v>-7985.59</v>
      </c>
      <c r="I357" s="35">
        <f t="shared" si="26"/>
        <v>0</v>
      </c>
      <c r="J357" s="35">
        <f t="shared" si="27"/>
        <v>1145.1998092879478</v>
      </c>
      <c r="K357" s="45">
        <f t="shared" si="25"/>
        <v>21098502.316570271</v>
      </c>
    </row>
    <row r="358" spans="2:11">
      <c r="B358" s="43">
        <v>45342</v>
      </c>
      <c r="C358" s="32" t="s">
        <v>27</v>
      </c>
      <c r="D358" s="32" t="s">
        <v>134</v>
      </c>
      <c r="E358" s="36">
        <f t="shared" si="28"/>
        <v>21098502.316570271</v>
      </c>
      <c r="F358" s="36">
        <v>0</v>
      </c>
      <c r="G358" s="58">
        <v>-4023</v>
      </c>
      <c r="H358" s="35">
        <f t="shared" si="29"/>
        <v>-4023</v>
      </c>
      <c r="I358" s="35">
        <f t="shared" si="26"/>
        <v>0</v>
      </c>
      <c r="J358" s="35">
        <f t="shared" si="27"/>
        <v>1144.7044160481873</v>
      </c>
      <c r="K358" s="45">
        <f t="shared" si="25"/>
        <v>21093334.612154223</v>
      </c>
    </row>
    <row r="359" spans="2:11">
      <c r="B359" s="43">
        <v>45343</v>
      </c>
      <c r="C359" s="32" t="s">
        <v>25</v>
      </c>
      <c r="D359" s="32" t="s">
        <v>132</v>
      </c>
      <c r="E359" s="36">
        <f t="shared" si="28"/>
        <v>21093334.612154223</v>
      </c>
      <c r="F359" s="36">
        <v>9991.7800000000007</v>
      </c>
      <c r="G359" s="58">
        <v>0</v>
      </c>
      <c r="H359" s="35">
        <f t="shared" si="29"/>
        <v>9991.7800000000007</v>
      </c>
      <c r="I359" s="35">
        <f t="shared" si="26"/>
        <v>0</v>
      </c>
      <c r="J359" s="35">
        <f t="shared" si="27"/>
        <v>2288.8480819561873</v>
      </c>
      <c r="K359" s="45">
        <f t="shared" si="25"/>
        <v>21101037.544072267</v>
      </c>
    </row>
    <row r="360" spans="2:11">
      <c r="B360" s="43">
        <v>45343</v>
      </c>
      <c r="C360" s="32" t="s">
        <v>25</v>
      </c>
      <c r="D360" s="32" t="s">
        <v>132</v>
      </c>
      <c r="E360" s="36">
        <f t="shared" si="28"/>
        <v>21101037.544072267</v>
      </c>
      <c r="F360" s="36">
        <v>14021.93</v>
      </c>
      <c r="G360" s="58">
        <v>0</v>
      </c>
      <c r="H360" s="35">
        <f t="shared" si="29"/>
        <v>14021.93</v>
      </c>
      <c r="I360" s="35">
        <f t="shared" si="26"/>
        <v>0</v>
      </c>
      <c r="J360" s="35">
        <f t="shared" si="27"/>
        <v>1144.841965437887</v>
      </c>
      <c r="K360" s="45">
        <f t="shared" si="25"/>
        <v>21113914.632106829</v>
      </c>
    </row>
    <row r="361" spans="2:11">
      <c r="B361" s="43">
        <v>45343</v>
      </c>
      <c r="C361" s="32" t="s">
        <v>27</v>
      </c>
      <c r="D361" s="32" t="s">
        <v>132</v>
      </c>
      <c r="E361" s="36">
        <f t="shared" si="28"/>
        <v>21113914.632106829</v>
      </c>
      <c r="F361" s="36">
        <v>18987.46</v>
      </c>
      <c r="G361" s="58">
        <v>0</v>
      </c>
      <c r="H361" s="35">
        <f t="shared" si="29"/>
        <v>18987.46</v>
      </c>
      <c r="I361" s="35">
        <f t="shared" si="26"/>
        <v>0</v>
      </c>
      <c r="J361" s="35">
        <f t="shared" si="27"/>
        <v>1145.540615006365</v>
      </c>
      <c r="K361" s="45">
        <f t="shared" si="25"/>
        <v>21131756.551491823</v>
      </c>
    </row>
    <row r="362" spans="2:11">
      <c r="B362" s="43">
        <v>45344</v>
      </c>
      <c r="C362" s="32" t="s">
        <v>25</v>
      </c>
      <c r="D362" s="32" t="s">
        <v>132</v>
      </c>
      <c r="E362" s="36">
        <f t="shared" si="28"/>
        <v>21131756.551491823</v>
      </c>
      <c r="F362" s="36">
        <v>13494.73</v>
      </c>
      <c r="G362" s="58">
        <v>0</v>
      </c>
      <c r="H362" s="35">
        <f t="shared" si="29"/>
        <v>13494.73</v>
      </c>
      <c r="I362" s="35">
        <f t="shared" si="26"/>
        <v>0</v>
      </c>
      <c r="J362" s="35">
        <f t="shared" si="27"/>
        <v>2293.017265434044</v>
      </c>
      <c r="K362" s="45">
        <f t="shared" si="25"/>
        <v>21142958.264226388</v>
      </c>
    </row>
    <row r="363" spans="2:11">
      <c r="B363" s="43">
        <v>45344</v>
      </c>
      <c r="C363" s="32" t="s">
        <v>25</v>
      </c>
      <c r="D363" s="32" t="s">
        <v>132</v>
      </c>
      <c r="E363" s="36">
        <f t="shared" si="28"/>
        <v>21142958.264226388</v>
      </c>
      <c r="F363" s="36">
        <v>20312.400000000001</v>
      </c>
      <c r="G363" s="58">
        <v>0</v>
      </c>
      <c r="H363" s="35">
        <f t="shared" si="29"/>
        <v>20312.400000000001</v>
      </c>
      <c r="I363" s="35">
        <f t="shared" si="26"/>
        <v>0</v>
      </c>
      <c r="J363" s="35">
        <f t="shared" si="27"/>
        <v>1147.1163843878358</v>
      </c>
      <c r="K363" s="45">
        <f t="shared" si="25"/>
        <v>21162123.547842</v>
      </c>
    </row>
    <row r="364" spans="2:11">
      <c r="B364" s="43">
        <v>45344</v>
      </c>
      <c r="C364" s="32" t="s">
        <v>29</v>
      </c>
      <c r="D364" s="32" t="s">
        <v>132</v>
      </c>
      <c r="E364" s="36">
        <f t="shared" si="28"/>
        <v>21162123.547842</v>
      </c>
      <c r="F364" s="36">
        <v>17276.79</v>
      </c>
      <c r="G364" s="58">
        <v>0</v>
      </c>
      <c r="H364" s="35">
        <f t="shared" si="29"/>
        <v>17276.79</v>
      </c>
      <c r="I364" s="35">
        <f t="shared" si="26"/>
        <v>0</v>
      </c>
      <c r="J364" s="35">
        <f t="shared" si="27"/>
        <v>1148.156201549283</v>
      </c>
      <c r="K364" s="45">
        <f t="shared" si="25"/>
        <v>21178252.18164045</v>
      </c>
    </row>
    <row r="365" spans="2:11">
      <c r="B365" s="43">
        <v>45344</v>
      </c>
      <c r="C365" s="32" t="s">
        <v>27</v>
      </c>
      <c r="D365" s="32" t="s">
        <v>134</v>
      </c>
      <c r="E365" s="36">
        <f t="shared" si="28"/>
        <v>21178252.18164045</v>
      </c>
      <c r="F365" s="36">
        <v>0</v>
      </c>
      <c r="G365" s="58">
        <v>-5393.6</v>
      </c>
      <c r="H365" s="35">
        <f t="shared" si="29"/>
        <v>-5393.6</v>
      </c>
      <c r="I365" s="35">
        <f t="shared" si="26"/>
        <v>0</v>
      </c>
      <c r="J365" s="35">
        <f t="shared" si="27"/>
        <v>1149.0312645303843</v>
      </c>
      <c r="K365" s="45">
        <f t="shared" si="25"/>
        <v>21171709.55037592</v>
      </c>
    </row>
    <row r="366" spans="2:11">
      <c r="B366" s="43">
        <v>45344</v>
      </c>
      <c r="C366" s="32" t="s">
        <v>29</v>
      </c>
      <c r="D366" s="32" t="s">
        <v>134</v>
      </c>
      <c r="E366" s="36">
        <f t="shared" si="28"/>
        <v>21171709.55037592</v>
      </c>
      <c r="F366" s="36">
        <v>0</v>
      </c>
      <c r="G366" s="58">
        <v>-4597.92</v>
      </c>
      <c r="H366" s="35">
        <f t="shared" si="29"/>
        <v>-4597.92</v>
      </c>
      <c r="I366" s="35">
        <f t="shared" si="26"/>
        <v>0</v>
      </c>
      <c r="J366" s="35">
        <f t="shared" si="27"/>
        <v>1148.6762924670261</v>
      </c>
      <c r="K366" s="45">
        <f t="shared" si="25"/>
        <v>21165962.95408345</v>
      </c>
    </row>
    <row r="367" spans="2:11">
      <c r="B367" s="43">
        <v>45344</v>
      </c>
      <c r="C367" s="32" t="s">
        <v>25</v>
      </c>
      <c r="D367" s="32" t="s">
        <v>134</v>
      </c>
      <c r="E367" s="36">
        <f t="shared" si="28"/>
        <v>21165962.95408345</v>
      </c>
      <c r="F367" s="36">
        <v>0</v>
      </c>
      <c r="G367" s="58">
        <v>-14610</v>
      </c>
      <c r="H367" s="35">
        <f t="shared" si="29"/>
        <v>-14610</v>
      </c>
      <c r="I367" s="35">
        <f t="shared" si="26"/>
        <v>0</v>
      </c>
      <c r="J367" s="35">
        <f t="shared" si="27"/>
        <v>1148.3645094762462</v>
      </c>
      <c r="K367" s="45">
        <f t="shared" si="25"/>
        <v>21150204.589573976</v>
      </c>
    </row>
    <row r="368" spans="2:11">
      <c r="B368" s="43">
        <v>45345</v>
      </c>
      <c r="C368" s="32" t="s">
        <v>25</v>
      </c>
      <c r="D368" s="32" t="s">
        <v>132</v>
      </c>
      <c r="E368" s="36">
        <f t="shared" si="28"/>
        <v>21150204.589573976</v>
      </c>
      <c r="F368" s="36">
        <v>10330.25</v>
      </c>
      <c r="G368" s="58">
        <v>0</v>
      </c>
      <c r="H368" s="35">
        <f t="shared" si="29"/>
        <v>10330.25</v>
      </c>
      <c r="I368" s="35">
        <f t="shared" si="26"/>
        <v>0</v>
      </c>
      <c r="J368" s="35">
        <f t="shared" si="27"/>
        <v>2295.0190710923994</v>
      </c>
      <c r="K368" s="45">
        <f t="shared" si="25"/>
        <v>21158239.820502885</v>
      </c>
    </row>
    <row r="369" spans="2:11">
      <c r="B369" s="43">
        <v>45345</v>
      </c>
      <c r="C369" s="32" t="s">
        <v>29</v>
      </c>
      <c r="D369" s="32" t="s">
        <v>132</v>
      </c>
      <c r="E369" s="36">
        <f t="shared" si="28"/>
        <v>21158239.820502885</v>
      </c>
      <c r="F369" s="36">
        <v>14888.33</v>
      </c>
      <c r="G369" s="58">
        <v>0</v>
      </c>
      <c r="H369" s="35">
        <f t="shared" si="29"/>
        <v>14888.33</v>
      </c>
      <c r="I369" s="35">
        <f t="shared" si="26"/>
        <v>0</v>
      </c>
      <c r="J369" s="35">
        <f t="shared" si="27"/>
        <v>1147.9454889702995</v>
      </c>
      <c r="K369" s="45">
        <f t="shared" si="25"/>
        <v>21171980.205013912</v>
      </c>
    </row>
    <row r="370" spans="2:11">
      <c r="B370" s="43">
        <v>45345</v>
      </c>
      <c r="C370" s="32" t="s">
        <v>27</v>
      </c>
      <c r="D370" s="32" t="s">
        <v>132</v>
      </c>
      <c r="E370" s="36">
        <f t="shared" si="28"/>
        <v>21171980.205013912</v>
      </c>
      <c r="F370" s="36">
        <v>13881.5</v>
      </c>
      <c r="G370" s="58">
        <v>0</v>
      </c>
      <c r="H370" s="35">
        <f t="shared" si="29"/>
        <v>13881.5</v>
      </c>
      <c r="I370" s="35">
        <f t="shared" si="26"/>
        <v>0</v>
      </c>
      <c r="J370" s="35">
        <f t="shared" si="27"/>
        <v>1148.6909769007684</v>
      </c>
      <c r="K370" s="45">
        <f t="shared" si="25"/>
        <v>21184713.014037013</v>
      </c>
    </row>
    <row r="371" spans="2:11">
      <c r="B371" s="43">
        <v>45345</v>
      </c>
      <c r="C371" s="32" t="s">
        <v>29</v>
      </c>
      <c r="D371" s="32" t="s">
        <v>134</v>
      </c>
      <c r="E371" s="36">
        <f t="shared" si="28"/>
        <v>21184713.014037013</v>
      </c>
      <c r="F371" s="36">
        <v>0</v>
      </c>
      <c r="G371" s="58">
        <v>-7260.39</v>
      </c>
      <c r="H371" s="35">
        <f t="shared" si="29"/>
        <v>-7260.39</v>
      </c>
      <c r="I371" s="35">
        <f t="shared" si="26"/>
        <v>0</v>
      </c>
      <c r="J371" s="35">
        <f t="shared" si="27"/>
        <v>1149.3817985761059</v>
      </c>
      <c r="K371" s="45">
        <f t="shared" si="25"/>
        <v>21176303.242238436</v>
      </c>
    </row>
    <row r="372" spans="2:11">
      <c r="B372" s="43">
        <v>45345</v>
      </c>
      <c r="C372" s="32" t="s">
        <v>25</v>
      </c>
      <c r="D372" s="32" t="s">
        <v>134</v>
      </c>
      <c r="E372" s="36">
        <f t="shared" si="28"/>
        <v>21176303.242238436</v>
      </c>
      <c r="F372" s="36">
        <v>0</v>
      </c>
      <c r="G372" s="58">
        <v>-7951</v>
      </c>
      <c r="H372" s="35">
        <f t="shared" si="29"/>
        <v>-7951</v>
      </c>
      <c r="I372" s="35">
        <f t="shared" si="26"/>
        <v>0</v>
      </c>
      <c r="J372" s="35">
        <f t="shared" si="27"/>
        <v>1148.9255243452933</v>
      </c>
      <c r="K372" s="45">
        <f t="shared" si="25"/>
        <v>21167203.316714089</v>
      </c>
    </row>
    <row r="373" spans="2:11">
      <c r="B373" s="43">
        <v>45346</v>
      </c>
      <c r="C373" s="32" t="s">
        <v>27</v>
      </c>
      <c r="D373" s="32" t="s">
        <v>132</v>
      </c>
      <c r="E373" s="36">
        <f t="shared" si="28"/>
        <v>21167203.316714089</v>
      </c>
      <c r="F373" s="36">
        <v>15037.78</v>
      </c>
      <c r="G373" s="58">
        <v>0</v>
      </c>
      <c r="H373" s="35">
        <f t="shared" si="29"/>
        <v>15037.78</v>
      </c>
      <c r="I373" s="35">
        <f t="shared" si="26"/>
        <v>0</v>
      </c>
      <c r="J373" s="35">
        <f t="shared" si="27"/>
        <v>2296.8636113097591</v>
      </c>
      <c r="K373" s="45">
        <f t="shared" si="25"/>
        <v>21179944.23310278</v>
      </c>
    </row>
    <row r="374" spans="2:11">
      <c r="B374" s="43">
        <v>45346</v>
      </c>
      <c r="C374" s="32" t="s">
        <v>29</v>
      </c>
      <c r="D374" s="32" t="s">
        <v>132</v>
      </c>
      <c r="E374" s="36">
        <f t="shared" si="28"/>
        <v>21179944.23310278</v>
      </c>
      <c r="F374" s="36">
        <v>16729.669999999998</v>
      </c>
      <c r="G374" s="58">
        <v>0</v>
      </c>
      <c r="H374" s="35">
        <f t="shared" si="29"/>
        <v>16729.669999999998</v>
      </c>
      <c r="I374" s="35">
        <f t="shared" si="26"/>
        <v>0</v>
      </c>
      <c r="J374" s="35">
        <f t="shared" si="27"/>
        <v>1149.1230671973246</v>
      </c>
      <c r="K374" s="45">
        <f t="shared" si="25"/>
        <v>21195524.780035585</v>
      </c>
    </row>
    <row r="375" spans="2:11">
      <c r="B375" s="43">
        <v>45346</v>
      </c>
      <c r="C375" s="32" t="s">
        <v>25</v>
      </c>
      <c r="D375" s="32" t="s">
        <v>132</v>
      </c>
      <c r="E375" s="36">
        <f t="shared" si="28"/>
        <v>21195524.780035585</v>
      </c>
      <c r="F375" s="36">
        <v>16003.37</v>
      </c>
      <c r="G375" s="58">
        <v>0</v>
      </c>
      <c r="H375" s="35">
        <f t="shared" si="29"/>
        <v>16003.37</v>
      </c>
      <c r="I375" s="35">
        <f t="shared" si="26"/>
        <v>0</v>
      </c>
      <c r="J375" s="35">
        <f t="shared" si="27"/>
        <v>1149.9683935911523</v>
      </c>
      <c r="K375" s="45">
        <f t="shared" si="25"/>
        <v>21210378.181641996</v>
      </c>
    </row>
    <row r="376" spans="2:11">
      <c r="B376" s="43">
        <v>45346</v>
      </c>
      <c r="C376" s="32" t="s">
        <v>25</v>
      </c>
      <c r="D376" s="32" t="s">
        <v>132</v>
      </c>
      <c r="E376" s="36">
        <f t="shared" si="28"/>
        <v>21210378.181641996</v>
      </c>
      <c r="F376" s="36">
        <v>9717.7099999999991</v>
      </c>
      <c r="G376" s="58">
        <v>0</v>
      </c>
      <c r="H376" s="35">
        <f t="shared" si="29"/>
        <v>9717.7099999999991</v>
      </c>
      <c r="I376" s="35">
        <f t="shared" si="26"/>
        <v>0</v>
      </c>
      <c r="J376" s="35">
        <f t="shared" si="27"/>
        <v>1150.7742685370172</v>
      </c>
      <c r="K376" s="45">
        <f t="shared" si="25"/>
        <v>21218945.117373459</v>
      </c>
    </row>
    <row r="377" spans="2:11">
      <c r="B377" s="43">
        <v>45346</v>
      </c>
      <c r="C377" s="32" t="s">
        <v>25</v>
      </c>
      <c r="D377" s="32" t="s">
        <v>134</v>
      </c>
      <c r="E377" s="36">
        <f t="shared" si="28"/>
        <v>21218945.117373459</v>
      </c>
      <c r="F377" s="36">
        <v>0</v>
      </c>
      <c r="G377" s="58">
        <v>-3766</v>
      </c>
      <c r="H377" s="35">
        <f t="shared" si="29"/>
        <v>-3766</v>
      </c>
      <c r="I377" s="35">
        <f t="shared" si="26"/>
        <v>0</v>
      </c>
      <c r="J377" s="35">
        <f t="shared" si="27"/>
        <v>1151.2390697355413</v>
      </c>
      <c r="K377" s="45">
        <f t="shared" si="25"/>
        <v>21214027.878303725</v>
      </c>
    </row>
    <row r="378" spans="2:11">
      <c r="B378" s="43">
        <v>45347</v>
      </c>
      <c r="C378" s="32" t="s">
        <v>29</v>
      </c>
      <c r="D378" s="32" t="s">
        <v>132</v>
      </c>
      <c r="E378" s="36">
        <f t="shared" si="28"/>
        <v>21214027.878303725</v>
      </c>
      <c r="F378" s="36">
        <v>14963.26</v>
      </c>
      <c r="G378" s="58">
        <v>0</v>
      </c>
      <c r="H378" s="35">
        <f t="shared" si="29"/>
        <v>14963.26</v>
      </c>
      <c r="I378" s="35">
        <f t="shared" si="26"/>
        <v>0</v>
      </c>
      <c r="J378" s="35">
        <f t="shared" si="27"/>
        <v>2301.94456744844</v>
      </c>
      <c r="K378" s="45">
        <f t="shared" si="25"/>
        <v>21226689.193736278</v>
      </c>
    </row>
    <row r="379" spans="2:11">
      <c r="B379" s="43">
        <v>45347</v>
      </c>
      <c r="C379" s="32" t="s">
        <v>25</v>
      </c>
      <c r="D379" s="32" t="s">
        <v>132</v>
      </c>
      <c r="E379" s="36">
        <f t="shared" si="28"/>
        <v>21226689.193736278</v>
      </c>
      <c r="F379" s="36">
        <v>13945.46</v>
      </c>
      <c r="G379" s="58">
        <v>0</v>
      </c>
      <c r="H379" s="35">
        <f t="shared" si="29"/>
        <v>13945.46</v>
      </c>
      <c r="I379" s="35">
        <f t="shared" si="26"/>
        <v>0</v>
      </c>
      <c r="J379" s="35">
        <f t="shared" si="27"/>
        <v>1151.6592264972737</v>
      </c>
      <c r="K379" s="45">
        <f t="shared" si="25"/>
        <v>21239482.994509783</v>
      </c>
    </row>
    <row r="380" spans="2:11">
      <c r="B380" s="43">
        <v>45347</v>
      </c>
      <c r="C380" s="32" t="s">
        <v>29</v>
      </c>
      <c r="D380" s="32" t="s">
        <v>132</v>
      </c>
      <c r="E380" s="36">
        <f t="shared" si="28"/>
        <v>21239482.994509783</v>
      </c>
      <c r="F380" s="36">
        <v>16147.23</v>
      </c>
      <c r="G380" s="58">
        <v>0</v>
      </c>
      <c r="H380" s="35">
        <f t="shared" si="29"/>
        <v>16147.23</v>
      </c>
      <c r="I380" s="35">
        <f t="shared" si="26"/>
        <v>0</v>
      </c>
      <c r="J380" s="35">
        <f t="shared" si="27"/>
        <v>1152.353357294983</v>
      </c>
      <c r="K380" s="45">
        <f t="shared" si="25"/>
        <v>21254477.871152487</v>
      </c>
    </row>
    <row r="381" spans="2:11">
      <c r="B381" s="43">
        <v>45347</v>
      </c>
      <c r="C381" s="32" t="s">
        <v>29</v>
      </c>
      <c r="D381" s="32" t="s">
        <v>134</v>
      </c>
      <c r="E381" s="36">
        <f t="shared" si="28"/>
        <v>21254477.871152487</v>
      </c>
      <c r="F381" s="36">
        <v>0</v>
      </c>
      <c r="G381" s="58">
        <v>-3975.93</v>
      </c>
      <c r="H381" s="35">
        <f t="shared" si="29"/>
        <v>-3975.93</v>
      </c>
      <c r="I381" s="35">
        <f t="shared" si="26"/>
        <v>0</v>
      </c>
      <c r="J381" s="35">
        <f t="shared" si="27"/>
        <v>1153.1669080036284</v>
      </c>
      <c r="K381" s="45">
        <f t="shared" si="25"/>
        <v>21249348.774244484</v>
      </c>
    </row>
    <row r="382" spans="2:11">
      <c r="B382" s="43">
        <v>45347</v>
      </c>
      <c r="C382" s="32" t="s">
        <v>29</v>
      </c>
      <c r="D382" s="32" t="s">
        <v>134</v>
      </c>
      <c r="E382" s="36">
        <f t="shared" si="28"/>
        <v>21249348.774244484</v>
      </c>
      <c r="F382" s="36">
        <v>0</v>
      </c>
      <c r="G382" s="58">
        <v>-13434</v>
      </c>
      <c r="H382" s="35">
        <f t="shared" si="29"/>
        <v>-13434</v>
      </c>
      <c r="I382" s="35">
        <f t="shared" si="26"/>
        <v>0</v>
      </c>
      <c r="J382" s="35">
        <f t="shared" si="27"/>
        <v>1152.8886275933492</v>
      </c>
      <c r="K382" s="45">
        <f t="shared" si="25"/>
        <v>21234761.885616891</v>
      </c>
    </row>
    <row r="383" spans="2:11">
      <c r="B383" s="43">
        <v>45348</v>
      </c>
      <c r="C383" s="32" t="s">
        <v>27</v>
      </c>
      <c r="D383" s="32" t="s">
        <v>132</v>
      </c>
      <c r="E383" s="36">
        <f t="shared" si="28"/>
        <v>21234761.885616891</v>
      </c>
      <c r="F383" s="36">
        <v>21431.83</v>
      </c>
      <c r="G383" s="58">
        <v>0</v>
      </c>
      <c r="H383" s="35">
        <f t="shared" si="29"/>
        <v>21431.83</v>
      </c>
      <c r="I383" s="35">
        <f t="shared" si="26"/>
        <v>0</v>
      </c>
      <c r="J383" s="35">
        <f t="shared" si="27"/>
        <v>2304.1944247489855</v>
      </c>
      <c r="K383" s="45">
        <f t="shared" si="25"/>
        <v>21253889.521192141</v>
      </c>
    </row>
    <row r="384" spans="2:11">
      <c r="B384" s="43">
        <v>45348</v>
      </c>
      <c r="C384" s="32" t="s">
        <v>29</v>
      </c>
      <c r="D384" s="32" t="s">
        <v>132</v>
      </c>
      <c r="E384" s="36">
        <f t="shared" si="28"/>
        <v>21253889.521192141</v>
      </c>
      <c r="F384" s="36">
        <v>8754.2099999999991</v>
      </c>
      <c r="G384" s="58">
        <v>0</v>
      </c>
      <c r="H384" s="35">
        <f t="shared" si="29"/>
        <v>8754.2099999999991</v>
      </c>
      <c r="I384" s="35">
        <f t="shared" si="26"/>
        <v>0</v>
      </c>
      <c r="J384" s="35">
        <f t="shared" si="27"/>
        <v>1153.1349869322798</v>
      </c>
      <c r="K384" s="45">
        <f t="shared" si="25"/>
        <v>21261490.596205208</v>
      </c>
    </row>
    <row r="385" spans="2:11">
      <c r="B385" s="43">
        <v>45348</v>
      </c>
      <c r="C385" s="32" t="s">
        <v>29</v>
      </c>
      <c r="D385" s="32" t="s">
        <v>132</v>
      </c>
      <c r="E385" s="36">
        <f t="shared" si="28"/>
        <v>21261490.596205208</v>
      </c>
      <c r="F385" s="36">
        <v>16827.41</v>
      </c>
      <c r="G385" s="58">
        <v>0</v>
      </c>
      <c r="H385" s="35">
        <f t="shared" si="29"/>
        <v>16827.41</v>
      </c>
      <c r="I385" s="35">
        <f t="shared" si="26"/>
        <v>0</v>
      </c>
      <c r="J385" s="35">
        <f t="shared" si="27"/>
        <v>1153.5473851207209</v>
      </c>
      <c r="K385" s="45">
        <f t="shared" si="25"/>
        <v>21277164.45882009</v>
      </c>
    </row>
    <row r="386" spans="2:11">
      <c r="B386" s="43">
        <v>45348</v>
      </c>
      <c r="C386" s="32" t="s">
        <v>29</v>
      </c>
      <c r="D386" s="32" t="s">
        <v>134</v>
      </c>
      <c r="E386" s="36">
        <f t="shared" si="28"/>
        <v>21277164.45882009</v>
      </c>
      <c r="F386" s="36">
        <v>0</v>
      </c>
      <c r="G386" s="58">
        <v>-16061</v>
      </c>
      <c r="H386" s="35">
        <f t="shared" si="29"/>
        <v>-16061</v>
      </c>
      <c r="I386" s="35">
        <f t="shared" si="26"/>
        <v>0</v>
      </c>
      <c r="J386" s="35">
        <f t="shared" si="27"/>
        <v>1154.3977743797584</v>
      </c>
      <c r="K386" s="45">
        <f t="shared" si="25"/>
        <v>21259949.06104571</v>
      </c>
    </row>
    <row r="387" spans="2:11">
      <c r="B387" s="43">
        <v>45348</v>
      </c>
      <c r="C387" s="32" t="s">
        <v>25</v>
      </c>
      <c r="D387" s="32" t="s">
        <v>134</v>
      </c>
      <c r="E387" s="36">
        <f t="shared" si="28"/>
        <v>21259949.06104571</v>
      </c>
      <c r="F387" s="36">
        <v>0</v>
      </c>
      <c r="G387" s="58">
        <v>-6090</v>
      </c>
      <c r="H387" s="35">
        <f t="shared" si="29"/>
        <v>-6090</v>
      </c>
      <c r="I387" s="35">
        <f t="shared" si="26"/>
        <v>0</v>
      </c>
      <c r="J387" s="35">
        <f t="shared" si="27"/>
        <v>1153.4637487526938</v>
      </c>
      <c r="K387" s="45">
        <f t="shared" si="25"/>
        <v>21252705.597296957</v>
      </c>
    </row>
    <row r="388" spans="2:11">
      <c r="B388" s="43">
        <v>45348</v>
      </c>
      <c r="C388" s="32" t="s">
        <v>27</v>
      </c>
      <c r="D388" s="32" t="s">
        <v>134</v>
      </c>
      <c r="E388" s="36">
        <f t="shared" si="28"/>
        <v>21252705.597296957</v>
      </c>
      <c r="F388" s="36">
        <v>0</v>
      </c>
      <c r="G388" s="58">
        <v>-10456</v>
      </c>
      <c r="H388" s="35">
        <f t="shared" si="29"/>
        <v>-10456</v>
      </c>
      <c r="I388" s="35">
        <f t="shared" si="26"/>
        <v>0</v>
      </c>
      <c r="J388" s="35">
        <f t="shared" si="27"/>
        <v>1153.0707528510761</v>
      </c>
      <c r="K388" s="45">
        <f t="shared" si="25"/>
        <v>21241096.526544105</v>
      </c>
    </row>
    <row r="389" spans="2:11">
      <c r="B389" s="43">
        <v>45349</v>
      </c>
      <c r="C389" s="32" t="s">
        <v>29</v>
      </c>
      <c r="D389" s="32" t="s">
        <v>132</v>
      </c>
      <c r="E389" s="36">
        <f t="shared" si="28"/>
        <v>21241096.526544105</v>
      </c>
      <c r="F389" s="36">
        <v>12533.34</v>
      </c>
      <c r="G389" s="58">
        <v>0</v>
      </c>
      <c r="H389" s="35">
        <f t="shared" si="29"/>
        <v>12533.34</v>
      </c>
      <c r="I389" s="35">
        <f t="shared" si="26"/>
        <v>0</v>
      </c>
      <c r="J389" s="35">
        <f t="shared" si="27"/>
        <v>2304.8817997422111</v>
      </c>
      <c r="K389" s="45">
        <f t="shared" si="25"/>
        <v>21251324.984744363</v>
      </c>
    </row>
    <row r="390" spans="2:11">
      <c r="B390" s="43">
        <v>45349</v>
      </c>
      <c r="C390" s="32" t="s">
        <v>29</v>
      </c>
      <c r="D390" s="32" t="s">
        <v>132</v>
      </c>
      <c r="E390" s="36">
        <f t="shared" si="28"/>
        <v>21251324.984744363</v>
      </c>
      <c r="F390" s="36">
        <v>22365.9</v>
      </c>
      <c r="G390" s="58">
        <v>0</v>
      </c>
      <c r="H390" s="35">
        <f t="shared" si="29"/>
        <v>22365.9</v>
      </c>
      <c r="I390" s="35">
        <f t="shared" si="26"/>
        <v>0</v>
      </c>
      <c r="J390" s="35">
        <f t="shared" si="27"/>
        <v>1152.9958473785409</v>
      </c>
      <c r="K390" s="45">
        <f t="shared" si="25"/>
        <v>21272537.888896983</v>
      </c>
    </row>
    <row r="391" spans="2:11">
      <c r="B391" s="43">
        <v>45349</v>
      </c>
      <c r="C391" s="32" t="s">
        <v>27</v>
      </c>
      <c r="D391" s="32" t="s">
        <v>132</v>
      </c>
      <c r="E391" s="36">
        <f t="shared" si="28"/>
        <v>21272537.888896983</v>
      </c>
      <c r="F391" s="36">
        <v>13029.32</v>
      </c>
      <c r="G391" s="58">
        <v>0</v>
      </c>
      <c r="H391" s="35">
        <f t="shared" si="29"/>
        <v>13029.32</v>
      </c>
      <c r="I391" s="35">
        <f t="shared" si="26"/>
        <v>0</v>
      </c>
      <c r="J391" s="35">
        <f t="shared" si="27"/>
        <v>1154.1467586942526</v>
      </c>
      <c r="K391" s="45">
        <f t="shared" si="25"/>
        <v>21284413.062138289</v>
      </c>
    </row>
    <row r="392" spans="2:11">
      <c r="B392" s="43">
        <v>45349</v>
      </c>
      <c r="C392" s="32" t="s">
        <v>29</v>
      </c>
      <c r="D392" s="32" t="s">
        <v>132</v>
      </c>
      <c r="E392" s="36">
        <f t="shared" si="28"/>
        <v>21284413.062138289</v>
      </c>
      <c r="F392" s="36">
        <v>14320.56</v>
      </c>
      <c r="G392" s="58">
        <v>0</v>
      </c>
      <c r="H392" s="35">
        <f t="shared" si="29"/>
        <v>14320.56</v>
      </c>
      <c r="I392" s="35">
        <f t="shared" si="26"/>
        <v>0</v>
      </c>
      <c r="J392" s="35">
        <f t="shared" si="27"/>
        <v>1154.7910491299765</v>
      </c>
      <c r="K392" s="45">
        <f t="shared" ref="K392:K455" si="30">E392+H392+I392-J392</f>
        <v>21297578.831089158</v>
      </c>
    </row>
    <row r="393" spans="2:11">
      <c r="B393" s="43">
        <v>45349</v>
      </c>
      <c r="C393" s="32" t="s">
        <v>27</v>
      </c>
      <c r="D393" s="32" t="s">
        <v>134</v>
      </c>
      <c r="E393" s="36">
        <f t="shared" si="28"/>
        <v>21297578.831089158</v>
      </c>
      <c r="F393" s="36">
        <v>0</v>
      </c>
      <c r="G393" s="58">
        <v>-5826.3</v>
      </c>
      <c r="H393" s="35">
        <f t="shared" si="29"/>
        <v>-5826.3</v>
      </c>
      <c r="I393" s="35">
        <f t="shared" si="26"/>
        <v>0</v>
      </c>
      <c r="J393" s="35">
        <f t="shared" si="27"/>
        <v>1155.5053611523465</v>
      </c>
      <c r="K393" s="45">
        <f t="shared" si="30"/>
        <v>21290597.025728006</v>
      </c>
    </row>
    <row r="394" spans="2:11">
      <c r="B394" s="43">
        <v>45349</v>
      </c>
      <c r="C394" s="32" t="s">
        <v>25</v>
      </c>
      <c r="D394" s="32" t="s">
        <v>134</v>
      </c>
      <c r="E394" s="36">
        <f t="shared" si="28"/>
        <v>21290597.025728006</v>
      </c>
      <c r="F394" s="36">
        <v>0</v>
      </c>
      <c r="G394" s="58">
        <v>-15903</v>
      </c>
      <c r="H394" s="35">
        <f t="shared" si="29"/>
        <v>-15903</v>
      </c>
      <c r="I394" s="35">
        <f t="shared" si="26"/>
        <v>0</v>
      </c>
      <c r="J394" s="35">
        <f t="shared" si="27"/>
        <v>1155.1265615907007</v>
      </c>
      <c r="K394" s="45">
        <f t="shared" si="30"/>
        <v>21273538.899166416</v>
      </c>
    </row>
    <row r="395" spans="2:11">
      <c r="B395" s="43">
        <v>45349</v>
      </c>
      <c r="C395" s="32" t="s">
        <v>25</v>
      </c>
      <c r="D395" s="32" t="s">
        <v>134</v>
      </c>
      <c r="E395" s="36">
        <f t="shared" si="28"/>
        <v>21273538.899166416</v>
      </c>
      <c r="F395" s="36">
        <v>0</v>
      </c>
      <c r="G395" s="58">
        <v>-10829</v>
      </c>
      <c r="H395" s="35">
        <f t="shared" si="29"/>
        <v>-10829</v>
      </c>
      <c r="I395" s="35">
        <f t="shared" si="26"/>
        <v>0</v>
      </c>
      <c r="J395" s="35">
        <f t="shared" si="27"/>
        <v>1154.2010687518452</v>
      </c>
      <c r="K395" s="45">
        <f t="shared" si="30"/>
        <v>21261555.698097665</v>
      </c>
    </row>
    <row r="396" spans="2:11">
      <c r="B396" s="43">
        <v>45350</v>
      </c>
      <c r="C396" s="32" t="s">
        <v>25</v>
      </c>
      <c r="D396" s="32" t="s">
        <v>132</v>
      </c>
      <c r="E396" s="36">
        <f t="shared" si="28"/>
        <v>21261555.698097665</v>
      </c>
      <c r="F396" s="36">
        <v>13273.09</v>
      </c>
      <c r="G396" s="58">
        <v>0</v>
      </c>
      <c r="H396" s="35">
        <f t="shared" si="29"/>
        <v>13273.09</v>
      </c>
      <c r="I396" s="35">
        <f t="shared" si="26"/>
        <v>0</v>
      </c>
      <c r="J396" s="35">
        <f t="shared" si="27"/>
        <v>2307.1018344797153</v>
      </c>
      <c r="K396" s="45">
        <f t="shared" si="30"/>
        <v>21272521.686263185</v>
      </c>
    </row>
    <row r="397" spans="2:11">
      <c r="B397" s="43">
        <v>45350</v>
      </c>
      <c r="C397" s="32" t="s">
        <v>25</v>
      </c>
      <c r="D397" s="32" t="s">
        <v>132</v>
      </c>
      <c r="E397" s="36">
        <f t="shared" si="28"/>
        <v>21272521.686263185</v>
      </c>
      <c r="F397" s="36">
        <v>12605.11</v>
      </c>
      <c r="G397" s="58">
        <v>0</v>
      </c>
      <c r="H397" s="35">
        <f t="shared" si="29"/>
        <v>12605.11</v>
      </c>
      <c r="I397" s="35">
        <f t="shared" si="26"/>
        <v>0</v>
      </c>
      <c r="J397" s="35">
        <f t="shared" si="27"/>
        <v>1154.1458796163836</v>
      </c>
      <c r="K397" s="45">
        <f t="shared" si="30"/>
        <v>21283972.650383569</v>
      </c>
    </row>
    <row r="398" spans="2:11">
      <c r="B398" s="43">
        <v>45350</v>
      </c>
      <c r="C398" s="32" t="s">
        <v>27</v>
      </c>
      <c r="D398" s="32" t="s">
        <v>132</v>
      </c>
      <c r="E398" s="36">
        <f t="shared" si="28"/>
        <v>21283972.650383569</v>
      </c>
      <c r="F398" s="36">
        <v>15671.36</v>
      </c>
      <c r="G398" s="58">
        <v>0</v>
      </c>
      <c r="H398" s="35">
        <f t="shared" si="29"/>
        <v>15671.36</v>
      </c>
      <c r="I398" s="35">
        <f t="shared" si="26"/>
        <v>0</v>
      </c>
      <c r="J398" s="35">
        <f t="shared" si="27"/>
        <v>1154.7671544822454</v>
      </c>
      <c r="K398" s="45">
        <f t="shared" si="30"/>
        <v>21298489.243229087</v>
      </c>
    </row>
    <row r="399" spans="2:11">
      <c r="B399" s="43">
        <v>45350</v>
      </c>
      <c r="C399" s="32" t="s">
        <v>27</v>
      </c>
      <c r="D399" s="32" t="s">
        <v>132</v>
      </c>
      <c r="E399" s="36">
        <f t="shared" si="28"/>
        <v>21298489.243229087</v>
      </c>
      <c r="F399" s="36">
        <v>15511.25</v>
      </c>
      <c r="G399" s="58">
        <v>0</v>
      </c>
      <c r="H399" s="35">
        <f t="shared" si="29"/>
        <v>15511.25</v>
      </c>
      <c r="I399" s="35">
        <f t="shared" si="26"/>
        <v>0</v>
      </c>
      <c r="J399" s="35">
        <f t="shared" si="27"/>
        <v>1155.5547557862103</v>
      </c>
      <c r="K399" s="45">
        <f t="shared" si="30"/>
        <v>21312844.938473303</v>
      </c>
    </row>
    <row r="400" spans="2:11">
      <c r="B400" s="43">
        <v>45350</v>
      </c>
      <c r="C400" s="32" t="s">
        <v>25</v>
      </c>
      <c r="D400" s="32" t="s">
        <v>132</v>
      </c>
      <c r="E400" s="36">
        <f t="shared" si="28"/>
        <v>21312844.938473303</v>
      </c>
      <c r="F400" s="36">
        <v>21471.919999999998</v>
      </c>
      <c r="G400" s="58">
        <v>0</v>
      </c>
      <c r="H400" s="35">
        <f t="shared" si="29"/>
        <v>21471.919999999998</v>
      </c>
      <c r="I400" s="35">
        <f t="shared" si="26"/>
        <v>0</v>
      </c>
      <c r="J400" s="35">
        <f t="shared" si="27"/>
        <v>1156.3336275513682</v>
      </c>
      <c r="K400" s="45">
        <f t="shared" si="30"/>
        <v>21333160.524845753</v>
      </c>
    </row>
    <row r="401" spans="2:11">
      <c r="B401" s="43">
        <v>45350</v>
      </c>
      <c r="C401" s="32" t="s">
        <v>27</v>
      </c>
      <c r="D401" s="32" t="s">
        <v>134</v>
      </c>
      <c r="E401" s="36">
        <f t="shared" si="28"/>
        <v>21333160.524845753</v>
      </c>
      <c r="F401" s="36">
        <v>0</v>
      </c>
      <c r="G401" s="58">
        <v>-1434</v>
      </c>
      <c r="H401" s="35">
        <f t="shared" si="29"/>
        <v>-1434</v>
      </c>
      <c r="I401" s="35">
        <f t="shared" si="26"/>
        <v>0</v>
      </c>
      <c r="J401" s="35">
        <f t="shared" si="27"/>
        <v>1157.4358546709154</v>
      </c>
      <c r="K401" s="45">
        <f t="shared" si="30"/>
        <v>21330569.088991083</v>
      </c>
    </row>
    <row r="402" spans="2:11">
      <c r="B402" s="43">
        <v>45350</v>
      </c>
      <c r="C402" s="32" t="s">
        <v>25</v>
      </c>
      <c r="D402" s="32" t="s">
        <v>134</v>
      </c>
      <c r="E402" s="36">
        <f t="shared" si="28"/>
        <v>21330569.088991083</v>
      </c>
      <c r="F402" s="36">
        <v>0</v>
      </c>
      <c r="G402" s="58">
        <v>-16061</v>
      </c>
      <c r="H402" s="35">
        <f t="shared" si="29"/>
        <v>-16061</v>
      </c>
      <c r="I402" s="35">
        <f t="shared" si="26"/>
        <v>0</v>
      </c>
      <c r="J402" s="35">
        <f t="shared" si="27"/>
        <v>1157.2952556832604</v>
      </c>
      <c r="K402" s="45">
        <f t="shared" si="30"/>
        <v>21313350.7937354</v>
      </c>
    </row>
    <row r="403" spans="2:11">
      <c r="B403" s="43">
        <v>45350</v>
      </c>
      <c r="C403" s="32" t="s">
        <v>25</v>
      </c>
      <c r="D403" s="32" t="s">
        <v>134</v>
      </c>
      <c r="E403" s="36">
        <f t="shared" si="28"/>
        <v>21313350.7937354</v>
      </c>
      <c r="F403" s="36">
        <v>0</v>
      </c>
      <c r="G403" s="58">
        <v>-21234</v>
      </c>
      <c r="H403" s="35">
        <f t="shared" si="29"/>
        <v>-21234</v>
      </c>
      <c r="I403" s="35">
        <f t="shared" si="26"/>
        <v>0</v>
      </c>
      <c r="J403" s="35">
        <f t="shared" si="27"/>
        <v>1156.3610728526373</v>
      </c>
      <c r="K403" s="45">
        <f t="shared" si="30"/>
        <v>21290960.432662547</v>
      </c>
    </row>
    <row r="404" spans="2:11">
      <c r="B404" s="43">
        <v>45350</v>
      </c>
      <c r="C404" s="32" t="s">
        <v>29</v>
      </c>
      <c r="D404" s="32" t="s">
        <v>134</v>
      </c>
      <c r="E404" s="36">
        <f t="shared" si="28"/>
        <v>21290960.432662547</v>
      </c>
      <c r="F404" s="36">
        <v>0</v>
      </c>
      <c r="G404" s="58">
        <v>-16446</v>
      </c>
      <c r="H404" s="35">
        <f t="shared" si="29"/>
        <v>-16446</v>
      </c>
      <c r="I404" s="35">
        <f t="shared" ref="I404:I467" si="31">(($E404*Daily_Interest)*(_xlfn.DAYS(B404,B403)+1))+((IF(DAY($B403)&gt;Monthly_Cut_off_Date,0,Daily_Interest*H404))*(_xlfn.DAYS(B404,B403)+1))</f>
        <v>0</v>
      </c>
      <c r="J404" s="35">
        <f t="shared" ref="J404:J467" si="32">(($I404+E404)*Daily_Fees_Rate)*((_xlfn.DAYS(B404,B403)+1))</f>
        <v>1155.1462783230331</v>
      </c>
      <c r="K404" s="45">
        <f t="shared" si="30"/>
        <v>21273359.286384225</v>
      </c>
    </row>
    <row r="405" spans="2:11">
      <c r="B405" s="43">
        <v>45351</v>
      </c>
      <c r="C405" s="32" t="s">
        <v>27</v>
      </c>
      <c r="D405" s="32" t="s">
        <v>132</v>
      </c>
      <c r="E405" s="36">
        <f t="shared" ref="E405:E468" si="33">K404</f>
        <v>21273359.286384225</v>
      </c>
      <c r="F405" s="36">
        <v>15888.36</v>
      </c>
      <c r="G405" s="58">
        <v>0</v>
      </c>
      <c r="H405" s="35">
        <f t="shared" ref="H405:H468" si="34">SUM(F405:G405)</f>
        <v>15888.36</v>
      </c>
      <c r="I405" s="35">
        <f t="shared" si="31"/>
        <v>0</v>
      </c>
      <c r="J405" s="35">
        <f t="shared" si="32"/>
        <v>2308.3826476326212</v>
      </c>
      <c r="K405" s="45">
        <f t="shared" si="30"/>
        <v>21286939.263736591</v>
      </c>
    </row>
    <row r="406" spans="2:11">
      <c r="B406" s="43">
        <v>45351</v>
      </c>
      <c r="C406" s="32" t="s">
        <v>29</v>
      </c>
      <c r="D406" s="32" t="s">
        <v>132</v>
      </c>
      <c r="E406" s="36">
        <f t="shared" si="33"/>
        <v>21286939.263736591</v>
      </c>
      <c r="F406" s="36">
        <v>20628.509999999998</v>
      </c>
      <c r="G406" s="58">
        <v>0</v>
      </c>
      <c r="H406" s="35">
        <f t="shared" si="34"/>
        <v>20628.509999999998</v>
      </c>
      <c r="I406" s="35">
        <f t="shared" si="31"/>
        <v>0</v>
      </c>
      <c r="J406" s="35">
        <f t="shared" si="32"/>
        <v>1154.9281088170583</v>
      </c>
      <c r="K406" s="45">
        <f t="shared" si="30"/>
        <v>21306412.845627774</v>
      </c>
    </row>
    <row r="407" spans="2:11">
      <c r="B407" s="43">
        <v>45351</v>
      </c>
      <c r="C407" s="32" t="s">
        <v>29</v>
      </c>
      <c r="D407" s="32" t="s">
        <v>132</v>
      </c>
      <c r="E407" s="36">
        <f t="shared" si="33"/>
        <v>21306412.845627774</v>
      </c>
      <c r="F407" s="36">
        <v>15235.91</v>
      </c>
      <c r="G407" s="58">
        <v>0</v>
      </c>
      <c r="H407" s="35">
        <f t="shared" si="34"/>
        <v>15235.91</v>
      </c>
      <c r="I407" s="35">
        <f t="shared" si="31"/>
        <v>0</v>
      </c>
      <c r="J407" s="35">
        <f t="shared" si="32"/>
        <v>1155.9846527770342</v>
      </c>
      <c r="K407" s="45">
        <f t="shared" si="30"/>
        <v>21320492.770974997</v>
      </c>
    </row>
    <row r="408" spans="2:11">
      <c r="B408" s="43">
        <v>45351</v>
      </c>
      <c r="C408" s="32" t="s">
        <v>27</v>
      </c>
      <c r="D408" s="32" t="s">
        <v>132</v>
      </c>
      <c r="E408" s="36">
        <f t="shared" si="33"/>
        <v>21320492.770974997</v>
      </c>
      <c r="F408" s="36">
        <v>10997.92</v>
      </c>
      <c r="G408" s="58">
        <v>0</v>
      </c>
      <c r="H408" s="35">
        <f t="shared" si="34"/>
        <v>10997.92</v>
      </c>
      <c r="I408" s="35">
        <f t="shared" si="31"/>
        <v>0</v>
      </c>
      <c r="J408" s="35">
        <f t="shared" si="32"/>
        <v>1156.7485625788186</v>
      </c>
      <c r="K408" s="45">
        <f t="shared" si="30"/>
        <v>21330333.942412421</v>
      </c>
    </row>
    <row r="409" spans="2:11">
      <c r="B409" s="43">
        <v>45351</v>
      </c>
      <c r="C409" s="32" t="s">
        <v>25</v>
      </c>
      <c r="D409" s="32" t="s">
        <v>134</v>
      </c>
      <c r="E409" s="36">
        <f t="shared" si="33"/>
        <v>21330333.942412421</v>
      </c>
      <c r="F409" s="36">
        <v>0</v>
      </c>
      <c r="G409" s="58">
        <v>-9951</v>
      </c>
      <c r="H409" s="35">
        <f t="shared" si="34"/>
        <v>-9951</v>
      </c>
      <c r="I409" s="35">
        <f t="shared" si="31"/>
        <v>0</v>
      </c>
      <c r="J409" s="35">
        <f t="shared" si="32"/>
        <v>1157.2824977479827</v>
      </c>
      <c r="K409" s="45">
        <f t="shared" si="30"/>
        <v>21319225.659914672</v>
      </c>
    </row>
    <row r="410" spans="2:11">
      <c r="B410" s="43">
        <v>45351</v>
      </c>
      <c r="C410" s="32" t="s">
        <v>29</v>
      </c>
      <c r="D410" s="32" t="s">
        <v>134</v>
      </c>
      <c r="E410" s="36">
        <f t="shared" si="33"/>
        <v>21319225.659914672</v>
      </c>
      <c r="F410" s="36">
        <v>0</v>
      </c>
      <c r="G410" s="58">
        <v>-14663</v>
      </c>
      <c r="H410" s="35">
        <f t="shared" si="34"/>
        <v>-14663</v>
      </c>
      <c r="I410" s="35">
        <f t="shared" si="31"/>
        <v>0</v>
      </c>
      <c r="J410" s="35">
        <f t="shared" si="32"/>
        <v>1156.6798151575745</v>
      </c>
      <c r="K410" s="45">
        <f t="shared" si="30"/>
        <v>21303405.980099514</v>
      </c>
    </row>
    <row r="411" spans="2:11">
      <c r="B411" s="43">
        <v>45351</v>
      </c>
      <c r="C411" s="32" t="s">
        <v>25</v>
      </c>
      <c r="D411" s="32" t="s">
        <v>134</v>
      </c>
      <c r="E411" s="36">
        <f t="shared" si="33"/>
        <v>21303405.980099514</v>
      </c>
      <c r="F411" s="36">
        <v>0</v>
      </c>
      <c r="G411" s="58">
        <v>-4159</v>
      </c>
      <c r="H411" s="35">
        <f t="shared" si="34"/>
        <v>-4159</v>
      </c>
      <c r="I411" s="35">
        <f t="shared" si="31"/>
        <v>0</v>
      </c>
      <c r="J411" s="35">
        <f t="shared" si="32"/>
        <v>1155.8215145505849</v>
      </c>
      <c r="K411" s="45">
        <f t="shared" si="30"/>
        <v>21298091.158584964</v>
      </c>
    </row>
    <row r="412" spans="2:11">
      <c r="B412" s="43">
        <v>45352</v>
      </c>
      <c r="C412" s="32" t="s">
        <v>25</v>
      </c>
      <c r="D412" s="32" t="s">
        <v>132</v>
      </c>
      <c r="E412" s="36">
        <f t="shared" si="33"/>
        <v>21298091.158584964</v>
      </c>
      <c r="F412" s="36">
        <v>15519.54</v>
      </c>
      <c r="G412" s="58">
        <v>0</v>
      </c>
      <c r="H412" s="35">
        <f t="shared" si="34"/>
        <v>15519.54</v>
      </c>
      <c r="I412" s="35">
        <f t="shared" si="31"/>
        <v>0</v>
      </c>
      <c r="J412" s="35">
        <f t="shared" si="32"/>
        <v>2311.0663152124844</v>
      </c>
      <c r="K412" s="45">
        <f t="shared" si="30"/>
        <v>21311299.632269751</v>
      </c>
    </row>
    <row r="413" spans="2:11">
      <c r="B413" s="43">
        <v>45352</v>
      </c>
      <c r="C413" s="32" t="s">
        <v>27</v>
      </c>
      <c r="D413" s="32" t="s">
        <v>132</v>
      </c>
      <c r="E413" s="36">
        <f t="shared" si="33"/>
        <v>21311299.632269751</v>
      </c>
      <c r="F413" s="36">
        <v>15245.62</v>
      </c>
      <c r="G413" s="58">
        <v>0</v>
      </c>
      <c r="H413" s="35">
        <f t="shared" si="34"/>
        <v>15245.62</v>
      </c>
      <c r="I413" s="35">
        <f t="shared" si="31"/>
        <v>0</v>
      </c>
      <c r="J413" s="35">
        <f t="shared" si="32"/>
        <v>1156.2497865844214</v>
      </c>
      <c r="K413" s="45">
        <f t="shared" si="30"/>
        <v>21325389.002483167</v>
      </c>
    </row>
    <row r="414" spans="2:11">
      <c r="B414" s="43">
        <v>45352</v>
      </c>
      <c r="C414" s="32" t="s">
        <v>27</v>
      </c>
      <c r="D414" s="32" t="s">
        <v>132</v>
      </c>
      <c r="E414" s="36">
        <f t="shared" si="33"/>
        <v>21325389.002483167</v>
      </c>
      <c r="F414" s="36">
        <v>16823.689999999999</v>
      </c>
      <c r="G414" s="58">
        <v>0</v>
      </c>
      <c r="H414" s="35">
        <f t="shared" si="34"/>
        <v>16823.689999999999</v>
      </c>
      <c r="I414" s="35">
        <f t="shared" si="31"/>
        <v>0</v>
      </c>
      <c r="J414" s="35">
        <f t="shared" si="32"/>
        <v>1157.0142088197365</v>
      </c>
      <c r="K414" s="45">
        <f t="shared" si="30"/>
        <v>21341055.678274348</v>
      </c>
    </row>
    <row r="415" spans="2:11">
      <c r="B415" s="43">
        <v>45352</v>
      </c>
      <c r="C415" s="32" t="s">
        <v>27</v>
      </c>
      <c r="D415" s="32" t="s">
        <v>132</v>
      </c>
      <c r="E415" s="36">
        <f t="shared" si="33"/>
        <v>21341055.678274348</v>
      </c>
      <c r="F415" s="36">
        <v>16370.26</v>
      </c>
      <c r="G415" s="58">
        <v>0</v>
      </c>
      <c r="H415" s="35">
        <f t="shared" si="34"/>
        <v>16370.26</v>
      </c>
      <c r="I415" s="35">
        <f t="shared" si="31"/>
        <v>0</v>
      </c>
      <c r="J415" s="35">
        <f t="shared" si="32"/>
        <v>1157.8642081558921</v>
      </c>
      <c r="K415" s="45">
        <f t="shared" si="30"/>
        <v>21356268.074066196</v>
      </c>
    </row>
    <row r="416" spans="2:11">
      <c r="B416" s="43">
        <v>45352</v>
      </c>
      <c r="C416" s="32" t="s">
        <v>29</v>
      </c>
      <c r="D416" s="32" t="s">
        <v>134</v>
      </c>
      <c r="E416" s="36">
        <f t="shared" si="33"/>
        <v>21356268.074066196</v>
      </c>
      <c r="F416" s="36">
        <v>0</v>
      </c>
      <c r="G416" s="58">
        <v>-7399.78</v>
      </c>
      <c r="H416" s="35">
        <f t="shared" si="34"/>
        <v>-7399.78</v>
      </c>
      <c r="I416" s="35">
        <f t="shared" si="31"/>
        <v>0</v>
      </c>
      <c r="J416" s="35">
        <f t="shared" si="32"/>
        <v>1158.6895604193048</v>
      </c>
      <c r="K416" s="45">
        <f t="shared" si="30"/>
        <v>21347709.604505774</v>
      </c>
    </row>
    <row r="417" spans="2:11">
      <c r="B417" s="43">
        <v>45352</v>
      </c>
      <c r="C417" s="32" t="s">
        <v>25</v>
      </c>
      <c r="D417" s="32" t="s">
        <v>134</v>
      </c>
      <c r="E417" s="36">
        <f t="shared" si="33"/>
        <v>21347709.604505774</v>
      </c>
      <c r="F417" s="36">
        <v>0</v>
      </c>
      <c r="G417" s="58">
        <v>-4628</v>
      </c>
      <c r="H417" s="35">
        <f t="shared" si="34"/>
        <v>-4628</v>
      </c>
      <c r="I417" s="35">
        <f t="shared" si="31"/>
        <v>0</v>
      </c>
      <c r="J417" s="35">
        <f t="shared" si="32"/>
        <v>1158.2252185549662</v>
      </c>
      <c r="K417" s="45">
        <f t="shared" si="30"/>
        <v>21341923.379287217</v>
      </c>
    </row>
    <row r="418" spans="2:11">
      <c r="B418" s="43">
        <v>45352</v>
      </c>
      <c r="C418" s="32" t="s">
        <v>29</v>
      </c>
      <c r="D418" s="32" t="s">
        <v>134</v>
      </c>
      <c r="E418" s="36">
        <f t="shared" si="33"/>
        <v>21341923.379287217</v>
      </c>
      <c r="F418" s="36">
        <v>0</v>
      </c>
      <c r="G418" s="58">
        <v>-6747</v>
      </c>
      <c r="H418" s="35">
        <f t="shared" si="34"/>
        <v>-6747</v>
      </c>
      <c r="I418" s="35">
        <f t="shared" si="31"/>
        <v>0</v>
      </c>
      <c r="J418" s="35">
        <f t="shared" si="32"/>
        <v>1157.9112854870853</v>
      </c>
      <c r="K418" s="45">
        <f t="shared" si="30"/>
        <v>21334018.468001731</v>
      </c>
    </row>
    <row r="419" spans="2:11">
      <c r="B419" s="43">
        <v>45352</v>
      </c>
      <c r="C419" s="32" t="s">
        <v>25</v>
      </c>
      <c r="D419" s="32" t="s">
        <v>134</v>
      </c>
      <c r="E419" s="36">
        <f t="shared" si="33"/>
        <v>21334018.468001731</v>
      </c>
      <c r="F419" s="36">
        <v>0</v>
      </c>
      <c r="G419" s="58">
        <v>-4074</v>
      </c>
      <c r="H419" s="35">
        <f t="shared" si="34"/>
        <v>-4074</v>
      </c>
      <c r="I419" s="35">
        <f t="shared" si="31"/>
        <v>0</v>
      </c>
      <c r="J419" s="35">
        <f t="shared" si="32"/>
        <v>1157.4824025871906</v>
      </c>
      <c r="K419" s="45">
        <f t="shared" si="30"/>
        <v>21328786.985599145</v>
      </c>
    </row>
    <row r="420" spans="2:11">
      <c r="B420" s="43">
        <v>45352</v>
      </c>
      <c r="C420" s="32" t="s">
        <v>29</v>
      </c>
      <c r="D420" s="32" t="s">
        <v>134</v>
      </c>
      <c r="E420" s="36">
        <f t="shared" si="33"/>
        <v>21328786.985599145</v>
      </c>
      <c r="F420" s="36">
        <v>0</v>
      </c>
      <c r="G420" s="58">
        <v>-16075</v>
      </c>
      <c r="H420" s="35">
        <f t="shared" si="34"/>
        <v>-16075</v>
      </c>
      <c r="I420" s="35">
        <f t="shared" si="31"/>
        <v>0</v>
      </c>
      <c r="J420" s="35">
        <f t="shared" si="32"/>
        <v>1157.1985672268004</v>
      </c>
      <c r="K420" s="45">
        <f t="shared" si="30"/>
        <v>21311554.787031919</v>
      </c>
    </row>
    <row r="421" spans="2:11">
      <c r="B421" s="43">
        <v>45353</v>
      </c>
      <c r="C421" s="32" t="s">
        <v>27</v>
      </c>
      <c r="D421" s="32" t="s">
        <v>132</v>
      </c>
      <c r="E421" s="36">
        <f t="shared" si="33"/>
        <v>21311554.787031919</v>
      </c>
      <c r="F421" s="36">
        <v>16954.169999999998</v>
      </c>
      <c r="G421" s="58">
        <v>0</v>
      </c>
      <c r="H421" s="35">
        <f t="shared" si="34"/>
        <v>16954.169999999998</v>
      </c>
      <c r="I421" s="35">
        <f t="shared" si="31"/>
        <v>0</v>
      </c>
      <c r="J421" s="35">
        <f t="shared" si="32"/>
        <v>2312.5272601372017</v>
      </c>
      <c r="K421" s="45">
        <f t="shared" si="30"/>
        <v>21326196.429771785</v>
      </c>
    </row>
    <row r="422" spans="2:11">
      <c r="B422" s="43">
        <v>45353</v>
      </c>
      <c r="C422" s="32" t="s">
        <v>29</v>
      </c>
      <c r="D422" s="32" t="s">
        <v>132</v>
      </c>
      <c r="E422" s="36">
        <f t="shared" si="33"/>
        <v>21326196.429771785</v>
      </c>
      <c r="F422" s="36">
        <v>8628.31</v>
      </c>
      <c r="G422" s="58">
        <v>0</v>
      </c>
      <c r="H422" s="35">
        <f t="shared" si="34"/>
        <v>8628.31</v>
      </c>
      <c r="I422" s="35">
        <f t="shared" si="31"/>
        <v>0</v>
      </c>
      <c r="J422" s="35">
        <f t="shared" si="32"/>
        <v>1157.0580159852429</v>
      </c>
      <c r="K422" s="45">
        <f t="shared" si="30"/>
        <v>21333667.6817558</v>
      </c>
    </row>
    <row r="423" spans="2:11">
      <c r="B423" s="43">
        <v>45353</v>
      </c>
      <c r="C423" s="32" t="s">
        <v>25</v>
      </c>
      <c r="D423" s="32" t="s">
        <v>132</v>
      </c>
      <c r="E423" s="36">
        <f t="shared" si="33"/>
        <v>21333667.6817558</v>
      </c>
      <c r="F423" s="36">
        <v>20383.669999999998</v>
      </c>
      <c r="G423" s="58">
        <v>0</v>
      </c>
      <c r="H423" s="35">
        <f t="shared" si="34"/>
        <v>20383.669999999998</v>
      </c>
      <c r="I423" s="35">
        <f t="shared" si="31"/>
        <v>0</v>
      </c>
      <c r="J423" s="35">
        <f t="shared" si="32"/>
        <v>1157.4633705934129</v>
      </c>
      <c r="K423" s="45">
        <f t="shared" si="30"/>
        <v>21352893.888385206</v>
      </c>
    </row>
    <row r="424" spans="2:11">
      <c r="B424" s="43">
        <v>45353</v>
      </c>
      <c r="C424" s="32" t="s">
        <v>29</v>
      </c>
      <c r="D424" s="32" t="s">
        <v>132</v>
      </c>
      <c r="E424" s="36">
        <f t="shared" si="33"/>
        <v>21352893.888385206</v>
      </c>
      <c r="F424" s="36">
        <v>15086.23</v>
      </c>
      <c r="G424" s="58">
        <v>0</v>
      </c>
      <c r="H424" s="35">
        <f t="shared" si="34"/>
        <v>15086.23</v>
      </c>
      <c r="I424" s="35">
        <f t="shared" si="31"/>
        <v>0</v>
      </c>
      <c r="J424" s="35">
        <f t="shared" si="32"/>
        <v>1158.5064931479108</v>
      </c>
      <c r="K424" s="45">
        <f t="shared" si="30"/>
        <v>21366821.611892059</v>
      </c>
    </row>
    <row r="425" spans="2:11">
      <c r="B425" s="43">
        <v>45353</v>
      </c>
      <c r="C425" s="32" t="s">
        <v>27</v>
      </c>
      <c r="D425" s="32" t="s">
        <v>132</v>
      </c>
      <c r="E425" s="36">
        <f t="shared" si="33"/>
        <v>21366821.611892059</v>
      </c>
      <c r="F425" s="36">
        <v>10423.030000000001</v>
      </c>
      <c r="G425" s="58">
        <v>0</v>
      </c>
      <c r="H425" s="35">
        <f t="shared" si="34"/>
        <v>10423.030000000001</v>
      </c>
      <c r="I425" s="35">
        <f t="shared" si="31"/>
        <v>0</v>
      </c>
      <c r="J425" s="35">
        <f t="shared" si="32"/>
        <v>1159.2621452015294</v>
      </c>
      <c r="K425" s="45">
        <f t="shared" si="30"/>
        <v>21376085.379746858</v>
      </c>
    </row>
    <row r="426" spans="2:11">
      <c r="B426" s="43">
        <v>45353</v>
      </c>
      <c r="C426" s="32" t="s">
        <v>25</v>
      </c>
      <c r="D426" s="32" t="s">
        <v>134</v>
      </c>
      <c r="E426" s="36">
        <f t="shared" si="33"/>
        <v>21376085.379746858</v>
      </c>
      <c r="F426" s="36">
        <v>0</v>
      </c>
      <c r="G426" s="58">
        <v>-18166</v>
      </c>
      <c r="H426" s="35">
        <f t="shared" si="34"/>
        <v>-18166</v>
      </c>
      <c r="I426" s="35">
        <f t="shared" si="31"/>
        <v>0</v>
      </c>
      <c r="J426" s="35">
        <f t="shared" si="32"/>
        <v>1159.764753197752</v>
      </c>
      <c r="K426" s="45">
        <f t="shared" si="30"/>
        <v>21356759.614993662</v>
      </c>
    </row>
    <row r="427" spans="2:11">
      <c r="B427" s="43">
        <v>45353</v>
      </c>
      <c r="C427" s="32" t="s">
        <v>29</v>
      </c>
      <c r="D427" s="32" t="s">
        <v>134</v>
      </c>
      <c r="E427" s="36">
        <f t="shared" si="33"/>
        <v>21356759.614993662</v>
      </c>
      <c r="F427" s="36">
        <v>0</v>
      </c>
      <c r="G427" s="58">
        <v>-19531</v>
      </c>
      <c r="H427" s="35">
        <f t="shared" si="34"/>
        <v>-19531</v>
      </c>
      <c r="I427" s="35">
        <f t="shared" si="31"/>
        <v>0</v>
      </c>
      <c r="J427" s="35">
        <f t="shared" si="32"/>
        <v>1158.7162290928388</v>
      </c>
      <c r="K427" s="45">
        <f t="shared" si="30"/>
        <v>21336069.898764569</v>
      </c>
    </row>
    <row r="428" spans="2:11">
      <c r="B428" s="43">
        <v>45353</v>
      </c>
      <c r="C428" s="32" t="s">
        <v>29</v>
      </c>
      <c r="D428" s="32" t="s">
        <v>134</v>
      </c>
      <c r="E428" s="36">
        <f t="shared" si="33"/>
        <v>21336069.898764569</v>
      </c>
      <c r="F428" s="36">
        <v>0</v>
      </c>
      <c r="G428" s="58">
        <v>-3423</v>
      </c>
      <c r="H428" s="35">
        <f t="shared" si="34"/>
        <v>-3423</v>
      </c>
      <c r="I428" s="35">
        <f t="shared" si="31"/>
        <v>0</v>
      </c>
      <c r="J428" s="35">
        <f t="shared" si="32"/>
        <v>1157.5937034661915</v>
      </c>
      <c r="K428" s="45">
        <f t="shared" si="30"/>
        <v>21331489.305061102</v>
      </c>
    </row>
    <row r="429" spans="2:11">
      <c r="B429" s="43">
        <v>45353</v>
      </c>
      <c r="C429" s="32" t="s">
        <v>27</v>
      </c>
      <c r="D429" s="32" t="s">
        <v>134</v>
      </c>
      <c r="E429" s="36">
        <f t="shared" si="33"/>
        <v>21331489.305061102</v>
      </c>
      <c r="F429" s="36">
        <v>0</v>
      </c>
      <c r="G429" s="58">
        <v>-17992</v>
      </c>
      <c r="H429" s="35">
        <f t="shared" si="34"/>
        <v>-17992</v>
      </c>
      <c r="I429" s="35">
        <f t="shared" si="31"/>
        <v>0</v>
      </c>
      <c r="J429" s="35">
        <f t="shared" si="32"/>
        <v>1157.3451822317547</v>
      </c>
      <c r="K429" s="45">
        <f t="shared" si="30"/>
        <v>21312339.959878869</v>
      </c>
    </row>
    <row r="430" spans="2:11">
      <c r="B430" s="43">
        <v>45354</v>
      </c>
      <c r="C430" s="32" t="s">
        <v>27</v>
      </c>
      <c r="D430" s="32" t="s">
        <v>132</v>
      </c>
      <c r="E430" s="36">
        <f t="shared" si="33"/>
        <v>21312339.959878869</v>
      </c>
      <c r="F430" s="36">
        <v>13408.5</v>
      </c>
      <c r="G430" s="58">
        <v>0</v>
      </c>
      <c r="H430" s="35">
        <f t="shared" si="34"/>
        <v>13408.5</v>
      </c>
      <c r="I430" s="35">
        <f t="shared" si="31"/>
        <v>0</v>
      </c>
      <c r="J430" s="35">
        <f t="shared" si="32"/>
        <v>2312.6124596278364</v>
      </c>
      <c r="K430" s="45">
        <f t="shared" si="30"/>
        <v>21323435.847419243</v>
      </c>
    </row>
    <row r="431" spans="2:11">
      <c r="B431" s="43">
        <v>45354</v>
      </c>
      <c r="C431" s="32" t="s">
        <v>27</v>
      </c>
      <c r="D431" s="32" t="s">
        <v>132</v>
      </c>
      <c r="E431" s="36">
        <f t="shared" si="33"/>
        <v>21323435.847419243</v>
      </c>
      <c r="F431" s="36">
        <v>15316.13</v>
      </c>
      <c r="G431" s="58">
        <v>0</v>
      </c>
      <c r="H431" s="35">
        <f t="shared" si="34"/>
        <v>15316.13</v>
      </c>
      <c r="I431" s="35">
        <f t="shared" si="31"/>
        <v>0</v>
      </c>
      <c r="J431" s="35">
        <f t="shared" si="32"/>
        <v>1156.9082399128752</v>
      </c>
      <c r="K431" s="45">
        <f t="shared" si="30"/>
        <v>21337595.06917933</v>
      </c>
    </row>
    <row r="432" spans="2:11">
      <c r="B432" s="43">
        <v>45354</v>
      </c>
      <c r="C432" s="32" t="s">
        <v>29</v>
      </c>
      <c r="D432" s="32" t="s">
        <v>134</v>
      </c>
      <c r="E432" s="36">
        <f t="shared" si="33"/>
        <v>21337595.06917933</v>
      </c>
      <c r="F432" s="36">
        <v>0</v>
      </c>
      <c r="G432" s="58">
        <v>-10119.219999999999</v>
      </c>
      <c r="H432" s="35">
        <f t="shared" si="34"/>
        <v>-10119.219999999999</v>
      </c>
      <c r="I432" s="35">
        <f t="shared" si="31"/>
        <v>0</v>
      </c>
      <c r="J432" s="35">
        <f t="shared" si="32"/>
        <v>1157.6764519609808</v>
      </c>
      <c r="K432" s="45">
        <f t="shared" si="30"/>
        <v>21326318.172727369</v>
      </c>
    </row>
    <row r="433" spans="2:11">
      <c r="B433" s="43">
        <v>45354</v>
      </c>
      <c r="C433" s="32" t="s">
        <v>25</v>
      </c>
      <c r="D433" s="32" t="s">
        <v>134</v>
      </c>
      <c r="E433" s="36">
        <f t="shared" si="33"/>
        <v>21326318.172727369</v>
      </c>
      <c r="F433" s="36">
        <v>0</v>
      </c>
      <c r="G433" s="58">
        <v>-9929.89</v>
      </c>
      <c r="H433" s="35">
        <f t="shared" si="34"/>
        <v>-9929.89</v>
      </c>
      <c r="I433" s="35">
        <f t="shared" si="31"/>
        <v>0</v>
      </c>
      <c r="J433" s="35">
        <f t="shared" si="32"/>
        <v>1157.0646211791466</v>
      </c>
      <c r="K433" s="45">
        <f t="shared" si="30"/>
        <v>21315231.218106188</v>
      </c>
    </row>
    <row r="434" spans="2:11">
      <c r="B434" s="43">
        <v>45354</v>
      </c>
      <c r="C434" s="32" t="s">
        <v>25</v>
      </c>
      <c r="D434" s="32" t="s">
        <v>134</v>
      </c>
      <c r="E434" s="36">
        <f t="shared" si="33"/>
        <v>21315231.218106188</v>
      </c>
      <c r="F434" s="36">
        <v>0</v>
      </c>
      <c r="G434" s="58">
        <v>-8454.07</v>
      </c>
      <c r="H434" s="35">
        <f t="shared" si="34"/>
        <v>-8454.07</v>
      </c>
      <c r="I434" s="35">
        <f t="shared" si="31"/>
        <v>0</v>
      </c>
      <c r="J434" s="35">
        <f t="shared" si="32"/>
        <v>1156.4630957379106</v>
      </c>
      <c r="K434" s="45">
        <f t="shared" si="30"/>
        <v>21305620.685010448</v>
      </c>
    </row>
    <row r="435" spans="2:11">
      <c r="B435" s="43">
        <v>45354</v>
      </c>
      <c r="C435" s="32" t="s">
        <v>27</v>
      </c>
      <c r="D435" s="32" t="s">
        <v>134</v>
      </c>
      <c r="E435" s="36">
        <f t="shared" si="33"/>
        <v>21305620.685010448</v>
      </c>
      <c r="F435" s="36">
        <v>0</v>
      </c>
      <c r="G435" s="58">
        <v>-2145.94</v>
      </c>
      <c r="H435" s="35">
        <f t="shared" si="34"/>
        <v>-2145.94</v>
      </c>
      <c r="I435" s="35">
        <f t="shared" si="31"/>
        <v>0</v>
      </c>
      <c r="J435" s="35">
        <f t="shared" si="32"/>
        <v>1155.9416739085218</v>
      </c>
      <c r="K435" s="45">
        <f t="shared" si="30"/>
        <v>21302318.803336538</v>
      </c>
    </row>
    <row r="436" spans="2:11">
      <c r="B436" s="43">
        <v>45354</v>
      </c>
      <c r="C436" s="32" t="s">
        <v>27</v>
      </c>
      <c r="D436" s="32" t="s">
        <v>134</v>
      </c>
      <c r="E436" s="36">
        <f t="shared" si="33"/>
        <v>21302318.803336538</v>
      </c>
      <c r="F436" s="36">
        <v>0</v>
      </c>
      <c r="G436" s="58">
        <v>-13490</v>
      </c>
      <c r="H436" s="35">
        <f t="shared" si="34"/>
        <v>-13490</v>
      </c>
      <c r="I436" s="35">
        <f t="shared" si="31"/>
        <v>0</v>
      </c>
      <c r="J436" s="35">
        <f t="shared" si="32"/>
        <v>1155.7625295087591</v>
      </c>
      <c r="K436" s="45">
        <f t="shared" si="30"/>
        <v>21287673.040807031</v>
      </c>
    </row>
    <row r="437" spans="2:11">
      <c r="B437" s="43">
        <v>45354</v>
      </c>
      <c r="C437" s="32" t="s">
        <v>27</v>
      </c>
      <c r="D437" s="32" t="s">
        <v>134</v>
      </c>
      <c r="E437" s="36">
        <f t="shared" si="33"/>
        <v>21287673.040807031</v>
      </c>
      <c r="F437" s="36">
        <v>0</v>
      </c>
      <c r="G437" s="58">
        <v>-11771</v>
      </c>
      <c r="H437" s="35">
        <f t="shared" si="34"/>
        <v>-11771</v>
      </c>
      <c r="I437" s="35">
        <f t="shared" si="31"/>
        <v>0</v>
      </c>
      <c r="J437" s="35">
        <f t="shared" si="32"/>
        <v>1154.9679200719202</v>
      </c>
      <c r="K437" s="45">
        <f t="shared" si="30"/>
        <v>21274747.072886959</v>
      </c>
    </row>
    <row r="438" spans="2:11">
      <c r="B438" s="43">
        <v>45355</v>
      </c>
      <c r="C438" s="32" t="s">
        <v>27</v>
      </c>
      <c r="D438" s="32" t="s">
        <v>132</v>
      </c>
      <c r="E438" s="36">
        <f t="shared" si="33"/>
        <v>21274747.072886959</v>
      </c>
      <c r="F438" s="36">
        <v>17134.84</v>
      </c>
      <c r="G438" s="58">
        <v>0</v>
      </c>
      <c r="H438" s="35">
        <f t="shared" si="34"/>
        <v>17134.84</v>
      </c>
      <c r="I438" s="35">
        <f t="shared" si="31"/>
        <v>0</v>
      </c>
      <c r="J438" s="35">
        <f t="shared" si="32"/>
        <v>2308.5332370265387</v>
      </c>
      <c r="K438" s="45">
        <f t="shared" si="30"/>
        <v>21289573.379649933</v>
      </c>
    </row>
    <row r="439" spans="2:11">
      <c r="B439" s="43">
        <v>45355</v>
      </c>
      <c r="C439" s="32" t="s">
        <v>25</v>
      </c>
      <c r="D439" s="32" t="s">
        <v>132</v>
      </c>
      <c r="E439" s="36">
        <f t="shared" si="33"/>
        <v>21289573.379649933</v>
      </c>
      <c r="F439" s="36">
        <v>12277.31</v>
      </c>
      <c r="G439" s="58">
        <v>0</v>
      </c>
      <c r="H439" s="35">
        <f t="shared" si="34"/>
        <v>12277.31</v>
      </c>
      <c r="I439" s="35">
        <f t="shared" si="31"/>
        <v>0</v>
      </c>
      <c r="J439" s="35">
        <f t="shared" si="32"/>
        <v>1155.0710234217606</v>
      </c>
      <c r="K439" s="45">
        <f t="shared" si="30"/>
        <v>21300695.618626509</v>
      </c>
    </row>
    <row r="440" spans="2:11">
      <c r="B440" s="43">
        <v>45355</v>
      </c>
      <c r="C440" s="32" t="s">
        <v>29</v>
      </c>
      <c r="D440" s="32" t="s">
        <v>132</v>
      </c>
      <c r="E440" s="36">
        <f t="shared" si="33"/>
        <v>21300695.618626509</v>
      </c>
      <c r="F440" s="36">
        <v>12450.47</v>
      </c>
      <c r="G440" s="58">
        <v>0</v>
      </c>
      <c r="H440" s="35">
        <f t="shared" si="34"/>
        <v>12450.47</v>
      </c>
      <c r="I440" s="35">
        <f t="shared" si="31"/>
        <v>0</v>
      </c>
      <c r="J440" s="35">
        <f t="shared" si="32"/>
        <v>1155.6744632243494</v>
      </c>
      <c r="K440" s="45">
        <f t="shared" si="30"/>
        <v>21311990.414163284</v>
      </c>
    </row>
    <row r="441" spans="2:11">
      <c r="B441" s="43">
        <v>45355</v>
      </c>
      <c r="C441" s="32" t="s">
        <v>27</v>
      </c>
      <c r="D441" s="32" t="s">
        <v>132</v>
      </c>
      <c r="E441" s="36">
        <f t="shared" si="33"/>
        <v>21311990.414163284</v>
      </c>
      <c r="F441" s="36">
        <v>15177.66</v>
      </c>
      <c r="G441" s="58">
        <v>0</v>
      </c>
      <c r="H441" s="35">
        <f t="shared" si="34"/>
        <v>15177.66</v>
      </c>
      <c r="I441" s="35">
        <f t="shared" si="31"/>
        <v>0</v>
      </c>
      <c r="J441" s="35">
        <f t="shared" si="32"/>
        <v>1156.2872651254186</v>
      </c>
      <c r="K441" s="45">
        <f t="shared" si="30"/>
        <v>21326011.786898158</v>
      </c>
    </row>
    <row r="442" spans="2:11">
      <c r="B442" s="43">
        <v>45355</v>
      </c>
      <c r="C442" s="32" t="s">
        <v>25</v>
      </c>
      <c r="D442" s="32" t="s">
        <v>132</v>
      </c>
      <c r="E442" s="36">
        <f t="shared" si="33"/>
        <v>21326011.786898158</v>
      </c>
      <c r="F442" s="36">
        <v>13119.1</v>
      </c>
      <c r="G442" s="58">
        <v>0</v>
      </c>
      <c r="H442" s="35">
        <f t="shared" si="34"/>
        <v>13119.1</v>
      </c>
      <c r="I442" s="35">
        <f t="shared" si="31"/>
        <v>0</v>
      </c>
      <c r="J442" s="35">
        <f t="shared" si="32"/>
        <v>1157.0479981408641</v>
      </c>
      <c r="K442" s="45">
        <f t="shared" si="30"/>
        <v>21337973.838900018</v>
      </c>
    </row>
    <row r="443" spans="2:11">
      <c r="B443" s="43">
        <v>45355</v>
      </c>
      <c r="C443" s="32" t="s">
        <v>25</v>
      </c>
      <c r="D443" s="32" t="s">
        <v>134</v>
      </c>
      <c r="E443" s="36">
        <f t="shared" si="33"/>
        <v>21337973.838900018</v>
      </c>
      <c r="F443" s="36">
        <v>0</v>
      </c>
      <c r="G443" s="58">
        <v>-10476.620000000001</v>
      </c>
      <c r="H443" s="35">
        <f t="shared" si="34"/>
        <v>-10476.620000000001</v>
      </c>
      <c r="I443" s="35">
        <f t="shared" si="31"/>
        <v>0</v>
      </c>
      <c r="J443" s="35">
        <f t="shared" si="32"/>
        <v>1157.6970022050423</v>
      </c>
      <c r="K443" s="45">
        <f t="shared" si="30"/>
        <v>21326339.521897811</v>
      </c>
    </row>
    <row r="444" spans="2:11">
      <c r="B444" s="43">
        <v>45356</v>
      </c>
      <c r="C444" s="32" t="s">
        <v>25</v>
      </c>
      <c r="D444" s="32" t="s">
        <v>134</v>
      </c>
      <c r="E444" s="36">
        <f t="shared" si="33"/>
        <v>21326339.521897811</v>
      </c>
      <c r="F444" s="36">
        <v>0</v>
      </c>
      <c r="G444" s="58">
        <v>-21032</v>
      </c>
      <c r="H444" s="35">
        <f t="shared" si="34"/>
        <v>-21032</v>
      </c>
      <c r="I444" s="35">
        <f t="shared" si="31"/>
        <v>0</v>
      </c>
      <c r="J444" s="35">
        <f t="shared" si="32"/>
        <v>2314.1315589672467</v>
      </c>
      <c r="K444" s="45">
        <f t="shared" si="30"/>
        <v>21302993.390338846</v>
      </c>
    </row>
    <row r="445" spans="2:11">
      <c r="B445" s="43">
        <v>45357</v>
      </c>
      <c r="C445" s="32" t="s">
        <v>25</v>
      </c>
      <c r="D445" s="32" t="s">
        <v>132</v>
      </c>
      <c r="E445" s="36">
        <f t="shared" si="33"/>
        <v>21302993.390338846</v>
      </c>
      <c r="F445" s="36">
        <v>18869.259999999998</v>
      </c>
      <c r="G445" s="58">
        <v>0</v>
      </c>
      <c r="H445" s="35">
        <f t="shared" si="34"/>
        <v>18869.259999999998</v>
      </c>
      <c r="I445" s="35">
        <f t="shared" si="31"/>
        <v>0</v>
      </c>
      <c r="J445" s="35">
        <f t="shared" si="32"/>
        <v>2311.5982587839248</v>
      </c>
      <c r="K445" s="45">
        <f t="shared" si="30"/>
        <v>21319551.052080065</v>
      </c>
    </row>
    <row r="446" spans="2:11">
      <c r="B446" s="43">
        <v>45357</v>
      </c>
      <c r="C446" s="32" t="s">
        <v>29</v>
      </c>
      <c r="D446" s="32" t="s">
        <v>134</v>
      </c>
      <c r="E446" s="36">
        <f t="shared" si="33"/>
        <v>21319551.052080065</v>
      </c>
      <c r="F446" s="36">
        <v>0</v>
      </c>
      <c r="G446" s="58">
        <v>-11262.95</v>
      </c>
      <c r="H446" s="35">
        <f t="shared" si="34"/>
        <v>-11262.95</v>
      </c>
      <c r="I446" s="35">
        <f t="shared" si="31"/>
        <v>0</v>
      </c>
      <c r="J446" s="35">
        <f t="shared" si="32"/>
        <v>1156.6974693892864</v>
      </c>
      <c r="K446" s="45">
        <f t="shared" si="30"/>
        <v>21307131.404610675</v>
      </c>
    </row>
    <row r="447" spans="2:11">
      <c r="B447" s="43">
        <v>45357</v>
      </c>
      <c r="C447" s="32" t="s">
        <v>25</v>
      </c>
      <c r="D447" s="32" t="s">
        <v>134</v>
      </c>
      <c r="E447" s="36">
        <f t="shared" si="33"/>
        <v>21307131.404610675</v>
      </c>
      <c r="F447" s="36">
        <v>0</v>
      </c>
      <c r="G447" s="58">
        <v>-17625</v>
      </c>
      <c r="H447" s="35">
        <f t="shared" si="34"/>
        <v>-17625</v>
      </c>
      <c r="I447" s="35">
        <f t="shared" si="31"/>
        <v>0</v>
      </c>
      <c r="J447" s="35">
        <f t="shared" si="32"/>
        <v>1156.0236383708254</v>
      </c>
      <c r="K447" s="45">
        <f t="shared" si="30"/>
        <v>21288350.380972303</v>
      </c>
    </row>
    <row r="448" spans="2:11">
      <c r="B448" s="43">
        <v>45357</v>
      </c>
      <c r="C448" s="32" t="s">
        <v>27</v>
      </c>
      <c r="D448" s="32" t="s">
        <v>134</v>
      </c>
      <c r="E448" s="36">
        <f t="shared" si="33"/>
        <v>21288350.380972303</v>
      </c>
      <c r="F448" s="36">
        <v>0</v>
      </c>
      <c r="G448" s="58">
        <v>-5700</v>
      </c>
      <c r="H448" s="35">
        <f t="shared" si="34"/>
        <v>-5700</v>
      </c>
      <c r="I448" s="35">
        <f t="shared" si="31"/>
        <v>0</v>
      </c>
      <c r="J448" s="35">
        <f t="shared" si="32"/>
        <v>1155.0046693286549</v>
      </c>
      <c r="K448" s="45">
        <f t="shared" si="30"/>
        <v>21281495.376302976</v>
      </c>
    </row>
    <row r="449" spans="2:11">
      <c r="B449" s="43">
        <v>45357</v>
      </c>
      <c r="C449" s="32" t="s">
        <v>29</v>
      </c>
      <c r="D449" s="32" t="s">
        <v>134</v>
      </c>
      <c r="E449" s="36">
        <f t="shared" si="33"/>
        <v>21281495.376302976</v>
      </c>
      <c r="F449" s="36">
        <v>0</v>
      </c>
      <c r="G449" s="58">
        <v>-9995</v>
      </c>
      <c r="H449" s="35">
        <f t="shared" si="34"/>
        <v>-9995</v>
      </c>
      <c r="I449" s="35">
        <f t="shared" si="31"/>
        <v>0</v>
      </c>
      <c r="J449" s="35">
        <f t="shared" si="32"/>
        <v>1154.6327493696326</v>
      </c>
      <c r="K449" s="45">
        <f t="shared" si="30"/>
        <v>21270345.743553605</v>
      </c>
    </row>
    <row r="450" spans="2:11">
      <c r="B450" s="43">
        <v>45358</v>
      </c>
      <c r="C450" s="32" t="s">
        <v>29</v>
      </c>
      <c r="D450" s="32" t="s">
        <v>134</v>
      </c>
      <c r="E450" s="36">
        <f t="shared" si="33"/>
        <v>21270345.743553605</v>
      </c>
      <c r="F450" s="36">
        <v>0</v>
      </c>
      <c r="G450" s="58">
        <v>-7003.86</v>
      </c>
      <c r="H450" s="35">
        <f t="shared" si="34"/>
        <v>-7003.86</v>
      </c>
      <c r="I450" s="35">
        <f t="shared" si="31"/>
        <v>0</v>
      </c>
      <c r="J450" s="35">
        <f t="shared" si="32"/>
        <v>2308.0556466223693</v>
      </c>
      <c r="K450" s="45">
        <f t="shared" si="30"/>
        <v>21261033.827906985</v>
      </c>
    </row>
    <row r="451" spans="2:11">
      <c r="B451" s="43">
        <v>45358</v>
      </c>
      <c r="C451" s="32" t="s">
        <v>29</v>
      </c>
      <c r="D451" s="32" t="s">
        <v>134</v>
      </c>
      <c r="E451" s="36">
        <f t="shared" si="33"/>
        <v>21261033.827906985</v>
      </c>
      <c r="F451" s="36">
        <v>0</v>
      </c>
      <c r="G451" s="58">
        <v>-15897</v>
      </c>
      <c r="H451" s="35">
        <f t="shared" si="34"/>
        <v>-15897</v>
      </c>
      <c r="I451" s="35">
        <f t="shared" si="31"/>
        <v>0</v>
      </c>
      <c r="J451" s="35">
        <f t="shared" si="32"/>
        <v>1153.5226030447118</v>
      </c>
      <c r="K451" s="45">
        <f t="shared" si="30"/>
        <v>21243983.305303939</v>
      </c>
    </row>
    <row r="452" spans="2:11">
      <c r="B452" s="43">
        <v>45358</v>
      </c>
      <c r="C452" s="32" t="s">
        <v>27</v>
      </c>
      <c r="D452" s="32" t="s">
        <v>134</v>
      </c>
      <c r="E452" s="36">
        <f t="shared" si="33"/>
        <v>21243983.305303939</v>
      </c>
      <c r="F452" s="36">
        <v>0</v>
      </c>
      <c r="G452" s="58">
        <v>-11331</v>
      </c>
      <c r="H452" s="35">
        <f t="shared" si="34"/>
        <v>-11331</v>
      </c>
      <c r="I452" s="35">
        <f t="shared" si="31"/>
        <v>0</v>
      </c>
      <c r="J452" s="35">
        <f t="shared" si="32"/>
        <v>1152.5975227604915</v>
      </c>
      <c r="K452" s="45">
        <f t="shared" si="30"/>
        <v>21231499.707781177</v>
      </c>
    </row>
    <row r="453" spans="2:11">
      <c r="B453" s="43">
        <v>45358</v>
      </c>
      <c r="C453" s="32" t="s">
        <v>29</v>
      </c>
      <c r="D453" s="32" t="s">
        <v>134</v>
      </c>
      <c r="E453" s="36">
        <f t="shared" si="33"/>
        <v>21231499.707781177</v>
      </c>
      <c r="F453" s="36">
        <v>0</v>
      </c>
      <c r="G453" s="58">
        <v>-9223</v>
      </c>
      <c r="H453" s="35">
        <f t="shared" si="34"/>
        <v>-9223</v>
      </c>
      <c r="I453" s="35">
        <f t="shared" si="31"/>
        <v>0</v>
      </c>
      <c r="J453" s="35">
        <f t="shared" si="32"/>
        <v>1151.9202221162059</v>
      </c>
      <c r="K453" s="45">
        <f t="shared" si="30"/>
        <v>21221124.787559062</v>
      </c>
    </row>
    <row r="454" spans="2:11">
      <c r="B454" s="43">
        <v>45358</v>
      </c>
      <c r="C454" s="32" t="s">
        <v>25</v>
      </c>
      <c r="D454" s="32" t="s">
        <v>134</v>
      </c>
      <c r="E454" s="36">
        <f t="shared" si="33"/>
        <v>21221124.787559062</v>
      </c>
      <c r="F454" s="36">
        <v>0</v>
      </c>
      <c r="G454" s="58">
        <v>-17725</v>
      </c>
      <c r="H454" s="35">
        <f t="shared" si="34"/>
        <v>-17725</v>
      </c>
      <c r="I454" s="35">
        <f t="shared" si="31"/>
        <v>0</v>
      </c>
      <c r="J454" s="35">
        <f t="shared" si="32"/>
        <v>1151.3573282758657</v>
      </c>
      <c r="K454" s="45">
        <f t="shared" si="30"/>
        <v>21202248.430230785</v>
      </c>
    </row>
    <row r="455" spans="2:11">
      <c r="B455" s="43">
        <v>45359</v>
      </c>
      <c r="C455" s="32" t="s">
        <v>27</v>
      </c>
      <c r="D455" s="32" t="s">
        <v>132</v>
      </c>
      <c r="E455" s="36">
        <f t="shared" si="33"/>
        <v>21202248.430230785</v>
      </c>
      <c r="F455" s="36">
        <v>12241.73</v>
      </c>
      <c r="G455" s="58">
        <v>0</v>
      </c>
      <c r="H455" s="35">
        <f t="shared" si="34"/>
        <v>12241.73</v>
      </c>
      <c r="I455" s="35">
        <f t="shared" si="31"/>
        <v>0</v>
      </c>
      <c r="J455" s="35">
        <f t="shared" si="32"/>
        <v>2300.6663737619515</v>
      </c>
      <c r="K455" s="45">
        <f t="shared" si="30"/>
        <v>21212189.493857022</v>
      </c>
    </row>
    <row r="456" spans="2:11">
      <c r="B456" s="43">
        <v>45359</v>
      </c>
      <c r="C456" s="32" t="s">
        <v>29</v>
      </c>
      <c r="D456" s="32" t="s">
        <v>132</v>
      </c>
      <c r="E456" s="36">
        <f t="shared" si="33"/>
        <v>21212189.493857022</v>
      </c>
      <c r="F456" s="36">
        <v>16568.509999999998</v>
      </c>
      <c r="G456" s="58">
        <v>0</v>
      </c>
      <c r="H456" s="35">
        <f t="shared" si="34"/>
        <v>16568.509999999998</v>
      </c>
      <c r="I456" s="35">
        <f t="shared" si="31"/>
        <v>0</v>
      </c>
      <c r="J456" s="35">
        <f t="shared" si="32"/>
        <v>1150.8725417253349</v>
      </c>
      <c r="K456" s="45">
        <f t="shared" ref="K456:K519" si="35">E456+H456+I456-J456</f>
        <v>21227607.131315298</v>
      </c>
    </row>
    <row r="457" spans="2:11">
      <c r="B457" s="43">
        <v>45359</v>
      </c>
      <c r="C457" s="32" t="s">
        <v>25</v>
      </c>
      <c r="D457" s="32" t="s">
        <v>132</v>
      </c>
      <c r="E457" s="36">
        <f t="shared" si="33"/>
        <v>21227607.131315298</v>
      </c>
      <c r="F457" s="36">
        <v>13551.77</v>
      </c>
      <c r="G457" s="58">
        <v>0</v>
      </c>
      <c r="H457" s="35">
        <f t="shared" si="34"/>
        <v>13551.77</v>
      </c>
      <c r="I457" s="35">
        <f t="shared" si="31"/>
        <v>0</v>
      </c>
      <c r="J457" s="35">
        <f t="shared" si="32"/>
        <v>1151.7090294256805</v>
      </c>
      <c r="K457" s="45">
        <f t="shared" si="35"/>
        <v>21240007.192285873</v>
      </c>
    </row>
    <row r="458" spans="2:11">
      <c r="B458" s="43">
        <v>45359</v>
      </c>
      <c r="C458" s="32" t="s">
        <v>25</v>
      </c>
      <c r="D458" s="32" t="s">
        <v>134</v>
      </c>
      <c r="E458" s="36">
        <f t="shared" si="33"/>
        <v>21240007.192285873</v>
      </c>
      <c r="F458" s="36">
        <v>0</v>
      </c>
      <c r="G458" s="58">
        <v>-7589</v>
      </c>
      <c r="H458" s="35">
        <f t="shared" si="34"/>
        <v>-7589</v>
      </c>
      <c r="I458" s="35">
        <f t="shared" si="31"/>
        <v>0</v>
      </c>
      <c r="J458" s="35">
        <f t="shared" si="32"/>
        <v>1152.3817977738458</v>
      </c>
      <c r="K458" s="45">
        <f t="shared" si="35"/>
        <v>21231265.810488097</v>
      </c>
    </row>
    <row r="459" spans="2:11">
      <c r="B459" s="43">
        <v>45359</v>
      </c>
      <c r="C459" s="32" t="s">
        <v>29</v>
      </c>
      <c r="D459" s="32" t="s">
        <v>134</v>
      </c>
      <c r="E459" s="36">
        <f t="shared" si="33"/>
        <v>21231265.810488097</v>
      </c>
      <c r="F459" s="36">
        <v>0</v>
      </c>
      <c r="G459" s="58">
        <v>-3303</v>
      </c>
      <c r="H459" s="35">
        <f t="shared" si="34"/>
        <v>-3303</v>
      </c>
      <c r="I459" s="35">
        <f t="shared" si="31"/>
        <v>0</v>
      </c>
      <c r="J459" s="35">
        <f t="shared" si="32"/>
        <v>1151.9075319612236</v>
      </c>
      <c r="K459" s="45">
        <f t="shared" si="35"/>
        <v>21226810.902956136</v>
      </c>
    </row>
    <row r="460" spans="2:11">
      <c r="B460" s="43">
        <v>45359</v>
      </c>
      <c r="C460" s="32" t="s">
        <v>29</v>
      </c>
      <c r="D460" s="32" t="s">
        <v>134</v>
      </c>
      <c r="E460" s="36">
        <f t="shared" si="33"/>
        <v>21226810.902956136</v>
      </c>
      <c r="F460" s="36">
        <v>0</v>
      </c>
      <c r="G460" s="58">
        <v>-17279</v>
      </c>
      <c r="H460" s="35">
        <f t="shared" si="34"/>
        <v>-17279</v>
      </c>
      <c r="I460" s="35">
        <f t="shared" si="31"/>
        <v>0</v>
      </c>
      <c r="J460" s="35">
        <f t="shared" si="32"/>
        <v>1151.6658298608372</v>
      </c>
      <c r="K460" s="45">
        <f t="shared" si="35"/>
        <v>21208380.237126276</v>
      </c>
    </row>
    <row r="461" spans="2:11">
      <c r="B461" s="43">
        <v>45359</v>
      </c>
      <c r="C461" s="32" t="s">
        <v>25</v>
      </c>
      <c r="D461" s="32" t="s">
        <v>134</v>
      </c>
      <c r="E461" s="36">
        <f t="shared" si="33"/>
        <v>21208380.237126276</v>
      </c>
      <c r="F461" s="36">
        <v>0</v>
      </c>
      <c r="G461" s="58">
        <v>-10546</v>
      </c>
      <c r="H461" s="35">
        <f t="shared" si="34"/>
        <v>-10546</v>
      </c>
      <c r="I461" s="35">
        <f t="shared" si="31"/>
        <v>0</v>
      </c>
      <c r="J461" s="35">
        <f t="shared" si="32"/>
        <v>1150.6658695674671</v>
      </c>
      <c r="K461" s="45">
        <f t="shared" si="35"/>
        <v>21196683.571256708</v>
      </c>
    </row>
    <row r="462" spans="2:11">
      <c r="B462" s="43">
        <v>45359</v>
      </c>
      <c r="C462" s="32" t="s">
        <v>29</v>
      </c>
      <c r="D462" s="32" t="s">
        <v>134</v>
      </c>
      <c r="E462" s="36">
        <f t="shared" si="33"/>
        <v>21196683.571256708</v>
      </c>
      <c r="F462" s="36">
        <v>0</v>
      </c>
      <c r="G462" s="58">
        <v>-17139</v>
      </c>
      <c r="H462" s="35">
        <f t="shared" si="34"/>
        <v>-17139</v>
      </c>
      <c r="I462" s="35">
        <f t="shared" si="31"/>
        <v>0</v>
      </c>
      <c r="J462" s="35">
        <f t="shared" si="32"/>
        <v>1150.0312640929631</v>
      </c>
      <c r="K462" s="45">
        <f t="shared" si="35"/>
        <v>21178394.539992616</v>
      </c>
    </row>
    <row r="463" spans="2:11">
      <c r="B463" s="43">
        <v>45359</v>
      </c>
      <c r="C463" s="32" t="s">
        <v>29</v>
      </c>
      <c r="D463" s="32" t="s">
        <v>134</v>
      </c>
      <c r="E463" s="36">
        <f t="shared" si="33"/>
        <v>21178394.539992616</v>
      </c>
      <c r="F463" s="36">
        <v>0</v>
      </c>
      <c r="G463" s="58">
        <v>-17158</v>
      </c>
      <c r="H463" s="35">
        <f t="shared" si="34"/>
        <v>-17158</v>
      </c>
      <c r="I463" s="35">
        <f t="shared" si="31"/>
        <v>0</v>
      </c>
      <c r="J463" s="35">
        <f t="shared" si="32"/>
        <v>1149.0389882176839</v>
      </c>
      <c r="K463" s="45">
        <f t="shared" si="35"/>
        <v>21160087.501004398</v>
      </c>
    </row>
    <row r="464" spans="2:11">
      <c r="B464" s="43">
        <v>45360</v>
      </c>
      <c r="C464" s="32" t="s">
        <v>29</v>
      </c>
      <c r="D464" s="32" t="s">
        <v>132</v>
      </c>
      <c r="E464" s="36">
        <f t="shared" si="33"/>
        <v>21160087.501004398</v>
      </c>
      <c r="F464" s="36">
        <v>16614.89</v>
      </c>
      <c r="G464" s="58">
        <v>0</v>
      </c>
      <c r="H464" s="35">
        <f t="shared" si="34"/>
        <v>16614.89</v>
      </c>
      <c r="I464" s="35">
        <f t="shared" si="31"/>
        <v>0</v>
      </c>
      <c r="J464" s="35">
        <f t="shared" si="32"/>
        <v>2296.0914706578351</v>
      </c>
      <c r="K464" s="45">
        <f t="shared" si="35"/>
        <v>21174406.29953374</v>
      </c>
    </row>
    <row r="465" spans="2:11">
      <c r="B465" s="43">
        <v>45360</v>
      </c>
      <c r="C465" s="32" t="s">
        <v>27</v>
      </c>
      <c r="D465" s="32" t="s">
        <v>134</v>
      </c>
      <c r="E465" s="36">
        <f t="shared" si="33"/>
        <v>21174406.29953374</v>
      </c>
      <c r="F465" s="36">
        <v>0</v>
      </c>
      <c r="G465" s="58">
        <v>-7319.26</v>
      </c>
      <c r="H465" s="35">
        <f t="shared" si="34"/>
        <v>-7319.26</v>
      </c>
      <c r="I465" s="35">
        <f t="shared" si="31"/>
        <v>0</v>
      </c>
      <c r="J465" s="35">
        <f t="shared" si="32"/>
        <v>1148.8226052537639</v>
      </c>
      <c r="K465" s="45">
        <f t="shared" si="35"/>
        <v>21165938.216928486</v>
      </c>
    </row>
    <row r="466" spans="2:11">
      <c r="B466" s="43">
        <v>45360</v>
      </c>
      <c r="C466" s="32" t="s">
        <v>29</v>
      </c>
      <c r="D466" s="32" t="s">
        <v>134</v>
      </c>
      <c r="E466" s="36">
        <f t="shared" si="33"/>
        <v>21165938.216928486</v>
      </c>
      <c r="F466" s="36">
        <v>0</v>
      </c>
      <c r="G466" s="58">
        <v>-4963.47</v>
      </c>
      <c r="H466" s="35">
        <f t="shared" si="34"/>
        <v>-4963.47</v>
      </c>
      <c r="I466" s="35">
        <f t="shared" si="31"/>
        <v>0</v>
      </c>
      <c r="J466" s="35">
        <f t="shared" si="32"/>
        <v>1148.3631673558386</v>
      </c>
      <c r="K466" s="45">
        <f t="shared" si="35"/>
        <v>21159826.38376113</v>
      </c>
    </row>
    <row r="467" spans="2:11">
      <c r="B467" s="43">
        <v>45360</v>
      </c>
      <c r="C467" s="32" t="s">
        <v>29</v>
      </c>
      <c r="D467" s="32" t="s">
        <v>134</v>
      </c>
      <c r="E467" s="36">
        <f t="shared" si="33"/>
        <v>21159826.38376113</v>
      </c>
      <c r="F467" s="36">
        <v>0</v>
      </c>
      <c r="G467" s="58">
        <v>-19537</v>
      </c>
      <c r="H467" s="35">
        <f t="shared" si="34"/>
        <v>-19537</v>
      </c>
      <c r="I467" s="35">
        <f t="shared" si="31"/>
        <v>0</v>
      </c>
      <c r="J467" s="35">
        <f t="shared" si="32"/>
        <v>1148.0315683488641</v>
      </c>
      <c r="K467" s="45">
        <f t="shared" si="35"/>
        <v>21139141.352192782</v>
      </c>
    </row>
    <row r="468" spans="2:11">
      <c r="B468" s="43">
        <v>45361</v>
      </c>
      <c r="C468" s="32" t="s">
        <v>29</v>
      </c>
      <c r="D468" s="32" t="s">
        <v>132</v>
      </c>
      <c r="E468" s="36">
        <f t="shared" si="33"/>
        <v>21139141.352192782</v>
      </c>
      <c r="F468" s="36">
        <v>13971.94</v>
      </c>
      <c r="G468" s="58">
        <v>0</v>
      </c>
      <c r="H468" s="35">
        <f t="shared" si="34"/>
        <v>13971.94</v>
      </c>
      <c r="I468" s="35">
        <f t="shared" ref="I468:I531" si="36">(($E468*Daily_Interest)*(_xlfn.DAYS(B468,B467)+1))+((IF(DAY($B467)&gt;Monthly_Cut_off_Date,0,Daily_Interest*H468))*(_xlfn.DAYS(B468,B467)+1))</f>
        <v>0</v>
      </c>
      <c r="J468" s="35">
        <f t="shared" ref="J468:J531" si="37">(($I468+E468)*Daily_Fees_Rate)*((_xlfn.DAYS(B468,B467)+1))</f>
        <v>2293.8185937792682</v>
      </c>
      <c r="K468" s="45">
        <f t="shared" si="35"/>
        <v>21150819.473599005</v>
      </c>
    </row>
    <row r="469" spans="2:11">
      <c r="B469" s="43">
        <v>45361</v>
      </c>
      <c r="C469" s="32" t="s">
        <v>29</v>
      </c>
      <c r="D469" s="32" t="s">
        <v>132</v>
      </c>
      <c r="E469" s="36">
        <f t="shared" ref="E469:E532" si="38">K468</f>
        <v>21150819.473599005</v>
      </c>
      <c r="F469" s="36">
        <v>11327.11</v>
      </c>
      <c r="G469" s="58">
        <v>0</v>
      </c>
      <c r="H469" s="35">
        <f t="shared" ref="H469:H532" si="39">SUM(F469:G469)</f>
        <v>11327.11</v>
      </c>
      <c r="I469" s="35">
        <f t="shared" si="36"/>
        <v>0</v>
      </c>
      <c r="J469" s="35">
        <f t="shared" si="37"/>
        <v>1147.5428962297328</v>
      </c>
      <c r="K469" s="45">
        <f t="shared" si="35"/>
        <v>21160999.040702775</v>
      </c>
    </row>
    <row r="470" spans="2:11">
      <c r="B470" s="43">
        <v>45361</v>
      </c>
      <c r="C470" s="32" t="s">
        <v>29</v>
      </c>
      <c r="D470" s="32" t="s">
        <v>132</v>
      </c>
      <c r="E470" s="36">
        <f t="shared" si="38"/>
        <v>21160999.040702775</v>
      </c>
      <c r="F470" s="36">
        <v>16333.81</v>
      </c>
      <c r="G470" s="58">
        <v>0</v>
      </c>
      <c r="H470" s="35">
        <f t="shared" si="39"/>
        <v>16333.81</v>
      </c>
      <c r="I470" s="35">
        <f t="shared" si="36"/>
        <v>0</v>
      </c>
      <c r="J470" s="35">
        <f t="shared" si="37"/>
        <v>1148.0951911387413</v>
      </c>
      <c r="K470" s="45">
        <f t="shared" si="35"/>
        <v>21176184.755511634</v>
      </c>
    </row>
    <row r="471" spans="2:11">
      <c r="B471" s="43">
        <v>45361</v>
      </c>
      <c r="C471" s="32" t="s">
        <v>27</v>
      </c>
      <c r="D471" s="32" t="s">
        <v>134</v>
      </c>
      <c r="E471" s="36">
        <f t="shared" si="38"/>
        <v>21176184.755511634</v>
      </c>
      <c r="F471" s="36">
        <v>0</v>
      </c>
      <c r="G471" s="58">
        <v>-8997.5300000000007</v>
      </c>
      <c r="H471" s="35">
        <f t="shared" si="39"/>
        <v>-8997.5300000000007</v>
      </c>
      <c r="I471" s="35">
        <f t="shared" si="36"/>
        <v>0</v>
      </c>
      <c r="J471" s="35">
        <f t="shared" si="37"/>
        <v>1148.9190958188806</v>
      </c>
      <c r="K471" s="45">
        <f t="shared" si="35"/>
        <v>21166038.306415815</v>
      </c>
    </row>
    <row r="472" spans="2:11">
      <c r="B472" s="43">
        <v>45361</v>
      </c>
      <c r="C472" s="32" t="s">
        <v>29</v>
      </c>
      <c r="D472" s="32" t="s">
        <v>134</v>
      </c>
      <c r="E472" s="36">
        <f t="shared" si="38"/>
        <v>21166038.306415815</v>
      </c>
      <c r="F472" s="36">
        <v>0</v>
      </c>
      <c r="G472" s="58">
        <v>-8768.2000000000007</v>
      </c>
      <c r="H472" s="35">
        <f t="shared" si="39"/>
        <v>-8768.2000000000007</v>
      </c>
      <c r="I472" s="35">
        <f t="shared" si="36"/>
        <v>0</v>
      </c>
      <c r="J472" s="35">
        <f t="shared" si="37"/>
        <v>1148.3685977355133</v>
      </c>
      <c r="K472" s="45">
        <f t="shared" si="35"/>
        <v>21156121.737818081</v>
      </c>
    </row>
    <row r="473" spans="2:11">
      <c r="B473" s="43">
        <v>45361</v>
      </c>
      <c r="C473" s="32" t="s">
        <v>25</v>
      </c>
      <c r="D473" s="32" t="s">
        <v>134</v>
      </c>
      <c r="E473" s="36">
        <f t="shared" si="38"/>
        <v>21156121.737818081</v>
      </c>
      <c r="F473" s="36">
        <v>0</v>
      </c>
      <c r="G473" s="58">
        <v>-7769.52</v>
      </c>
      <c r="H473" s="35">
        <f t="shared" si="39"/>
        <v>-7769.52</v>
      </c>
      <c r="I473" s="35">
        <f t="shared" si="36"/>
        <v>0</v>
      </c>
      <c r="J473" s="35">
        <f t="shared" si="37"/>
        <v>1147.8305718749309</v>
      </c>
      <c r="K473" s="45">
        <f t="shared" si="35"/>
        <v>21147204.387246206</v>
      </c>
    </row>
    <row r="474" spans="2:11">
      <c r="B474" s="43">
        <v>45361</v>
      </c>
      <c r="C474" s="32" t="s">
        <v>29</v>
      </c>
      <c r="D474" s="32" t="s">
        <v>134</v>
      </c>
      <c r="E474" s="36">
        <f t="shared" si="38"/>
        <v>21147204.387246206</v>
      </c>
      <c r="F474" s="36">
        <v>0</v>
      </c>
      <c r="G474" s="58">
        <v>-6714.46</v>
      </c>
      <c r="H474" s="35">
        <f t="shared" si="39"/>
        <v>-6714.46</v>
      </c>
      <c r="I474" s="35">
        <f t="shared" si="36"/>
        <v>0</v>
      </c>
      <c r="J474" s="35">
        <f t="shared" si="37"/>
        <v>1147.3467588333267</v>
      </c>
      <c r="K474" s="45">
        <f t="shared" si="35"/>
        <v>21139342.58048737</v>
      </c>
    </row>
    <row r="475" spans="2:11">
      <c r="B475" s="43">
        <v>45361</v>
      </c>
      <c r="C475" s="32" t="s">
        <v>27</v>
      </c>
      <c r="D475" s="32" t="s">
        <v>134</v>
      </c>
      <c r="E475" s="36">
        <f t="shared" si="38"/>
        <v>21139342.58048737</v>
      </c>
      <c r="F475" s="36">
        <v>0</v>
      </c>
      <c r="G475" s="58">
        <v>-1834</v>
      </c>
      <c r="H475" s="35">
        <f t="shared" si="39"/>
        <v>-1834</v>
      </c>
      <c r="I475" s="35">
        <f t="shared" si="36"/>
        <v>0</v>
      </c>
      <c r="J475" s="35">
        <f t="shared" si="37"/>
        <v>1146.9202145800937</v>
      </c>
      <c r="K475" s="45">
        <f t="shared" si="35"/>
        <v>21136361.660272792</v>
      </c>
    </row>
    <row r="476" spans="2:11">
      <c r="B476" s="43">
        <v>45361</v>
      </c>
      <c r="C476" s="32" t="s">
        <v>25</v>
      </c>
      <c r="D476" s="32" t="s">
        <v>134</v>
      </c>
      <c r="E476" s="36">
        <f t="shared" si="38"/>
        <v>21136361.660272792</v>
      </c>
      <c r="F476" s="36">
        <v>0</v>
      </c>
      <c r="G476" s="58">
        <v>-1727</v>
      </c>
      <c r="H476" s="35">
        <f t="shared" si="39"/>
        <v>-1727</v>
      </c>
      <c r="I476" s="35">
        <f t="shared" si="36"/>
        <v>0</v>
      </c>
      <c r="J476" s="35">
        <f t="shared" si="37"/>
        <v>1146.7584840229993</v>
      </c>
      <c r="K476" s="45">
        <f t="shared" si="35"/>
        <v>21133487.901788767</v>
      </c>
    </row>
    <row r="477" spans="2:11">
      <c r="B477" s="43">
        <v>45362</v>
      </c>
      <c r="C477" s="32" t="s">
        <v>29</v>
      </c>
      <c r="D477" s="32" t="s">
        <v>132</v>
      </c>
      <c r="E477" s="36">
        <f t="shared" si="38"/>
        <v>21133487.901788767</v>
      </c>
      <c r="F477" s="36">
        <v>14656.38</v>
      </c>
      <c r="G477" s="58">
        <v>0</v>
      </c>
      <c r="H477" s="35">
        <f t="shared" si="39"/>
        <v>14656.38</v>
      </c>
      <c r="I477" s="35">
        <f t="shared" si="36"/>
        <v>0</v>
      </c>
      <c r="J477" s="35">
        <f t="shared" si="37"/>
        <v>2293.2051351037394</v>
      </c>
      <c r="K477" s="45">
        <f t="shared" si="35"/>
        <v>21145851.076653663</v>
      </c>
    </row>
    <row r="478" spans="2:11">
      <c r="B478" s="43">
        <v>45362</v>
      </c>
      <c r="C478" s="32" t="s">
        <v>29</v>
      </c>
      <c r="D478" s="32" t="s">
        <v>132</v>
      </c>
      <c r="E478" s="36">
        <f t="shared" si="38"/>
        <v>21145851.076653663</v>
      </c>
      <c r="F478" s="36">
        <v>10944.95</v>
      </c>
      <c r="G478" s="58">
        <v>0</v>
      </c>
      <c r="H478" s="35">
        <f t="shared" si="39"/>
        <v>10944.95</v>
      </c>
      <c r="I478" s="35">
        <f t="shared" si="36"/>
        <v>0</v>
      </c>
      <c r="J478" s="35">
        <f t="shared" si="37"/>
        <v>1147.273334635328</v>
      </c>
      <c r="K478" s="45">
        <f t="shared" si="35"/>
        <v>21155648.753319029</v>
      </c>
    </row>
    <row r="479" spans="2:11">
      <c r="B479" s="43">
        <v>45362</v>
      </c>
      <c r="C479" s="32" t="s">
        <v>29</v>
      </c>
      <c r="D479" s="32" t="s">
        <v>134</v>
      </c>
      <c r="E479" s="36">
        <f t="shared" si="38"/>
        <v>21155648.753319029</v>
      </c>
      <c r="F479" s="36">
        <v>0</v>
      </c>
      <c r="G479" s="58">
        <v>-20333</v>
      </c>
      <c r="H479" s="35">
        <f t="shared" si="39"/>
        <v>-20333</v>
      </c>
      <c r="I479" s="35">
        <f t="shared" si="36"/>
        <v>0</v>
      </c>
      <c r="J479" s="35">
        <f t="shared" si="37"/>
        <v>1147.80490998497</v>
      </c>
      <c r="K479" s="45">
        <f t="shared" si="35"/>
        <v>21134167.948409043</v>
      </c>
    </row>
    <row r="480" spans="2:11">
      <c r="B480" s="43">
        <v>45363</v>
      </c>
      <c r="C480" s="32" t="s">
        <v>25</v>
      </c>
      <c r="D480" s="32" t="s">
        <v>132</v>
      </c>
      <c r="E480" s="36">
        <f t="shared" si="38"/>
        <v>21134167.948409043</v>
      </c>
      <c r="F480" s="36">
        <v>12876.99</v>
      </c>
      <c r="G480" s="58">
        <v>0</v>
      </c>
      <c r="H480" s="35">
        <f t="shared" si="39"/>
        <v>12876.99</v>
      </c>
      <c r="I480" s="35">
        <f t="shared" si="36"/>
        <v>0</v>
      </c>
      <c r="J480" s="35">
        <f t="shared" si="37"/>
        <v>2293.2789272959685</v>
      </c>
      <c r="K480" s="45">
        <f t="shared" si="35"/>
        <v>21144751.659481745</v>
      </c>
    </row>
    <row r="481" spans="2:11">
      <c r="B481" s="43">
        <v>45363</v>
      </c>
      <c r="C481" s="32" t="s">
        <v>29</v>
      </c>
      <c r="D481" s="32" t="s">
        <v>132</v>
      </c>
      <c r="E481" s="36">
        <f t="shared" si="38"/>
        <v>21144751.659481745</v>
      </c>
      <c r="F481" s="36">
        <v>14887.1</v>
      </c>
      <c r="G481" s="58">
        <v>0</v>
      </c>
      <c r="H481" s="35">
        <f t="shared" si="39"/>
        <v>14887.1</v>
      </c>
      <c r="I481" s="35">
        <f t="shared" si="36"/>
        <v>0</v>
      </c>
      <c r="J481" s="35">
        <f t="shared" si="37"/>
        <v>1147.2136854871139</v>
      </c>
      <c r="K481" s="45">
        <f t="shared" si="35"/>
        <v>21158491.54579626</v>
      </c>
    </row>
    <row r="482" spans="2:11">
      <c r="B482" s="43">
        <v>45363</v>
      </c>
      <c r="C482" s="32" t="s">
        <v>25</v>
      </c>
      <c r="D482" s="32" t="s">
        <v>132</v>
      </c>
      <c r="E482" s="36">
        <f t="shared" si="38"/>
        <v>21158491.54579626</v>
      </c>
      <c r="F482" s="36">
        <v>13447.17</v>
      </c>
      <c r="G482" s="58">
        <v>0</v>
      </c>
      <c r="H482" s="35">
        <f t="shared" si="39"/>
        <v>13447.17</v>
      </c>
      <c r="I482" s="35">
        <f t="shared" si="36"/>
        <v>0</v>
      </c>
      <c r="J482" s="35">
        <f t="shared" si="37"/>
        <v>1147.9591463878089</v>
      </c>
      <c r="K482" s="45">
        <f t="shared" si="35"/>
        <v>21170790.756649874</v>
      </c>
    </row>
    <row r="483" spans="2:11">
      <c r="B483" s="43">
        <v>45363</v>
      </c>
      <c r="C483" s="32" t="s">
        <v>29</v>
      </c>
      <c r="D483" s="32" t="s">
        <v>132</v>
      </c>
      <c r="E483" s="36">
        <f t="shared" si="38"/>
        <v>21170790.756649874</v>
      </c>
      <c r="F483" s="36">
        <v>14702.47</v>
      </c>
      <c r="G483" s="58">
        <v>0</v>
      </c>
      <c r="H483" s="35">
        <f t="shared" si="39"/>
        <v>14702.47</v>
      </c>
      <c r="I483" s="35">
        <f t="shared" si="36"/>
        <v>0</v>
      </c>
      <c r="J483" s="35">
        <f t="shared" si="37"/>
        <v>1148.6264430881524</v>
      </c>
      <c r="K483" s="45">
        <f t="shared" si="35"/>
        <v>21184344.600206785</v>
      </c>
    </row>
    <row r="484" spans="2:11">
      <c r="B484" s="43">
        <v>45363</v>
      </c>
      <c r="C484" s="32" t="s">
        <v>29</v>
      </c>
      <c r="D484" s="32" t="s">
        <v>132</v>
      </c>
      <c r="E484" s="36">
        <f t="shared" si="38"/>
        <v>21184344.600206785</v>
      </c>
      <c r="F484" s="36">
        <v>13548.34</v>
      </c>
      <c r="G484" s="58">
        <v>0</v>
      </c>
      <c r="H484" s="35">
        <f t="shared" si="39"/>
        <v>13548.34</v>
      </c>
      <c r="I484" s="35">
        <f t="shared" si="36"/>
        <v>0</v>
      </c>
      <c r="J484" s="35">
        <f t="shared" si="37"/>
        <v>1149.3618101934203</v>
      </c>
      <c r="K484" s="45">
        <f t="shared" si="35"/>
        <v>21196743.578396592</v>
      </c>
    </row>
    <row r="485" spans="2:11">
      <c r="B485" s="43">
        <v>45363</v>
      </c>
      <c r="C485" s="32" t="s">
        <v>27</v>
      </c>
      <c r="D485" s="32" t="s">
        <v>134</v>
      </c>
      <c r="E485" s="36">
        <f t="shared" si="38"/>
        <v>21196743.578396592</v>
      </c>
      <c r="F485" s="36">
        <v>0</v>
      </c>
      <c r="G485" s="58">
        <v>-16488.62</v>
      </c>
      <c r="H485" s="35">
        <f t="shared" si="39"/>
        <v>-16488.62</v>
      </c>
      <c r="I485" s="35">
        <f t="shared" si="36"/>
        <v>0</v>
      </c>
      <c r="J485" s="35">
        <f t="shared" si="37"/>
        <v>1150.0345197950496</v>
      </c>
      <c r="K485" s="45">
        <f t="shared" si="35"/>
        <v>21179104.923876796</v>
      </c>
    </row>
    <row r="486" spans="2:11">
      <c r="B486" s="43">
        <v>45363</v>
      </c>
      <c r="C486" s="32" t="s">
        <v>27</v>
      </c>
      <c r="D486" s="32" t="s">
        <v>134</v>
      </c>
      <c r="E486" s="36">
        <f t="shared" si="38"/>
        <v>21179104.923876796</v>
      </c>
      <c r="F486" s="36">
        <v>0</v>
      </c>
      <c r="G486" s="58">
        <v>-1862</v>
      </c>
      <c r="H486" s="35">
        <f t="shared" si="39"/>
        <v>-1862</v>
      </c>
      <c r="I486" s="35">
        <f t="shared" si="36"/>
        <v>0</v>
      </c>
      <c r="J486" s="35">
        <f t="shared" si="37"/>
        <v>1149.0775302694899</v>
      </c>
      <c r="K486" s="45">
        <f t="shared" si="35"/>
        <v>21176093.846346527</v>
      </c>
    </row>
    <row r="487" spans="2:11">
      <c r="B487" s="43">
        <v>45363</v>
      </c>
      <c r="C487" s="32" t="s">
        <v>29</v>
      </c>
      <c r="D487" s="32" t="s">
        <v>134</v>
      </c>
      <c r="E487" s="36">
        <f t="shared" si="38"/>
        <v>21176093.846346527</v>
      </c>
      <c r="F487" s="36">
        <v>0</v>
      </c>
      <c r="G487" s="58">
        <v>-3686</v>
      </c>
      <c r="H487" s="35">
        <f t="shared" si="39"/>
        <v>-3686</v>
      </c>
      <c r="I487" s="35">
        <f t="shared" si="36"/>
        <v>0</v>
      </c>
      <c r="J487" s="35">
        <f t="shared" si="37"/>
        <v>1148.9141635198389</v>
      </c>
      <c r="K487" s="45">
        <f t="shared" si="35"/>
        <v>21171258.932183009</v>
      </c>
    </row>
    <row r="488" spans="2:11">
      <c r="B488" s="43">
        <v>45363</v>
      </c>
      <c r="C488" s="32" t="s">
        <v>27</v>
      </c>
      <c r="D488" s="32" t="s">
        <v>134</v>
      </c>
      <c r="E488" s="36">
        <f t="shared" si="38"/>
        <v>21171258.932183009</v>
      </c>
      <c r="F488" s="36">
        <v>0</v>
      </c>
      <c r="G488" s="58">
        <v>-20876</v>
      </c>
      <c r="H488" s="35">
        <f t="shared" si="39"/>
        <v>-20876</v>
      </c>
      <c r="I488" s="35">
        <f t="shared" si="36"/>
        <v>0</v>
      </c>
      <c r="J488" s="35">
        <f t="shared" si="37"/>
        <v>1148.6518440664886</v>
      </c>
      <c r="K488" s="45">
        <f t="shared" si="35"/>
        <v>21149234.280338943</v>
      </c>
    </row>
    <row r="489" spans="2:11">
      <c r="B489" s="43">
        <v>45363</v>
      </c>
      <c r="C489" s="32" t="s">
        <v>27</v>
      </c>
      <c r="D489" s="32" t="s">
        <v>134</v>
      </c>
      <c r="E489" s="36">
        <f t="shared" si="38"/>
        <v>21149234.280338943</v>
      </c>
      <c r="F489" s="36">
        <v>0</v>
      </c>
      <c r="G489" s="58">
        <v>-11192</v>
      </c>
      <c r="H489" s="35">
        <f t="shared" si="39"/>
        <v>-11192</v>
      </c>
      <c r="I489" s="35">
        <f t="shared" si="36"/>
        <v>0</v>
      </c>
      <c r="J489" s="35">
        <f t="shared" si="37"/>
        <v>1147.4568911807557</v>
      </c>
      <c r="K489" s="45">
        <f t="shared" si="35"/>
        <v>21136894.823447764</v>
      </c>
    </row>
    <row r="490" spans="2:11">
      <c r="B490" s="43">
        <v>45363</v>
      </c>
      <c r="C490" s="32" t="s">
        <v>29</v>
      </c>
      <c r="D490" s="32" t="s">
        <v>134</v>
      </c>
      <c r="E490" s="36">
        <f t="shared" si="38"/>
        <v>21136894.823447764</v>
      </c>
      <c r="F490" s="36">
        <v>0</v>
      </c>
      <c r="G490" s="58">
        <v>-11948</v>
      </c>
      <c r="H490" s="35">
        <f t="shared" si="39"/>
        <v>-11948</v>
      </c>
      <c r="I490" s="35">
        <f t="shared" si="36"/>
        <v>0</v>
      </c>
      <c r="J490" s="35">
        <f t="shared" si="37"/>
        <v>1146.7874109217767</v>
      </c>
      <c r="K490" s="45">
        <f t="shared" si="35"/>
        <v>21123800.036036842</v>
      </c>
    </row>
    <row r="491" spans="2:11">
      <c r="B491" s="43">
        <v>45364</v>
      </c>
      <c r="C491" s="32" t="s">
        <v>27</v>
      </c>
      <c r="D491" s="32" t="s">
        <v>132</v>
      </c>
      <c r="E491" s="36">
        <f t="shared" si="38"/>
        <v>21123800.036036842</v>
      </c>
      <c r="F491" s="36">
        <v>15589.56</v>
      </c>
      <c r="G491" s="58">
        <v>0</v>
      </c>
      <c r="H491" s="35">
        <f t="shared" si="39"/>
        <v>15589.56</v>
      </c>
      <c r="I491" s="35">
        <f t="shared" si="36"/>
        <v>0</v>
      </c>
      <c r="J491" s="35">
        <f t="shared" si="37"/>
        <v>2292.1539000405187</v>
      </c>
      <c r="K491" s="45">
        <f t="shared" si="35"/>
        <v>21137097.442136798</v>
      </c>
    </row>
    <row r="492" spans="2:11">
      <c r="B492" s="43">
        <v>45364</v>
      </c>
      <c r="C492" s="32" t="s">
        <v>25</v>
      </c>
      <c r="D492" s="32" t="s">
        <v>132</v>
      </c>
      <c r="E492" s="36">
        <f t="shared" si="38"/>
        <v>21137097.442136798</v>
      </c>
      <c r="F492" s="36">
        <v>14788.5</v>
      </c>
      <c r="G492" s="58">
        <v>0</v>
      </c>
      <c r="H492" s="35">
        <f t="shared" si="39"/>
        <v>14788.5</v>
      </c>
      <c r="I492" s="35">
        <f t="shared" si="36"/>
        <v>0</v>
      </c>
      <c r="J492" s="35">
        <f t="shared" si="37"/>
        <v>1146.7984040484275</v>
      </c>
      <c r="K492" s="45">
        <f t="shared" si="35"/>
        <v>21150739.143732749</v>
      </c>
    </row>
    <row r="493" spans="2:11">
      <c r="B493" s="43">
        <v>45364</v>
      </c>
      <c r="C493" s="32" t="s">
        <v>27</v>
      </c>
      <c r="D493" s="32" t="s">
        <v>134</v>
      </c>
      <c r="E493" s="36">
        <f t="shared" si="38"/>
        <v>21150739.143732749</v>
      </c>
      <c r="F493" s="36">
        <v>0</v>
      </c>
      <c r="G493" s="58">
        <v>-20563</v>
      </c>
      <c r="H493" s="35">
        <f t="shared" si="39"/>
        <v>-20563</v>
      </c>
      <c r="I493" s="35">
        <f t="shared" si="36"/>
        <v>0</v>
      </c>
      <c r="J493" s="35">
        <f t="shared" si="37"/>
        <v>1147.5385379131442</v>
      </c>
      <c r="K493" s="45">
        <f t="shared" si="35"/>
        <v>21129028.605194837</v>
      </c>
    </row>
    <row r="494" spans="2:11">
      <c r="B494" s="43">
        <v>45364</v>
      </c>
      <c r="C494" s="32" t="s">
        <v>27</v>
      </c>
      <c r="D494" s="32" t="s">
        <v>134</v>
      </c>
      <c r="E494" s="36">
        <f t="shared" si="38"/>
        <v>21129028.605194837</v>
      </c>
      <c r="F494" s="36">
        <v>0</v>
      </c>
      <c r="G494" s="58">
        <v>-20543</v>
      </c>
      <c r="H494" s="35">
        <f t="shared" si="39"/>
        <v>-20543</v>
      </c>
      <c r="I494" s="35">
        <f t="shared" si="36"/>
        <v>0</v>
      </c>
      <c r="J494" s="35">
        <f t="shared" si="37"/>
        <v>1146.36062732185</v>
      </c>
      <c r="K494" s="45">
        <f t="shared" si="35"/>
        <v>21107339.244567513</v>
      </c>
    </row>
    <row r="495" spans="2:11">
      <c r="B495" s="43">
        <v>45365</v>
      </c>
      <c r="C495" s="32" t="s">
        <v>25</v>
      </c>
      <c r="D495" s="32" t="s">
        <v>132</v>
      </c>
      <c r="E495" s="36">
        <f t="shared" si="38"/>
        <v>21107339.244567513</v>
      </c>
      <c r="F495" s="36">
        <v>6235.95</v>
      </c>
      <c r="G495" s="58">
        <v>0</v>
      </c>
      <c r="H495" s="35">
        <f t="shared" si="39"/>
        <v>6235.95</v>
      </c>
      <c r="I495" s="35">
        <f t="shared" si="36"/>
        <v>0</v>
      </c>
      <c r="J495" s="35">
        <f t="shared" si="37"/>
        <v>2290.3677314865745</v>
      </c>
      <c r="K495" s="45">
        <f t="shared" si="35"/>
        <v>21111284.826836027</v>
      </c>
    </row>
    <row r="496" spans="2:11">
      <c r="B496" s="43">
        <v>45365</v>
      </c>
      <c r="C496" s="32" t="s">
        <v>25</v>
      </c>
      <c r="D496" s="32" t="s">
        <v>134</v>
      </c>
      <c r="E496" s="36">
        <f t="shared" si="38"/>
        <v>21111284.826836027</v>
      </c>
      <c r="F496" s="36">
        <v>0</v>
      </c>
      <c r="G496" s="58">
        <v>-9210.5400000000009</v>
      </c>
      <c r="H496" s="35">
        <f t="shared" si="39"/>
        <v>-9210.5400000000009</v>
      </c>
      <c r="I496" s="35">
        <f t="shared" si="36"/>
        <v>0</v>
      </c>
      <c r="J496" s="35">
        <f t="shared" si="37"/>
        <v>1145.3979342766306</v>
      </c>
      <c r="K496" s="45">
        <f t="shared" si="35"/>
        <v>21100928.888901751</v>
      </c>
    </row>
    <row r="497" spans="2:11">
      <c r="B497" s="43">
        <v>45365</v>
      </c>
      <c r="C497" s="32" t="s">
        <v>25</v>
      </c>
      <c r="D497" s="32" t="s">
        <v>134</v>
      </c>
      <c r="E497" s="36">
        <f t="shared" si="38"/>
        <v>21100928.888901751</v>
      </c>
      <c r="F497" s="36">
        <v>0</v>
      </c>
      <c r="G497" s="58">
        <v>-7086</v>
      </c>
      <c r="H497" s="35">
        <f t="shared" si="39"/>
        <v>-7086</v>
      </c>
      <c r="I497" s="35">
        <f t="shared" si="36"/>
        <v>0</v>
      </c>
      <c r="J497" s="35">
        <f t="shared" si="37"/>
        <v>1144.8360703249709</v>
      </c>
      <c r="K497" s="45">
        <f t="shared" si="35"/>
        <v>21092698.052831426</v>
      </c>
    </row>
    <row r="498" spans="2:11">
      <c r="B498" s="43">
        <v>45365</v>
      </c>
      <c r="C498" s="32" t="s">
        <v>27</v>
      </c>
      <c r="D498" s="32" t="s">
        <v>134</v>
      </c>
      <c r="E498" s="36">
        <f t="shared" si="38"/>
        <v>21092698.052831426</v>
      </c>
      <c r="F498" s="36">
        <v>0</v>
      </c>
      <c r="G498" s="58">
        <v>-13687</v>
      </c>
      <c r="H498" s="35">
        <f t="shared" si="39"/>
        <v>-13687</v>
      </c>
      <c r="I498" s="35">
        <f t="shared" si="36"/>
        <v>0</v>
      </c>
      <c r="J498" s="35">
        <f t="shared" si="37"/>
        <v>1144.3895042959657</v>
      </c>
      <c r="K498" s="45">
        <f t="shared" si="35"/>
        <v>21077866.663327131</v>
      </c>
    </row>
    <row r="499" spans="2:11">
      <c r="B499" s="43">
        <v>45366</v>
      </c>
      <c r="C499" s="32" t="s">
        <v>25</v>
      </c>
      <c r="D499" s="32" t="s">
        <v>132</v>
      </c>
      <c r="E499" s="36">
        <f t="shared" si="38"/>
        <v>21077866.663327131</v>
      </c>
      <c r="F499" s="36">
        <v>14263.84</v>
      </c>
      <c r="G499" s="58">
        <v>0</v>
      </c>
      <c r="H499" s="35">
        <f t="shared" si="39"/>
        <v>14263.84</v>
      </c>
      <c r="I499" s="35">
        <f t="shared" si="36"/>
        <v>0</v>
      </c>
      <c r="J499" s="35">
        <f t="shared" si="37"/>
        <v>2287.1696472441959</v>
      </c>
      <c r="K499" s="45">
        <f t="shared" si="35"/>
        <v>21089843.333679888</v>
      </c>
    </row>
    <row r="500" spans="2:11">
      <c r="B500" s="43">
        <v>45366</v>
      </c>
      <c r="C500" s="32" t="s">
        <v>25</v>
      </c>
      <c r="D500" s="32" t="s">
        <v>132</v>
      </c>
      <c r="E500" s="36">
        <f t="shared" si="38"/>
        <v>21089843.333679888</v>
      </c>
      <c r="F500" s="36">
        <v>11571.09</v>
      </c>
      <c r="G500" s="58">
        <v>0</v>
      </c>
      <c r="H500" s="35">
        <f t="shared" si="39"/>
        <v>11571.09</v>
      </c>
      <c r="I500" s="35">
        <f t="shared" si="36"/>
        <v>0</v>
      </c>
      <c r="J500" s="35">
        <f t="shared" si="37"/>
        <v>1144.2346208084882</v>
      </c>
      <c r="K500" s="45">
        <f t="shared" si="35"/>
        <v>21100270.189059079</v>
      </c>
    </row>
    <row r="501" spans="2:11">
      <c r="B501" s="43">
        <v>45366</v>
      </c>
      <c r="C501" s="32" t="s">
        <v>29</v>
      </c>
      <c r="D501" s="32" t="s">
        <v>132</v>
      </c>
      <c r="E501" s="36">
        <f t="shared" si="38"/>
        <v>21100270.189059079</v>
      </c>
      <c r="F501" s="36">
        <v>12308.24</v>
      </c>
      <c r="G501" s="58">
        <v>0</v>
      </c>
      <c r="H501" s="35">
        <f t="shared" si="39"/>
        <v>12308.24</v>
      </c>
      <c r="I501" s="35">
        <f t="shared" si="36"/>
        <v>0</v>
      </c>
      <c r="J501" s="35">
        <f t="shared" si="37"/>
        <v>1144.8003324035089</v>
      </c>
      <c r="K501" s="45">
        <f t="shared" si="35"/>
        <v>21111433.628726672</v>
      </c>
    </row>
    <row r="502" spans="2:11">
      <c r="B502" s="43">
        <v>45366</v>
      </c>
      <c r="C502" s="32" t="s">
        <v>29</v>
      </c>
      <c r="D502" s="32" t="s">
        <v>132</v>
      </c>
      <c r="E502" s="36">
        <f t="shared" si="38"/>
        <v>21111433.628726672</v>
      </c>
      <c r="F502" s="36">
        <v>16936.13</v>
      </c>
      <c r="G502" s="58">
        <v>0</v>
      </c>
      <c r="H502" s="35">
        <f t="shared" si="39"/>
        <v>16936.13</v>
      </c>
      <c r="I502" s="35">
        <f t="shared" si="36"/>
        <v>0</v>
      </c>
      <c r="J502" s="35">
        <f t="shared" si="37"/>
        <v>1145.4060075596904</v>
      </c>
      <c r="K502" s="45">
        <f t="shared" si="35"/>
        <v>21127224.352719113</v>
      </c>
    </row>
    <row r="503" spans="2:11">
      <c r="B503" s="43">
        <v>45366</v>
      </c>
      <c r="C503" s="32" t="s">
        <v>25</v>
      </c>
      <c r="D503" s="32" t="s">
        <v>132</v>
      </c>
      <c r="E503" s="36">
        <f t="shared" si="38"/>
        <v>21127224.352719113</v>
      </c>
      <c r="F503" s="36">
        <v>14900.62</v>
      </c>
      <c r="G503" s="58">
        <v>0</v>
      </c>
      <c r="H503" s="35">
        <f t="shared" si="39"/>
        <v>14900.62</v>
      </c>
      <c r="I503" s="35">
        <f t="shared" si="36"/>
        <v>0</v>
      </c>
      <c r="J503" s="35">
        <f t="shared" si="37"/>
        <v>1146.2627371614187</v>
      </c>
      <c r="K503" s="45">
        <f t="shared" si="35"/>
        <v>21140978.709981952</v>
      </c>
    </row>
    <row r="504" spans="2:11">
      <c r="B504" s="43">
        <v>45366</v>
      </c>
      <c r="C504" s="32" t="s">
        <v>29</v>
      </c>
      <c r="D504" s="32" t="s">
        <v>132</v>
      </c>
      <c r="E504" s="36">
        <f t="shared" si="38"/>
        <v>21140978.709981952</v>
      </c>
      <c r="F504" s="36">
        <v>15139.31</v>
      </c>
      <c r="G504" s="58">
        <v>0</v>
      </c>
      <c r="H504" s="35">
        <f t="shared" si="39"/>
        <v>15139.31</v>
      </c>
      <c r="I504" s="35">
        <f t="shared" si="36"/>
        <v>0</v>
      </c>
      <c r="J504" s="35">
        <f t="shared" si="37"/>
        <v>1147.008983186963</v>
      </c>
      <c r="K504" s="45">
        <f t="shared" si="35"/>
        <v>21154971.010998763</v>
      </c>
    </row>
    <row r="505" spans="2:11">
      <c r="B505" s="43">
        <v>45366</v>
      </c>
      <c r="C505" s="32" t="s">
        <v>25</v>
      </c>
      <c r="D505" s="32" t="s">
        <v>134</v>
      </c>
      <c r="E505" s="36">
        <f t="shared" si="38"/>
        <v>21154971.010998763</v>
      </c>
      <c r="F505" s="36">
        <v>0</v>
      </c>
      <c r="G505" s="58">
        <v>-8384.48</v>
      </c>
      <c r="H505" s="35">
        <f t="shared" si="39"/>
        <v>-8384.48</v>
      </c>
      <c r="I505" s="35">
        <f t="shared" si="36"/>
        <v>0</v>
      </c>
      <c r="J505" s="35">
        <f t="shared" si="37"/>
        <v>1147.7681389092172</v>
      </c>
      <c r="K505" s="45">
        <f t="shared" si="35"/>
        <v>21145438.762859855</v>
      </c>
    </row>
    <row r="506" spans="2:11">
      <c r="B506" s="43">
        <v>45366</v>
      </c>
      <c r="C506" s="32" t="s">
        <v>29</v>
      </c>
      <c r="D506" s="32" t="s">
        <v>134</v>
      </c>
      <c r="E506" s="36">
        <f t="shared" si="38"/>
        <v>21145438.762859855</v>
      </c>
      <c r="F506" s="36">
        <v>0</v>
      </c>
      <c r="G506" s="58">
        <v>-7802.15</v>
      </c>
      <c r="H506" s="35">
        <f t="shared" si="39"/>
        <v>-7802.15</v>
      </c>
      <c r="I506" s="35">
        <f t="shared" si="36"/>
        <v>0</v>
      </c>
      <c r="J506" s="35">
        <f t="shared" si="37"/>
        <v>1147.250964449355</v>
      </c>
      <c r="K506" s="45">
        <f t="shared" si="35"/>
        <v>21136489.361895408</v>
      </c>
    </row>
    <row r="507" spans="2:11">
      <c r="B507" s="43">
        <v>45366</v>
      </c>
      <c r="C507" s="32" t="s">
        <v>25</v>
      </c>
      <c r="D507" s="32" t="s">
        <v>134</v>
      </c>
      <c r="E507" s="36">
        <f t="shared" si="38"/>
        <v>21136489.361895408</v>
      </c>
      <c r="F507" s="36">
        <v>0</v>
      </c>
      <c r="G507" s="58">
        <v>-4248.7</v>
      </c>
      <c r="H507" s="35">
        <f t="shared" si="39"/>
        <v>-4248.7</v>
      </c>
      <c r="I507" s="35">
        <f t="shared" si="36"/>
        <v>0</v>
      </c>
      <c r="J507" s="35">
        <f t="shared" si="37"/>
        <v>1146.7654125058439</v>
      </c>
      <c r="K507" s="45">
        <f t="shared" si="35"/>
        <v>21131093.896482904</v>
      </c>
    </row>
    <row r="508" spans="2:11">
      <c r="B508" s="43">
        <v>45366</v>
      </c>
      <c r="C508" s="32" t="s">
        <v>25</v>
      </c>
      <c r="D508" s="32" t="s">
        <v>134</v>
      </c>
      <c r="E508" s="36">
        <f t="shared" si="38"/>
        <v>21131093.896482904</v>
      </c>
      <c r="F508" s="36">
        <v>0</v>
      </c>
      <c r="G508" s="58">
        <v>-13348</v>
      </c>
      <c r="H508" s="35">
        <f t="shared" si="39"/>
        <v>-13348</v>
      </c>
      <c r="I508" s="35">
        <f t="shared" si="36"/>
        <v>0</v>
      </c>
      <c r="J508" s="35">
        <f t="shared" si="37"/>
        <v>1146.4726802070454</v>
      </c>
      <c r="K508" s="45">
        <f t="shared" si="35"/>
        <v>21116599.423802696</v>
      </c>
    </row>
    <row r="509" spans="2:11">
      <c r="B509" s="43">
        <v>45366</v>
      </c>
      <c r="C509" s="32" t="s">
        <v>29</v>
      </c>
      <c r="D509" s="32" t="s">
        <v>134</v>
      </c>
      <c r="E509" s="36">
        <f t="shared" si="38"/>
        <v>21116599.423802696</v>
      </c>
      <c r="F509" s="36">
        <v>0</v>
      </c>
      <c r="G509" s="58">
        <v>-5776</v>
      </c>
      <c r="H509" s="35">
        <f t="shared" si="39"/>
        <v>-5776</v>
      </c>
      <c r="I509" s="35">
        <f t="shared" si="36"/>
        <v>0</v>
      </c>
      <c r="J509" s="35">
        <f t="shared" si="37"/>
        <v>1145.6862790380728</v>
      </c>
      <c r="K509" s="45">
        <f t="shared" si="35"/>
        <v>21109677.737523656</v>
      </c>
    </row>
    <row r="510" spans="2:11">
      <c r="B510" s="43">
        <v>45366</v>
      </c>
      <c r="C510" s="32" t="s">
        <v>29</v>
      </c>
      <c r="D510" s="32" t="s">
        <v>134</v>
      </c>
      <c r="E510" s="36">
        <f t="shared" si="38"/>
        <v>21109677.737523656</v>
      </c>
      <c r="F510" s="36">
        <v>0</v>
      </c>
      <c r="G510" s="58">
        <v>-1654</v>
      </c>
      <c r="H510" s="35">
        <f t="shared" si="39"/>
        <v>-1654</v>
      </c>
      <c r="I510" s="35">
        <f t="shared" si="36"/>
        <v>0</v>
      </c>
      <c r="J510" s="35">
        <f t="shared" si="37"/>
        <v>1145.3107412519669</v>
      </c>
      <c r="K510" s="45">
        <f t="shared" si="35"/>
        <v>21106878.426782403</v>
      </c>
    </row>
    <row r="511" spans="2:11">
      <c r="B511" s="43">
        <v>45366</v>
      </c>
      <c r="C511" s="32" t="s">
        <v>29</v>
      </c>
      <c r="D511" s="32" t="s">
        <v>134</v>
      </c>
      <c r="E511" s="36">
        <f t="shared" si="38"/>
        <v>21106878.426782403</v>
      </c>
      <c r="F511" s="36">
        <v>0</v>
      </c>
      <c r="G511" s="58">
        <v>-1848</v>
      </c>
      <c r="H511" s="35">
        <f t="shared" si="39"/>
        <v>-1848</v>
      </c>
      <c r="I511" s="35">
        <f t="shared" si="36"/>
        <v>0</v>
      </c>
      <c r="J511" s="35">
        <f t="shared" si="37"/>
        <v>1145.1588639613742</v>
      </c>
      <c r="K511" s="45">
        <f t="shared" si="35"/>
        <v>21103885.267918441</v>
      </c>
    </row>
    <row r="512" spans="2:11">
      <c r="B512" s="43">
        <v>45367</v>
      </c>
      <c r="C512" s="32" t="s">
        <v>29</v>
      </c>
      <c r="D512" s="32" t="s">
        <v>132</v>
      </c>
      <c r="E512" s="36">
        <f t="shared" si="38"/>
        <v>21103885.267918441</v>
      </c>
      <c r="F512" s="36">
        <v>15972.5</v>
      </c>
      <c r="G512" s="58">
        <v>0</v>
      </c>
      <c r="H512" s="35">
        <f t="shared" si="39"/>
        <v>15972.5</v>
      </c>
      <c r="I512" s="35">
        <f t="shared" si="36"/>
        <v>0</v>
      </c>
      <c r="J512" s="35">
        <f t="shared" si="37"/>
        <v>2289.9929387867137</v>
      </c>
      <c r="K512" s="45">
        <f t="shared" si="35"/>
        <v>21117567.774979655</v>
      </c>
    </row>
    <row r="513" spans="2:11">
      <c r="B513" s="43">
        <v>45367</v>
      </c>
      <c r="C513" s="32" t="s">
        <v>29</v>
      </c>
      <c r="D513" s="32" t="s">
        <v>132</v>
      </c>
      <c r="E513" s="36">
        <f t="shared" si="38"/>
        <v>21117567.774979655</v>
      </c>
      <c r="F513" s="36">
        <v>15512.6</v>
      </c>
      <c r="G513" s="58">
        <v>0</v>
      </c>
      <c r="H513" s="35">
        <f t="shared" si="39"/>
        <v>15512.6</v>
      </c>
      <c r="I513" s="35">
        <f t="shared" si="36"/>
        <v>0</v>
      </c>
      <c r="J513" s="35">
        <f t="shared" si="37"/>
        <v>1145.7388171685959</v>
      </c>
      <c r="K513" s="45">
        <f t="shared" si="35"/>
        <v>21131934.636162486</v>
      </c>
    </row>
    <row r="514" spans="2:11">
      <c r="B514" s="43">
        <v>45367</v>
      </c>
      <c r="C514" s="32" t="s">
        <v>27</v>
      </c>
      <c r="D514" s="32" t="s">
        <v>132</v>
      </c>
      <c r="E514" s="36">
        <f t="shared" si="38"/>
        <v>21131934.636162486</v>
      </c>
      <c r="F514" s="36">
        <v>12569.24</v>
      </c>
      <c r="G514" s="58">
        <v>0</v>
      </c>
      <c r="H514" s="35">
        <f t="shared" si="39"/>
        <v>12569.24</v>
      </c>
      <c r="I514" s="35">
        <f t="shared" si="36"/>
        <v>0</v>
      </c>
      <c r="J514" s="35">
        <f t="shared" si="37"/>
        <v>1146.5182947444912</v>
      </c>
      <c r="K514" s="45">
        <f t="shared" si="35"/>
        <v>21143357.35786774</v>
      </c>
    </row>
    <row r="515" spans="2:11">
      <c r="B515" s="43">
        <v>45367</v>
      </c>
      <c r="C515" s="32" t="s">
        <v>29</v>
      </c>
      <c r="D515" s="32" t="s">
        <v>134</v>
      </c>
      <c r="E515" s="36">
        <f t="shared" si="38"/>
        <v>21143357.35786774</v>
      </c>
      <c r="F515" s="36">
        <v>0</v>
      </c>
      <c r="G515" s="58">
        <v>-8813.85</v>
      </c>
      <c r="H515" s="35">
        <f t="shared" si="39"/>
        <v>-8813.85</v>
      </c>
      <c r="I515" s="35">
        <f t="shared" si="36"/>
        <v>0</v>
      </c>
      <c r="J515" s="35">
        <f t="shared" si="37"/>
        <v>1147.1380373111956</v>
      </c>
      <c r="K515" s="45">
        <f t="shared" si="35"/>
        <v>21133396.369830426</v>
      </c>
    </row>
    <row r="516" spans="2:11">
      <c r="B516" s="43">
        <v>45367</v>
      </c>
      <c r="C516" s="32" t="s">
        <v>29</v>
      </c>
      <c r="D516" s="32" t="s">
        <v>134</v>
      </c>
      <c r="E516" s="36">
        <f t="shared" si="38"/>
        <v>21133396.369830426</v>
      </c>
      <c r="F516" s="36">
        <v>0</v>
      </c>
      <c r="G516" s="58">
        <v>-7677.13</v>
      </c>
      <c r="H516" s="35">
        <f t="shared" si="39"/>
        <v>-7677.13</v>
      </c>
      <c r="I516" s="35">
        <f t="shared" si="36"/>
        <v>0</v>
      </c>
      <c r="J516" s="35">
        <f t="shared" si="37"/>
        <v>1146.5976014630282</v>
      </c>
      <c r="K516" s="45">
        <f t="shared" si="35"/>
        <v>21124572.642228965</v>
      </c>
    </row>
    <row r="517" spans="2:11">
      <c r="B517" s="43">
        <v>45367</v>
      </c>
      <c r="C517" s="32" t="s">
        <v>25</v>
      </c>
      <c r="D517" s="32" t="s">
        <v>134</v>
      </c>
      <c r="E517" s="36">
        <f t="shared" si="38"/>
        <v>21124572.642228965</v>
      </c>
      <c r="F517" s="36">
        <v>0</v>
      </c>
      <c r="G517" s="58">
        <v>-9761</v>
      </c>
      <c r="H517" s="35">
        <f t="shared" si="39"/>
        <v>-9761</v>
      </c>
      <c r="I517" s="35">
        <f t="shared" si="36"/>
        <v>0</v>
      </c>
      <c r="J517" s="35">
        <f t="shared" si="37"/>
        <v>1146.118867958638</v>
      </c>
      <c r="K517" s="45">
        <f t="shared" si="35"/>
        <v>21113665.523361005</v>
      </c>
    </row>
    <row r="518" spans="2:11">
      <c r="B518" s="43">
        <v>45367</v>
      </c>
      <c r="C518" s="32" t="s">
        <v>29</v>
      </c>
      <c r="D518" s="32" t="s">
        <v>134</v>
      </c>
      <c r="E518" s="36">
        <f t="shared" si="38"/>
        <v>21113665.523361005</v>
      </c>
      <c r="F518" s="36">
        <v>0</v>
      </c>
      <c r="G518" s="58">
        <v>-15298</v>
      </c>
      <c r="H518" s="35">
        <f t="shared" si="39"/>
        <v>-15298</v>
      </c>
      <c r="I518" s="35">
        <f t="shared" si="36"/>
        <v>0</v>
      </c>
      <c r="J518" s="35">
        <f t="shared" si="37"/>
        <v>1145.5270995502847</v>
      </c>
      <c r="K518" s="45">
        <f t="shared" si="35"/>
        <v>21097221.996261455</v>
      </c>
    </row>
    <row r="519" spans="2:11">
      <c r="B519" s="43">
        <v>45367</v>
      </c>
      <c r="C519" s="32" t="s">
        <v>29</v>
      </c>
      <c r="D519" s="32" t="s">
        <v>134</v>
      </c>
      <c r="E519" s="36">
        <f t="shared" si="38"/>
        <v>21097221.996261455</v>
      </c>
      <c r="F519" s="36">
        <v>0</v>
      </c>
      <c r="G519" s="58">
        <v>-1661</v>
      </c>
      <c r="H519" s="35">
        <f t="shared" si="39"/>
        <v>-1661</v>
      </c>
      <c r="I519" s="35">
        <f t="shared" si="36"/>
        <v>0</v>
      </c>
      <c r="J519" s="35">
        <f t="shared" si="37"/>
        <v>1144.6349519559278</v>
      </c>
      <c r="K519" s="45">
        <f t="shared" si="35"/>
        <v>21094416.361309499</v>
      </c>
    </row>
    <row r="520" spans="2:11">
      <c r="B520" s="43">
        <v>45367</v>
      </c>
      <c r="C520" s="32" t="s">
        <v>29</v>
      </c>
      <c r="D520" s="32" t="s">
        <v>134</v>
      </c>
      <c r="E520" s="36">
        <f t="shared" si="38"/>
        <v>21094416.361309499</v>
      </c>
      <c r="F520" s="36">
        <v>0</v>
      </c>
      <c r="G520" s="58">
        <v>-15275</v>
      </c>
      <c r="H520" s="35">
        <f t="shared" si="39"/>
        <v>-15275</v>
      </c>
      <c r="I520" s="35">
        <f t="shared" si="36"/>
        <v>0</v>
      </c>
      <c r="J520" s="35">
        <f t="shared" si="37"/>
        <v>1144.4827315437328</v>
      </c>
      <c r="K520" s="45">
        <f t="shared" ref="K520:K583" si="40">E520+H520+I520-J520</f>
        <v>21077996.878577955</v>
      </c>
    </row>
    <row r="521" spans="2:11">
      <c r="B521" s="43">
        <v>45368</v>
      </c>
      <c r="C521" s="32" t="s">
        <v>29</v>
      </c>
      <c r="D521" s="32" t="s">
        <v>132</v>
      </c>
      <c r="E521" s="36">
        <f t="shared" si="38"/>
        <v>21077996.878577955</v>
      </c>
      <c r="F521" s="36">
        <v>6909.34</v>
      </c>
      <c r="G521" s="58">
        <v>0</v>
      </c>
      <c r="H521" s="35">
        <f t="shared" si="39"/>
        <v>6909.34</v>
      </c>
      <c r="I521" s="35">
        <f t="shared" si="36"/>
        <v>0</v>
      </c>
      <c r="J521" s="35">
        <f t="shared" si="37"/>
        <v>2287.1837769649142</v>
      </c>
      <c r="K521" s="45">
        <f t="shared" si="40"/>
        <v>21082619.034800991</v>
      </c>
    </row>
    <row r="522" spans="2:11">
      <c r="B522" s="43">
        <v>45368</v>
      </c>
      <c r="C522" s="32" t="s">
        <v>29</v>
      </c>
      <c r="D522" s="32" t="s">
        <v>132</v>
      </c>
      <c r="E522" s="36">
        <f t="shared" si="38"/>
        <v>21082619.034800991</v>
      </c>
      <c r="F522" s="36">
        <v>17652.14</v>
      </c>
      <c r="G522" s="58">
        <v>0</v>
      </c>
      <c r="H522" s="35">
        <f t="shared" si="39"/>
        <v>17652.14</v>
      </c>
      <c r="I522" s="35">
        <f t="shared" si="36"/>
        <v>0</v>
      </c>
      <c r="J522" s="35">
        <f t="shared" si="37"/>
        <v>1143.8426647015833</v>
      </c>
      <c r="K522" s="45">
        <f t="shared" si="40"/>
        <v>21099127.332136292</v>
      </c>
    </row>
    <row r="523" spans="2:11">
      <c r="B523" s="43">
        <v>45368</v>
      </c>
      <c r="C523" s="32" t="s">
        <v>25</v>
      </c>
      <c r="D523" s="32" t="s">
        <v>134</v>
      </c>
      <c r="E523" s="36">
        <f t="shared" si="38"/>
        <v>21099127.332136292</v>
      </c>
      <c r="F523" s="36">
        <v>0</v>
      </c>
      <c r="G523" s="58">
        <v>-4803.2299999999996</v>
      </c>
      <c r="H523" s="35">
        <f t="shared" si="39"/>
        <v>-4803.2299999999996</v>
      </c>
      <c r="I523" s="35">
        <f t="shared" si="36"/>
        <v>0</v>
      </c>
      <c r="J523" s="35">
        <f t="shared" si="37"/>
        <v>1144.7383264209611</v>
      </c>
      <c r="K523" s="45">
        <f t="shared" si="40"/>
        <v>21093179.363809872</v>
      </c>
    </row>
    <row r="524" spans="2:11">
      <c r="B524" s="43">
        <v>45368</v>
      </c>
      <c r="C524" s="32" t="s">
        <v>25</v>
      </c>
      <c r="D524" s="32" t="s">
        <v>134</v>
      </c>
      <c r="E524" s="36">
        <f t="shared" si="38"/>
        <v>21093179.363809872</v>
      </c>
      <c r="F524" s="36">
        <v>0</v>
      </c>
      <c r="G524" s="58">
        <v>-1402</v>
      </c>
      <c r="H524" s="35">
        <f t="shared" si="39"/>
        <v>-1402</v>
      </c>
      <c r="I524" s="35">
        <f t="shared" si="36"/>
        <v>0</v>
      </c>
      <c r="J524" s="35">
        <f t="shared" si="37"/>
        <v>1144.4156179411075</v>
      </c>
      <c r="K524" s="45">
        <f t="shared" si="40"/>
        <v>21090632.94819193</v>
      </c>
    </row>
    <row r="525" spans="2:11">
      <c r="B525" s="43">
        <v>45369</v>
      </c>
      <c r="C525" s="32" t="s">
        <v>25</v>
      </c>
      <c r="D525" s="32" t="s">
        <v>132</v>
      </c>
      <c r="E525" s="36">
        <f t="shared" si="38"/>
        <v>21090632.94819193</v>
      </c>
      <c r="F525" s="36">
        <v>5276.2</v>
      </c>
      <c r="G525" s="58">
        <v>0</v>
      </c>
      <c r="H525" s="35">
        <f t="shared" si="39"/>
        <v>5276.2</v>
      </c>
      <c r="I525" s="35">
        <f t="shared" si="36"/>
        <v>0</v>
      </c>
      <c r="J525" s="35">
        <f t="shared" si="37"/>
        <v>2288.5549230748684</v>
      </c>
      <c r="K525" s="45">
        <f t="shared" si="40"/>
        <v>21093620.593268853</v>
      </c>
    </row>
    <row r="526" spans="2:11">
      <c r="B526" s="43">
        <v>45369</v>
      </c>
      <c r="C526" s="32" t="s">
        <v>27</v>
      </c>
      <c r="D526" s="32" t="s">
        <v>132</v>
      </c>
      <c r="E526" s="36">
        <f t="shared" si="38"/>
        <v>21093620.593268853</v>
      </c>
      <c r="F526" s="36">
        <v>13796.34</v>
      </c>
      <c r="G526" s="58">
        <v>0</v>
      </c>
      <c r="H526" s="35">
        <f t="shared" si="39"/>
        <v>13796.34</v>
      </c>
      <c r="I526" s="35">
        <f t="shared" si="36"/>
        <v>0</v>
      </c>
      <c r="J526" s="35">
        <f t="shared" si="37"/>
        <v>1144.4395569535836</v>
      </c>
      <c r="K526" s="45">
        <f t="shared" si="40"/>
        <v>21106272.4937119</v>
      </c>
    </row>
    <row r="527" spans="2:11">
      <c r="B527" s="43">
        <v>45369</v>
      </c>
      <c r="C527" s="32" t="s">
        <v>27</v>
      </c>
      <c r="D527" s="32" t="s">
        <v>132</v>
      </c>
      <c r="E527" s="36">
        <f t="shared" si="38"/>
        <v>21106272.4937119</v>
      </c>
      <c r="F527" s="36">
        <v>12064.88</v>
      </c>
      <c r="G527" s="58">
        <v>0</v>
      </c>
      <c r="H527" s="35">
        <f t="shared" si="39"/>
        <v>12064.88</v>
      </c>
      <c r="I527" s="35">
        <f t="shared" si="36"/>
        <v>0</v>
      </c>
      <c r="J527" s="35">
        <f t="shared" si="37"/>
        <v>1145.1259889140733</v>
      </c>
      <c r="K527" s="45">
        <f t="shared" si="40"/>
        <v>21117192.247722983</v>
      </c>
    </row>
    <row r="528" spans="2:11">
      <c r="B528" s="43">
        <v>45369</v>
      </c>
      <c r="C528" s="32" t="s">
        <v>27</v>
      </c>
      <c r="D528" s="32" t="s">
        <v>134</v>
      </c>
      <c r="E528" s="36">
        <f t="shared" si="38"/>
        <v>21117192.247722983</v>
      </c>
      <c r="F528" s="36">
        <v>0</v>
      </c>
      <c r="G528" s="58">
        <v>-19177</v>
      </c>
      <c r="H528" s="35">
        <f t="shared" si="39"/>
        <v>-19177</v>
      </c>
      <c r="I528" s="35">
        <f t="shared" si="36"/>
        <v>0</v>
      </c>
      <c r="J528" s="35">
        <f t="shared" si="37"/>
        <v>1145.7184428452147</v>
      </c>
      <c r="K528" s="45">
        <f t="shared" si="40"/>
        <v>21096869.529280137</v>
      </c>
    </row>
    <row r="529" spans="2:11">
      <c r="B529" s="43">
        <v>45369</v>
      </c>
      <c r="C529" s="32" t="s">
        <v>25</v>
      </c>
      <c r="D529" s="32" t="s">
        <v>134</v>
      </c>
      <c r="E529" s="36">
        <f t="shared" si="38"/>
        <v>21096869.529280137</v>
      </c>
      <c r="F529" s="36">
        <v>0</v>
      </c>
      <c r="G529" s="58">
        <v>-7435</v>
      </c>
      <c r="H529" s="35">
        <f t="shared" si="39"/>
        <v>-7435</v>
      </c>
      <c r="I529" s="35">
        <f t="shared" si="36"/>
        <v>0</v>
      </c>
      <c r="J529" s="35">
        <f t="shared" si="37"/>
        <v>1144.6158287734397</v>
      </c>
      <c r="K529" s="45">
        <f t="shared" si="40"/>
        <v>21088289.913451362</v>
      </c>
    </row>
    <row r="530" spans="2:11">
      <c r="B530" s="43">
        <v>45369</v>
      </c>
      <c r="C530" s="32" t="s">
        <v>29</v>
      </c>
      <c r="D530" s="32" t="s">
        <v>134</v>
      </c>
      <c r="E530" s="36">
        <f t="shared" si="38"/>
        <v>21088289.913451362</v>
      </c>
      <c r="F530" s="36">
        <v>0</v>
      </c>
      <c r="G530" s="58">
        <v>-14986</v>
      </c>
      <c r="H530" s="35">
        <f t="shared" si="39"/>
        <v>-14986</v>
      </c>
      <c r="I530" s="35">
        <f t="shared" si="36"/>
        <v>0</v>
      </c>
      <c r="J530" s="35">
        <f t="shared" si="37"/>
        <v>1144.150339613127</v>
      </c>
      <c r="K530" s="45">
        <f t="shared" si="40"/>
        <v>21072159.763111748</v>
      </c>
    </row>
    <row r="531" spans="2:11">
      <c r="B531" s="43">
        <v>45370</v>
      </c>
      <c r="C531" s="32" t="s">
        <v>29</v>
      </c>
      <c r="D531" s="32" t="s">
        <v>132</v>
      </c>
      <c r="E531" s="36">
        <f t="shared" si="38"/>
        <v>21072159.763111748</v>
      </c>
      <c r="F531" s="36">
        <v>16785.47</v>
      </c>
      <c r="G531" s="58">
        <v>0</v>
      </c>
      <c r="H531" s="35">
        <f t="shared" si="39"/>
        <v>16785.47</v>
      </c>
      <c r="I531" s="35">
        <f t="shared" si="36"/>
        <v>0</v>
      </c>
      <c r="J531" s="35">
        <f t="shared" si="37"/>
        <v>2286.5503887034261</v>
      </c>
      <c r="K531" s="45">
        <f t="shared" si="40"/>
        <v>21086658.682723042</v>
      </c>
    </row>
    <row r="532" spans="2:11">
      <c r="B532" s="43">
        <v>45370</v>
      </c>
      <c r="C532" s="32" t="s">
        <v>29</v>
      </c>
      <c r="D532" s="32" t="s">
        <v>132</v>
      </c>
      <c r="E532" s="36">
        <f t="shared" si="38"/>
        <v>21086658.682723042</v>
      </c>
      <c r="F532" s="36">
        <v>16205.14</v>
      </c>
      <c r="G532" s="58">
        <v>0</v>
      </c>
      <c r="H532" s="35">
        <f t="shared" si="39"/>
        <v>16205.14</v>
      </c>
      <c r="I532" s="35">
        <f t="shared" ref="I532:I595" si="41">(($E532*Daily_Interest)*(_xlfn.DAYS(B532,B531)+1))+((IF(DAY($B531)&gt;Monthly_Cut_off_Date,0,Daily_Interest*H532))*(_xlfn.DAYS(B532,B531)+1))</f>
        <v>0</v>
      </c>
      <c r="J532" s="35">
        <f t="shared" ref="J532:J595" si="42">(($I532+E532)*Daily_Fees_Rate)*((_xlfn.DAYS(B532,B531)+1))</f>
        <v>1144.061836790022</v>
      </c>
      <c r="K532" s="45">
        <f t="shared" si="40"/>
        <v>21101719.760886252</v>
      </c>
    </row>
    <row r="533" spans="2:11">
      <c r="B533" s="43">
        <v>45370</v>
      </c>
      <c r="C533" s="32" t="s">
        <v>29</v>
      </c>
      <c r="D533" s="32" t="s">
        <v>132</v>
      </c>
      <c r="E533" s="36">
        <f t="shared" ref="E533:E596" si="43">K532</f>
        <v>21101719.760886252</v>
      </c>
      <c r="F533" s="36">
        <v>7585.07</v>
      </c>
      <c r="G533" s="58">
        <v>0</v>
      </c>
      <c r="H533" s="35">
        <f t="shared" ref="H533:H596" si="44">SUM(F533:G533)</f>
        <v>7585.07</v>
      </c>
      <c r="I533" s="35">
        <f t="shared" si="41"/>
        <v>0</v>
      </c>
      <c r="J533" s="35">
        <f t="shared" si="42"/>
        <v>1144.8789792783934</v>
      </c>
      <c r="K533" s="45">
        <f t="shared" si="40"/>
        <v>21108159.951906975</v>
      </c>
    </row>
    <row r="534" spans="2:11">
      <c r="B534" s="43">
        <v>45370</v>
      </c>
      <c r="C534" s="32" t="s">
        <v>29</v>
      </c>
      <c r="D534" s="32" t="s">
        <v>132</v>
      </c>
      <c r="E534" s="36">
        <f t="shared" si="43"/>
        <v>21108159.951906975</v>
      </c>
      <c r="F534" s="36">
        <v>16731.22</v>
      </c>
      <c r="G534" s="58">
        <v>0</v>
      </c>
      <c r="H534" s="35">
        <f t="shared" si="44"/>
        <v>16731.22</v>
      </c>
      <c r="I534" s="35">
        <f t="shared" si="41"/>
        <v>0</v>
      </c>
      <c r="J534" s="35">
        <f t="shared" si="42"/>
        <v>1145.228393421208</v>
      </c>
      <c r="K534" s="45">
        <f t="shared" si="40"/>
        <v>21123745.943513554</v>
      </c>
    </row>
    <row r="535" spans="2:11">
      <c r="B535" s="43">
        <v>45370</v>
      </c>
      <c r="C535" s="32" t="s">
        <v>25</v>
      </c>
      <c r="D535" s="32" t="s">
        <v>132</v>
      </c>
      <c r="E535" s="36">
        <f t="shared" si="43"/>
        <v>21123745.943513554</v>
      </c>
      <c r="F535" s="36">
        <v>15980.78</v>
      </c>
      <c r="G535" s="58">
        <v>0</v>
      </c>
      <c r="H535" s="35">
        <f t="shared" si="44"/>
        <v>15980.78</v>
      </c>
      <c r="I535" s="35">
        <f t="shared" si="41"/>
        <v>0</v>
      </c>
      <c r="J535" s="35">
        <f t="shared" si="42"/>
        <v>1146.0740152171461</v>
      </c>
      <c r="K535" s="45">
        <f t="shared" si="40"/>
        <v>21138580.649498336</v>
      </c>
    </row>
    <row r="536" spans="2:11">
      <c r="B536" s="43">
        <v>45370</v>
      </c>
      <c r="C536" s="32" t="s">
        <v>29</v>
      </c>
      <c r="D536" s="32" t="s">
        <v>134</v>
      </c>
      <c r="E536" s="36">
        <f t="shared" si="43"/>
        <v>21138580.649498336</v>
      </c>
      <c r="F536" s="36">
        <v>0</v>
      </c>
      <c r="G536" s="58">
        <v>-19793</v>
      </c>
      <c r="H536" s="35">
        <f t="shared" si="44"/>
        <v>-19793</v>
      </c>
      <c r="I536" s="35">
        <f t="shared" si="41"/>
        <v>0</v>
      </c>
      <c r="J536" s="35">
        <f t="shared" si="42"/>
        <v>1146.8788758274757</v>
      </c>
      <c r="K536" s="45">
        <f t="shared" si="40"/>
        <v>21117640.770622507</v>
      </c>
    </row>
    <row r="537" spans="2:11">
      <c r="B537" s="43">
        <v>45370</v>
      </c>
      <c r="C537" s="32" t="s">
        <v>27</v>
      </c>
      <c r="D537" s="32" t="s">
        <v>134</v>
      </c>
      <c r="E537" s="36">
        <f t="shared" si="43"/>
        <v>21117640.770622507</v>
      </c>
      <c r="F537" s="36">
        <v>0</v>
      </c>
      <c r="G537" s="58">
        <v>-12692</v>
      </c>
      <c r="H537" s="35">
        <f t="shared" si="44"/>
        <v>-12692</v>
      </c>
      <c r="I537" s="35">
        <f t="shared" si="41"/>
        <v>0</v>
      </c>
      <c r="J537" s="35">
        <f t="shared" si="42"/>
        <v>1145.7427775650958</v>
      </c>
      <c r="K537" s="45">
        <f t="shared" si="40"/>
        <v>21103803.027844943</v>
      </c>
    </row>
    <row r="538" spans="2:11">
      <c r="B538" s="43">
        <v>45371</v>
      </c>
      <c r="C538" s="32" t="s">
        <v>29</v>
      </c>
      <c r="D538" s="32" t="s">
        <v>132</v>
      </c>
      <c r="E538" s="36">
        <f t="shared" si="43"/>
        <v>21103803.027844943</v>
      </c>
      <c r="F538" s="36">
        <v>10330.11</v>
      </c>
      <c r="G538" s="58">
        <v>0</v>
      </c>
      <c r="H538" s="35">
        <f t="shared" si="44"/>
        <v>10330.11</v>
      </c>
      <c r="I538" s="35">
        <f t="shared" si="41"/>
        <v>0</v>
      </c>
      <c r="J538" s="35">
        <f t="shared" si="42"/>
        <v>2289.9840148760118</v>
      </c>
      <c r="K538" s="45">
        <f t="shared" si="40"/>
        <v>21111843.153830066</v>
      </c>
    </row>
    <row r="539" spans="2:11">
      <c r="B539" s="43">
        <v>45371</v>
      </c>
      <c r="C539" s="32" t="s">
        <v>25</v>
      </c>
      <c r="D539" s="32" t="s">
        <v>132</v>
      </c>
      <c r="E539" s="36">
        <f t="shared" si="43"/>
        <v>21111843.153830066</v>
      </c>
      <c r="F539" s="36">
        <v>12080.79</v>
      </c>
      <c r="G539" s="58">
        <v>0</v>
      </c>
      <c r="H539" s="35">
        <f t="shared" si="44"/>
        <v>12080.79</v>
      </c>
      <c r="I539" s="35">
        <f t="shared" si="41"/>
        <v>0</v>
      </c>
      <c r="J539" s="35">
        <f t="shared" si="42"/>
        <v>1145.428226444581</v>
      </c>
      <c r="K539" s="45">
        <f t="shared" si="40"/>
        <v>21122778.515603621</v>
      </c>
    </row>
    <row r="540" spans="2:11">
      <c r="B540" s="43">
        <v>45371</v>
      </c>
      <c r="C540" s="32" t="s">
        <v>29</v>
      </c>
      <c r="D540" s="32" t="s">
        <v>134</v>
      </c>
      <c r="E540" s="36">
        <f t="shared" si="43"/>
        <v>21122778.515603621</v>
      </c>
      <c r="F540" s="36">
        <v>0</v>
      </c>
      <c r="G540" s="58">
        <v>-7223</v>
      </c>
      <c r="H540" s="35">
        <f t="shared" si="44"/>
        <v>-7223</v>
      </c>
      <c r="I540" s="35">
        <f t="shared" si="41"/>
        <v>0</v>
      </c>
      <c r="J540" s="35">
        <f t="shared" si="42"/>
        <v>1146.0215271787017</v>
      </c>
      <c r="K540" s="45">
        <f t="shared" si="40"/>
        <v>21114409.494076442</v>
      </c>
    </row>
    <row r="541" spans="2:11">
      <c r="B541" s="43">
        <v>45371</v>
      </c>
      <c r="C541" s="32" t="s">
        <v>29</v>
      </c>
      <c r="D541" s="32" t="s">
        <v>134</v>
      </c>
      <c r="E541" s="36">
        <f t="shared" si="43"/>
        <v>21114409.494076442</v>
      </c>
      <c r="F541" s="36">
        <v>0</v>
      </c>
      <c r="G541" s="58">
        <v>-6197</v>
      </c>
      <c r="H541" s="35">
        <f t="shared" si="44"/>
        <v>-6197</v>
      </c>
      <c r="I541" s="35">
        <f t="shared" si="41"/>
        <v>0</v>
      </c>
      <c r="J541" s="35">
        <f t="shared" si="42"/>
        <v>1145.567463863855</v>
      </c>
      <c r="K541" s="45">
        <f t="shared" si="40"/>
        <v>21107066.926612578</v>
      </c>
    </row>
    <row r="542" spans="2:11">
      <c r="B542" s="43">
        <v>45372</v>
      </c>
      <c r="C542" s="32" t="s">
        <v>25</v>
      </c>
      <c r="D542" s="32" t="s">
        <v>132</v>
      </c>
      <c r="E542" s="36">
        <f t="shared" si="43"/>
        <v>21107066.926612578</v>
      </c>
      <c r="F542" s="36">
        <v>18097.400000000001</v>
      </c>
      <c r="G542" s="58">
        <v>0</v>
      </c>
      <c r="H542" s="35">
        <f t="shared" si="44"/>
        <v>18097.400000000001</v>
      </c>
      <c r="I542" s="35">
        <f t="shared" si="41"/>
        <v>0</v>
      </c>
      <c r="J542" s="35">
        <f t="shared" si="42"/>
        <v>2290.3381821317521</v>
      </c>
      <c r="K542" s="45">
        <f t="shared" si="40"/>
        <v>21122873.988430444</v>
      </c>
    </row>
    <row r="543" spans="2:11">
      <c r="B543" s="43">
        <v>45372</v>
      </c>
      <c r="C543" s="32" t="s">
        <v>29</v>
      </c>
      <c r="D543" s="32" t="s">
        <v>132</v>
      </c>
      <c r="E543" s="36">
        <f t="shared" si="43"/>
        <v>21122873.988430444</v>
      </c>
      <c r="F543" s="36">
        <v>12133.38</v>
      </c>
      <c r="G543" s="58">
        <v>0</v>
      </c>
      <c r="H543" s="35">
        <f t="shared" si="44"/>
        <v>12133.38</v>
      </c>
      <c r="I543" s="35">
        <f t="shared" si="41"/>
        <v>0</v>
      </c>
      <c r="J543" s="35">
        <f t="shared" si="42"/>
        <v>1146.0267070803288</v>
      </c>
      <c r="K543" s="45">
        <f t="shared" si="40"/>
        <v>21133861.341723364</v>
      </c>
    </row>
    <row r="544" spans="2:11">
      <c r="B544" s="43">
        <v>45372</v>
      </c>
      <c r="C544" s="32" t="s">
        <v>25</v>
      </c>
      <c r="D544" s="32" t="s">
        <v>132</v>
      </c>
      <c r="E544" s="36">
        <f t="shared" si="43"/>
        <v>21133861.341723364</v>
      </c>
      <c r="F544" s="36">
        <v>12373.15</v>
      </c>
      <c r="G544" s="58">
        <v>0</v>
      </c>
      <c r="H544" s="35">
        <f t="shared" si="44"/>
        <v>12373.15</v>
      </c>
      <c r="I544" s="35">
        <f t="shared" si="41"/>
        <v>0</v>
      </c>
      <c r="J544" s="35">
        <f t="shared" si="42"/>
        <v>1146.62282862708</v>
      </c>
      <c r="K544" s="45">
        <f t="shared" si="40"/>
        <v>21145087.868894733</v>
      </c>
    </row>
    <row r="545" spans="2:11">
      <c r="B545" s="43">
        <v>45372</v>
      </c>
      <c r="C545" s="32" t="s">
        <v>25</v>
      </c>
      <c r="D545" s="32" t="s">
        <v>132</v>
      </c>
      <c r="E545" s="36">
        <f t="shared" si="43"/>
        <v>21145087.868894733</v>
      </c>
      <c r="F545" s="36">
        <v>12884.96</v>
      </c>
      <c r="G545" s="58">
        <v>0</v>
      </c>
      <c r="H545" s="35">
        <f t="shared" si="44"/>
        <v>12884.96</v>
      </c>
      <c r="I545" s="35">
        <f t="shared" si="41"/>
        <v>0</v>
      </c>
      <c r="J545" s="35">
        <f t="shared" si="42"/>
        <v>1147.2319266112463</v>
      </c>
      <c r="K545" s="45">
        <f t="shared" si="40"/>
        <v>21156825.596968122</v>
      </c>
    </row>
    <row r="546" spans="2:11">
      <c r="B546" s="43">
        <v>45372</v>
      </c>
      <c r="C546" s="32" t="s">
        <v>25</v>
      </c>
      <c r="D546" s="32" t="s">
        <v>134</v>
      </c>
      <c r="E546" s="36">
        <f t="shared" si="43"/>
        <v>21156825.596968122</v>
      </c>
      <c r="F546" s="36">
        <v>0</v>
      </c>
      <c r="G546" s="58">
        <v>-7185.68</v>
      </c>
      <c r="H546" s="35">
        <f t="shared" si="44"/>
        <v>-7185.68</v>
      </c>
      <c r="I546" s="35">
        <f t="shared" si="41"/>
        <v>0</v>
      </c>
      <c r="J546" s="35">
        <f t="shared" si="42"/>
        <v>1147.8687599256864</v>
      </c>
      <c r="K546" s="45">
        <f t="shared" si="40"/>
        <v>21148492.048208196</v>
      </c>
    </row>
    <row r="547" spans="2:11">
      <c r="B547" s="43">
        <v>45372</v>
      </c>
      <c r="C547" s="32" t="s">
        <v>27</v>
      </c>
      <c r="D547" s="32" t="s">
        <v>134</v>
      </c>
      <c r="E547" s="36">
        <f t="shared" si="43"/>
        <v>21148492.048208196</v>
      </c>
      <c r="F547" s="36">
        <v>0</v>
      </c>
      <c r="G547" s="58">
        <v>-2512</v>
      </c>
      <c r="H547" s="35">
        <f t="shared" si="44"/>
        <v>-2512</v>
      </c>
      <c r="I547" s="35">
        <f t="shared" si="41"/>
        <v>0</v>
      </c>
      <c r="J547" s="35">
        <f t="shared" si="42"/>
        <v>1147.4166211945239</v>
      </c>
      <c r="K547" s="45">
        <f t="shared" si="40"/>
        <v>21144832.631587002</v>
      </c>
    </row>
    <row r="548" spans="2:11">
      <c r="B548" s="43">
        <v>45372</v>
      </c>
      <c r="C548" s="32" t="s">
        <v>27</v>
      </c>
      <c r="D548" s="32" t="s">
        <v>134</v>
      </c>
      <c r="E548" s="36">
        <f t="shared" si="43"/>
        <v>21144832.631587002</v>
      </c>
      <c r="F548" s="36">
        <v>0</v>
      </c>
      <c r="G548" s="58">
        <v>-7385</v>
      </c>
      <c r="H548" s="35">
        <f t="shared" si="44"/>
        <v>-7385</v>
      </c>
      <c r="I548" s="35">
        <f t="shared" si="41"/>
        <v>0</v>
      </c>
      <c r="J548" s="35">
        <f t="shared" si="42"/>
        <v>1147.2180786485371</v>
      </c>
      <c r="K548" s="45">
        <f t="shared" si="40"/>
        <v>21136300.413508356</v>
      </c>
    </row>
    <row r="549" spans="2:11">
      <c r="B549" s="43">
        <v>45372</v>
      </c>
      <c r="C549" s="32" t="s">
        <v>29</v>
      </c>
      <c r="D549" s="32" t="s">
        <v>134</v>
      </c>
      <c r="E549" s="36">
        <f t="shared" si="43"/>
        <v>21136300.413508356</v>
      </c>
      <c r="F549" s="36">
        <v>0</v>
      </c>
      <c r="G549" s="58">
        <v>-8317</v>
      </c>
      <c r="H549" s="35">
        <f t="shared" si="44"/>
        <v>-8317</v>
      </c>
      <c r="I549" s="35">
        <f t="shared" si="41"/>
        <v>0</v>
      </c>
      <c r="J549" s="35">
        <f t="shared" si="42"/>
        <v>1146.7551610647783</v>
      </c>
      <c r="K549" s="45">
        <f t="shared" si="40"/>
        <v>21126836.65834729</v>
      </c>
    </row>
    <row r="550" spans="2:11">
      <c r="B550" s="43">
        <v>45373</v>
      </c>
      <c r="C550" s="32" t="s">
        <v>27</v>
      </c>
      <c r="D550" s="32" t="s">
        <v>132</v>
      </c>
      <c r="E550" s="36">
        <f t="shared" si="43"/>
        <v>21126836.65834729</v>
      </c>
      <c r="F550" s="36">
        <v>14257.44</v>
      </c>
      <c r="G550" s="58">
        <v>0</v>
      </c>
      <c r="H550" s="35">
        <f t="shared" si="44"/>
        <v>14257.44</v>
      </c>
      <c r="I550" s="35">
        <f t="shared" si="41"/>
        <v>0</v>
      </c>
      <c r="J550" s="35">
        <f t="shared" si="42"/>
        <v>2292.4834054164439</v>
      </c>
      <c r="K550" s="45">
        <f t="shared" si="40"/>
        <v>21138801.614941876</v>
      </c>
    </row>
    <row r="551" spans="2:11">
      <c r="B551" s="43">
        <v>45373</v>
      </c>
      <c r="C551" s="32" t="s">
        <v>27</v>
      </c>
      <c r="D551" s="32" t="s">
        <v>132</v>
      </c>
      <c r="E551" s="36">
        <f t="shared" si="43"/>
        <v>21138801.614941876</v>
      </c>
      <c r="F551" s="36">
        <v>12094.97</v>
      </c>
      <c r="G551" s="58">
        <v>0</v>
      </c>
      <c r="H551" s="35">
        <f t="shared" si="44"/>
        <v>12094.97</v>
      </c>
      <c r="I551" s="35">
        <f t="shared" si="41"/>
        <v>0</v>
      </c>
      <c r="J551" s="35">
        <f t="shared" si="42"/>
        <v>1146.8908643617906</v>
      </c>
      <c r="K551" s="45">
        <f t="shared" si="40"/>
        <v>21149749.694077514</v>
      </c>
    </row>
    <row r="552" spans="2:11">
      <c r="B552" s="43">
        <v>45373</v>
      </c>
      <c r="C552" s="32" t="s">
        <v>27</v>
      </c>
      <c r="D552" s="32" t="s">
        <v>132</v>
      </c>
      <c r="E552" s="36">
        <f t="shared" si="43"/>
        <v>21149749.694077514</v>
      </c>
      <c r="F552" s="36">
        <v>11859.27</v>
      </c>
      <c r="G552" s="58">
        <v>0</v>
      </c>
      <c r="H552" s="35">
        <f t="shared" si="44"/>
        <v>11859.27</v>
      </c>
      <c r="I552" s="35">
        <f t="shared" si="41"/>
        <v>0</v>
      </c>
      <c r="J552" s="35">
        <f t="shared" si="42"/>
        <v>1147.4848550795093</v>
      </c>
      <c r="K552" s="45">
        <f t="shared" si="40"/>
        <v>21160461.479222436</v>
      </c>
    </row>
    <row r="553" spans="2:11">
      <c r="B553" s="43">
        <v>45373</v>
      </c>
      <c r="C553" s="32" t="s">
        <v>29</v>
      </c>
      <c r="D553" s="32" t="s">
        <v>134</v>
      </c>
      <c r="E553" s="36">
        <f t="shared" si="43"/>
        <v>21160461.479222436</v>
      </c>
      <c r="F553" s="36">
        <v>0</v>
      </c>
      <c r="G553" s="58">
        <v>-4439</v>
      </c>
      <c r="H553" s="35">
        <f t="shared" si="44"/>
        <v>-4439</v>
      </c>
      <c r="I553" s="35">
        <f t="shared" si="41"/>
        <v>0</v>
      </c>
      <c r="J553" s="35">
        <f t="shared" si="42"/>
        <v>1148.0660256088279</v>
      </c>
      <c r="K553" s="45">
        <f t="shared" si="40"/>
        <v>21154874.413196828</v>
      </c>
    </row>
    <row r="554" spans="2:11">
      <c r="B554" s="43">
        <v>45373</v>
      </c>
      <c r="C554" s="32" t="s">
        <v>29</v>
      </c>
      <c r="D554" s="32" t="s">
        <v>134</v>
      </c>
      <c r="E554" s="36">
        <f t="shared" si="43"/>
        <v>21154874.413196828</v>
      </c>
      <c r="F554" s="36">
        <v>0</v>
      </c>
      <c r="G554" s="58">
        <v>-14589</v>
      </c>
      <c r="H554" s="35">
        <f t="shared" si="44"/>
        <v>-14589</v>
      </c>
      <c r="I554" s="35">
        <f t="shared" si="41"/>
        <v>0</v>
      </c>
      <c r="J554" s="35">
        <f t="shared" si="42"/>
        <v>1147.7628979717897</v>
      </c>
      <c r="K554" s="45">
        <f t="shared" si="40"/>
        <v>21139137.650298856</v>
      </c>
    </row>
    <row r="555" spans="2:11">
      <c r="B555" s="43">
        <v>45373</v>
      </c>
      <c r="C555" s="32" t="s">
        <v>27</v>
      </c>
      <c r="D555" s="32" t="s">
        <v>134</v>
      </c>
      <c r="E555" s="36">
        <f t="shared" si="43"/>
        <v>21139137.650298856</v>
      </c>
      <c r="F555" s="36">
        <v>0</v>
      </c>
      <c r="G555" s="58">
        <v>-1888</v>
      </c>
      <c r="H555" s="35">
        <f t="shared" si="44"/>
        <v>-1888</v>
      </c>
      <c r="I555" s="35">
        <f t="shared" si="41"/>
        <v>0</v>
      </c>
      <c r="J555" s="35">
        <f t="shared" si="42"/>
        <v>1146.9090960424717</v>
      </c>
      <c r="K555" s="45">
        <f t="shared" si="40"/>
        <v>21136102.741202813</v>
      </c>
    </row>
    <row r="556" spans="2:11">
      <c r="B556" s="43">
        <v>45373</v>
      </c>
      <c r="C556" s="32" t="s">
        <v>27</v>
      </c>
      <c r="D556" s="32" t="s">
        <v>134</v>
      </c>
      <c r="E556" s="36">
        <f t="shared" si="43"/>
        <v>21136102.741202813</v>
      </c>
      <c r="F556" s="36">
        <v>0</v>
      </c>
      <c r="G556" s="58">
        <v>-16898</v>
      </c>
      <c r="H556" s="35">
        <f t="shared" si="44"/>
        <v>-16898</v>
      </c>
      <c r="I556" s="35">
        <f t="shared" si="41"/>
        <v>0</v>
      </c>
      <c r="J556" s="35">
        <f t="shared" si="42"/>
        <v>1146.7444363053767</v>
      </c>
      <c r="K556" s="45">
        <f t="shared" si="40"/>
        <v>21118057.996766508</v>
      </c>
    </row>
    <row r="557" spans="2:11">
      <c r="B557" s="43">
        <v>45374</v>
      </c>
      <c r="C557" s="32" t="s">
        <v>25</v>
      </c>
      <c r="D557" s="32" t="s">
        <v>132</v>
      </c>
      <c r="E557" s="36">
        <f t="shared" si="43"/>
        <v>21118057.996766508</v>
      </c>
      <c r="F557" s="36">
        <v>14283.16</v>
      </c>
      <c r="G557" s="58">
        <v>0</v>
      </c>
      <c r="H557" s="35">
        <f t="shared" si="44"/>
        <v>14283.16</v>
      </c>
      <c r="I557" s="35">
        <f t="shared" si="41"/>
        <v>0</v>
      </c>
      <c r="J557" s="35">
        <f t="shared" si="42"/>
        <v>2291.5308285436654</v>
      </c>
      <c r="K557" s="45">
        <f t="shared" si="40"/>
        <v>21130049.625937965</v>
      </c>
    </row>
    <row r="558" spans="2:11">
      <c r="B558" s="43">
        <v>45374</v>
      </c>
      <c r="C558" s="32" t="s">
        <v>29</v>
      </c>
      <c r="D558" s="32" t="s">
        <v>132</v>
      </c>
      <c r="E558" s="36">
        <f t="shared" si="43"/>
        <v>21130049.625937965</v>
      </c>
      <c r="F558" s="36">
        <v>17312.599999999999</v>
      </c>
      <c r="G558" s="58">
        <v>0</v>
      </c>
      <c r="H558" s="35">
        <f t="shared" si="44"/>
        <v>17312.599999999999</v>
      </c>
      <c r="I558" s="35">
        <f t="shared" si="41"/>
        <v>0</v>
      </c>
      <c r="J558" s="35">
        <f t="shared" si="42"/>
        <v>1146.416023052599</v>
      </c>
      <c r="K558" s="45">
        <f t="shared" si="40"/>
        <v>21146215.809914913</v>
      </c>
    </row>
    <row r="559" spans="2:11">
      <c r="B559" s="43">
        <v>45374</v>
      </c>
      <c r="C559" s="32" t="s">
        <v>27</v>
      </c>
      <c r="D559" s="32" t="s">
        <v>132</v>
      </c>
      <c r="E559" s="36">
        <f t="shared" si="43"/>
        <v>21146215.809914913</v>
      </c>
      <c r="F559" s="36">
        <v>12818.59</v>
      </c>
      <c r="G559" s="58">
        <v>0</v>
      </c>
      <c r="H559" s="35">
        <f t="shared" si="44"/>
        <v>12818.59</v>
      </c>
      <c r="I559" s="35">
        <f t="shared" si="41"/>
        <v>0</v>
      </c>
      <c r="J559" s="35">
        <f t="shared" si="42"/>
        <v>1147.2931233278412</v>
      </c>
      <c r="K559" s="45">
        <f t="shared" si="40"/>
        <v>21157887.106791586</v>
      </c>
    </row>
    <row r="560" spans="2:11">
      <c r="B560" s="43">
        <v>45374</v>
      </c>
      <c r="C560" s="32" t="s">
        <v>29</v>
      </c>
      <c r="D560" s="32" t="s">
        <v>132</v>
      </c>
      <c r="E560" s="36">
        <f t="shared" si="43"/>
        <v>21157887.106791586</v>
      </c>
      <c r="F560" s="36">
        <v>14186.63</v>
      </c>
      <c r="G560" s="58">
        <v>0</v>
      </c>
      <c r="H560" s="35">
        <f t="shared" si="44"/>
        <v>14186.63</v>
      </c>
      <c r="I560" s="35">
        <f t="shared" si="41"/>
        <v>0</v>
      </c>
      <c r="J560" s="35">
        <f t="shared" si="42"/>
        <v>1147.9263524014159</v>
      </c>
      <c r="K560" s="45">
        <f t="shared" si="40"/>
        <v>21170925.810439184</v>
      </c>
    </row>
    <row r="561" spans="2:11">
      <c r="B561" s="43">
        <v>45374</v>
      </c>
      <c r="C561" s="32" t="s">
        <v>27</v>
      </c>
      <c r="D561" s="32" t="s">
        <v>134</v>
      </c>
      <c r="E561" s="36">
        <f t="shared" si="43"/>
        <v>21170925.810439184</v>
      </c>
      <c r="F561" s="36">
        <v>0</v>
      </c>
      <c r="G561" s="58">
        <v>-2311</v>
      </c>
      <c r="H561" s="35">
        <f t="shared" si="44"/>
        <v>-2311</v>
      </c>
      <c r="I561" s="35">
        <f t="shared" si="41"/>
        <v>0</v>
      </c>
      <c r="J561" s="35">
        <f t="shared" si="42"/>
        <v>1148.6337704646037</v>
      </c>
      <c r="K561" s="45">
        <f t="shared" si="40"/>
        <v>21167466.176668718</v>
      </c>
    </row>
    <row r="562" spans="2:11">
      <c r="B562" s="43">
        <v>45374</v>
      </c>
      <c r="C562" s="32" t="s">
        <v>29</v>
      </c>
      <c r="D562" s="32" t="s">
        <v>134</v>
      </c>
      <c r="E562" s="36">
        <f t="shared" si="43"/>
        <v>21167466.176668718</v>
      </c>
      <c r="F562" s="36">
        <v>0</v>
      </c>
      <c r="G562" s="58">
        <v>-8989</v>
      </c>
      <c r="H562" s="35">
        <f t="shared" si="44"/>
        <v>-8989</v>
      </c>
      <c r="I562" s="35">
        <f t="shared" si="41"/>
        <v>0</v>
      </c>
      <c r="J562" s="35">
        <f t="shared" si="42"/>
        <v>1148.446067186165</v>
      </c>
      <c r="K562" s="45">
        <f t="shared" si="40"/>
        <v>21157328.730601531</v>
      </c>
    </row>
    <row r="563" spans="2:11">
      <c r="B563" s="43">
        <v>45374</v>
      </c>
      <c r="C563" s="32" t="s">
        <v>25</v>
      </c>
      <c r="D563" s="32" t="s">
        <v>134</v>
      </c>
      <c r="E563" s="36">
        <f t="shared" si="43"/>
        <v>21157328.730601531</v>
      </c>
      <c r="F563" s="36">
        <v>0</v>
      </c>
      <c r="G563" s="58">
        <v>-21084</v>
      </c>
      <c r="H563" s="35">
        <f t="shared" si="44"/>
        <v>-21084</v>
      </c>
      <c r="I563" s="35">
        <f t="shared" si="41"/>
        <v>0</v>
      </c>
      <c r="J563" s="35">
        <f t="shared" si="42"/>
        <v>1147.8960575643237</v>
      </c>
      <c r="K563" s="45">
        <f t="shared" si="40"/>
        <v>21135096.834543966</v>
      </c>
    </row>
    <row r="564" spans="2:11">
      <c r="B564" s="43">
        <v>45375</v>
      </c>
      <c r="C564" s="32" t="s">
        <v>25</v>
      </c>
      <c r="D564" s="32" t="s">
        <v>132</v>
      </c>
      <c r="E564" s="36">
        <f t="shared" si="43"/>
        <v>21135096.834543966</v>
      </c>
      <c r="F564" s="36">
        <v>17045.86</v>
      </c>
      <c r="G564" s="58">
        <v>0</v>
      </c>
      <c r="H564" s="35">
        <f t="shared" si="44"/>
        <v>17045.86</v>
      </c>
      <c r="I564" s="35">
        <f t="shared" si="41"/>
        <v>0</v>
      </c>
      <c r="J564" s="35">
        <f t="shared" si="42"/>
        <v>2293.3797211859519</v>
      </c>
      <c r="K564" s="45">
        <f t="shared" si="40"/>
        <v>21149849.314822778</v>
      </c>
    </row>
    <row r="565" spans="2:11">
      <c r="B565" s="43">
        <v>45375</v>
      </c>
      <c r="C565" s="32" t="s">
        <v>27</v>
      </c>
      <c r="D565" s="32" t="s">
        <v>132</v>
      </c>
      <c r="E565" s="36">
        <f t="shared" si="43"/>
        <v>21149849.314822778</v>
      </c>
      <c r="F565" s="36">
        <v>16286.45</v>
      </c>
      <c r="G565" s="58">
        <v>0</v>
      </c>
      <c r="H565" s="35">
        <f t="shared" si="44"/>
        <v>16286.45</v>
      </c>
      <c r="I565" s="35">
        <f t="shared" si="41"/>
        <v>0</v>
      </c>
      <c r="J565" s="35">
        <f t="shared" si="42"/>
        <v>1147.4902600274684</v>
      </c>
      <c r="K565" s="45">
        <f t="shared" si="40"/>
        <v>21164988.27456275</v>
      </c>
    </row>
    <row r="566" spans="2:11">
      <c r="B566" s="43">
        <v>45375</v>
      </c>
      <c r="C566" s="32" t="s">
        <v>27</v>
      </c>
      <c r="D566" s="32" t="s">
        <v>134</v>
      </c>
      <c r="E566" s="36">
        <f t="shared" si="43"/>
        <v>21164988.27456275</v>
      </c>
      <c r="F566" s="36">
        <v>0</v>
      </c>
      <c r="G566" s="58">
        <v>-6042.24</v>
      </c>
      <c r="H566" s="35">
        <f t="shared" si="44"/>
        <v>-6042.24</v>
      </c>
      <c r="I566" s="35">
        <f t="shared" si="41"/>
        <v>0</v>
      </c>
      <c r="J566" s="35">
        <f t="shared" si="42"/>
        <v>1148.3116279998817</v>
      </c>
      <c r="K566" s="45">
        <f t="shared" si="40"/>
        <v>21157797.722934753</v>
      </c>
    </row>
    <row r="567" spans="2:11">
      <c r="B567" s="43">
        <v>45375</v>
      </c>
      <c r="C567" s="32" t="s">
        <v>29</v>
      </c>
      <c r="D567" s="32" t="s">
        <v>134</v>
      </c>
      <c r="E567" s="36">
        <f t="shared" si="43"/>
        <v>21157797.722934753</v>
      </c>
      <c r="F567" s="36">
        <v>0</v>
      </c>
      <c r="G567" s="58">
        <v>-13435</v>
      </c>
      <c r="H567" s="35">
        <f t="shared" si="44"/>
        <v>-13435</v>
      </c>
      <c r="I567" s="35">
        <f t="shared" si="41"/>
        <v>0</v>
      </c>
      <c r="J567" s="35">
        <f t="shared" si="42"/>
        <v>1147.9215028583485</v>
      </c>
      <c r="K567" s="45">
        <f t="shared" si="40"/>
        <v>21143214.801431894</v>
      </c>
    </row>
    <row r="568" spans="2:11">
      <c r="B568" s="43">
        <v>45375</v>
      </c>
      <c r="C568" s="32" t="s">
        <v>29</v>
      </c>
      <c r="D568" s="32" t="s">
        <v>134</v>
      </c>
      <c r="E568" s="36">
        <f t="shared" si="43"/>
        <v>21143214.801431894</v>
      </c>
      <c r="F568" s="36">
        <v>0</v>
      </c>
      <c r="G568" s="58">
        <v>-2904</v>
      </c>
      <c r="H568" s="35">
        <f t="shared" si="44"/>
        <v>-2904</v>
      </c>
      <c r="I568" s="35">
        <f t="shared" si="41"/>
        <v>0</v>
      </c>
      <c r="J568" s="35">
        <f t="shared" si="42"/>
        <v>1147.1303028768173</v>
      </c>
      <c r="K568" s="45">
        <f t="shared" si="40"/>
        <v>21139163.671129018</v>
      </c>
    </row>
    <row r="569" spans="2:11">
      <c r="B569" s="43">
        <v>45375</v>
      </c>
      <c r="C569" s="32" t="s">
        <v>25</v>
      </c>
      <c r="D569" s="32" t="s">
        <v>134</v>
      </c>
      <c r="E569" s="36">
        <f t="shared" si="43"/>
        <v>21139163.671129018</v>
      </c>
      <c r="F569" s="36">
        <v>0</v>
      </c>
      <c r="G569" s="58">
        <v>-14580</v>
      </c>
      <c r="H569" s="35">
        <f t="shared" si="44"/>
        <v>-14580</v>
      </c>
      <c r="I569" s="35">
        <f t="shared" si="41"/>
        <v>0</v>
      </c>
      <c r="J569" s="35">
        <f t="shared" si="42"/>
        <v>1146.9105078089917</v>
      </c>
      <c r="K569" s="45">
        <f t="shared" si="40"/>
        <v>21123436.760621209</v>
      </c>
    </row>
    <row r="570" spans="2:11">
      <c r="B570" s="43">
        <v>45376</v>
      </c>
      <c r="C570" s="32" t="s">
        <v>25</v>
      </c>
      <c r="D570" s="32" t="s">
        <v>132</v>
      </c>
      <c r="E570" s="36">
        <f t="shared" si="43"/>
        <v>21123436.760621209</v>
      </c>
      <c r="F570" s="36">
        <v>21399.1</v>
      </c>
      <c r="G570" s="58">
        <v>0</v>
      </c>
      <c r="H570" s="35">
        <f t="shared" si="44"/>
        <v>21399.1</v>
      </c>
      <c r="I570" s="35">
        <f t="shared" si="41"/>
        <v>0</v>
      </c>
      <c r="J570" s="35">
        <f t="shared" si="42"/>
        <v>2292.1144808470349</v>
      </c>
      <c r="K570" s="45">
        <f t="shared" si="40"/>
        <v>21142543.746140365</v>
      </c>
    </row>
    <row r="571" spans="2:11">
      <c r="B571" s="43">
        <v>45376</v>
      </c>
      <c r="C571" s="32" t="s">
        <v>29</v>
      </c>
      <c r="D571" s="32" t="s">
        <v>132</v>
      </c>
      <c r="E571" s="36">
        <f t="shared" si="43"/>
        <v>21142543.746140365</v>
      </c>
      <c r="F571" s="36">
        <v>19176.009999999998</v>
      </c>
      <c r="G571" s="58">
        <v>0</v>
      </c>
      <c r="H571" s="35">
        <f t="shared" si="44"/>
        <v>19176.009999999998</v>
      </c>
      <c r="I571" s="35">
        <f t="shared" si="41"/>
        <v>0</v>
      </c>
      <c r="J571" s="35">
        <f t="shared" si="42"/>
        <v>1147.0938946074482</v>
      </c>
      <c r="K571" s="45">
        <f t="shared" si="40"/>
        <v>21160572.662245758</v>
      </c>
    </row>
    <row r="572" spans="2:11">
      <c r="B572" s="43">
        <v>45376</v>
      </c>
      <c r="C572" s="32" t="s">
        <v>25</v>
      </c>
      <c r="D572" s="32" t="s">
        <v>132</v>
      </c>
      <c r="E572" s="36">
        <f t="shared" si="43"/>
        <v>21160572.662245758</v>
      </c>
      <c r="F572" s="36">
        <v>18714.849999999999</v>
      </c>
      <c r="G572" s="58">
        <v>0</v>
      </c>
      <c r="H572" s="35">
        <f t="shared" si="44"/>
        <v>18714.849999999999</v>
      </c>
      <c r="I572" s="35">
        <f t="shared" si="41"/>
        <v>0</v>
      </c>
      <c r="J572" s="35">
        <f t="shared" si="42"/>
        <v>1148.0720578710177</v>
      </c>
      <c r="K572" s="45">
        <f t="shared" si="40"/>
        <v>21178139.44018789</v>
      </c>
    </row>
    <row r="573" spans="2:11">
      <c r="B573" s="43">
        <v>45376</v>
      </c>
      <c r="C573" s="32" t="s">
        <v>29</v>
      </c>
      <c r="D573" s="32" t="s">
        <v>132</v>
      </c>
      <c r="E573" s="36">
        <f t="shared" si="43"/>
        <v>21178139.44018789</v>
      </c>
      <c r="F573" s="36">
        <v>13412.84</v>
      </c>
      <c r="G573" s="58">
        <v>0</v>
      </c>
      <c r="H573" s="35">
        <f t="shared" si="44"/>
        <v>13412.84</v>
      </c>
      <c r="I573" s="35">
        <f t="shared" si="41"/>
        <v>0</v>
      </c>
      <c r="J573" s="35">
        <f t="shared" si="42"/>
        <v>1149.025147715234</v>
      </c>
      <c r="K573" s="45">
        <f t="shared" si="40"/>
        <v>21190403.255040176</v>
      </c>
    </row>
    <row r="574" spans="2:11">
      <c r="B574" s="43">
        <v>45376</v>
      </c>
      <c r="C574" s="32" t="s">
        <v>29</v>
      </c>
      <c r="D574" s="32" t="s">
        <v>134</v>
      </c>
      <c r="E574" s="36">
        <f t="shared" si="43"/>
        <v>21190403.255040176</v>
      </c>
      <c r="F574" s="36">
        <v>0</v>
      </c>
      <c r="G574" s="58">
        <v>-1853</v>
      </c>
      <c r="H574" s="35">
        <f t="shared" si="44"/>
        <v>-1853</v>
      </c>
      <c r="I574" s="35">
        <f t="shared" si="41"/>
        <v>0</v>
      </c>
      <c r="J574" s="35">
        <f t="shared" si="42"/>
        <v>1149.6905239968473</v>
      </c>
      <c r="K574" s="45">
        <f t="shared" si="40"/>
        <v>21187400.564516179</v>
      </c>
    </row>
    <row r="575" spans="2:11">
      <c r="B575" s="43">
        <v>45376</v>
      </c>
      <c r="C575" s="32" t="s">
        <v>29</v>
      </c>
      <c r="D575" s="32" t="s">
        <v>134</v>
      </c>
      <c r="E575" s="36">
        <f t="shared" si="43"/>
        <v>21187400.564516179</v>
      </c>
      <c r="F575" s="36">
        <v>0</v>
      </c>
      <c r="G575" s="58">
        <v>-17581</v>
      </c>
      <c r="H575" s="35">
        <f t="shared" si="44"/>
        <v>-17581</v>
      </c>
      <c r="I575" s="35">
        <f t="shared" si="41"/>
        <v>0</v>
      </c>
      <c r="J575" s="35">
        <f t="shared" si="42"/>
        <v>1149.5276122862779</v>
      </c>
      <c r="K575" s="45">
        <f t="shared" si="40"/>
        <v>21168670.036903892</v>
      </c>
    </row>
    <row r="576" spans="2:11">
      <c r="B576" s="43">
        <v>45377</v>
      </c>
      <c r="C576" s="32" t="s">
        <v>29</v>
      </c>
      <c r="D576" s="32" t="s">
        <v>132</v>
      </c>
      <c r="E576" s="36">
        <f t="shared" si="43"/>
        <v>21168670.036903892</v>
      </c>
      <c r="F576" s="36">
        <v>13846.33</v>
      </c>
      <c r="G576" s="58">
        <v>0</v>
      </c>
      <c r="H576" s="35">
        <f t="shared" si="44"/>
        <v>13846.33</v>
      </c>
      <c r="I576" s="35">
        <f t="shared" si="41"/>
        <v>0</v>
      </c>
      <c r="J576" s="35">
        <f t="shared" si="42"/>
        <v>2297.0227658367662</v>
      </c>
      <c r="K576" s="45">
        <f t="shared" si="40"/>
        <v>21180219.344138052</v>
      </c>
    </row>
    <row r="577" spans="2:11">
      <c r="B577" s="43">
        <v>45377</v>
      </c>
      <c r="C577" s="32" t="s">
        <v>25</v>
      </c>
      <c r="D577" s="32" t="s">
        <v>132</v>
      </c>
      <c r="E577" s="36">
        <f t="shared" si="43"/>
        <v>21180219.344138052</v>
      </c>
      <c r="F577" s="36">
        <v>18503.349999999999</v>
      </c>
      <c r="G577" s="58">
        <v>0</v>
      </c>
      <c r="H577" s="35">
        <f t="shared" si="44"/>
        <v>18503.349999999999</v>
      </c>
      <c r="I577" s="35">
        <f t="shared" si="41"/>
        <v>0</v>
      </c>
      <c r="J577" s="35">
        <f t="shared" si="42"/>
        <v>1149.1379934139943</v>
      </c>
      <c r="K577" s="45">
        <f t="shared" si="40"/>
        <v>21197573.55614464</v>
      </c>
    </row>
    <row r="578" spans="2:11">
      <c r="B578" s="43">
        <v>45377</v>
      </c>
      <c r="C578" s="32" t="s">
        <v>27</v>
      </c>
      <c r="D578" s="32" t="s">
        <v>132</v>
      </c>
      <c r="E578" s="36">
        <f t="shared" si="43"/>
        <v>21197573.55614464</v>
      </c>
      <c r="F578" s="36">
        <v>16436.939999999999</v>
      </c>
      <c r="G578" s="58">
        <v>0</v>
      </c>
      <c r="H578" s="35">
        <f t="shared" si="44"/>
        <v>16436.939999999999</v>
      </c>
      <c r="I578" s="35">
        <f t="shared" si="41"/>
        <v>0</v>
      </c>
      <c r="J578" s="35">
        <f t="shared" si="42"/>
        <v>1150.0795504412613</v>
      </c>
      <c r="K578" s="45">
        <f t="shared" si="40"/>
        <v>21212860.4165942</v>
      </c>
    </row>
    <row r="579" spans="2:11">
      <c r="B579" s="43">
        <v>45377</v>
      </c>
      <c r="C579" s="32" t="s">
        <v>27</v>
      </c>
      <c r="D579" s="32" t="s">
        <v>134</v>
      </c>
      <c r="E579" s="36">
        <f t="shared" si="43"/>
        <v>21212860.4165942</v>
      </c>
      <c r="F579" s="36">
        <v>0</v>
      </c>
      <c r="G579" s="58">
        <v>-2141</v>
      </c>
      <c r="H579" s="35">
        <f t="shared" si="44"/>
        <v>-2141</v>
      </c>
      <c r="I579" s="35">
        <f t="shared" si="41"/>
        <v>0</v>
      </c>
      <c r="J579" s="35">
        <f t="shared" si="42"/>
        <v>1150.9089428029354</v>
      </c>
      <c r="K579" s="45">
        <f t="shared" si="40"/>
        <v>21209568.507651396</v>
      </c>
    </row>
    <row r="580" spans="2:11">
      <c r="B580" s="43">
        <v>45377</v>
      </c>
      <c r="C580" s="32" t="s">
        <v>29</v>
      </c>
      <c r="D580" s="32" t="s">
        <v>134</v>
      </c>
      <c r="E580" s="36">
        <f t="shared" si="43"/>
        <v>21209568.507651396</v>
      </c>
      <c r="F580" s="36">
        <v>0</v>
      </c>
      <c r="G580" s="58">
        <v>-19801</v>
      </c>
      <c r="H580" s="35">
        <f t="shared" si="44"/>
        <v>-19801</v>
      </c>
      <c r="I580" s="35">
        <f t="shared" si="41"/>
        <v>0</v>
      </c>
      <c r="J580" s="35">
        <f t="shared" si="42"/>
        <v>1150.7303394761439</v>
      </c>
      <c r="K580" s="45">
        <f t="shared" si="40"/>
        <v>21188616.777311921</v>
      </c>
    </row>
    <row r="581" spans="2:11">
      <c r="B581" s="43">
        <v>45378</v>
      </c>
      <c r="C581" s="32" t="s">
        <v>27</v>
      </c>
      <c r="D581" s="32" t="s">
        <v>132</v>
      </c>
      <c r="E581" s="36">
        <f t="shared" si="43"/>
        <v>21188616.777311921</v>
      </c>
      <c r="F581" s="36">
        <v>15550.03</v>
      </c>
      <c r="G581" s="58">
        <v>0</v>
      </c>
      <c r="H581" s="35">
        <f t="shared" si="44"/>
        <v>15550.03</v>
      </c>
      <c r="I581" s="35">
        <f t="shared" si="41"/>
        <v>0</v>
      </c>
      <c r="J581" s="35">
        <f t="shared" si="42"/>
        <v>2299.1871964193961</v>
      </c>
      <c r="K581" s="45">
        <f t="shared" si="40"/>
        <v>21201867.620115504</v>
      </c>
    </row>
    <row r="582" spans="2:11">
      <c r="B582" s="43">
        <v>45378</v>
      </c>
      <c r="C582" s="32" t="s">
        <v>25</v>
      </c>
      <c r="D582" s="32" t="s">
        <v>132</v>
      </c>
      <c r="E582" s="36">
        <f t="shared" si="43"/>
        <v>21201867.620115504</v>
      </c>
      <c r="F582" s="36">
        <v>16113.44</v>
      </c>
      <c r="G582" s="58">
        <v>0</v>
      </c>
      <c r="H582" s="35">
        <f t="shared" si="44"/>
        <v>16113.44</v>
      </c>
      <c r="I582" s="35">
        <f t="shared" si="41"/>
        <v>0</v>
      </c>
      <c r="J582" s="35">
        <f t="shared" si="42"/>
        <v>1150.3125259348053</v>
      </c>
      <c r="K582" s="45">
        <f t="shared" si="40"/>
        <v>21216830.74758957</v>
      </c>
    </row>
    <row r="583" spans="2:11">
      <c r="B583" s="43">
        <v>45378</v>
      </c>
      <c r="C583" s="32" t="s">
        <v>25</v>
      </c>
      <c r="D583" s="32" t="s">
        <v>132</v>
      </c>
      <c r="E583" s="36">
        <f t="shared" si="43"/>
        <v>21216830.74758957</v>
      </c>
      <c r="F583" s="36">
        <v>16377.54</v>
      </c>
      <c r="G583" s="58">
        <v>0</v>
      </c>
      <c r="H583" s="35">
        <f t="shared" si="44"/>
        <v>16377.54</v>
      </c>
      <c r="I583" s="35">
        <f t="shared" si="41"/>
        <v>0</v>
      </c>
      <c r="J583" s="35">
        <f t="shared" si="42"/>
        <v>1151.1243540845219</v>
      </c>
      <c r="K583" s="45">
        <f t="shared" si="40"/>
        <v>21232057.163235486</v>
      </c>
    </row>
    <row r="584" spans="2:11">
      <c r="B584" s="43">
        <v>45378</v>
      </c>
      <c r="C584" s="32" t="s">
        <v>27</v>
      </c>
      <c r="D584" s="32" t="s">
        <v>132</v>
      </c>
      <c r="E584" s="36">
        <f t="shared" si="43"/>
        <v>21232057.163235486</v>
      </c>
      <c r="F584" s="36">
        <v>13448.13</v>
      </c>
      <c r="G584" s="58">
        <v>0</v>
      </c>
      <c r="H584" s="35">
        <f t="shared" si="44"/>
        <v>13448.13</v>
      </c>
      <c r="I584" s="35">
        <f t="shared" si="41"/>
        <v>0</v>
      </c>
      <c r="J584" s="35">
        <f t="shared" si="42"/>
        <v>1151.9504669985545</v>
      </c>
      <c r="K584" s="45">
        <f t="shared" ref="K584:K647" si="45">E584+H584+I584-J584</f>
        <v>21244353.342768487</v>
      </c>
    </row>
    <row r="585" spans="2:11">
      <c r="B585" s="43">
        <v>45378</v>
      </c>
      <c r="C585" s="32" t="s">
        <v>25</v>
      </c>
      <c r="D585" s="32" t="s">
        <v>132</v>
      </c>
      <c r="E585" s="36">
        <f t="shared" si="43"/>
        <v>21244353.342768487</v>
      </c>
      <c r="F585" s="36">
        <v>18090.849999999999</v>
      </c>
      <c r="G585" s="58">
        <v>0</v>
      </c>
      <c r="H585" s="35">
        <f t="shared" si="44"/>
        <v>18090.849999999999</v>
      </c>
      <c r="I585" s="35">
        <f t="shared" si="41"/>
        <v>0</v>
      </c>
      <c r="J585" s="35">
        <f t="shared" si="42"/>
        <v>1152.6175992338551</v>
      </c>
      <c r="K585" s="45">
        <f t="shared" si="45"/>
        <v>21261291.575169254</v>
      </c>
    </row>
    <row r="586" spans="2:11">
      <c r="B586" s="43">
        <v>45378</v>
      </c>
      <c r="C586" s="32" t="s">
        <v>29</v>
      </c>
      <c r="D586" s="32" t="s">
        <v>134</v>
      </c>
      <c r="E586" s="36">
        <f t="shared" si="43"/>
        <v>21261291.575169254</v>
      </c>
      <c r="F586" s="36">
        <v>0</v>
      </c>
      <c r="G586" s="58">
        <v>-6875.6</v>
      </c>
      <c r="H586" s="35">
        <f t="shared" si="44"/>
        <v>-6875.6</v>
      </c>
      <c r="I586" s="35">
        <f t="shared" si="41"/>
        <v>0</v>
      </c>
      <c r="J586" s="35">
        <f t="shared" si="42"/>
        <v>1153.53658718562</v>
      </c>
      <c r="K586" s="45">
        <f t="shared" si="45"/>
        <v>21253262.438582066</v>
      </c>
    </row>
    <row r="587" spans="2:11">
      <c r="B587" s="43">
        <v>45379</v>
      </c>
      <c r="C587" s="32" t="s">
        <v>25</v>
      </c>
      <c r="D587" s="32" t="s">
        <v>132</v>
      </c>
      <c r="E587" s="36">
        <f t="shared" si="43"/>
        <v>21253262.438582066</v>
      </c>
      <c r="F587" s="36">
        <v>13679.87</v>
      </c>
      <c r="G587" s="58">
        <v>0</v>
      </c>
      <c r="H587" s="35">
        <f t="shared" si="44"/>
        <v>13679.87</v>
      </c>
      <c r="I587" s="35">
        <f t="shared" si="41"/>
        <v>0</v>
      </c>
      <c r="J587" s="35">
        <f t="shared" si="42"/>
        <v>2306.2019288230485</v>
      </c>
      <c r="K587" s="45">
        <f t="shared" si="45"/>
        <v>21264636.106653243</v>
      </c>
    </row>
    <row r="588" spans="2:11">
      <c r="B588" s="43">
        <v>45379</v>
      </c>
      <c r="C588" s="32" t="s">
        <v>27</v>
      </c>
      <c r="D588" s="32" t="s">
        <v>132</v>
      </c>
      <c r="E588" s="36">
        <f t="shared" si="43"/>
        <v>21264636.106653243</v>
      </c>
      <c r="F588" s="36">
        <v>12180.36</v>
      </c>
      <c r="G588" s="58">
        <v>0</v>
      </c>
      <c r="H588" s="35">
        <f t="shared" si="44"/>
        <v>12180.36</v>
      </c>
      <c r="I588" s="35">
        <f t="shared" si="41"/>
        <v>0</v>
      </c>
      <c r="J588" s="35">
        <f t="shared" si="42"/>
        <v>1153.7180455612852</v>
      </c>
      <c r="K588" s="45">
        <f t="shared" si="45"/>
        <v>21275662.74860768</v>
      </c>
    </row>
    <row r="589" spans="2:11">
      <c r="B589" s="43">
        <v>45379</v>
      </c>
      <c r="C589" s="32" t="s">
        <v>25</v>
      </c>
      <c r="D589" s="32" t="s">
        <v>132</v>
      </c>
      <c r="E589" s="36">
        <f t="shared" si="43"/>
        <v>21275662.74860768</v>
      </c>
      <c r="F589" s="36">
        <v>16265.76</v>
      </c>
      <c r="G589" s="58">
        <v>0</v>
      </c>
      <c r="H589" s="35">
        <f t="shared" si="44"/>
        <v>16265.76</v>
      </c>
      <c r="I589" s="35">
        <f t="shared" si="41"/>
        <v>0</v>
      </c>
      <c r="J589" s="35">
        <f t="shared" si="42"/>
        <v>1154.3162987239996</v>
      </c>
      <c r="K589" s="45">
        <f t="shared" si="45"/>
        <v>21290774.192308959</v>
      </c>
    </row>
    <row r="590" spans="2:11">
      <c r="B590" s="43">
        <v>45379</v>
      </c>
      <c r="C590" s="32" t="s">
        <v>25</v>
      </c>
      <c r="D590" s="32" t="s">
        <v>132</v>
      </c>
      <c r="E590" s="36">
        <f t="shared" si="43"/>
        <v>21290774.192308959</v>
      </c>
      <c r="F590" s="36">
        <v>14557.19</v>
      </c>
      <c r="G590" s="58">
        <v>0</v>
      </c>
      <c r="H590" s="35">
        <f t="shared" si="44"/>
        <v>14557.19</v>
      </c>
      <c r="I590" s="35">
        <f t="shared" si="41"/>
        <v>0</v>
      </c>
      <c r="J590" s="35">
        <f t="shared" si="42"/>
        <v>1155.1361738069875</v>
      </c>
      <c r="K590" s="45">
        <f t="shared" si="45"/>
        <v>21304176.246135153</v>
      </c>
    </row>
    <row r="591" spans="2:11">
      <c r="B591" s="43">
        <v>45379</v>
      </c>
      <c r="C591" s="32" t="s">
        <v>25</v>
      </c>
      <c r="D591" s="32" t="s">
        <v>134</v>
      </c>
      <c r="E591" s="36">
        <f t="shared" si="43"/>
        <v>21304176.246135153</v>
      </c>
      <c r="F591" s="36">
        <v>0</v>
      </c>
      <c r="G591" s="58">
        <v>-20828</v>
      </c>
      <c r="H591" s="35">
        <f t="shared" si="44"/>
        <v>-20828</v>
      </c>
      <c r="I591" s="35">
        <f t="shared" si="41"/>
        <v>0</v>
      </c>
      <c r="J591" s="35">
        <f t="shared" si="42"/>
        <v>1155.8633055231999</v>
      </c>
      <c r="K591" s="45">
        <f t="shared" si="45"/>
        <v>21282192.382829629</v>
      </c>
    </row>
    <row r="592" spans="2:11">
      <c r="B592" s="43">
        <v>45379</v>
      </c>
      <c r="C592" s="32" t="s">
        <v>29</v>
      </c>
      <c r="D592" s="32" t="s">
        <v>134</v>
      </c>
      <c r="E592" s="36">
        <f t="shared" si="43"/>
        <v>21282192.382829629</v>
      </c>
      <c r="F592" s="36">
        <v>0</v>
      </c>
      <c r="G592" s="58">
        <v>-18398</v>
      </c>
      <c r="H592" s="35">
        <f t="shared" si="44"/>
        <v>-18398</v>
      </c>
      <c r="I592" s="35">
        <f t="shared" si="41"/>
        <v>0</v>
      </c>
      <c r="J592" s="35">
        <f t="shared" si="42"/>
        <v>1154.670565629626</v>
      </c>
      <c r="K592" s="45">
        <f t="shared" si="45"/>
        <v>21262639.712263998</v>
      </c>
    </row>
    <row r="593" spans="2:11">
      <c r="B593" s="43">
        <v>45380</v>
      </c>
      <c r="C593" s="32" t="s">
        <v>29</v>
      </c>
      <c r="D593" s="32" t="s">
        <v>132</v>
      </c>
      <c r="E593" s="36">
        <f t="shared" si="43"/>
        <v>21262639.712263998</v>
      </c>
      <c r="F593" s="36">
        <v>18175.27</v>
      </c>
      <c r="G593" s="58">
        <v>0</v>
      </c>
      <c r="H593" s="35">
        <f t="shared" si="44"/>
        <v>18175.27</v>
      </c>
      <c r="I593" s="35">
        <f t="shared" si="41"/>
        <v>0</v>
      </c>
      <c r="J593" s="35">
        <f t="shared" si="42"/>
        <v>2307.2194613884544</v>
      </c>
      <c r="K593" s="45">
        <f t="shared" si="45"/>
        <v>21278507.762802608</v>
      </c>
    </row>
    <row r="594" spans="2:11">
      <c r="B594" s="43">
        <v>45380</v>
      </c>
      <c r="C594" s="32" t="s">
        <v>25</v>
      </c>
      <c r="D594" s="32" t="s">
        <v>132</v>
      </c>
      <c r="E594" s="36">
        <f t="shared" si="43"/>
        <v>21278507.762802608</v>
      </c>
      <c r="F594" s="36">
        <v>14849.29</v>
      </c>
      <c r="G594" s="58">
        <v>0</v>
      </c>
      <c r="H594" s="35">
        <f t="shared" si="44"/>
        <v>14849.29</v>
      </c>
      <c r="I594" s="35">
        <f t="shared" si="41"/>
        <v>0</v>
      </c>
      <c r="J594" s="35">
        <f t="shared" si="42"/>
        <v>1154.4706556666767</v>
      </c>
      <c r="K594" s="45">
        <f t="shared" si="45"/>
        <v>21292202.582146939</v>
      </c>
    </row>
    <row r="595" spans="2:11">
      <c r="B595" s="43">
        <v>45380</v>
      </c>
      <c r="C595" s="32" t="s">
        <v>25</v>
      </c>
      <c r="D595" s="32" t="s">
        <v>132</v>
      </c>
      <c r="E595" s="36">
        <f t="shared" si="43"/>
        <v>21292202.582146939</v>
      </c>
      <c r="F595" s="36">
        <v>16630.080000000002</v>
      </c>
      <c r="G595" s="58">
        <v>0</v>
      </c>
      <c r="H595" s="35">
        <f t="shared" si="44"/>
        <v>16630.080000000002</v>
      </c>
      <c r="I595" s="35">
        <f t="shared" si="41"/>
        <v>0</v>
      </c>
      <c r="J595" s="35">
        <f t="shared" si="42"/>
        <v>1155.2136714478552</v>
      </c>
      <c r="K595" s="45">
        <f t="shared" si="45"/>
        <v>21307677.448475488</v>
      </c>
    </row>
    <row r="596" spans="2:11">
      <c r="B596" s="43">
        <v>45380</v>
      </c>
      <c r="C596" s="32" t="s">
        <v>29</v>
      </c>
      <c r="D596" s="32" t="s">
        <v>132</v>
      </c>
      <c r="E596" s="36">
        <f t="shared" si="43"/>
        <v>21307677.448475488</v>
      </c>
      <c r="F596" s="36">
        <v>13909.16</v>
      </c>
      <c r="G596" s="58">
        <v>0</v>
      </c>
      <c r="H596" s="35">
        <f t="shared" si="44"/>
        <v>13909.16</v>
      </c>
      <c r="I596" s="35">
        <f t="shared" ref="I596:I659" si="46">(($E596*Daily_Interest)*(_xlfn.DAYS(B596,B595)+1))+((IF(DAY($B595)&gt;Monthly_Cut_off_Date,0,Daily_Interest*H596))*(_xlfn.DAYS(B596,B595)+1))</f>
        <v>0</v>
      </c>
      <c r="J596" s="35">
        <f t="shared" ref="J596:J659" si="47">(($I596+E596)*Daily_Fees_Rate)*((_xlfn.DAYS(B596,B595)+1))</f>
        <v>1156.0532641145883</v>
      </c>
      <c r="K596" s="45">
        <f t="shared" si="45"/>
        <v>21320430.555211373</v>
      </c>
    </row>
    <row r="597" spans="2:11">
      <c r="B597" s="43">
        <v>45380</v>
      </c>
      <c r="C597" s="32" t="s">
        <v>25</v>
      </c>
      <c r="D597" s="32" t="s">
        <v>132</v>
      </c>
      <c r="E597" s="36">
        <f t="shared" ref="E597:E660" si="48">K596</f>
        <v>21320430.555211373</v>
      </c>
      <c r="F597" s="36">
        <v>18656.29</v>
      </c>
      <c r="G597" s="58">
        <v>0</v>
      </c>
      <c r="H597" s="35">
        <f t="shared" ref="H597:H660" si="49">SUM(F597:G597)</f>
        <v>18656.29</v>
      </c>
      <c r="I597" s="35">
        <f t="shared" si="46"/>
        <v>0</v>
      </c>
      <c r="J597" s="35">
        <f t="shared" si="47"/>
        <v>1156.7451870473092</v>
      </c>
      <c r="K597" s="45">
        <f t="shared" si="45"/>
        <v>21337930.100024324</v>
      </c>
    </row>
    <row r="598" spans="2:11">
      <c r="B598" s="43">
        <v>45380</v>
      </c>
      <c r="C598" s="32" t="s">
        <v>29</v>
      </c>
      <c r="D598" s="32" t="s">
        <v>134</v>
      </c>
      <c r="E598" s="36">
        <f t="shared" si="48"/>
        <v>21337930.100024324</v>
      </c>
      <c r="F598" s="36">
        <v>0</v>
      </c>
      <c r="G598" s="58">
        <v>-2569</v>
      </c>
      <c r="H598" s="35">
        <f t="shared" si="49"/>
        <v>-2569</v>
      </c>
      <c r="I598" s="35">
        <f t="shared" si="46"/>
        <v>0</v>
      </c>
      <c r="J598" s="35">
        <f t="shared" si="47"/>
        <v>1157.6946291416177</v>
      </c>
      <c r="K598" s="45">
        <f t="shared" si="45"/>
        <v>21334203.405395184</v>
      </c>
    </row>
    <row r="599" spans="2:11">
      <c r="B599" s="43">
        <v>45380</v>
      </c>
      <c r="C599" s="32" t="s">
        <v>29</v>
      </c>
      <c r="D599" s="32" t="s">
        <v>134</v>
      </c>
      <c r="E599" s="36">
        <f t="shared" si="48"/>
        <v>21334203.405395184</v>
      </c>
      <c r="F599" s="36">
        <v>0</v>
      </c>
      <c r="G599" s="58">
        <v>-5406</v>
      </c>
      <c r="H599" s="35">
        <f t="shared" si="49"/>
        <v>-5406</v>
      </c>
      <c r="I599" s="35">
        <f t="shared" si="46"/>
        <v>0</v>
      </c>
      <c r="J599" s="35">
        <f t="shared" si="47"/>
        <v>1157.4924364108149</v>
      </c>
      <c r="K599" s="45">
        <f t="shared" si="45"/>
        <v>21327639.912958775</v>
      </c>
    </row>
    <row r="600" spans="2:11">
      <c r="B600" s="43">
        <v>45381</v>
      </c>
      <c r="C600" s="32" t="s">
        <v>27</v>
      </c>
      <c r="D600" s="32" t="s">
        <v>132</v>
      </c>
      <c r="E600" s="36">
        <f t="shared" si="48"/>
        <v>21327639.912958775</v>
      </c>
      <c r="F600" s="36">
        <v>11399.11</v>
      </c>
      <c r="G600" s="58">
        <v>0</v>
      </c>
      <c r="H600" s="35">
        <f t="shared" si="49"/>
        <v>11399.11</v>
      </c>
      <c r="I600" s="35">
        <f t="shared" si="46"/>
        <v>0</v>
      </c>
      <c r="J600" s="35">
        <f t="shared" si="47"/>
        <v>2314.2726650389232</v>
      </c>
      <c r="K600" s="45">
        <f t="shared" si="45"/>
        <v>21336724.750293735</v>
      </c>
    </row>
    <row r="601" spans="2:11">
      <c r="B601" s="43">
        <v>45381</v>
      </c>
      <c r="C601" s="32" t="s">
        <v>25</v>
      </c>
      <c r="D601" s="32" t="s">
        <v>132</v>
      </c>
      <c r="E601" s="36">
        <f t="shared" si="48"/>
        <v>21336724.750293735</v>
      </c>
      <c r="F601" s="36">
        <v>12807.21</v>
      </c>
      <c r="G601" s="58">
        <v>0</v>
      </c>
      <c r="H601" s="35">
        <f t="shared" si="49"/>
        <v>12807.21</v>
      </c>
      <c r="I601" s="35">
        <f t="shared" si="46"/>
        <v>0</v>
      </c>
      <c r="J601" s="35">
        <f t="shared" si="47"/>
        <v>1157.629232596461</v>
      </c>
      <c r="K601" s="45">
        <f t="shared" si="45"/>
        <v>21348374.33106114</v>
      </c>
    </row>
    <row r="602" spans="2:11">
      <c r="B602" s="43">
        <v>45381</v>
      </c>
      <c r="C602" s="32" t="s">
        <v>25</v>
      </c>
      <c r="D602" s="32" t="s">
        <v>134</v>
      </c>
      <c r="E602" s="36">
        <f t="shared" si="48"/>
        <v>21348374.33106114</v>
      </c>
      <c r="F602" s="36">
        <v>0</v>
      </c>
      <c r="G602" s="58">
        <v>-10634.18</v>
      </c>
      <c r="H602" s="35">
        <f t="shared" si="49"/>
        <v>-10634.18</v>
      </c>
      <c r="I602" s="35">
        <f t="shared" si="46"/>
        <v>0</v>
      </c>
      <c r="J602" s="35">
        <f t="shared" si="47"/>
        <v>1158.261283457203</v>
      </c>
      <c r="K602" s="45">
        <f t="shared" si="45"/>
        <v>21336581.889777683</v>
      </c>
    </row>
    <row r="603" spans="2:11">
      <c r="B603" s="43">
        <v>45381</v>
      </c>
      <c r="C603" s="32" t="s">
        <v>25</v>
      </c>
      <c r="D603" s="32" t="s">
        <v>134</v>
      </c>
      <c r="E603" s="36">
        <f t="shared" si="48"/>
        <v>21336581.889777683</v>
      </c>
      <c r="F603" s="36">
        <v>0</v>
      </c>
      <c r="G603" s="58">
        <v>-6538.71</v>
      </c>
      <c r="H603" s="35">
        <f t="shared" si="49"/>
        <v>-6538.71</v>
      </c>
      <c r="I603" s="35">
        <f t="shared" si="46"/>
        <v>0</v>
      </c>
      <c r="J603" s="35">
        <f t="shared" si="47"/>
        <v>1157.6214816641364</v>
      </c>
      <c r="K603" s="45">
        <f t="shared" si="45"/>
        <v>21328885.558296017</v>
      </c>
    </row>
    <row r="604" spans="2:11">
      <c r="B604" s="43">
        <v>45381</v>
      </c>
      <c r="C604" s="32" t="s">
        <v>27</v>
      </c>
      <c r="D604" s="32" t="s">
        <v>134</v>
      </c>
      <c r="E604" s="36">
        <f t="shared" si="48"/>
        <v>21328885.558296017</v>
      </c>
      <c r="F604" s="36">
        <v>0</v>
      </c>
      <c r="G604" s="58">
        <v>-16410</v>
      </c>
      <c r="H604" s="35">
        <f t="shared" si="49"/>
        <v>-16410</v>
      </c>
      <c r="I604" s="35">
        <f t="shared" si="46"/>
        <v>0</v>
      </c>
      <c r="J604" s="35">
        <f t="shared" si="47"/>
        <v>1157.203915312637</v>
      </c>
      <c r="K604" s="45">
        <f t="shared" si="45"/>
        <v>21311318.354380704</v>
      </c>
    </row>
    <row r="605" spans="2:11">
      <c r="B605" s="43">
        <v>45381</v>
      </c>
      <c r="C605" s="32" t="s">
        <v>27</v>
      </c>
      <c r="D605" s="32" t="s">
        <v>134</v>
      </c>
      <c r="E605" s="36">
        <f t="shared" si="48"/>
        <v>21311318.354380704</v>
      </c>
      <c r="F605" s="36">
        <v>0</v>
      </c>
      <c r="G605" s="58">
        <v>-13840</v>
      </c>
      <c r="H605" s="35">
        <f t="shared" si="49"/>
        <v>-13840</v>
      </c>
      <c r="I605" s="35">
        <f t="shared" si="46"/>
        <v>0</v>
      </c>
      <c r="J605" s="35">
        <f t="shared" si="47"/>
        <v>1156.2508023571413</v>
      </c>
      <c r="K605" s="45">
        <f t="shared" si="45"/>
        <v>21296322.103578348</v>
      </c>
    </row>
    <row r="606" spans="2:11">
      <c r="B606" s="43">
        <v>45381</v>
      </c>
      <c r="C606" s="32" t="s">
        <v>25</v>
      </c>
      <c r="D606" s="32" t="s">
        <v>134</v>
      </c>
      <c r="E606" s="36">
        <f t="shared" si="48"/>
        <v>21296322.103578348</v>
      </c>
      <c r="F606" s="36">
        <v>0</v>
      </c>
      <c r="G606" s="58">
        <v>-8057</v>
      </c>
      <c r="H606" s="35">
        <f t="shared" si="49"/>
        <v>-8057</v>
      </c>
      <c r="I606" s="35">
        <f t="shared" si="46"/>
        <v>0</v>
      </c>
      <c r="J606" s="35">
        <f t="shared" si="47"/>
        <v>1155.437177093127</v>
      </c>
      <c r="K606" s="45">
        <f t="shared" si="45"/>
        <v>21287109.666401256</v>
      </c>
    </row>
    <row r="607" spans="2:11">
      <c r="B607" s="43">
        <v>45381</v>
      </c>
      <c r="C607" s="32" t="s">
        <v>27</v>
      </c>
      <c r="D607" s="32" t="s">
        <v>134</v>
      </c>
      <c r="E607" s="36">
        <f t="shared" si="48"/>
        <v>21287109.666401256</v>
      </c>
      <c r="F607" s="36">
        <v>0</v>
      </c>
      <c r="G607" s="58">
        <v>-17247</v>
      </c>
      <c r="H607" s="35">
        <f t="shared" si="49"/>
        <v>-17247</v>
      </c>
      <c r="I607" s="35">
        <f t="shared" si="46"/>
        <v>0</v>
      </c>
      <c r="J607" s="35">
        <f t="shared" si="47"/>
        <v>1154.9373540554084</v>
      </c>
      <c r="K607" s="45">
        <f t="shared" si="45"/>
        <v>21268707.729047202</v>
      </c>
    </row>
    <row r="608" spans="2:11">
      <c r="B608" s="43">
        <v>45381</v>
      </c>
      <c r="C608" s="32" t="s">
        <v>27</v>
      </c>
      <c r="D608" s="32" t="s">
        <v>134</v>
      </c>
      <c r="E608" s="36">
        <f t="shared" si="48"/>
        <v>21268707.729047202</v>
      </c>
      <c r="F608" s="36">
        <v>0</v>
      </c>
      <c r="G608" s="58">
        <v>-18088</v>
      </c>
      <c r="H608" s="35">
        <f t="shared" si="49"/>
        <v>-18088</v>
      </c>
      <c r="I608" s="35">
        <f t="shared" si="46"/>
        <v>0</v>
      </c>
      <c r="J608" s="35">
        <f t="shared" si="47"/>
        <v>1153.9389524325366</v>
      </c>
      <c r="K608" s="45">
        <f t="shared" si="45"/>
        <v>21249465.79009477</v>
      </c>
    </row>
    <row r="609" spans="2:11">
      <c r="B609" s="43">
        <v>45381</v>
      </c>
      <c r="C609" s="32" t="s">
        <v>29</v>
      </c>
      <c r="D609" s="32" t="s">
        <v>134</v>
      </c>
      <c r="E609" s="36">
        <f t="shared" si="48"/>
        <v>21249465.79009477</v>
      </c>
      <c r="F609" s="36">
        <v>0</v>
      </c>
      <c r="G609" s="58">
        <v>-20722</v>
      </c>
      <c r="H609" s="35">
        <f t="shared" si="49"/>
        <v>-20722</v>
      </c>
      <c r="I609" s="35">
        <f t="shared" si="46"/>
        <v>0</v>
      </c>
      <c r="J609" s="35">
        <f t="shared" si="47"/>
        <v>1152.894976316996</v>
      </c>
      <c r="K609" s="45">
        <f t="shared" si="45"/>
        <v>21227590.895118453</v>
      </c>
    </row>
    <row r="610" spans="2:11">
      <c r="B610" s="43">
        <v>45382</v>
      </c>
      <c r="C610" s="32" t="s">
        <v>27</v>
      </c>
      <c r="D610" s="32" t="s">
        <v>132</v>
      </c>
      <c r="E610" s="36">
        <f t="shared" si="48"/>
        <v>21227590.895118453</v>
      </c>
      <c r="F610" s="36">
        <v>15649.38</v>
      </c>
      <c r="G610" s="58">
        <v>0</v>
      </c>
      <c r="H610" s="35">
        <f t="shared" si="49"/>
        <v>15649.38</v>
      </c>
      <c r="I610" s="35">
        <f t="shared" si="46"/>
        <v>0</v>
      </c>
      <c r="J610" s="35">
        <f t="shared" si="47"/>
        <v>2303.4162970536795</v>
      </c>
      <c r="K610" s="45">
        <f t="shared" si="45"/>
        <v>21240936.8588214</v>
      </c>
    </row>
    <row r="611" spans="2:11">
      <c r="B611" s="43">
        <v>45382</v>
      </c>
      <c r="C611" s="32" t="s">
        <v>25</v>
      </c>
      <c r="D611" s="32" t="s">
        <v>132</v>
      </c>
      <c r="E611" s="36">
        <f t="shared" si="48"/>
        <v>21240936.8588214</v>
      </c>
      <c r="F611" s="36">
        <v>13131.9</v>
      </c>
      <c r="G611" s="58">
        <v>0</v>
      </c>
      <c r="H611" s="35">
        <f t="shared" si="49"/>
        <v>13131.9</v>
      </c>
      <c r="I611" s="35">
        <f t="shared" si="46"/>
        <v>0</v>
      </c>
      <c r="J611" s="35">
        <f t="shared" si="47"/>
        <v>1152.4322370596635</v>
      </c>
      <c r="K611" s="45">
        <f t="shared" si="45"/>
        <v>21252916.326584339</v>
      </c>
    </row>
    <row r="612" spans="2:11">
      <c r="B612" s="43">
        <v>45382</v>
      </c>
      <c r="C612" s="32" t="s">
        <v>27</v>
      </c>
      <c r="D612" s="32" t="s">
        <v>132</v>
      </c>
      <c r="E612" s="36">
        <f t="shared" si="48"/>
        <v>21252916.326584339</v>
      </c>
      <c r="F612" s="36">
        <v>12680.97</v>
      </c>
      <c r="G612" s="58">
        <v>0</v>
      </c>
      <c r="H612" s="35">
        <f t="shared" si="49"/>
        <v>12680.97</v>
      </c>
      <c r="I612" s="35">
        <f t="shared" si="46"/>
        <v>0</v>
      </c>
      <c r="J612" s="35">
        <f t="shared" si="47"/>
        <v>1153.0821860202288</v>
      </c>
      <c r="K612" s="45">
        <f t="shared" si="45"/>
        <v>21264444.214398317</v>
      </c>
    </row>
    <row r="613" spans="2:11">
      <c r="B613" s="43">
        <v>45382</v>
      </c>
      <c r="C613" s="32" t="s">
        <v>27</v>
      </c>
      <c r="D613" s="32" t="s">
        <v>132</v>
      </c>
      <c r="E613" s="36">
        <f t="shared" si="48"/>
        <v>21264444.214398317</v>
      </c>
      <c r="F613" s="36">
        <v>15105.79</v>
      </c>
      <c r="G613" s="58">
        <v>0</v>
      </c>
      <c r="H613" s="35">
        <f t="shared" si="49"/>
        <v>15105.79</v>
      </c>
      <c r="I613" s="35">
        <f t="shared" si="46"/>
        <v>0</v>
      </c>
      <c r="J613" s="35">
        <f t="shared" si="47"/>
        <v>1153.7076343999465</v>
      </c>
      <c r="K613" s="45">
        <f t="shared" si="45"/>
        <v>21278396.296763916</v>
      </c>
    </row>
    <row r="614" spans="2:11">
      <c r="B614" s="43">
        <v>45382</v>
      </c>
      <c r="C614" s="32" t="s">
        <v>27</v>
      </c>
      <c r="D614" s="32" t="s">
        <v>132</v>
      </c>
      <c r="E614" s="36">
        <f t="shared" si="48"/>
        <v>21278396.296763916</v>
      </c>
      <c r="F614" s="36">
        <v>14833.25</v>
      </c>
      <c r="G614" s="58">
        <v>0</v>
      </c>
      <c r="H614" s="35">
        <f t="shared" si="49"/>
        <v>14833.25</v>
      </c>
      <c r="I614" s="35">
        <f t="shared" si="46"/>
        <v>0</v>
      </c>
      <c r="J614" s="35">
        <f t="shared" si="47"/>
        <v>1154.4646080494188</v>
      </c>
      <c r="K614" s="45">
        <f t="shared" si="45"/>
        <v>21292075.082155865</v>
      </c>
    </row>
    <row r="615" spans="2:11">
      <c r="B615" s="43">
        <v>45382</v>
      </c>
      <c r="C615" s="32" t="s">
        <v>27</v>
      </c>
      <c r="D615" s="32" t="s">
        <v>132</v>
      </c>
      <c r="E615" s="36">
        <f t="shared" si="48"/>
        <v>21292075.082155865</v>
      </c>
      <c r="F615" s="36">
        <v>11437.2</v>
      </c>
      <c r="G615" s="58">
        <v>0</v>
      </c>
      <c r="H615" s="35">
        <f t="shared" si="49"/>
        <v>11437.2</v>
      </c>
      <c r="I615" s="35">
        <f t="shared" si="46"/>
        <v>0</v>
      </c>
      <c r="J615" s="35">
        <f t="shared" si="47"/>
        <v>1155.2067539045793</v>
      </c>
      <c r="K615" s="45">
        <f t="shared" si="45"/>
        <v>21302357.075401958</v>
      </c>
    </row>
    <row r="616" spans="2:11">
      <c r="B616" s="43">
        <v>45382</v>
      </c>
      <c r="C616" s="32" t="s">
        <v>29</v>
      </c>
      <c r="D616" s="32" t="s">
        <v>134</v>
      </c>
      <c r="E616" s="36">
        <f t="shared" si="48"/>
        <v>21302357.075401958</v>
      </c>
      <c r="F616" s="36">
        <v>0</v>
      </c>
      <c r="G616" s="58">
        <v>-7230.56</v>
      </c>
      <c r="H616" s="35">
        <f t="shared" si="49"/>
        <v>-7230.56</v>
      </c>
      <c r="I616" s="35">
        <f t="shared" si="46"/>
        <v>0</v>
      </c>
      <c r="J616" s="35">
        <f t="shared" si="47"/>
        <v>1155.7646059690519</v>
      </c>
      <c r="K616" s="45">
        <f t="shared" si="45"/>
        <v>21293970.75079599</v>
      </c>
    </row>
    <row r="617" spans="2:11">
      <c r="B617" s="43">
        <v>45382</v>
      </c>
      <c r="C617" s="32" t="s">
        <v>25</v>
      </c>
      <c r="D617" s="32" t="s">
        <v>134</v>
      </c>
      <c r="E617" s="36">
        <f t="shared" si="48"/>
        <v>21293970.75079599</v>
      </c>
      <c r="F617" s="36">
        <v>0</v>
      </c>
      <c r="G617" s="58">
        <v>-11026</v>
      </c>
      <c r="H617" s="35">
        <f t="shared" si="49"/>
        <v>-11026</v>
      </c>
      <c r="I617" s="35">
        <f t="shared" si="46"/>
        <v>0</v>
      </c>
      <c r="J617" s="35">
        <f t="shared" si="47"/>
        <v>1155.3096038714232</v>
      </c>
      <c r="K617" s="45">
        <f t="shared" si="45"/>
        <v>21281789.44119212</v>
      </c>
    </row>
    <row r="618" spans="2:11">
      <c r="B618" s="43">
        <v>45382</v>
      </c>
      <c r="C618" s="32" t="s">
        <v>25</v>
      </c>
      <c r="D618" s="32" t="s">
        <v>134</v>
      </c>
      <c r="E618" s="36">
        <f t="shared" si="48"/>
        <v>21281789.44119212</v>
      </c>
      <c r="F618" s="36">
        <v>0</v>
      </c>
      <c r="G618" s="58">
        <v>-10644</v>
      </c>
      <c r="H618" s="35">
        <f t="shared" si="49"/>
        <v>-10644</v>
      </c>
      <c r="I618" s="35">
        <f t="shared" si="46"/>
        <v>0</v>
      </c>
      <c r="J618" s="35">
        <f t="shared" si="47"/>
        <v>1154.648703932291</v>
      </c>
      <c r="K618" s="45">
        <f t="shared" si="45"/>
        <v>21269990.792488188</v>
      </c>
    </row>
    <row r="619" spans="2:11">
      <c r="B619" s="43">
        <v>45382</v>
      </c>
      <c r="C619" s="32" t="s">
        <v>29</v>
      </c>
      <c r="D619" s="32" t="s">
        <v>134</v>
      </c>
      <c r="E619" s="36">
        <f t="shared" si="48"/>
        <v>21269990.792488188</v>
      </c>
      <c r="F619" s="36">
        <v>0</v>
      </c>
      <c r="G619" s="58">
        <v>-13933</v>
      </c>
      <c r="H619" s="35">
        <f t="shared" si="49"/>
        <v>-13933</v>
      </c>
      <c r="I619" s="35">
        <f t="shared" si="46"/>
        <v>0</v>
      </c>
      <c r="J619" s="35">
        <f t="shared" si="47"/>
        <v>1154.0085653541046</v>
      </c>
      <c r="K619" s="45">
        <f t="shared" si="45"/>
        <v>21254903.783922832</v>
      </c>
    </row>
    <row r="620" spans="2:11">
      <c r="B620" s="43">
        <v>45382</v>
      </c>
      <c r="C620" s="32" t="s">
        <v>29</v>
      </c>
      <c r="D620" s="32" t="s">
        <v>134</v>
      </c>
      <c r="E620" s="36">
        <f t="shared" si="48"/>
        <v>21254903.783922832</v>
      </c>
      <c r="F620" s="36">
        <v>0</v>
      </c>
      <c r="G620" s="58">
        <v>-5055</v>
      </c>
      <c r="H620" s="35">
        <f t="shared" si="49"/>
        <v>-5055</v>
      </c>
      <c r="I620" s="35">
        <f t="shared" si="46"/>
        <v>0</v>
      </c>
      <c r="J620" s="35">
        <f t="shared" si="47"/>
        <v>1153.1900160054072</v>
      </c>
      <c r="K620" s="45">
        <f t="shared" si="45"/>
        <v>21248695.593906827</v>
      </c>
    </row>
    <row r="621" spans="2:11">
      <c r="B621" s="43">
        <v>45382</v>
      </c>
      <c r="C621" s="32" t="s">
        <v>27</v>
      </c>
      <c r="D621" s="32" t="s">
        <v>134</v>
      </c>
      <c r="E621" s="36">
        <f t="shared" si="48"/>
        <v>21248695.593906827</v>
      </c>
      <c r="F621" s="36">
        <v>0</v>
      </c>
      <c r="G621" s="58">
        <v>-6434</v>
      </c>
      <c r="H621" s="35">
        <f t="shared" si="49"/>
        <v>-6434</v>
      </c>
      <c r="I621" s="35">
        <f t="shared" si="46"/>
        <v>0</v>
      </c>
      <c r="J621" s="35">
        <f t="shared" si="47"/>
        <v>1152.8531891339849</v>
      </c>
      <c r="K621" s="45">
        <f t="shared" si="45"/>
        <v>21241108.740717694</v>
      </c>
    </row>
    <row r="622" spans="2:11">
      <c r="B622" s="43">
        <v>45382</v>
      </c>
      <c r="C622" s="32" t="s">
        <v>27</v>
      </c>
      <c r="D622" s="32" t="s">
        <v>134</v>
      </c>
      <c r="E622" s="36">
        <f t="shared" si="48"/>
        <v>21241108.740717694</v>
      </c>
      <c r="F622" s="36">
        <v>0</v>
      </c>
      <c r="G622" s="58">
        <v>-13323</v>
      </c>
      <c r="H622" s="35">
        <f t="shared" si="49"/>
        <v>-13323</v>
      </c>
      <c r="I622" s="35">
        <f t="shared" si="46"/>
        <v>0</v>
      </c>
      <c r="J622" s="35">
        <f t="shared" si="47"/>
        <v>1152.4415625540883</v>
      </c>
      <c r="K622" s="45">
        <f t="shared" si="45"/>
        <v>21226633.299155138</v>
      </c>
    </row>
    <row r="623" spans="2:11">
      <c r="B623" s="43">
        <v>45382</v>
      </c>
      <c r="C623" s="32" t="s">
        <v>29</v>
      </c>
      <c r="D623" s="32" t="s">
        <v>134</v>
      </c>
      <c r="E623" s="36">
        <f t="shared" si="48"/>
        <v>21226633.299155138</v>
      </c>
      <c r="F623" s="36">
        <v>0</v>
      </c>
      <c r="G623" s="58">
        <v>-11137</v>
      </c>
      <c r="H623" s="35">
        <f t="shared" si="49"/>
        <v>-11137</v>
      </c>
      <c r="I623" s="35">
        <f t="shared" si="46"/>
        <v>0</v>
      </c>
      <c r="J623" s="35">
        <f t="shared" si="47"/>
        <v>1151.6561939230698</v>
      </c>
      <c r="K623" s="45">
        <f t="shared" si="45"/>
        <v>21214344.642961215</v>
      </c>
    </row>
    <row r="624" spans="2:11">
      <c r="B624" s="43">
        <v>45382</v>
      </c>
      <c r="C624" s="32" t="s">
        <v>25</v>
      </c>
      <c r="D624" s="32" t="s">
        <v>134</v>
      </c>
      <c r="E624" s="36">
        <f t="shared" si="48"/>
        <v>21214344.642961215</v>
      </c>
      <c r="F624" s="36">
        <v>0</v>
      </c>
      <c r="G624" s="58">
        <v>-12746</v>
      </c>
      <c r="H624" s="35">
        <f t="shared" si="49"/>
        <v>-12746</v>
      </c>
      <c r="I624" s="35">
        <f t="shared" si="46"/>
        <v>0</v>
      </c>
      <c r="J624" s="35">
        <f t="shared" si="47"/>
        <v>1150.9894698683754</v>
      </c>
      <c r="K624" s="45">
        <f t="shared" si="45"/>
        <v>21200447.653491348</v>
      </c>
    </row>
    <row r="625" spans="2:11">
      <c r="B625" s="43">
        <v>45382</v>
      </c>
      <c r="C625" s="32" t="s">
        <v>25</v>
      </c>
      <c r="D625" s="32" t="s">
        <v>134</v>
      </c>
      <c r="E625" s="36">
        <f t="shared" si="48"/>
        <v>21200447.653491348</v>
      </c>
      <c r="F625" s="36">
        <v>0</v>
      </c>
      <c r="G625" s="58">
        <v>-13675</v>
      </c>
      <c r="H625" s="35">
        <f t="shared" si="49"/>
        <v>-13675</v>
      </c>
      <c r="I625" s="35">
        <f t="shared" si="46"/>
        <v>0</v>
      </c>
      <c r="J625" s="35">
        <f t="shared" si="47"/>
        <v>1150.2354852974688</v>
      </c>
      <c r="K625" s="45">
        <f t="shared" si="45"/>
        <v>21185622.418006051</v>
      </c>
    </row>
    <row r="626" spans="2:11">
      <c r="B626" s="43">
        <v>45382</v>
      </c>
      <c r="C626" s="32" t="s">
        <v>25</v>
      </c>
      <c r="D626" s="32" t="s">
        <v>134</v>
      </c>
      <c r="E626" s="36">
        <f t="shared" si="48"/>
        <v>21185622.418006051</v>
      </c>
      <c r="F626" s="36">
        <v>0</v>
      </c>
      <c r="G626" s="58">
        <v>-18314</v>
      </c>
      <c r="H626" s="35">
        <f t="shared" si="49"/>
        <v>-18314</v>
      </c>
      <c r="I626" s="35">
        <f t="shared" si="46"/>
        <v>0</v>
      </c>
      <c r="J626" s="35">
        <f t="shared" si="47"/>
        <v>1149.4311385114108</v>
      </c>
      <c r="K626" s="45">
        <f t="shared" si="45"/>
        <v>21166158.98686754</v>
      </c>
    </row>
    <row r="627" spans="2:11">
      <c r="B627" s="43">
        <v>45382</v>
      </c>
      <c r="C627" s="32" t="s">
        <v>25</v>
      </c>
      <c r="D627" s="32" t="s">
        <v>134</v>
      </c>
      <c r="E627" s="36">
        <f t="shared" si="48"/>
        <v>21166158.98686754</v>
      </c>
      <c r="F627" s="36">
        <v>0</v>
      </c>
      <c r="G627" s="58">
        <v>-6933</v>
      </c>
      <c r="H627" s="35">
        <f t="shared" si="49"/>
        <v>-6933</v>
      </c>
      <c r="I627" s="35">
        <f t="shared" si="46"/>
        <v>0</v>
      </c>
      <c r="J627" s="35">
        <f t="shared" si="47"/>
        <v>1148.3751452830095</v>
      </c>
      <c r="K627" s="45">
        <f t="shared" si="45"/>
        <v>21158077.611722257</v>
      </c>
    </row>
    <row r="628" spans="2:11">
      <c r="B628" s="43">
        <v>45383</v>
      </c>
      <c r="C628" s="32" t="s">
        <v>29</v>
      </c>
      <c r="D628" s="32" t="s">
        <v>132</v>
      </c>
      <c r="E628" s="36">
        <f t="shared" si="48"/>
        <v>21158077.611722257</v>
      </c>
      <c r="F628" s="36">
        <v>19885.849999999999</v>
      </c>
      <c r="G628" s="58">
        <v>0</v>
      </c>
      <c r="H628" s="35">
        <f t="shared" si="49"/>
        <v>19885.849999999999</v>
      </c>
      <c r="I628" s="35">
        <f t="shared" si="46"/>
        <v>0</v>
      </c>
      <c r="J628" s="35">
        <f t="shared" si="47"/>
        <v>2295.8733765862735</v>
      </c>
      <c r="K628" s="45">
        <f t="shared" si="45"/>
        <v>21175667.588345673</v>
      </c>
    </row>
    <row r="629" spans="2:11">
      <c r="B629" s="43">
        <v>45383</v>
      </c>
      <c r="C629" s="32" t="s">
        <v>29</v>
      </c>
      <c r="D629" s="32" t="s">
        <v>134</v>
      </c>
      <c r="E629" s="36">
        <f t="shared" si="48"/>
        <v>21175667.588345673</v>
      </c>
      <c r="F629" s="36">
        <v>0</v>
      </c>
      <c r="G629" s="58">
        <v>-1694.43</v>
      </c>
      <c r="H629" s="35">
        <f t="shared" si="49"/>
        <v>-1694.43</v>
      </c>
      <c r="I629" s="35">
        <f t="shared" si="46"/>
        <v>0</v>
      </c>
      <c r="J629" s="35">
        <f t="shared" si="47"/>
        <v>1148.8910367874939</v>
      </c>
      <c r="K629" s="45">
        <f t="shared" si="45"/>
        <v>21172824.267308887</v>
      </c>
    </row>
    <row r="630" spans="2:11">
      <c r="B630" s="43">
        <v>45383</v>
      </c>
      <c r="C630" s="32" t="s">
        <v>25</v>
      </c>
      <c r="D630" s="32" t="s">
        <v>134</v>
      </c>
      <c r="E630" s="36">
        <f t="shared" si="48"/>
        <v>21172824.267308887</v>
      </c>
      <c r="F630" s="36">
        <v>0</v>
      </c>
      <c r="G630" s="58">
        <v>-18654</v>
      </c>
      <c r="H630" s="35">
        <f t="shared" si="49"/>
        <v>-18654</v>
      </c>
      <c r="I630" s="35">
        <f t="shared" si="46"/>
        <v>0</v>
      </c>
      <c r="J630" s="35">
        <f t="shared" si="47"/>
        <v>1148.7367717075269</v>
      </c>
      <c r="K630" s="45">
        <f t="shared" si="45"/>
        <v>21153021.530537181</v>
      </c>
    </row>
    <row r="631" spans="2:11">
      <c r="B631" s="43">
        <v>45383</v>
      </c>
      <c r="C631" s="32" t="s">
        <v>25</v>
      </c>
      <c r="D631" s="32" t="s">
        <v>134</v>
      </c>
      <c r="E631" s="36">
        <f t="shared" si="48"/>
        <v>21153021.530537181</v>
      </c>
      <c r="F631" s="36">
        <v>0</v>
      </c>
      <c r="G631" s="58">
        <v>-6404</v>
      </c>
      <c r="H631" s="35">
        <f t="shared" si="49"/>
        <v>-6404</v>
      </c>
      <c r="I631" s="35">
        <f t="shared" si="46"/>
        <v>0</v>
      </c>
      <c r="J631" s="35">
        <f t="shared" si="47"/>
        <v>1147.6623693688068</v>
      </c>
      <c r="K631" s="45">
        <f t="shared" si="45"/>
        <v>21145469.86816781</v>
      </c>
    </row>
    <row r="632" spans="2:11">
      <c r="B632" s="43">
        <v>45384</v>
      </c>
      <c r="C632" s="32" t="s">
        <v>25</v>
      </c>
      <c r="D632" s="32" t="s">
        <v>132</v>
      </c>
      <c r="E632" s="36">
        <f t="shared" si="48"/>
        <v>21145469.86816781</v>
      </c>
      <c r="F632" s="36">
        <v>15543.06</v>
      </c>
      <c r="G632" s="58">
        <v>0</v>
      </c>
      <c r="H632" s="35">
        <f t="shared" si="49"/>
        <v>15543.06</v>
      </c>
      <c r="I632" s="35">
        <f t="shared" si="46"/>
        <v>0</v>
      </c>
      <c r="J632" s="35">
        <f t="shared" si="47"/>
        <v>2294.5053041509291</v>
      </c>
      <c r="K632" s="45">
        <f t="shared" si="45"/>
        <v>21158718.422863659</v>
      </c>
    </row>
    <row r="633" spans="2:11">
      <c r="B633" s="43">
        <v>45384</v>
      </c>
      <c r="C633" s="32" t="s">
        <v>29</v>
      </c>
      <c r="D633" s="32" t="s">
        <v>134</v>
      </c>
      <c r="E633" s="36">
        <f t="shared" si="48"/>
        <v>21158718.422863659</v>
      </c>
      <c r="F633" s="36">
        <v>0</v>
      </c>
      <c r="G633" s="58">
        <v>-9385.9500000000007</v>
      </c>
      <c r="H633" s="35">
        <f t="shared" si="49"/>
        <v>-9385.9500000000007</v>
      </c>
      <c r="I633" s="35">
        <f t="shared" si="46"/>
        <v>0</v>
      </c>
      <c r="J633" s="35">
        <f t="shared" si="47"/>
        <v>1147.9714556587255</v>
      </c>
      <c r="K633" s="45">
        <f t="shared" si="45"/>
        <v>21148184.501408</v>
      </c>
    </row>
    <row r="634" spans="2:11">
      <c r="B634" s="43">
        <v>45384</v>
      </c>
      <c r="C634" s="32" t="s">
        <v>25</v>
      </c>
      <c r="D634" s="32" t="s">
        <v>134</v>
      </c>
      <c r="E634" s="36">
        <f t="shared" si="48"/>
        <v>21148184.501408</v>
      </c>
      <c r="F634" s="36">
        <v>0</v>
      </c>
      <c r="G634" s="58">
        <v>-14858</v>
      </c>
      <c r="H634" s="35">
        <f t="shared" si="49"/>
        <v>-14858</v>
      </c>
      <c r="I634" s="35">
        <f t="shared" si="46"/>
        <v>0</v>
      </c>
      <c r="J634" s="35">
        <f t="shared" si="47"/>
        <v>1147.3999351674759</v>
      </c>
      <c r="K634" s="45">
        <f t="shared" si="45"/>
        <v>21132179.101472832</v>
      </c>
    </row>
    <row r="635" spans="2:11">
      <c r="B635" s="43">
        <v>45384</v>
      </c>
      <c r="C635" s="32" t="s">
        <v>27</v>
      </c>
      <c r="D635" s="32" t="s">
        <v>134</v>
      </c>
      <c r="E635" s="36">
        <f t="shared" si="48"/>
        <v>21132179.101472832</v>
      </c>
      <c r="F635" s="36">
        <v>0</v>
      </c>
      <c r="G635" s="58">
        <v>-13468</v>
      </c>
      <c r="H635" s="35">
        <f t="shared" si="49"/>
        <v>-13468</v>
      </c>
      <c r="I635" s="35">
        <f t="shared" si="46"/>
        <v>0</v>
      </c>
      <c r="J635" s="35">
        <f t="shared" si="47"/>
        <v>1146.5315582698411</v>
      </c>
      <c r="K635" s="45">
        <f t="shared" si="45"/>
        <v>21117564.569914561</v>
      </c>
    </row>
    <row r="636" spans="2:11">
      <c r="B636" s="43">
        <v>45384</v>
      </c>
      <c r="C636" s="32" t="s">
        <v>29</v>
      </c>
      <c r="D636" s="32" t="s">
        <v>134</v>
      </c>
      <c r="E636" s="36">
        <f t="shared" si="48"/>
        <v>21117564.569914561</v>
      </c>
      <c r="F636" s="36">
        <v>0</v>
      </c>
      <c r="G636" s="58">
        <v>-14345</v>
      </c>
      <c r="H636" s="35">
        <f t="shared" si="49"/>
        <v>-14345</v>
      </c>
      <c r="I636" s="35">
        <f t="shared" si="46"/>
        <v>0</v>
      </c>
      <c r="J636" s="35">
        <f t="shared" si="47"/>
        <v>1145.7386432770036</v>
      </c>
      <c r="K636" s="45">
        <f t="shared" si="45"/>
        <v>21102073.831271283</v>
      </c>
    </row>
    <row r="637" spans="2:11">
      <c r="B637" s="43">
        <v>45384</v>
      </c>
      <c r="C637" s="32" t="s">
        <v>29</v>
      </c>
      <c r="D637" s="32" t="s">
        <v>134</v>
      </c>
      <c r="E637" s="36">
        <f t="shared" si="48"/>
        <v>21102073.831271283</v>
      </c>
      <c r="F637" s="36">
        <v>0</v>
      </c>
      <c r="G637" s="58">
        <v>-2258</v>
      </c>
      <c r="H637" s="35">
        <f t="shared" si="49"/>
        <v>-2258</v>
      </c>
      <c r="I637" s="35">
        <f t="shared" si="46"/>
        <v>0</v>
      </c>
      <c r="J637" s="35">
        <f t="shared" si="47"/>
        <v>1144.8981894539431</v>
      </c>
      <c r="K637" s="45">
        <f t="shared" si="45"/>
        <v>21098670.933081828</v>
      </c>
    </row>
    <row r="638" spans="2:11">
      <c r="B638" s="43">
        <v>45384</v>
      </c>
      <c r="C638" s="32" t="s">
        <v>27</v>
      </c>
      <c r="D638" s="32" t="s">
        <v>134</v>
      </c>
      <c r="E638" s="36">
        <f t="shared" si="48"/>
        <v>21098670.933081828</v>
      </c>
      <c r="F638" s="36">
        <v>0</v>
      </c>
      <c r="G638" s="58">
        <v>-2341</v>
      </c>
      <c r="H638" s="35">
        <f t="shared" si="49"/>
        <v>-2341</v>
      </c>
      <c r="I638" s="35">
        <f t="shared" si="46"/>
        <v>0</v>
      </c>
      <c r="J638" s="35">
        <f t="shared" si="47"/>
        <v>1144.7135643783627</v>
      </c>
      <c r="K638" s="45">
        <f t="shared" si="45"/>
        <v>21095185.219517451</v>
      </c>
    </row>
    <row r="639" spans="2:11">
      <c r="B639" s="43">
        <v>45384</v>
      </c>
      <c r="C639" s="32" t="s">
        <v>29</v>
      </c>
      <c r="D639" s="32" t="s">
        <v>134</v>
      </c>
      <c r="E639" s="36">
        <f t="shared" si="48"/>
        <v>21095185.219517451</v>
      </c>
      <c r="F639" s="36">
        <v>0</v>
      </c>
      <c r="G639" s="58">
        <v>-7867</v>
      </c>
      <c r="H639" s="35">
        <f t="shared" si="49"/>
        <v>-7867</v>
      </c>
      <c r="I639" s="35">
        <f t="shared" si="46"/>
        <v>0</v>
      </c>
      <c r="J639" s="35">
        <f t="shared" si="47"/>
        <v>1144.5244461343113</v>
      </c>
      <c r="K639" s="45">
        <f t="shared" si="45"/>
        <v>21086173.695071317</v>
      </c>
    </row>
    <row r="640" spans="2:11">
      <c r="B640" s="43">
        <v>45384</v>
      </c>
      <c r="C640" s="32" t="s">
        <v>29</v>
      </c>
      <c r="D640" s="32" t="s">
        <v>134</v>
      </c>
      <c r="E640" s="36">
        <f t="shared" si="48"/>
        <v>21086173.695071317</v>
      </c>
      <c r="F640" s="36">
        <v>0</v>
      </c>
      <c r="G640" s="58">
        <v>-2297</v>
      </c>
      <c r="H640" s="35">
        <f t="shared" si="49"/>
        <v>-2297</v>
      </c>
      <c r="I640" s="35">
        <f t="shared" si="46"/>
        <v>0</v>
      </c>
      <c r="J640" s="35">
        <f t="shared" si="47"/>
        <v>1144.03552366607</v>
      </c>
      <c r="K640" s="45">
        <f t="shared" si="45"/>
        <v>21082732.659547649</v>
      </c>
    </row>
    <row r="641" spans="2:11">
      <c r="B641" s="43">
        <v>45385</v>
      </c>
      <c r="C641" s="32" t="s">
        <v>25</v>
      </c>
      <c r="D641" s="32" t="s">
        <v>132</v>
      </c>
      <c r="E641" s="36">
        <f t="shared" si="48"/>
        <v>21082732.659547649</v>
      </c>
      <c r="F641" s="36">
        <v>20597.32</v>
      </c>
      <c r="G641" s="58">
        <v>0</v>
      </c>
      <c r="H641" s="35">
        <f t="shared" si="49"/>
        <v>20597.32</v>
      </c>
      <c r="I641" s="35">
        <f t="shared" si="46"/>
        <v>0</v>
      </c>
      <c r="J641" s="35">
        <f t="shared" si="47"/>
        <v>2287.6976588801426</v>
      </c>
      <c r="K641" s="45">
        <f t="shared" si="45"/>
        <v>21101042.281888768</v>
      </c>
    </row>
    <row r="642" spans="2:11">
      <c r="B642" s="43">
        <v>45385</v>
      </c>
      <c r="C642" s="32" t="s">
        <v>27</v>
      </c>
      <c r="D642" s="32" t="s">
        <v>132</v>
      </c>
      <c r="E642" s="36">
        <f t="shared" si="48"/>
        <v>21101042.281888768</v>
      </c>
      <c r="F642" s="36">
        <v>10859.7</v>
      </c>
      <c r="G642" s="58">
        <v>0</v>
      </c>
      <c r="H642" s="35">
        <f t="shared" si="49"/>
        <v>10859.7</v>
      </c>
      <c r="I642" s="35">
        <f t="shared" si="46"/>
        <v>0</v>
      </c>
      <c r="J642" s="35">
        <f t="shared" si="47"/>
        <v>1144.8422224892829</v>
      </c>
      <c r="K642" s="45">
        <f t="shared" si="45"/>
        <v>21110757.139666278</v>
      </c>
    </row>
    <row r="643" spans="2:11">
      <c r="B643" s="43">
        <v>45385</v>
      </c>
      <c r="C643" s="32" t="s">
        <v>27</v>
      </c>
      <c r="D643" s="32" t="s">
        <v>132</v>
      </c>
      <c r="E643" s="36">
        <f t="shared" si="48"/>
        <v>21110757.139666278</v>
      </c>
      <c r="F643" s="36">
        <v>11161.27</v>
      </c>
      <c r="G643" s="58">
        <v>0</v>
      </c>
      <c r="H643" s="35">
        <f t="shared" si="49"/>
        <v>11161.27</v>
      </c>
      <c r="I643" s="35">
        <f t="shared" si="46"/>
        <v>0</v>
      </c>
      <c r="J643" s="35">
        <f t="shared" si="47"/>
        <v>1145.3693044798592</v>
      </c>
      <c r="K643" s="45">
        <f t="shared" si="45"/>
        <v>21120773.040361799</v>
      </c>
    </row>
    <row r="644" spans="2:11">
      <c r="B644" s="43">
        <v>45385</v>
      </c>
      <c r="C644" s="32" t="s">
        <v>27</v>
      </c>
      <c r="D644" s="32" t="s">
        <v>132</v>
      </c>
      <c r="E644" s="36">
        <f t="shared" si="48"/>
        <v>21120773.040361799</v>
      </c>
      <c r="F644" s="36">
        <v>19228.04</v>
      </c>
      <c r="G644" s="58">
        <v>0</v>
      </c>
      <c r="H644" s="35">
        <f t="shared" si="49"/>
        <v>19228.04</v>
      </c>
      <c r="I644" s="35">
        <f t="shared" si="46"/>
        <v>0</v>
      </c>
      <c r="J644" s="35">
        <f t="shared" si="47"/>
        <v>1145.9127196277609</v>
      </c>
      <c r="K644" s="45">
        <f t="shared" si="45"/>
        <v>21138855.167642172</v>
      </c>
    </row>
    <row r="645" spans="2:11">
      <c r="B645" s="43">
        <v>45385</v>
      </c>
      <c r="C645" s="32" t="s">
        <v>29</v>
      </c>
      <c r="D645" s="32" t="s">
        <v>132</v>
      </c>
      <c r="E645" s="36">
        <f t="shared" si="48"/>
        <v>21138855.167642172</v>
      </c>
      <c r="F645" s="36">
        <v>14372.93</v>
      </c>
      <c r="G645" s="58">
        <v>0</v>
      </c>
      <c r="H645" s="35">
        <f t="shared" si="49"/>
        <v>14372.93</v>
      </c>
      <c r="I645" s="35">
        <f t="shared" si="46"/>
        <v>0</v>
      </c>
      <c r="J645" s="35">
        <f t="shared" si="47"/>
        <v>1146.8937698766752</v>
      </c>
      <c r="K645" s="45">
        <f t="shared" si="45"/>
        <v>21152081.203872297</v>
      </c>
    </row>
    <row r="646" spans="2:11">
      <c r="B646" s="43">
        <v>45385</v>
      </c>
      <c r="C646" s="32" t="s">
        <v>25</v>
      </c>
      <c r="D646" s="32" t="s">
        <v>132</v>
      </c>
      <c r="E646" s="36">
        <f t="shared" si="48"/>
        <v>21152081.203872297</v>
      </c>
      <c r="F646" s="36">
        <v>21172.49</v>
      </c>
      <c r="G646" s="58">
        <v>0</v>
      </c>
      <c r="H646" s="35">
        <f t="shared" si="49"/>
        <v>21172.49</v>
      </c>
      <c r="I646" s="35">
        <f t="shared" si="46"/>
        <v>0</v>
      </c>
      <c r="J646" s="35">
        <f t="shared" si="47"/>
        <v>1147.6113517150573</v>
      </c>
      <c r="K646" s="45">
        <f t="shared" si="45"/>
        <v>21172106.082520582</v>
      </c>
    </row>
    <row r="647" spans="2:11">
      <c r="B647" s="43">
        <v>45385</v>
      </c>
      <c r="C647" s="32" t="s">
        <v>27</v>
      </c>
      <c r="D647" s="32" t="s">
        <v>134</v>
      </c>
      <c r="E647" s="36">
        <f t="shared" si="48"/>
        <v>21172106.082520582</v>
      </c>
      <c r="F647" s="36">
        <v>0</v>
      </c>
      <c r="G647" s="58">
        <v>-2927</v>
      </c>
      <c r="H647" s="35">
        <f t="shared" si="49"/>
        <v>-2927</v>
      </c>
      <c r="I647" s="35">
        <f t="shared" si="46"/>
        <v>0</v>
      </c>
      <c r="J647" s="35">
        <f t="shared" si="47"/>
        <v>1148.6978064157552</v>
      </c>
      <c r="K647" s="45">
        <f t="shared" si="45"/>
        <v>21168030.384714168</v>
      </c>
    </row>
    <row r="648" spans="2:11">
      <c r="B648" s="43">
        <v>45386</v>
      </c>
      <c r="C648" s="32" t="s">
        <v>27</v>
      </c>
      <c r="D648" s="32" t="s">
        <v>132</v>
      </c>
      <c r="E648" s="36">
        <f t="shared" si="48"/>
        <v>21168030.384714168</v>
      </c>
      <c r="F648" s="36">
        <v>17877.810000000001</v>
      </c>
      <c r="G648" s="58">
        <v>0</v>
      </c>
      <c r="H648" s="35">
        <f t="shared" si="49"/>
        <v>17877.810000000001</v>
      </c>
      <c r="I648" s="35">
        <f t="shared" si="46"/>
        <v>0</v>
      </c>
      <c r="J648" s="35">
        <f t="shared" si="47"/>
        <v>2296.9533568640031</v>
      </c>
      <c r="K648" s="45">
        <f t="shared" ref="K648:K711" si="50">E648+H648+I648-J648</f>
        <v>21183611.2413573</v>
      </c>
    </row>
    <row r="649" spans="2:11">
      <c r="B649" s="43">
        <v>45386</v>
      </c>
      <c r="C649" s="32" t="s">
        <v>27</v>
      </c>
      <c r="D649" s="32" t="s">
        <v>132</v>
      </c>
      <c r="E649" s="36">
        <f t="shared" si="48"/>
        <v>21183611.2413573</v>
      </c>
      <c r="F649" s="36">
        <v>13125.54</v>
      </c>
      <c r="G649" s="58">
        <v>0</v>
      </c>
      <c r="H649" s="35">
        <f t="shared" si="49"/>
        <v>13125.54</v>
      </c>
      <c r="I649" s="35">
        <f t="shared" si="46"/>
        <v>0</v>
      </c>
      <c r="J649" s="35">
        <f t="shared" si="47"/>
        <v>1149.3220216292389</v>
      </c>
      <c r="K649" s="45">
        <f t="shared" si="50"/>
        <v>21195587.45933567</v>
      </c>
    </row>
    <row r="650" spans="2:11">
      <c r="B650" s="43">
        <v>45386</v>
      </c>
      <c r="C650" s="32" t="s">
        <v>27</v>
      </c>
      <c r="D650" s="32" t="s">
        <v>132</v>
      </c>
      <c r="E650" s="36">
        <f t="shared" si="48"/>
        <v>21195587.45933567</v>
      </c>
      <c r="F650" s="36">
        <v>18557.11</v>
      </c>
      <c r="G650" s="58">
        <v>0</v>
      </c>
      <c r="H650" s="35">
        <f t="shared" si="49"/>
        <v>18557.11</v>
      </c>
      <c r="I650" s="35">
        <f t="shared" si="46"/>
        <v>0</v>
      </c>
      <c r="J650" s="35">
        <f t="shared" si="47"/>
        <v>1149.9717942719458</v>
      </c>
      <c r="K650" s="45">
        <f t="shared" si="50"/>
        <v>21212994.597541396</v>
      </c>
    </row>
    <row r="651" spans="2:11">
      <c r="B651" s="43">
        <v>45386</v>
      </c>
      <c r="C651" s="32" t="s">
        <v>27</v>
      </c>
      <c r="D651" s="32" t="s">
        <v>134</v>
      </c>
      <c r="E651" s="36">
        <f t="shared" si="48"/>
        <v>21212994.597541396</v>
      </c>
      <c r="F651" s="36">
        <v>0</v>
      </c>
      <c r="G651" s="58">
        <v>-5294.43</v>
      </c>
      <c r="H651" s="35">
        <f t="shared" si="49"/>
        <v>-5294.43</v>
      </c>
      <c r="I651" s="35">
        <f t="shared" si="46"/>
        <v>0</v>
      </c>
      <c r="J651" s="35">
        <f t="shared" si="47"/>
        <v>1150.9162228231235</v>
      </c>
      <c r="K651" s="45">
        <f t="shared" si="50"/>
        <v>21206549.251318574</v>
      </c>
    </row>
    <row r="652" spans="2:11">
      <c r="B652" s="43">
        <v>45387</v>
      </c>
      <c r="C652" s="32" t="s">
        <v>25</v>
      </c>
      <c r="D652" s="32" t="s">
        <v>132</v>
      </c>
      <c r="E652" s="36">
        <f t="shared" si="48"/>
        <v>21206549.251318574</v>
      </c>
      <c r="F652" s="36">
        <v>13410.72</v>
      </c>
      <c r="G652" s="58">
        <v>0</v>
      </c>
      <c r="H652" s="35">
        <f t="shared" si="49"/>
        <v>13410.72</v>
      </c>
      <c r="I652" s="35">
        <f t="shared" si="46"/>
        <v>0</v>
      </c>
      <c r="J652" s="35">
        <f t="shared" si="47"/>
        <v>2301.1330579671103</v>
      </c>
      <c r="K652" s="45">
        <f t="shared" si="50"/>
        <v>21217658.838260606</v>
      </c>
    </row>
    <row r="653" spans="2:11">
      <c r="B653" s="43">
        <v>45387</v>
      </c>
      <c r="C653" s="32" t="s">
        <v>25</v>
      </c>
      <c r="D653" s="32" t="s">
        <v>132</v>
      </c>
      <c r="E653" s="36">
        <f t="shared" si="48"/>
        <v>21217658.838260606</v>
      </c>
      <c r="F653" s="36">
        <v>17698.8</v>
      </c>
      <c r="G653" s="58">
        <v>0</v>
      </c>
      <c r="H653" s="35">
        <f t="shared" si="49"/>
        <v>17698.8</v>
      </c>
      <c r="I653" s="35">
        <f t="shared" si="46"/>
        <v>0</v>
      </c>
      <c r="J653" s="35">
        <f t="shared" si="47"/>
        <v>1151.1692823469077</v>
      </c>
      <c r="K653" s="45">
        <f t="shared" si="50"/>
        <v>21234206.46897826</v>
      </c>
    </row>
    <row r="654" spans="2:11">
      <c r="B654" s="43">
        <v>45387</v>
      </c>
      <c r="C654" s="32" t="s">
        <v>25</v>
      </c>
      <c r="D654" s="32" t="s">
        <v>132</v>
      </c>
      <c r="E654" s="36">
        <f t="shared" si="48"/>
        <v>21234206.46897826</v>
      </c>
      <c r="F654" s="36">
        <v>15921.9</v>
      </c>
      <c r="G654" s="58">
        <v>0</v>
      </c>
      <c r="H654" s="35">
        <f t="shared" si="49"/>
        <v>15921.9</v>
      </c>
      <c r="I654" s="35">
        <f t="shared" si="46"/>
        <v>0</v>
      </c>
      <c r="J654" s="35">
        <f t="shared" si="47"/>
        <v>1152.0670781085887</v>
      </c>
      <c r="K654" s="45">
        <f t="shared" si="50"/>
        <v>21248976.301900148</v>
      </c>
    </row>
    <row r="655" spans="2:11">
      <c r="B655" s="43">
        <v>45387</v>
      </c>
      <c r="C655" s="32" t="s">
        <v>25</v>
      </c>
      <c r="D655" s="32" t="s">
        <v>132</v>
      </c>
      <c r="E655" s="36">
        <f t="shared" si="48"/>
        <v>21248976.301900148</v>
      </c>
      <c r="F655" s="36">
        <v>9585.35</v>
      </c>
      <c r="G655" s="58">
        <v>0</v>
      </c>
      <c r="H655" s="35">
        <f t="shared" si="49"/>
        <v>9585.35</v>
      </c>
      <c r="I655" s="35">
        <f t="shared" si="46"/>
        <v>0</v>
      </c>
      <c r="J655" s="35">
        <f t="shared" si="47"/>
        <v>1152.8684190149856</v>
      </c>
      <c r="K655" s="45">
        <f t="shared" si="50"/>
        <v>21257408.783481136</v>
      </c>
    </row>
    <row r="656" spans="2:11">
      <c r="B656" s="43">
        <v>45387</v>
      </c>
      <c r="C656" s="32" t="s">
        <v>27</v>
      </c>
      <c r="D656" s="32" t="s">
        <v>132</v>
      </c>
      <c r="E656" s="36">
        <f t="shared" si="48"/>
        <v>21257408.783481136</v>
      </c>
      <c r="F656" s="36">
        <v>14927.62</v>
      </c>
      <c r="G656" s="58">
        <v>0</v>
      </c>
      <c r="H656" s="35">
        <f t="shared" si="49"/>
        <v>14927.62</v>
      </c>
      <c r="I656" s="35">
        <f t="shared" si="46"/>
        <v>0</v>
      </c>
      <c r="J656" s="35">
        <f t="shared" si="47"/>
        <v>1153.3259253706108</v>
      </c>
      <c r="K656" s="45">
        <f t="shared" si="50"/>
        <v>21271183.077555768</v>
      </c>
    </row>
    <row r="657" spans="2:11">
      <c r="B657" s="43">
        <v>45387</v>
      </c>
      <c r="C657" s="32" t="s">
        <v>29</v>
      </c>
      <c r="D657" s="32" t="s">
        <v>132</v>
      </c>
      <c r="E657" s="36">
        <f t="shared" si="48"/>
        <v>21271183.077555768</v>
      </c>
      <c r="F657" s="36">
        <v>18309.91</v>
      </c>
      <c r="G657" s="58">
        <v>0</v>
      </c>
      <c r="H657" s="35">
        <f t="shared" si="49"/>
        <v>18309.91</v>
      </c>
      <c r="I657" s="35">
        <f t="shared" si="46"/>
        <v>0</v>
      </c>
      <c r="J657" s="35">
        <f t="shared" si="47"/>
        <v>1154.0732530727669</v>
      </c>
      <c r="K657" s="45">
        <f t="shared" si="50"/>
        <v>21288338.914302696</v>
      </c>
    </row>
    <row r="658" spans="2:11">
      <c r="B658" s="43">
        <v>45387</v>
      </c>
      <c r="C658" s="32" t="s">
        <v>29</v>
      </c>
      <c r="D658" s="32" t="s">
        <v>132</v>
      </c>
      <c r="E658" s="36">
        <f t="shared" si="48"/>
        <v>21288338.914302696</v>
      </c>
      <c r="F658" s="36">
        <v>14156.02</v>
      </c>
      <c r="G658" s="58">
        <v>0</v>
      </c>
      <c r="H658" s="35">
        <f t="shared" si="49"/>
        <v>14156.02</v>
      </c>
      <c r="I658" s="35">
        <f t="shared" si="46"/>
        <v>0</v>
      </c>
      <c r="J658" s="35">
        <f t="shared" si="47"/>
        <v>1155.004047201684</v>
      </c>
      <c r="K658" s="45">
        <f t="shared" si="50"/>
        <v>21301339.930255495</v>
      </c>
    </row>
    <row r="659" spans="2:11">
      <c r="B659" s="43">
        <v>45387</v>
      </c>
      <c r="C659" s="32" t="s">
        <v>25</v>
      </c>
      <c r="D659" s="32" t="s">
        <v>134</v>
      </c>
      <c r="E659" s="36">
        <f t="shared" si="48"/>
        <v>21301339.930255495</v>
      </c>
      <c r="F659" s="36">
        <v>0</v>
      </c>
      <c r="G659" s="58">
        <v>-11036.62</v>
      </c>
      <c r="H659" s="35">
        <f t="shared" si="49"/>
        <v>-11036.62</v>
      </c>
      <c r="I659" s="35">
        <f t="shared" si="46"/>
        <v>0</v>
      </c>
      <c r="J659" s="35">
        <f t="shared" si="47"/>
        <v>1155.7094205097503</v>
      </c>
      <c r="K659" s="45">
        <f t="shared" si="50"/>
        <v>21289147.600834984</v>
      </c>
    </row>
    <row r="660" spans="2:11">
      <c r="B660" s="43">
        <v>45387</v>
      </c>
      <c r="C660" s="32" t="s">
        <v>27</v>
      </c>
      <c r="D660" s="32" t="s">
        <v>134</v>
      </c>
      <c r="E660" s="36">
        <f t="shared" si="48"/>
        <v>21289147.600834984</v>
      </c>
      <c r="F660" s="36">
        <v>0</v>
      </c>
      <c r="G660" s="58">
        <v>-8437.58</v>
      </c>
      <c r="H660" s="35">
        <f t="shared" si="49"/>
        <v>-8437.58</v>
      </c>
      <c r="I660" s="35">
        <f t="shared" ref="I660:I723" si="51">(($E660*Daily_Interest)*(_xlfn.DAYS(B660,B659)+1))+((IF(DAY($B659)&gt;Monthly_Cut_off_Date,0,Daily_Interest*H660))*(_xlfn.DAYS(B660,B659)+1))</f>
        <v>0</v>
      </c>
      <c r="J660" s="35">
        <f t="shared" ref="J660:J723" si="52">(($I660+E660)*Daily_Fees_Rate)*((_xlfn.DAYS(B660,B659)+1))</f>
        <v>1155.0479226877644</v>
      </c>
      <c r="K660" s="45">
        <f t="shared" si="50"/>
        <v>21279554.972912297</v>
      </c>
    </row>
    <row r="661" spans="2:11">
      <c r="B661" s="43">
        <v>45387</v>
      </c>
      <c r="C661" s="32" t="s">
        <v>25</v>
      </c>
      <c r="D661" s="32" t="s">
        <v>134</v>
      </c>
      <c r="E661" s="36">
        <f t="shared" ref="E661:E724" si="53">K660</f>
        <v>21279554.972912297</v>
      </c>
      <c r="F661" s="36">
        <v>0</v>
      </c>
      <c r="G661" s="58">
        <v>-13916</v>
      </c>
      <c r="H661" s="35">
        <f t="shared" ref="H661:H724" si="54">SUM(F661:G661)</f>
        <v>-13916</v>
      </c>
      <c r="I661" s="35">
        <f t="shared" si="51"/>
        <v>0</v>
      </c>
      <c r="J661" s="35">
        <f t="shared" si="52"/>
        <v>1154.5274723079297</v>
      </c>
      <c r="K661" s="45">
        <f t="shared" si="50"/>
        <v>21264484.445439987</v>
      </c>
    </row>
    <row r="662" spans="2:11">
      <c r="B662" s="43">
        <v>45387</v>
      </c>
      <c r="C662" s="32" t="s">
        <v>27</v>
      </c>
      <c r="D662" s="32" t="s">
        <v>134</v>
      </c>
      <c r="E662" s="36">
        <f t="shared" si="53"/>
        <v>21264484.445439987</v>
      </c>
      <c r="F662" s="36">
        <v>0</v>
      </c>
      <c r="G662" s="58">
        <v>-11662</v>
      </c>
      <c r="H662" s="35">
        <f t="shared" si="54"/>
        <v>-11662</v>
      </c>
      <c r="I662" s="35">
        <f t="shared" si="51"/>
        <v>0</v>
      </c>
      <c r="J662" s="35">
        <f t="shared" si="52"/>
        <v>1153.7098171449761</v>
      </c>
      <c r="K662" s="45">
        <f t="shared" si="50"/>
        <v>21251668.735622842</v>
      </c>
    </row>
    <row r="663" spans="2:11">
      <c r="B663" s="43">
        <v>45388</v>
      </c>
      <c r="C663" s="32" t="s">
        <v>25</v>
      </c>
      <c r="D663" s="32" t="s">
        <v>132</v>
      </c>
      <c r="E663" s="36">
        <f t="shared" si="53"/>
        <v>21251668.735622842</v>
      </c>
      <c r="F663" s="36">
        <v>14937.3</v>
      </c>
      <c r="G663" s="58">
        <v>0</v>
      </c>
      <c r="H663" s="35">
        <f t="shared" si="54"/>
        <v>14937.3</v>
      </c>
      <c r="I663" s="35">
        <f t="shared" si="51"/>
        <v>0</v>
      </c>
      <c r="J663" s="35">
        <f t="shared" si="52"/>
        <v>2306.028995333465</v>
      </c>
      <c r="K663" s="45">
        <f t="shared" si="50"/>
        <v>21264300.006627508</v>
      </c>
    </row>
    <row r="664" spans="2:11">
      <c r="B664" s="43">
        <v>45388</v>
      </c>
      <c r="C664" s="32" t="s">
        <v>25</v>
      </c>
      <c r="D664" s="32" t="s">
        <v>132</v>
      </c>
      <c r="E664" s="36">
        <f t="shared" si="53"/>
        <v>21264300.006627508</v>
      </c>
      <c r="F664" s="36">
        <v>17550.669999999998</v>
      </c>
      <c r="G664" s="58">
        <v>0</v>
      </c>
      <c r="H664" s="35">
        <f t="shared" si="54"/>
        <v>17550.669999999998</v>
      </c>
      <c r="I664" s="35">
        <f t="shared" si="51"/>
        <v>0</v>
      </c>
      <c r="J664" s="35">
        <f t="shared" si="52"/>
        <v>1153.699810371985</v>
      </c>
      <c r="K664" s="45">
        <f t="shared" si="50"/>
        <v>21280696.976817138</v>
      </c>
    </row>
    <row r="665" spans="2:11">
      <c r="B665" s="43">
        <v>45388</v>
      </c>
      <c r="C665" s="32" t="s">
        <v>29</v>
      </c>
      <c r="D665" s="32" t="s">
        <v>134</v>
      </c>
      <c r="E665" s="36">
        <f t="shared" si="53"/>
        <v>21280696.976817138</v>
      </c>
      <c r="F665" s="36">
        <v>0</v>
      </c>
      <c r="G665" s="58">
        <v>-10245</v>
      </c>
      <c r="H665" s="35">
        <f t="shared" si="54"/>
        <v>-10245</v>
      </c>
      <c r="I665" s="35">
        <f t="shared" si="51"/>
        <v>0</v>
      </c>
      <c r="J665" s="35">
        <f t="shared" si="52"/>
        <v>1154.5894320097796</v>
      </c>
      <c r="K665" s="45">
        <f t="shared" si="50"/>
        <v>21269297.38738513</v>
      </c>
    </row>
    <row r="666" spans="2:11">
      <c r="B666" s="43">
        <v>45388</v>
      </c>
      <c r="C666" s="32" t="s">
        <v>25</v>
      </c>
      <c r="D666" s="32" t="s">
        <v>134</v>
      </c>
      <c r="E666" s="36">
        <f t="shared" si="53"/>
        <v>21269297.38738513</v>
      </c>
      <c r="F666" s="36">
        <v>0</v>
      </c>
      <c r="G666" s="58">
        <v>-1670</v>
      </c>
      <c r="H666" s="35">
        <f t="shared" si="54"/>
        <v>-1670</v>
      </c>
      <c r="I666" s="35">
        <f t="shared" si="51"/>
        <v>0</v>
      </c>
      <c r="J666" s="35">
        <f t="shared" si="52"/>
        <v>1153.9709444902314</v>
      </c>
      <c r="K666" s="45">
        <f t="shared" si="50"/>
        <v>21266473.41644064</v>
      </c>
    </row>
    <row r="667" spans="2:11">
      <c r="B667" s="43">
        <v>45388</v>
      </c>
      <c r="C667" s="32" t="s">
        <v>25</v>
      </c>
      <c r="D667" s="32" t="s">
        <v>134</v>
      </c>
      <c r="E667" s="36">
        <f t="shared" si="53"/>
        <v>21266473.41644064</v>
      </c>
      <c r="F667" s="36">
        <v>0</v>
      </c>
      <c r="G667" s="58">
        <v>-14382</v>
      </c>
      <c r="H667" s="35">
        <f t="shared" si="54"/>
        <v>-14382</v>
      </c>
      <c r="I667" s="35">
        <f t="shared" si="51"/>
        <v>0</v>
      </c>
      <c r="J667" s="35">
        <f t="shared" si="52"/>
        <v>1153.8177292542659</v>
      </c>
      <c r="K667" s="45">
        <f t="shared" si="50"/>
        <v>21250937.598711386</v>
      </c>
    </row>
    <row r="668" spans="2:11">
      <c r="B668" s="43">
        <v>45389</v>
      </c>
      <c r="C668" s="32" t="s">
        <v>29</v>
      </c>
      <c r="D668" s="32" t="s">
        <v>132</v>
      </c>
      <c r="E668" s="36">
        <f t="shared" si="53"/>
        <v>21250937.598711386</v>
      </c>
      <c r="F668" s="36">
        <v>9723.7800000000007</v>
      </c>
      <c r="G668" s="58">
        <v>0</v>
      </c>
      <c r="H668" s="35">
        <f t="shared" si="54"/>
        <v>9723.7800000000007</v>
      </c>
      <c r="I668" s="35">
        <f t="shared" si="51"/>
        <v>0</v>
      </c>
      <c r="J668" s="35">
        <f t="shared" si="52"/>
        <v>2305.9496593086874</v>
      </c>
      <c r="K668" s="45">
        <f t="shared" si="50"/>
        <v>21258355.429052077</v>
      </c>
    </row>
    <row r="669" spans="2:11">
      <c r="B669" s="43">
        <v>45389</v>
      </c>
      <c r="C669" s="32" t="s">
        <v>29</v>
      </c>
      <c r="D669" s="32" t="s">
        <v>134</v>
      </c>
      <c r="E669" s="36">
        <f t="shared" si="53"/>
        <v>21258355.429052077</v>
      </c>
      <c r="F669" s="36">
        <v>0</v>
      </c>
      <c r="G669" s="58">
        <v>-7513.01</v>
      </c>
      <c r="H669" s="35">
        <f t="shared" si="54"/>
        <v>-7513.01</v>
      </c>
      <c r="I669" s="35">
        <f t="shared" si="51"/>
        <v>0</v>
      </c>
      <c r="J669" s="35">
        <f t="shared" si="52"/>
        <v>1153.3772858581576</v>
      </c>
      <c r="K669" s="45">
        <f t="shared" si="50"/>
        <v>21249689.041766219</v>
      </c>
    </row>
    <row r="670" spans="2:11">
      <c r="B670" s="43">
        <v>45389</v>
      </c>
      <c r="C670" s="32" t="s">
        <v>25</v>
      </c>
      <c r="D670" s="32" t="s">
        <v>134</v>
      </c>
      <c r="E670" s="36">
        <f t="shared" si="53"/>
        <v>21249689.041766219</v>
      </c>
      <c r="F670" s="36">
        <v>0</v>
      </c>
      <c r="G670" s="58">
        <v>-12104</v>
      </c>
      <c r="H670" s="35">
        <f t="shared" si="54"/>
        <v>-12104</v>
      </c>
      <c r="I670" s="35">
        <f t="shared" si="51"/>
        <v>0</v>
      </c>
      <c r="J670" s="35">
        <f t="shared" si="52"/>
        <v>1152.9070888911665</v>
      </c>
      <c r="K670" s="45">
        <f t="shared" si="50"/>
        <v>21236432.134677328</v>
      </c>
    </row>
    <row r="671" spans="2:11">
      <c r="B671" s="43">
        <v>45389</v>
      </c>
      <c r="C671" s="32" t="s">
        <v>29</v>
      </c>
      <c r="D671" s="32" t="s">
        <v>134</v>
      </c>
      <c r="E671" s="36">
        <f t="shared" si="53"/>
        <v>21236432.134677328</v>
      </c>
      <c r="F671" s="36">
        <v>0</v>
      </c>
      <c r="G671" s="58">
        <v>-1524</v>
      </c>
      <c r="H671" s="35">
        <f t="shared" si="54"/>
        <v>-1524</v>
      </c>
      <c r="I671" s="35">
        <f t="shared" si="51"/>
        <v>0</v>
      </c>
      <c r="J671" s="35">
        <f t="shared" si="52"/>
        <v>1152.1878321467732</v>
      </c>
      <c r="K671" s="45">
        <f t="shared" si="50"/>
        <v>21233755.946845181</v>
      </c>
    </row>
    <row r="672" spans="2:11">
      <c r="B672" s="43">
        <v>45390</v>
      </c>
      <c r="C672" s="32" t="s">
        <v>29</v>
      </c>
      <c r="D672" s="32" t="s">
        <v>132</v>
      </c>
      <c r="E672" s="36">
        <f t="shared" si="53"/>
        <v>21233755.946845181</v>
      </c>
      <c r="F672" s="36">
        <v>16885.04</v>
      </c>
      <c r="G672" s="58">
        <v>0</v>
      </c>
      <c r="H672" s="35">
        <f t="shared" si="54"/>
        <v>16885.04</v>
      </c>
      <c r="I672" s="35">
        <f t="shared" si="51"/>
        <v>0</v>
      </c>
      <c r="J672" s="35">
        <f t="shared" si="52"/>
        <v>2304.085269839602</v>
      </c>
      <c r="K672" s="45">
        <f t="shared" si="50"/>
        <v>21248336.901575342</v>
      </c>
    </row>
    <row r="673" spans="2:11">
      <c r="B673" s="43">
        <v>45390</v>
      </c>
      <c r="C673" s="32" t="s">
        <v>25</v>
      </c>
      <c r="D673" s="32" t="s">
        <v>132</v>
      </c>
      <c r="E673" s="36">
        <f t="shared" si="53"/>
        <v>21248336.901575342</v>
      </c>
      <c r="F673" s="36">
        <v>13643.08</v>
      </c>
      <c r="G673" s="58">
        <v>0</v>
      </c>
      <c r="H673" s="35">
        <f t="shared" si="54"/>
        <v>13643.08</v>
      </c>
      <c r="I673" s="35">
        <f t="shared" si="51"/>
        <v>0</v>
      </c>
      <c r="J673" s="35">
        <f t="shared" si="52"/>
        <v>1152.8337281935972</v>
      </c>
      <c r="K673" s="45">
        <f t="shared" si="50"/>
        <v>21260827.147847146</v>
      </c>
    </row>
    <row r="674" spans="2:11">
      <c r="B674" s="43">
        <v>45390</v>
      </c>
      <c r="C674" s="32" t="s">
        <v>29</v>
      </c>
      <c r="D674" s="32" t="s">
        <v>132</v>
      </c>
      <c r="E674" s="36">
        <f t="shared" si="53"/>
        <v>21260827.147847146</v>
      </c>
      <c r="F674" s="36">
        <v>14481.16</v>
      </c>
      <c r="G674" s="58">
        <v>0</v>
      </c>
      <c r="H674" s="35">
        <f t="shared" si="54"/>
        <v>14481.16</v>
      </c>
      <c r="I674" s="35">
        <f t="shared" si="51"/>
        <v>0</v>
      </c>
      <c r="J674" s="35">
        <f t="shared" si="52"/>
        <v>1153.5113895673921</v>
      </c>
      <c r="K674" s="45">
        <f t="shared" si="50"/>
        <v>21274154.796457577</v>
      </c>
    </row>
    <row r="675" spans="2:11">
      <c r="B675" s="43">
        <v>45390</v>
      </c>
      <c r="C675" s="32" t="s">
        <v>25</v>
      </c>
      <c r="D675" s="32" t="s">
        <v>132</v>
      </c>
      <c r="E675" s="36">
        <f t="shared" si="53"/>
        <v>21274154.796457577</v>
      </c>
      <c r="F675" s="36">
        <v>18266.25</v>
      </c>
      <c r="G675" s="58">
        <v>0</v>
      </c>
      <c r="H675" s="35">
        <f t="shared" si="54"/>
        <v>18266.25</v>
      </c>
      <c r="I675" s="35">
        <f t="shared" si="51"/>
        <v>0</v>
      </c>
      <c r="J675" s="35">
        <f t="shared" si="52"/>
        <v>1154.2344844103809</v>
      </c>
      <c r="K675" s="45">
        <f t="shared" si="50"/>
        <v>21291266.811973166</v>
      </c>
    </row>
    <row r="676" spans="2:11">
      <c r="B676" s="43">
        <v>45390</v>
      </c>
      <c r="C676" s="32" t="s">
        <v>27</v>
      </c>
      <c r="D676" s="32" t="s">
        <v>134</v>
      </c>
      <c r="E676" s="36">
        <f t="shared" si="53"/>
        <v>21291266.811973166</v>
      </c>
      <c r="F676" s="36">
        <v>0</v>
      </c>
      <c r="G676" s="58">
        <v>-10200.209999999999</v>
      </c>
      <c r="H676" s="35">
        <f t="shared" si="54"/>
        <v>-10200.209999999999</v>
      </c>
      <c r="I676" s="35">
        <f t="shared" si="51"/>
        <v>0</v>
      </c>
      <c r="J676" s="35">
        <f t="shared" si="52"/>
        <v>1155.1629010076479</v>
      </c>
      <c r="K676" s="45">
        <f t="shared" si="50"/>
        <v>21279911.439072158</v>
      </c>
    </row>
    <row r="677" spans="2:11">
      <c r="B677" s="43">
        <v>45390</v>
      </c>
      <c r="C677" s="32" t="s">
        <v>29</v>
      </c>
      <c r="D677" s="32" t="s">
        <v>134</v>
      </c>
      <c r="E677" s="36">
        <f t="shared" si="53"/>
        <v>21279911.439072158</v>
      </c>
      <c r="F677" s="36">
        <v>0</v>
      </c>
      <c r="G677" s="58">
        <v>-8591</v>
      </c>
      <c r="H677" s="35">
        <f t="shared" si="54"/>
        <v>-8591</v>
      </c>
      <c r="I677" s="35">
        <f t="shared" si="51"/>
        <v>0</v>
      </c>
      <c r="J677" s="35">
        <f t="shared" si="52"/>
        <v>1154.54681246683</v>
      </c>
      <c r="K677" s="45">
        <f t="shared" si="50"/>
        <v>21270165.892259691</v>
      </c>
    </row>
    <row r="678" spans="2:11">
      <c r="B678" s="43">
        <v>45390</v>
      </c>
      <c r="C678" s="32" t="s">
        <v>29</v>
      </c>
      <c r="D678" s="32" t="s">
        <v>134</v>
      </c>
      <c r="E678" s="36">
        <f t="shared" si="53"/>
        <v>21270165.892259691</v>
      </c>
      <c r="F678" s="36">
        <v>0</v>
      </c>
      <c r="G678" s="58">
        <v>-17660</v>
      </c>
      <c r="H678" s="35">
        <f t="shared" si="54"/>
        <v>-17660</v>
      </c>
      <c r="I678" s="35">
        <f t="shared" si="51"/>
        <v>0</v>
      </c>
      <c r="J678" s="35">
        <f t="shared" si="52"/>
        <v>1154.0180654351379</v>
      </c>
      <c r="K678" s="45">
        <f t="shared" si="50"/>
        <v>21251351.874194257</v>
      </c>
    </row>
    <row r="679" spans="2:11">
      <c r="B679" s="43">
        <v>45390</v>
      </c>
      <c r="C679" s="32" t="s">
        <v>25</v>
      </c>
      <c r="D679" s="32" t="s">
        <v>134</v>
      </c>
      <c r="E679" s="36">
        <f t="shared" si="53"/>
        <v>21251351.874194257</v>
      </c>
      <c r="F679" s="36">
        <v>0</v>
      </c>
      <c r="G679" s="58">
        <v>-12477</v>
      </c>
      <c r="H679" s="35">
        <f t="shared" si="54"/>
        <v>-12477</v>
      </c>
      <c r="I679" s="35">
        <f t="shared" si="51"/>
        <v>0</v>
      </c>
      <c r="J679" s="35">
        <f t="shared" si="52"/>
        <v>1152.9973062722377</v>
      </c>
      <c r="K679" s="45">
        <f t="shared" si="50"/>
        <v>21237721.876887985</v>
      </c>
    </row>
    <row r="680" spans="2:11">
      <c r="B680" s="43">
        <v>45390</v>
      </c>
      <c r="C680" s="32" t="s">
        <v>25</v>
      </c>
      <c r="D680" s="32" t="s">
        <v>134</v>
      </c>
      <c r="E680" s="36">
        <f t="shared" si="53"/>
        <v>21237721.876887985</v>
      </c>
      <c r="F680" s="36">
        <v>0</v>
      </c>
      <c r="G680" s="58">
        <v>-20992</v>
      </c>
      <c r="H680" s="35">
        <f t="shared" si="54"/>
        <v>-20992</v>
      </c>
      <c r="I680" s="35">
        <f t="shared" si="51"/>
        <v>0</v>
      </c>
      <c r="J680" s="35">
        <f t="shared" si="52"/>
        <v>1152.2578074266271</v>
      </c>
      <c r="K680" s="45">
        <f t="shared" si="50"/>
        <v>21215577.619080558</v>
      </c>
    </row>
    <row r="681" spans="2:11">
      <c r="B681" s="43">
        <v>45390</v>
      </c>
      <c r="C681" s="32" t="s">
        <v>27</v>
      </c>
      <c r="D681" s="32" t="s">
        <v>134</v>
      </c>
      <c r="E681" s="36">
        <f t="shared" si="53"/>
        <v>21215577.619080558</v>
      </c>
      <c r="F681" s="36">
        <v>0</v>
      </c>
      <c r="G681" s="58">
        <v>-21451</v>
      </c>
      <c r="H681" s="35">
        <f t="shared" si="54"/>
        <v>-21451</v>
      </c>
      <c r="I681" s="35">
        <f t="shared" si="51"/>
        <v>0</v>
      </c>
      <c r="J681" s="35">
        <f t="shared" si="52"/>
        <v>1151.0563652900275</v>
      </c>
      <c r="K681" s="45">
        <f t="shared" si="50"/>
        <v>21192975.56271527</v>
      </c>
    </row>
    <row r="682" spans="2:11">
      <c r="B682" s="43">
        <v>45391</v>
      </c>
      <c r="C682" s="32" t="s">
        <v>25</v>
      </c>
      <c r="D682" s="32" t="s">
        <v>132</v>
      </c>
      <c r="E682" s="36">
        <f t="shared" si="53"/>
        <v>21192975.56271527</v>
      </c>
      <c r="F682" s="36">
        <v>13045.93</v>
      </c>
      <c r="G682" s="58">
        <v>0</v>
      </c>
      <c r="H682" s="35">
        <f t="shared" si="54"/>
        <v>13045.93</v>
      </c>
      <c r="I682" s="35">
        <f t="shared" si="51"/>
        <v>0</v>
      </c>
      <c r="J682" s="35">
        <f t="shared" si="52"/>
        <v>2299.6601703608594</v>
      </c>
      <c r="K682" s="45">
        <f t="shared" si="50"/>
        <v>21203721.832544908</v>
      </c>
    </row>
    <row r="683" spans="2:11">
      <c r="B683" s="43">
        <v>45391</v>
      </c>
      <c r="C683" s="32" t="s">
        <v>27</v>
      </c>
      <c r="D683" s="32" t="s">
        <v>134</v>
      </c>
      <c r="E683" s="36">
        <f t="shared" si="53"/>
        <v>21203721.832544908</v>
      </c>
      <c r="F683" s="36">
        <v>0</v>
      </c>
      <c r="G683" s="58">
        <v>-10239.16</v>
      </c>
      <c r="H683" s="35">
        <f t="shared" si="54"/>
        <v>-10239.16</v>
      </c>
      <c r="I683" s="35">
        <f t="shared" si="51"/>
        <v>0</v>
      </c>
      <c r="J683" s="35">
        <f t="shared" si="52"/>
        <v>1150.4131266847724</v>
      </c>
      <c r="K683" s="45">
        <f t="shared" si="50"/>
        <v>21192332.259418223</v>
      </c>
    </row>
    <row r="684" spans="2:11">
      <c r="B684" s="43">
        <v>45391</v>
      </c>
      <c r="C684" s="32" t="s">
        <v>25</v>
      </c>
      <c r="D684" s="32" t="s">
        <v>134</v>
      </c>
      <c r="E684" s="36">
        <f t="shared" si="53"/>
        <v>21192332.259418223</v>
      </c>
      <c r="F684" s="36">
        <v>0</v>
      </c>
      <c r="G684" s="58">
        <v>-3950</v>
      </c>
      <c r="H684" s="35">
        <f t="shared" si="54"/>
        <v>-3950</v>
      </c>
      <c r="I684" s="35">
        <f t="shared" si="51"/>
        <v>0</v>
      </c>
      <c r="J684" s="35">
        <f t="shared" si="52"/>
        <v>1149.7951826023254</v>
      </c>
      <c r="K684" s="45">
        <f t="shared" si="50"/>
        <v>21187232.464235622</v>
      </c>
    </row>
    <row r="685" spans="2:11">
      <c r="B685" s="43">
        <v>45391</v>
      </c>
      <c r="C685" s="32" t="s">
        <v>25</v>
      </c>
      <c r="D685" s="32" t="s">
        <v>134</v>
      </c>
      <c r="E685" s="36">
        <f t="shared" si="53"/>
        <v>21187232.464235622</v>
      </c>
      <c r="F685" s="36">
        <v>0</v>
      </c>
      <c r="G685" s="58">
        <v>-14007</v>
      </c>
      <c r="H685" s="35">
        <f t="shared" si="54"/>
        <v>-14007</v>
      </c>
      <c r="I685" s="35">
        <f t="shared" si="51"/>
        <v>0</v>
      </c>
      <c r="J685" s="35">
        <f t="shared" si="52"/>
        <v>1149.518491964342</v>
      </c>
      <c r="K685" s="45">
        <f t="shared" si="50"/>
        <v>21172075.945743658</v>
      </c>
    </row>
    <row r="686" spans="2:11">
      <c r="B686" s="43">
        <v>45391</v>
      </c>
      <c r="C686" s="32" t="s">
        <v>27</v>
      </c>
      <c r="D686" s="32" t="s">
        <v>134</v>
      </c>
      <c r="E686" s="36">
        <f t="shared" si="53"/>
        <v>21172075.945743658</v>
      </c>
      <c r="F686" s="36">
        <v>0</v>
      </c>
      <c r="G686" s="58">
        <v>-9976</v>
      </c>
      <c r="H686" s="35">
        <f t="shared" si="54"/>
        <v>-9976</v>
      </c>
      <c r="I686" s="35">
        <f t="shared" si="51"/>
        <v>0</v>
      </c>
      <c r="J686" s="35">
        <f t="shared" si="52"/>
        <v>1148.6961713375342</v>
      </c>
      <c r="K686" s="45">
        <f t="shared" si="50"/>
        <v>21160951.249572322</v>
      </c>
    </row>
    <row r="687" spans="2:11">
      <c r="B687" s="43">
        <v>45391</v>
      </c>
      <c r="C687" s="32" t="s">
        <v>29</v>
      </c>
      <c r="D687" s="32" t="s">
        <v>134</v>
      </c>
      <c r="E687" s="36">
        <f t="shared" si="53"/>
        <v>21160951.249572322</v>
      </c>
      <c r="F687" s="36">
        <v>0</v>
      </c>
      <c r="G687" s="58">
        <v>-7813</v>
      </c>
      <c r="H687" s="35">
        <f t="shared" si="54"/>
        <v>-7813</v>
      </c>
      <c r="I687" s="35">
        <f t="shared" si="51"/>
        <v>0</v>
      </c>
      <c r="J687" s="35">
        <f t="shared" si="52"/>
        <v>1148.0925982192414</v>
      </c>
      <c r="K687" s="45">
        <f t="shared" si="50"/>
        <v>21151990.156974103</v>
      </c>
    </row>
    <row r="688" spans="2:11">
      <c r="B688" s="43">
        <v>45391</v>
      </c>
      <c r="C688" s="32" t="s">
        <v>27</v>
      </c>
      <c r="D688" s="32" t="s">
        <v>134</v>
      </c>
      <c r="E688" s="36">
        <f t="shared" si="53"/>
        <v>21151990.156974103</v>
      </c>
      <c r="F688" s="36">
        <v>0</v>
      </c>
      <c r="G688" s="58">
        <v>-17600</v>
      </c>
      <c r="H688" s="35">
        <f t="shared" si="54"/>
        <v>-17600</v>
      </c>
      <c r="I688" s="35">
        <f t="shared" si="51"/>
        <v>0</v>
      </c>
      <c r="J688" s="35">
        <f t="shared" si="52"/>
        <v>1147.6064119432733</v>
      </c>
      <c r="K688" s="45">
        <f t="shared" si="50"/>
        <v>21133242.550562158</v>
      </c>
    </row>
    <row r="689" spans="2:11">
      <c r="B689" s="43">
        <v>45391</v>
      </c>
      <c r="C689" s="32" t="s">
        <v>25</v>
      </c>
      <c r="D689" s="32" t="s">
        <v>134</v>
      </c>
      <c r="E689" s="36">
        <f t="shared" si="53"/>
        <v>21133242.550562158</v>
      </c>
      <c r="F689" s="36">
        <v>0</v>
      </c>
      <c r="G689" s="58">
        <v>-5883</v>
      </c>
      <c r="H689" s="35">
        <f t="shared" si="54"/>
        <v>-5883</v>
      </c>
      <c r="I689" s="35">
        <f t="shared" si="51"/>
        <v>0</v>
      </c>
      <c r="J689" s="35">
        <f t="shared" si="52"/>
        <v>1146.5892559609156</v>
      </c>
      <c r="K689" s="45">
        <f t="shared" si="50"/>
        <v>21126212.961306196</v>
      </c>
    </row>
    <row r="690" spans="2:11">
      <c r="B690" s="43">
        <v>45391</v>
      </c>
      <c r="C690" s="32" t="s">
        <v>27</v>
      </c>
      <c r="D690" s="32" t="s">
        <v>134</v>
      </c>
      <c r="E690" s="36">
        <f t="shared" si="53"/>
        <v>21126212.961306196</v>
      </c>
      <c r="F690" s="36">
        <v>0</v>
      </c>
      <c r="G690" s="58">
        <v>-15335</v>
      </c>
      <c r="H690" s="35">
        <f t="shared" si="54"/>
        <v>-15335</v>
      </c>
      <c r="I690" s="35">
        <f t="shared" si="51"/>
        <v>0</v>
      </c>
      <c r="J690" s="35">
        <f t="shared" si="52"/>
        <v>1146.2078638723412</v>
      </c>
      <c r="K690" s="45">
        <f t="shared" si="50"/>
        <v>21109731.753442325</v>
      </c>
    </row>
    <row r="691" spans="2:11">
      <c r="B691" s="43">
        <v>45392</v>
      </c>
      <c r="C691" s="32" t="s">
        <v>25</v>
      </c>
      <c r="D691" s="32" t="s">
        <v>132</v>
      </c>
      <c r="E691" s="36">
        <f t="shared" si="53"/>
        <v>21109731.753442325</v>
      </c>
      <c r="F691" s="36">
        <v>15039.01</v>
      </c>
      <c r="G691" s="58">
        <v>0</v>
      </c>
      <c r="H691" s="35">
        <f t="shared" si="54"/>
        <v>15039.01</v>
      </c>
      <c r="I691" s="35">
        <f t="shared" si="51"/>
        <v>0</v>
      </c>
      <c r="J691" s="35">
        <f t="shared" si="52"/>
        <v>2290.6273437977552</v>
      </c>
      <c r="K691" s="45">
        <f t="shared" si="50"/>
        <v>21122480.13609853</v>
      </c>
    </row>
    <row r="692" spans="2:11">
      <c r="B692" s="43">
        <v>45392</v>
      </c>
      <c r="C692" s="32" t="s">
        <v>29</v>
      </c>
      <c r="D692" s="32" t="s">
        <v>132</v>
      </c>
      <c r="E692" s="36">
        <f t="shared" si="53"/>
        <v>21122480.13609853</v>
      </c>
      <c r="F692" s="36">
        <v>15219.95</v>
      </c>
      <c r="G692" s="58">
        <v>0</v>
      </c>
      <c r="H692" s="35">
        <f t="shared" si="54"/>
        <v>15219.95</v>
      </c>
      <c r="I692" s="35">
        <f t="shared" si="51"/>
        <v>0</v>
      </c>
      <c r="J692" s="35">
        <f t="shared" si="52"/>
        <v>1146.0053385254973</v>
      </c>
      <c r="K692" s="45">
        <f t="shared" si="50"/>
        <v>21136554.080760002</v>
      </c>
    </row>
    <row r="693" spans="2:11">
      <c r="B693" s="43">
        <v>45392</v>
      </c>
      <c r="C693" s="32" t="s">
        <v>27</v>
      </c>
      <c r="D693" s="32" t="s">
        <v>132</v>
      </c>
      <c r="E693" s="36">
        <f t="shared" si="53"/>
        <v>21136554.080760002</v>
      </c>
      <c r="F693" s="36">
        <v>14115.15</v>
      </c>
      <c r="G693" s="58">
        <v>0</v>
      </c>
      <c r="H693" s="35">
        <f t="shared" si="54"/>
        <v>14115.15</v>
      </c>
      <c r="I693" s="35">
        <f t="shared" si="51"/>
        <v>0</v>
      </c>
      <c r="J693" s="35">
        <f t="shared" si="52"/>
        <v>1146.7689238437099</v>
      </c>
      <c r="K693" s="45">
        <f t="shared" si="50"/>
        <v>21149522.461836156</v>
      </c>
    </row>
    <row r="694" spans="2:11">
      <c r="B694" s="43">
        <v>45392</v>
      </c>
      <c r="C694" s="32" t="s">
        <v>29</v>
      </c>
      <c r="D694" s="32" t="s">
        <v>134</v>
      </c>
      <c r="E694" s="36">
        <f t="shared" si="53"/>
        <v>21149522.461836156</v>
      </c>
      <c r="F694" s="36">
        <v>0</v>
      </c>
      <c r="G694" s="58">
        <v>-7082</v>
      </c>
      <c r="H694" s="35">
        <f t="shared" si="54"/>
        <v>-7082</v>
      </c>
      <c r="I694" s="35">
        <f t="shared" si="51"/>
        <v>0</v>
      </c>
      <c r="J694" s="35">
        <f t="shared" si="52"/>
        <v>1147.4725265385423</v>
      </c>
      <c r="K694" s="45">
        <f t="shared" si="50"/>
        <v>21141292.989309616</v>
      </c>
    </row>
    <row r="695" spans="2:11">
      <c r="B695" s="43">
        <v>45392</v>
      </c>
      <c r="C695" s="32" t="s">
        <v>25</v>
      </c>
      <c r="D695" s="32" t="s">
        <v>134</v>
      </c>
      <c r="E695" s="36">
        <f t="shared" si="53"/>
        <v>21141292.989309616</v>
      </c>
      <c r="F695" s="36">
        <v>0</v>
      </c>
      <c r="G695" s="58">
        <v>-18869</v>
      </c>
      <c r="H695" s="35">
        <f t="shared" si="54"/>
        <v>-18869</v>
      </c>
      <c r="I695" s="35">
        <f t="shared" si="51"/>
        <v>0</v>
      </c>
      <c r="J695" s="35">
        <f t="shared" si="52"/>
        <v>1147.0260344889396</v>
      </c>
      <c r="K695" s="45">
        <f t="shared" si="50"/>
        <v>21121276.963275127</v>
      </c>
    </row>
    <row r="696" spans="2:11">
      <c r="B696" s="43">
        <v>45393</v>
      </c>
      <c r="C696" s="32" t="s">
        <v>29</v>
      </c>
      <c r="D696" s="32" t="s">
        <v>132</v>
      </c>
      <c r="E696" s="36">
        <f t="shared" si="53"/>
        <v>21121276.963275127</v>
      </c>
      <c r="F696" s="36">
        <v>15055.3</v>
      </c>
      <c r="G696" s="58">
        <v>0</v>
      </c>
      <c r="H696" s="35">
        <f t="shared" si="54"/>
        <v>15055.3</v>
      </c>
      <c r="I696" s="35">
        <f t="shared" si="51"/>
        <v>0</v>
      </c>
      <c r="J696" s="35">
        <f t="shared" si="52"/>
        <v>2291.8801201779474</v>
      </c>
      <c r="K696" s="45">
        <f t="shared" si="50"/>
        <v>21134040.383154951</v>
      </c>
    </row>
    <row r="697" spans="2:11">
      <c r="B697" s="43">
        <v>45393</v>
      </c>
      <c r="C697" s="32" t="s">
        <v>27</v>
      </c>
      <c r="D697" s="32" t="s">
        <v>132</v>
      </c>
      <c r="E697" s="36">
        <f t="shared" si="53"/>
        <v>21134040.383154951</v>
      </c>
      <c r="F697" s="36">
        <v>17822.310000000001</v>
      </c>
      <c r="G697" s="58">
        <v>0</v>
      </c>
      <c r="H697" s="35">
        <f t="shared" si="54"/>
        <v>17822.310000000001</v>
      </c>
      <c r="I697" s="35">
        <f t="shared" si="51"/>
        <v>0</v>
      </c>
      <c r="J697" s="35">
        <f t="shared" si="52"/>
        <v>1146.6325425638477</v>
      </c>
      <c r="K697" s="45">
        <f t="shared" si="50"/>
        <v>21150716.060612384</v>
      </c>
    </row>
    <row r="698" spans="2:11">
      <c r="B698" s="43">
        <v>45393</v>
      </c>
      <c r="C698" s="32" t="s">
        <v>29</v>
      </c>
      <c r="D698" s="32" t="s">
        <v>134</v>
      </c>
      <c r="E698" s="36">
        <f t="shared" si="53"/>
        <v>21150716.060612384</v>
      </c>
      <c r="F698" s="36">
        <v>0</v>
      </c>
      <c r="G698" s="58">
        <v>-5705.2</v>
      </c>
      <c r="H698" s="35">
        <f t="shared" si="54"/>
        <v>-5705.2</v>
      </c>
      <c r="I698" s="35">
        <f t="shared" si="51"/>
        <v>0</v>
      </c>
      <c r="J698" s="35">
        <f t="shared" si="52"/>
        <v>1147.5372855327894</v>
      </c>
      <c r="K698" s="45">
        <f t="shared" si="50"/>
        <v>21143863.323326852</v>
      </c>
    </row>
    <row r="699" spans="2:11">
      <c r="B699" s="43">
        <v>45394</v>
      </c>
      <c r="C699" s="32" t="s">
        <v>27</v>
      </c>
      <c r="D699" s="32" t="s">
        <v>132</v>
      </c>
      <c r="E699" s="36">
        <f t="shared" si="53"/>
        <v>21143863.323326852</v>
      </c>
      <c r="F699" s="36">
        <v>19353.43</v>
      </c>
      <c r="G699" s="58">
        <v>0</v>
      </c>
      <c r="H699" s="35">
        <f t="shared" si="54"/>
        <v>19353.43</v>
      </c>
      <c r="I699" s="35">
        <f t="shared" si="51"/>
        <v>0</v>
      </c>
      <c r="J699" s="35">
        <f t="shared" si="52"/>
        <v>2294.3309771824615</v>
      </c>
      <c r="K699" s="45">
        <f t="shared" si="50"/>
        <v>21160922.422349669</v>
      </c>
    </row>
    <row r="700" spans="2:11">
      <c r="B700" s="43">
        <v>45394</v>
      </c>
      <c r="C700" s="32" t="s">
        <v>27</v>
      </c>
      <c r="D700" s="32" t="s">
        <v>132</v>
      </c>
      <c r="E700" s="36">
        <f t="shared" si="53"/>
        <v>21160922.422349669</v>
      </c>
      <c r="F700" s="36">
        <v>16963.099999999999</v>
      </c>
      <c r="G700" s="58">
        <v>0</v>
      </c>
      <c r="H700" s="35">
        <f t="shared" si="54"/>
        <v>16963.099999999999</v>
      </c>
      <c r="I700" s="35">
        <f t="shared" si="51"/>
        <v>0</v>
      </c>
      <c r="J700" s="35">
        <f t="shared" si="52"/>
        <v>1148.0910341912086</v>
      </c>
      <c r="K700" s="45">
        <f t="shared" si="50"/>
        <v>21176737.431315478</v>
      </c>
    </row>
    <row r="701" spans="2:11">
      <c r="B701" s="43">
        <v>45394</v>
      </c>
      <c r="C701" s="32" t="s">
        <v>29</v>
      </c>
      <c r="D701" s="32" t="s">
        <v>132</v>
      </c>
      <c r="E701" s="36">
        <f t="shared" si="53"/>
        <v>21176737.431315478</v>
      </c>
      <c r="F701" s="36">
        <v>18814.669999999998</v>
      </c>
      <c r="G701" s="58">
        <v>0</v>
      </c>
      <c r="H701" s="35">
        <f t="shared" si="54"/>
        <v>18814.669999999998</v>
      </c>
      <c r="I701" s="35">
        <f t="shared" si="51"/>
        <v>0</v>
      </c>
      <c r="J701" s="35">
        <f t="shared" si="52"/>
        <v>1148.9490813801212</v>
      </c>
      <c r="K701" s="45">
        <f t="shared" si="50"/>
        <v>21194403.1522341</v>
      </c>
    </row>
    <row r="702" spans="2:11">
      <c r="B702" s="43">
        <v>45394</v>
      </c>
      <c r="C702" s="32" t="s">
        <v>29</v>
      </c>
      <c r="D702" s="32" t="s">
        <v>132</v>
      </c>
      <c r="E702" s="36">
        <f t="shared" si="53"/>
        <v>21194403.1522341</v>
      </c>
      <c r="F702" s="36">
        <v>14337.11</v>
      </c>
      <c r="G702" s="58">
        <v>0</v>
      </c>
      <c r="H702" s="35">
        <f t="shared" si="54"/>
        <v>14337.11</v>
      </c>
      <c r="I702" s="35">
        <f t="shared" si="51"/>
        <v>0</v>
      </c>
      <c r="J702" s="35">
        <f t="shared" si="52"/>
        <v>1149.9075393997855</v>
      </c>
      <c r="K702" s="45">
        <f t="shared" si="50"/>
        <v>21207590.354694698</v>
      </c>
    </row>
    <row r="703" spans="2:11">
      <c r="B703" s="43">
        <v>45394</v>
      </c>
      <c r="C703" s="32" t="s">
        <v>27</v>
      </c>
      <c r="D703" s="32" t="s">
        <v>132</v>
      </c>
      <c r="E703" s="36">
        <f t="shared" si="53"/>
        <v>21207590.354694698</v>
      </c>
      <c r="F703" s="36">
        <v>15131.43</v>
      </c>
      <c r="G703" s="58">
        <v>0</v>
      </c>
      <c r="H703" s="35">
        <f t="shared" si="54"/>
        <v>15131.43</v>
      </c>
      <c r="I703" s="35">
        <f t="shared" si="51"/>
        <v>0</v>
      </c>
      <c r="J703" s="35">
        <f t="shared" si="52"/>
        <v>1150.6230143024811</v>
      </c>
      <c r="K703" s="45">
        <f t="shared" si="50"/>
        <v>21221571.161680397</v>
      </c>
    </row>
    <row r="704" spans="2:11">
      <c r="B704" s="43">
        <v>45394</v>
      </c>
      <c r="C704" s="32" t="s">
        <v>25</v>
      </c>
      <c r="D704" s="32" t="s">
        <v>132</v>
      </c>
      <c r="E704" s="36">
        <f t="shared" si="53"/>
        <v>21221571.161680397</v>
      </c>
      <c r="F704" s="36">
        <v>14981.79</v>
      </c>
      <c r="G704" s="58">
        <v>0</v>
      </c>
      <c r="H704" s="35">
        <f t="shared" si="54"/>
        <v>14981.79</v>
      </c>
      <c r="I704" s="35">
        <f t="shared" si="51"/>
        <v>0</v>
      </c>
      <c r="J704" s="35">
        <f t="shared" si="52"/>
        <v>1151.3815464132592</v>
      </c>
      <c r="K704" s="45">
        <f t="shared" si="50"/>
        <v>21235401.570133984</v>
      </c>
    </row>
    <row r="705" spans="2:11">
      <c r="B705" s="43">
        <v>45394</v>
      </c>
      <c r="C705" s="32" t="s">
        <v>25</v>
      </c>
      <c r="D705" s="32" t="s">
        <v>132</v>
      </c>
      <c r="E705" s="36">
        <f t="shared" si="53"/>
        <v>21235401.570133984</v>
      </c>
      <c r="F705" s="36">
        <v>16609.53</v>
      </c>
      <c r="G705" s="58">
        <v>0</v>
      </c>
      <c r="H705" s="35">
        <f t="shared" si="54"/>
        <v>16609.53</v>
      </c>
      <c r="I705" s="35">
        <f t="shared" si="51"/>
        <v>0</v>
      </c>
      <c r="J705" s="35">
        <f t="shared" si="52"/>
        <v>1152.1319186148035</v>
      </c>
      <c r="K705" s="45">
        <f t="shared" si="50"/>
        <v>21250858.968215369</v>
      </c>
    </row>
    <row r="706" spans="2:11">
      <c r="B706" s="43">
        <v>45395</v>
      </c>
      <c r="C706" s="32" t="s">
        <v>27</v>
      </c>
      <c r="D706" s="32" t="s">
        <v>132</v>
      </c>
      <c r="E706" s="36">
        <f t="shared" si="53"/>
        <v>21250858.968215369</v>
      </c>
      <c r="F706" s="36">
        <v>17948.07</v>
      </c>
      <c r="G706" s="58">
        <v>0</v>
      </c>
      <c r="H706" s="35">
        <f t="shared" si="54"/>
        <v>17948.07</v>
      </c>
      <c r="I706" s="35">
        <f t="shared" si="51"/>
        <v>0</v>
      </c>
      <c r="J706" s="35">
        <f t="shared" si="52"/>
        <v>2305.9411270750079</v>
      </c>
      <c r="K706" s="45">
        <f t="shared" si="50"/>
        <v>21266501.097088292</v>
      </c>
    </row>
    <row r="707" spans="2:11">
      <c r="B707" s="43">
        <v>45395</v>
      </c>
      <c r="C707" s="32" t="s">
        <v>25</v>
      </c>
      <c r="D707" s="32" t="s">
        <v>134</v>
      </c>
      <c r="E707" s="36">
        <f t="shared" si="53"/>
        <v>21266501.097088292</v>
      </c>
      <c r="F707" s="36">
        <v>0</v>
      </c>
      <c r="G707" s="58">
        <v>-4073.97</v>
      </c>
      <c r="H707" s="35">
        <f t="shared" si="54"/>
        <v>-4073.97</v>
      </c>
      <c r="I707" s="35">
        <f t="shared" si="51"/>
        <v>0</v>
      </c>
      <c r="J707" s="35">
        <f t="shared" si="52"/>
        <v>1153.819231074591</v>
      </c>
      <c r="K707" s="45">
        <f t="shared" si="50"/>
        <v>21261273.307857219</v>
      </c>
    </row>
    <row r="708" spans="2:11">
      <c r="B708" s="43">
        <v>45396</v>
      </c>
      <c r="C708" s="32" t="s">
        <v>25</v>
      </c>
      <c r="D708" s="32" t="s">
        <v>132</v>
      </c>
      <c r="E708" s="36">
        <f t="shared" si="53"/>
        <v>21261273.307857219</v>
      </c>
      <c r="F708" s="36">
        <v>12331.46</v>
      </c>
      <c r="G708" s="58">
        <v>0</v>
      </c>
      <c r="H708" s="35">
        <f t="shared" si="54"/>
        <v>12331.46</v>
      </c>
      <c r="I708" s="35">
        <f t="shared" si="51"/>
        <v>0</v>
      </c>
      <c r="J708" s="35">
        <f t="shared" si="52"/>
        <v>2307.0711921762536</v>
      </c>
      <c r="K708" s="45">
        <f t="shared" si="50"/>
        <v>21271297.696665045</v>
      </c>
    </row>
    <row r="709" spans="2:11">
      <c r="B709" s="43">
        <v>45396</v>
      </c>
      <c r="C709" s="32" t="s">
        <v>29</v>
      </c>
      <c r="D709" s="32" t="s">
        <v>132</v>
      </c>
      <c r="E709" s="36">
        <f t="shared" si="53"/>
        <v>21271297.696665045</v>
      </c>
      <c r="F709" s="36">
        <v>20182.63</v>
      </c>
      <c r="G709" s="58">
        <v>0</v>
      </c>
      <c r="H709" s="35">
        <f t="shared" si="54"/>
        <v>20182.63</v>
      </c>
      <c r="I709" s="35">
        <f t="shared" si="51"/>
        <v>0</v>
      </c>
      <c r="J709" s="35">
        <f t="shared" si="52"/>
        <v>1154.0794717606425</v>
      </c>
      <c r="K709" s="45">
        <f t="shared" si="50"/>
        <v>21290326.247193284</v>
      </c>
    </row>
    <row r="710" spans="2:11">
      <c r="B710" s="43">
        <v>45396</v>
      </c>
      <c r="C710" s="32" t="s">
        <v>27</v>
      </c>
      <c r="D710" s="32" t="s">
        <v>132</v>
      </c>
      <c r="E710" s="36">
        <f t="shared" si="53"/>
        <v>21290326.247193284</v>
      </c>
      <c r="F710" s="36">
        <v>17802.96</v>
      </c>
      <c r="G710" s="58">
        <v>0</v>
      </c>
      <c r="H710" s="35">
        <f t="shared" si="54"/>
        <v>17802.96</v>
      </c>
      <c r="I710" s="35">
        <f t="shared" si="51"/>
        <v>0</v>
      </c>
      <c r="J710" s="35">
        <f t="shared" si="52"/>
        <v>1155.1118704349108</v>
      </c>
      <c r="K710" s="45">
        <f t="shared" si="50"/>
        <v>21306974.095322851</v>
      </c>
    </row>
    <row r="711" spans="2:11">
      <c r="B711" s="43">
        <v>45396</v>
      </c>
      <c r="C711" s="32" t="s">
        <v>29</v>
      </c>
      <c r="D711" s="32" t="s">
        <v>132</v>
      </c>
      <c r="E711" s="36">
        <f t="shared" si="53"/>
        <v>21306974.095322851</v>
      </c>
      <c r="F711" s="36">
        <v>12590.46</v>
      </c>
      <c r="G711" s="58">
        <v>0</v>
      </c>
      <c r="H711" s="35">
        <f t="shared" si="54"/>
        <v>12590.46</v>
      </c>
      <c r="I711" s="35">
        <f t="shared" si="51"/>
        <v>0</v>
      </c>
      <c r="J711" s="35">
        <f t="shared" si="52"/>
        <v>1156.015103516846</v>
      </c>
      <c r="K711" s="45">
        <f t="shared" si="50"/>
        <v>21318408.540219337</v>
      </c>
    </row>
    <row r="712" spans="2:11">
      <c r="B712" s="43">
        <v>45396</v>
      </c>
      <c r="C712" s="32" t="s">
        <v>29</v>
      </c>
      <c r="D712" s="32" t="s">
        <v>132</v>
      </c>
      <c r="E712" s="36">
        <f t="shared" si="53"/>
        <v>21318408.540219337</v>
      </c>
      <c r="F712" s="36">
        <v>15200.97</v>
      </c>
      <c r="G712" s="58">
        <v>0</v>
      </c>
      <c r="H712" s="35">
        <f t="shared" si="54"/>
        <v>15200.97</v>
      </c>
      <c r="I712" s="35">
        <f t="shared" si="51"/>
        <v>0</v>
      </c>
      <c r="J712" s="35">
        <f t="shared" si="52"/>
        <v>1156.6354821281652</v>
      </c>
      <c r="K712" s="45">
        <f t="shared" ref="K712:K775" si="55">E712+H712+I712-J712</f>
        <v>21332452.874737207</v>
      </c>
    </row>
    <row r="713" spans="2:11">
      <c r="B713" s="43">
        <v>45396</v>
      </c>
      <c r="C713" s="32" t="s">
        <v>29</v>
      </c>
      <c r="D713" s="32" t="s">
        <v>134</v>
      </c>
      <c r="E713" s="36">
        <f t="shared" si="53"/>
        <v>21332452.874737207</v>
      </c>
      <c r="F713" s="36">
        <v>0</v>
      </c>
      <c r="G713" s="58">
        <v>-5444.15</v>
      </c>
      <c r="H713" s="35">
        <f t="shared" si="54"/>
        <v>-5444.15</v>
      </c>
      <c r="I713" s="35">
        <f t="shared" si="51"/>
        <v>0</v>
      </c>
      <c r="J713" s="35">
        <f t="shared" si="52"/>
        <v>1157.3974609407769</v>
      </c>
      <c r="K713" s="45">
        <f t="shared" si="55"/>
        <v>21325851.327276267</v>
      </c>
    </row>
    <row r="714" spans="2:11">
      <c r="B714" s="43">
        <v>45396</v>
      </c>
      <c r="C714" s="32" t="s">
        <v>29</v>
      </c>
      <c r="D714" s="32" t="s">
        <v>134</v>
      </c>
      <c r="E714" s="36">
        <f t="shared" si="53"/>
        <v>21325851.327276267</v>
      </c>
      <c r="F714" s="36">
        <v>0</v>
      </c>
      <c r="G714" s="58">
        <v>-6888</v>
      </c>
      <c r="H714" s="35">
        <f t="shared" si="54"/>
        <v>-6888</v>
      </c>
      <c r="I714" s="35">
        <f t="shared" si="51"/>
        <v>0</v>
      </c>
      <c r="J714" s="35">
        <f t="shared" si="52"/>
        <v>1157.0392923647375</v>
      </c>
      <c r="K714" s="45">
        <f t="shared" si="55"/>
        <v>21317806.287983902</v>
      </c>
    </row>
    <row r="715" spans="2:11">
      <c r="B715" s="43">
        <v>45397</v>
      </c>
      <c r="C715" s="32" t="s">
        <v>29</v>
      </c>
      <c r="D715" s="32" t="s">
        <v>132</v>
      </c>
      <c r="E715" s="36">
        <f t="shared" si="53"/>
        <v>21317806.287983902</v>
      </c>
      <c r="F715" s="36">
        <v>13343.33</v>
      </c>
      <c r="G715" s="58">
        <v>0</v>
      </c>
      <c r="H715" s="35">
        <f t="shared" si="54"/>
        <v>13343.33</v>
      </c>
      <c r="I715" s="35">
        <f t="shared" si="51"/>
        <v>0</v>
      </c>
      <c r="J715" s="35">
        <f t="shared" si="52"/>
        <v>2313.2056135709468</v>
      </c>
      <c r="K715" s="45">
        <f t="shared" si="55"/>
        <v>21328836.412370328</v>
      </c>
    </row>
    <row r="716" spans="2:11">
      <c r="B716" s="43">
        <v>45397</v>
      </c>
      <c r="C716" s="32" t="s">
        <v>29</v>
      </c>
      <c r="D716" s="32" t="s">
        <v>132</v>
      </c>
      <c r="E716" s="36">
        <f t="shared" si="53"/>
        <v>21328836.412370328</v>
      </c>
      <c r="F716" s="36">
        <v>17238.759999999998</v>
      </c>
      <c r="G716" s="58">
        <v>0</v>
      </c>
      <c r="H716" s="35">
        <f t="shared" si="54"/>
        <v>17238.759999999998</v>
      </c>
      <c r="I716" s="35">
        <f t="shared" si="51"/>
        <v>0</v>
      </c>
      <c r="J716" s="35">
        <f t="shared" si="52"/>
        <v>1157.2012488883893</v>
      </c>
      <c r="K716" s="45">
        <f t="shared" si="55"/>
        <v>21344917.971121442</v>
      </c>
    </row>
    <row r="717" spans="2:11">
      <c r="B717" s="43">
        <v>45397</v>
      </c>
      <c r="C717" s="32" t="s">
        <v>25</v>
      </c>
      <c r="D717" s="32" t="s">
        <v>132</v>
      </c>
      <c r="E717" s="36">
        <f t="shared" si="53"/>
        <v>21344917.971121442</v>
      </c>
      <c r="F717" s="36">
        <v>16122.17</v>
      </c>
      <c r="G717" s="58">
        <v>0</v>
      </c>
      <c r="H717" s="35">
        <f t="shared" si="54"/>
        <v>16122.17</v>
      </c>
      <c r="I717" s="35">
        <f t="shared" si="51"/>
        <v>0</v>
      </c>
      <c r="J717" s="35">
        <f t="shared" si="52"/>
        <v>1158.0737578012556</v>
      </c>
      <c r="K717" s="45">
        <f t="shared" si="55"/>
        <v>21359882.067363642</v>
      </c>
    </row>
    <row r="718" spans="2:11">
      <c r="B718" s="43">
        <v>45397</v>
      </c>
      <c r="C718" s="32" t="s">
        <v>27</v>
      </c>
      <c r="D718" s="32" t="s">
        <v>132</v>
      </c>
      <c r="E718" s="36">
        <f t="shared" si="53"/>
        <v>21359882.067363642</v>
      </c>
      <c r="F718" s="36">
        <v>14637.16</v>
      </c>
      <c r="G718" s="58">
        <v>0</v>
      </c>
      <c r="H718" s="35">
        <f t="shared" si="54"/>
        <v>14637.16</v>
      </c>
      <c r="I718" s="35">
        <f t="shared" si="51"/>
        <v>0</v>
      </c>
      <c r="J718" s="35">
        <f t="shared" si="52"/>
        <v>1158.8856385117249</v>
      </c>
      <c r="K718" s="45">
        <f t="shared" si="55"/>
        <v>21373360.34172513</v>
      </c>
    </row>
    <row r="719" spans="2:11">
      <c r="B719" s="43">
        <v>45397</v>
      </c>
      <c r="C719" s="32" t="s">
        <v>29</v>
      </c>
      <c r="D719" s="32" t="s">
        <v>134</v>
      </c>
      <c r="E719" s="36">
        <f t="shared" si="53"/>
        <v>21373360.34172513</v>
      </c>
      <c r="F719" s="36">
        <v>0</v>
      </c>
      <c r="G719" s="58">
        <v>-16569.080000000002</v>
      </c>
      <c r="H719" s="35">
        <f t="shared" si="54"/>
        <v>-16569.080000000002</v>
      </c>
      <c r="I719" s="35">
        <f t="shared" si="51"/>
        <v>0</v>
      </c>
      <c r="J719" s="35">
        <f t="shared" si="52"/>
        <v>1159.6169055917671</v>
      </c>
      <c r="K719" s="45">
        <f t="shared" si="55"/>
        <v>21355631.644819539</v>
      </c>
    </row>
    <row r="720" spans="2:11">
      <c r="B720" s="43">
        <v>45397</v>
      </c>
      <c r="C720" s="32" t="s">
        <v>25</v>
      </c>
      <c r="D720" s="32" t="s">
        <v>134</v>
      </c>
      <c r="E720" s="36">
        <f t="shared" si="53"/>
        <v>21355631.644819539</v>
      </c>
      <c r="F720" s="36">
        <v>0</v>
      </c>
      <c r="G720" s="58">
        <v>-13221.92</v>
      </c>
      <c r="H720" s="35">
        <f t="shared" si="54"/>
        <v>-13221.92</v>
      </c>
      <c r="I720" s="35">
        <f t="shared" si="51"/>
        <v>0</v>
      </c>
      <c r="J720" s="35">
        <f t="shared" si="52"/>
        <v>1158.6550307944897</v>
      </c>
      <c r="K720" s="45">
        <f t="shared" si="55"/>
        <v>21341251.069788743</v>
      </c>
    </row>
    <row r="721" spans="2:11">
      <c r="B721" s="43">
        <v>45397</v>
      </c>
      <c r="C721" s="32" t="s">
        <v>25</v>
      </c>
      <c r="D721" s="32" t="s">
        <v>134</v>
      </c>
      <c r="E721" s="36">
        <f t="shared" si="53"/>
        <v>21341251.069788743</v>
      </c>
      <c r="F721" s="36">
        <v>0</v>
      </c>
      <c r="G721" s="58">
        <v>-6605.39</v>
      </c>
      <c r="H721" s="35">
        <f t="shared" si="54"/>
        <v>-6605.39</v>
      </c>
      <c r="I721" s="35">
        <f t="shared" si="51"/>
        <v>0</v>
      </c>
      <c r="J721" s="35">
        <f t="shared" si="52"/>
        <v>1157.874809170411</v>
      </c>
      <c r="K721" s="45">
        <f t="shared" si="55"/>
        <v>21333487.80497957</v>
      </c>
    </row>
    <row r="722" spans="2:11">
      <c r="B722" s="43">
        <v>45397</v>
      </c>
      <c r="C722" s="32" t="s">
        <v>25</v>
      </c>
      <c r="D722" s="32" t="s">
        <v>134</v>
      </c>
      <c r="E722" s="36">
        <f t="shared" si="53"/>
        <v>21333487.80497957</v>
      </c>
      <c r="F722" s="36">
        <v>0</v>
      </c>
      <c r="G722" s="58">
        <v>-5955.14</v>
      </c>
      <c r="H722" s="35">
        <f t="shared" si="54"/>
        <v>-5955.14</v>
      </c>
      <c r="I722" s="35">
        <f t="shared" si="51"/>
        <v>0</v>
      </c>
      <c r="J722" s="35">
        <f t="shared" si="52"/>
        <v>1157.4536113348172</v>
      </c>
      <c r="K722" s="45">
        <f t="shared" si="55"/>
        <v>21326375.211368233</v>
      </c>
    </row>
    <row r="723" spans="2:11">
      <c r="B723" s="43">
        <v>45397</v>
      </c>
      <c r="C723" s="32" t="s">
        <v>27</v>
      </c>
      <c r="D723" s="32" t="s">
        <v>134</v>
      </c>
      <c r="E723" s="36">
        <f t="shared" si="53"/>
        <v>21326375.211368233</v>
      </c>
      <c r="F723" s="36">
        <v>0</v>
      </c>
      <c r="G723" s="58">
        <v>-20381</v>
      </c>
      <c r="H723" s="35">
        <f t="shared" si="54"/>
        <v>-20381</v>
      </c>
      <c r="I723" s="35">
        <f t="shared" si="51"/>
        <v>0</v>
      </c>
      <c r="J723" s="35">
        <f t="shared" si="52"/>
        <v>1157.0677158245912</v>
      </c>
      <c r="K723" s="45">
        <f t="shared" si="55"/>
        <v>21304837.143652409</v>
      </c>
    </row>
    <row r="724" spans="2:11">
      <c r="B724" s="43">
        <v>45397</v>
      </c>
      <c r="C724" s="32" t="s">
        <v>27</v>
      </c>
      <c r="D724" s="32" t="s">
        <v>134</v>
      </c>
      <c r="E724" s="36">
        <f t="shared" si="53"/>
        <v>21304837.143652409</v>
      </c>
      <c r="F724" s="36">
        <v>0</v>
      </c>
      <c r="G724" s="58">
        <v>-2736</v>
      </c>
      <c r="H724" s="35">
        <f t="shared" si="54"/>
        <v>-2736</v>
      </c>
      <c r="I724" s="35">
        <f t="shared" ref="I724:I787" si="56">(($E724*Daily_Interest)*(_xlfn.DAYS(B724,B723)+1))+((IF(DAY($B723)&gt;Monthly_Cut_off_Date,0,Daily_Interest*H724))*(_xlfn.DAYS(B724,B723)+1))</f>
        <v>0</v>
      </c>
      <c r="J724" s="35">
        <f t="shared" ref="J724:J787" si="57">(($I724+E724)*Daily_Fees_Rate)*((_xlfn.DAYS(B724,B723)+1))</f>
        <v>1155.8991626800353</v>
      </c>
      <c r="K724" s="45">
        <f t="shared" si="55"/>
        <v>21300945.244489729</v>
      </c>
    </row>
    <row r="725" spans="2:11">
      <c r="B725" s="43">
        <v>45397</v>
      </c>
      <c r="C725" s="32" t="s">
        <v>29</v>
      </c>
      <c r="D725" s="32" t="s">
        <v>134</v>
      </c>
      <c r="E725" s="36">
        <f t="shared" ref="E725:E788" si="58">K724</f>
        <v>21300945.244489729</v>
      </c>
      <c r="F725" s="36">
        <v>0</v>
      </c>
      <c r="G725" s="58">
        <v>-6145</v>
      </c>
      <c r="H725" s="35">
        <f t="shared" ref="H725:H788" si="59">SUM(F725:G725)</f>
        <v>-6145</v>
      </c>
      <c r="I725" s="35">
        <f t="shared" si="56"/>
        <v>0</v>
      </c>
      <c r="J725" s="35">
        <f t="shared" si="57"/>
        <v>1155.6880067367608</v>
      </c>
      <c r="K725" s="45">
        <f t="shared" si="55"/>
        <v>21293644.556482993</v>
      </c>
    </row>
    <row r="726" spans="2:11">
      <c r="B726" s="43">
        <v>45398</v>
      </c>
      <c r="C726" s="32" t="s">
        <v>27</v>
      </c>
      <c r="D726" s="32" t="s">
        <v>132</v>
      </c>
      <c r="E726" s="36">
        <f t="shared" si="58"/>
        <v>21293644.556482993</v>
      </c>
      <c r="F726" s="36">
        <v>15641.94</v>
      </c>
      <c r="G726" s="58">
        <v>0</v>
      </c>
      <c r="H726" s="35">
        <f t="shared" si="59"/>
        <v>15641.94</v>
      </c>
      <c r="I726" s="35">
        <f t="shared" si="56"/>
        <v>0</v>
      </c>
      <c r="J726" s="35">
        <f t="shared" si="57"/>
        <v>2310.5838122379928</v>
      </c>
      <c r="K726" s="45">
        <f t="shared" si="55"/>
        <v>21306975.912670758</v>
      </c>
    </row>
    <row r="727" spans="2:11">
      <c r="B727" s="43">
        <v>45398</v>
      </c>
      <c r="C727" s="32" t="s">
        <v>27</v>
      </c>
      <c r="D727" s="32" t="s">
        <v>132</v>
      </c>
      <c r="E727" s="36">
        <f t="shared" si="58"/>
        <v>21306975.912670758</v>
      </c>
      <c r="F727" s="36">
        <v>10792.18</v>
      </c>
      <c r="G727" s="58">
        <v>0</v>
      </c>
      <c r="H727" s="35">
        <f t="shared" si="59"/>
        <v>10792.18</v>
      </c>
      <c r="I727" s="35">
        <f t="shared" si="56"/>
        <v>0</v>
      </c>
      <c r="J727" s="35">
        <f t="shared" si="57"/>
        <v>1156.0152021175024</v>
      </c>
      <c r="K727" s="45">
        <f t="shared" si="55"/>
        <v>21316612.077468641</v>
      </c>
    </row>
    <row r="728" spans="2:11">
      <c r="B728" s="43">
        <v>45398</v>
      </c>
      <c r="C728" s="32" t="s">
        <v>25</v>
      </c>
      <c r="D728" s="32" t="s">
        <v>132</v>
      </c>
      <c r="E728" s="36">
        <f t="shared" si="58"/>
        <v>21316612.077468641</v>
      </c>
      <c r="F728" s="36">
        <v>18683.009999999998</v>
      </c>
      <c r="G728" s="58">
        <v>0</v>
      </c>
      <c r="H728" s="35">
        <f t="shared" si="59"/>
        <v>18683.009999999998</v>
      </c>
      <c r="I728" s="35">
        <f t="shared" si="56"/>
        <v>0</v>
      </c>
      <c r="J728" s="35">
        <f t="shared" si="57"/>
        <v>1156.5380146011753</v>
      </c>
      <c r="K728" s="45">
        <f t="shared" si="55"/>
        <v>21334138.549454041</v>
      </c>
    </row>
    <row r="729" spans="2:11">
      <c r="B729" s="43">
        <v>45398</v>
      </c>
      <c r="C729" s="32" t="s">
        <v>25</v>
      </c>
      <c r="D729" s="32" t="s">
        <v>134</v>
      </c>
      <c r="E729" s="36">
        <f t="shared" si="58"/>
        <v>21334138.549454041</v>
      </c>
      <c r="F729" s="36">
        <v>0</v>
      </c>
      <c r="G729" s="58">
        <v>-8304.02</v>
      </c>
      <c r="H729" s="35">
        <f t="shared" si="59"/>
        <v>-8304.02</v>
      </c>
      <c r="I729" s="35">
        <f t="shared" si="56"/>
        <v>0</v>
      </c>
      <c r="J729" s="35">
        <f t="shared" si="57"/>
        <v>1157.488917635827</v>
      </c>
      <c r="K729" s="45">
        <f t="shared" si="55"/>
        <v>21324677.040536404</v>
      </c>
    </row>
    <row r="730" spans="2:11">
      <c r="B730" s="43">
        <v>45398</v>
      </c>
      <c r="C730" s="32" t="s">
        <v>25</v>
      </c>
      <c r="D730" s="32" t="s">
        <v>134</v>
      </c>
      <c r="E730" s="36">
        <f t="shared" si="58"/>
        <v>21324677.040536404</v>
      </c>
      <c r="F730" s="36">
        <v>0</v>
      </c>
      <c r="G730" s="58">
        <v>-6816</v>
      </c>
      <c r="H730" s="35">
        <f t="shared" si="59"/>
        <v>-6816</v>
      </c>
      <c r="I730" s="35">
        <f t="shared" si="56"/>
        <v>0</v>
      </c>
      <c r="J730" s="35">
        <f t="shared" si="57"/>
        <v>1156.9755811497582</v>
      </c>
      <c r="K730" s="45">
        <f t="shared" si="55"/>
        <v>21316704.064955253</v>
      </c>
    </row>
    <row r="731" spans="2:11">
      <c r="B731" s="43">
        <v>45399</v>
      </c>
      <c r="C731" s="32" t="s">
        <v>25</v>
      </c>
      <c r="D731" s="32" t="s">
        <v>132</v>
      </c>
      <c r="E731" s="36">
        <f t="shared" si="58"/>
        <v>21316704.064955253</v>
      </c>
      <c r="F731" s="36">
        <v>16238.34</v>
      </c>
      <c r="G731" s="58">
        <v>0</v>
      </c>
      <c r="H731" s="35">
        <f t="shared" si="59"/>
        <v>16238.34</v>
      </c>
      <c r="I731" s="35">
        <f t="shared" si="56"/>
        <v>0</v>
      </c>
      <c r="J731" s="35">
        <f t="shared" si="57"/>
        <v>2313.086010809629</v>
      </c>
      <c r="K731" s="45">
        <f t="shared" si="55"/>
        <v>21330629.318944443</v>
      </c>
    </row>
    <row r="732" spans="2:11">
      <c r="B732" s="43">
        <v>45399</v>
      </c>
      <c r="C732" s="32" t="s">
        <v>29</v>
      </c>
      <c r="D732" s="32" t="s">
        <v>132</v>
      </c>
      <c r="E732" s="36">
        <f t="shared" si="58"/>
        <v>21330629.318944443</v>
      </c>
      <c r="F732" s="36">
        <v>12609.31</v>
      </c>
      <c r="G732" s="58">
        <v>0</v>
      </c>
      <c r="H732" s="35">
        <f t="shared" si="59"/>
        <v>12609.31</v>
      </c>
      <c r="I732" s="35">
        <f t="shared" si="56"/>
        <v>0</v>
      </c>
      <c r="J732" s="35">
        <f t="shared" si="57"/>
        <v>1157.2985234741468</v>
      </c>
      <c r="K732" s="45">
        <f t="shared" si="55"/>
        <v>21342081.330420967</v>
      </c>
    </row>
    <row r="733" spans="2:11">
      <c r="B733" s="43">
        <v>45399</v>
      </c>
      <c r="C733" s="32" t="s">
        <v>27</v>
      </c>
      <c r="D733" s="32" t="s">
        <v>132</v>
      </c>
      <c r="E733" s="36">
        <f t="shared" si="58"/>
        <v>21342081.330420967</v>
      </c>
      <c r="F733" s="36">
        <v>17177.3</v>
      </c>
      <c r="G733" s="58">
        <v>0</v>
      </c>
      <c r="H733" s="35">
        <f t="shared" si="59"/>
        <v>17177.3</v>
      </c>
      <c r="I733" s="35">
        <f t="shared" si="56"/>
        <v>0</v>
      </c>
      <c r="J733" s="35">
        <f t="shared" si="57"/>
        <v>1157.9198551645729</v>
      </c>
      <c r="K733" s="45">
        <f t="shared" si="55"/>
        <v>21358100.710565802</v>
      </c>
    </row>
    <row r="734" spans="2:11">
      <c r="B734" s="43">
        <v>45399</v>
      </c>
      <c r="C734" s="32" t="s">
        <v>29</v>
      </c>
      <c r="D734" s="32" t="s">
        <v>132</v>
      </c>
      <c r="E734" s="36">
        <f t="shared" si="58"/>
        <v>21358100.710565802</v>
      </c>
      <c r="F734" s="36">
        <v>9994.25</v>
      </c>
      <c r="G734" s="58">
        <v>0</v>
      </c>
      <c r="H734" s="35">
        <f t="shared" si="59"/>
        <v>9994.25</v>
      </c>
      <c r="I734" s="35">
        <f t="shared" si="56"/>
        <v>0</v>
      </c>
      <c r="J734" s="35">
        <f t="shared" si="57"/>
        <v>1158.7889905619109</v>
      </c>
      <c r="K734" s="45">
        <f t="shared" si="55"/>
        <v>21366936.171575241</v>
      </c>
    </row>
    <row r="735" spans="2:11">
      <c r="B735" s="43">
        <v>45399</v>
      </c>
      <c r="C735" s="32" t="s">
        <v>29</v>
      </c>
      <c r="D735" s="32" t="s">
        <v>132</v>
      </c>
      <c r="E735" s="36">
        <f t="shared" si="58"/>
        <v>21366936.171575241</v>
      </c>
      <c r="F735" s="36">
        <v>15843.57</v>
      </c>
      <c r="G735" s="58">
        <v>0</v>
      </c>
      <c r="H735" s="35">
        <f t="shared" si="59"/>
        <v>15843.57</v>
      </c>
      <c r="I735" s="35">
        <f t="shared" si="56"/>
        <v>0</v>
      </c>
      <c r="J735" s="35">
        <f t="shared" si="57"/>
        <v>1159.2683606652276</v>
      </c>
      <c r="K735" s="45">
        <f t="shared" si="55"/>
        <v>21381620.473214574</v>
      </c>
    </row>
    <row r="736" spans="2:11">
      <c r="B736" s="43">
        <v>45399</v>
      </c>
      <c r="C736" s="32" t="s">
        <v>25</v>
      </c>
      <c r="D736" s="32" t="s">
        <v>134</v>
      </c>
      <c r="E736" s="36">
        <f t="shared" si="58"/>
        <v>21381620.473214574</v>
      </c>
      <c r="F736" s="36">
        <v>0</v>
      </c>
      <c r="G736" s="58">
        <v>-9598.75</v>
      </c>
      <c r="H736" s="35">
        <f t="shared" si="59"/>
        <v>-9598.75</v>
      </c>
      <c r="I736" s="35">
        <f t="shared" si="56"/>
        <v>0</v>
      </c>
      <c r="J736" s="35">
        <f t="shared" si="57"/>
        <v>1160.0650610509194</v>
      </c>
      <c r="K736" s="45">
        <f t="shared" si="55"/>
        <v>21370861.658153523</v>
      </c>
    </row>
    <row r="737" spans="2:11">
      <c r="B737" s="43">
        <v>45399</v>
      </c>
      <c r="C737" s="32" t="s">
        <v>27</v>
      </c>
      <c r="D737" s="32" t="s">
        <v>134</v>
      </c>
      <c r="E737" s="36">
        <f t="shared" si="58"/>
        <v>21370861.658153523</v>
      </c>
      <c r="F737" s="36">
        <v>0</v>
      </c>
      <c r="G737" s="58">
        <v>-11607</v>
      </c>
      <c r="H737" s="35">
        <f t="shared" si="59"/>
        <v>-11607</v>
      </c>
      <c r="I737" s="35">
        <f t="shared" si="56"/>
        <v>0</v>
      </c>
      <c r="J737" s="35">
        <f t="shared" si="57"/>
        <v>1159.4813389019705</v>
      </c>
      <c r="K737" s="45">
        <f t="shared" si="55"/>
        <v>21358095.176814619</v>
      </c>
    </row>
    <row r="738" spans="2:11">
      <c r="B738" s="43">
        <v>45400</v>
      </c>
      <c r="C738" s="32" t="s">
        <v>27</v>
      </c>
      <c r="D738" s="32" t="s">
        <v>132</v>
      </c>
      <c r="E738" s="36">
        <f t="shared" si="58"/>
        <v>21358095.176814619</v>
      </c>
      <c r="F738" s="36">
        <v>13912.68</v>
      </c>
      <c r="G738" s="58">
        <v>0</v>
      </c>
      <c r="H738" s="35">
        <f t="shared" si="59"/>
        <v>13912.68</v>
      </c>
      <c r="I738" s="35">
        <f t="shared" si="56"/>
        <v>0</v>
      </c>
      <c r="J738" s="35">
        <f t="shared" si="57"/>
        <v>2317.5773806537672</v>
      </c>
      <c r="K738" s="45">
        <f t="shared" si="55"/>
        <v>21369690.279433966</v>
      </c>
    </row>
    <row r="739" spans="2:11">
      <c r="B739" s="43">
        <v>45400</v>
      </c>
      <c r="C739" s="32" t="s">
        <v>27</v>
      </c>
      <c r="D739" s="32" t="s">
        <v>132</v>
      </c>
      <c r="E739" s="36">
        <f t="shared" si="58"/>
        <v>21369690.279433966</v>
      </c>
      <c r="F739" s="36">
        <v>12366.05</v>
      </c>
      <c r="G739" s="58">
        <v>0</v>
      </c>
      <c r="H739" s="35">
        <f t="shared" si="59"/>
        <v>12366.05</v>
      </c>
      <c r="I739" s="35">
        <f t="shared" si="56"/>
        <v>0</v>
      </c>
      <c r="J739" s="35">
        <f t="shared" si="57"/>
        <v>1159.417785462346</v>
      </c>
      <c r="K739" s="45">
        <f t="shared" si="55"/>
        <v>21380896.911648504</v>
      </c>
    </row>
    <row r="740" spans="2:11">
      <c r="B740" s="43">
        <v>45400</v>
      </c>
      <c r="C740" s="32" t="s">
        <v>29</v>
      </c>
      <c r="D740" s="32" t="s">
        <v>134</v>
      </c>
      <c r="E740" s="36">
        <f t="shared" si="58"/>
        <v>21380896.911648504</v>
      </c>
      <c r="F740" s="36">
        <v>0</v>
      </c>
      <c r="G740" s="58">
        <v>-17796</v>
      </c>
      <c r="H740" s="35">
        <f t="shared" si="59"/>
        <v>-17796</v>
      </c>
      <c r="I740" s="35">
        <f t="shared" si="56"/>
        <v>0</v>
      </c>
      <c r="J740" s="35">
        <f t="shared" si="57"/>
        <v>1160.0258040407518</v>
      </c>
      <c r="K740" s="45">
        <f t="shared" si="55"/>
        <v>21361940.885844465</v>
      </c>
    </row>
    <row r="741" spans="2:11">
      <c r="B741" s="43">
        <v>45401</v>
      </c>
      <c r="C741" s="32" t="s">
        <v>25</v>
      </c>
      <c r="D741" s="32" t="s">
        <v>132</v>
      </c>
      <c r="E741" s="36">
        <f t="shared" si="58"/>
        <v>21361940.885844465</v>
      </c>
      <c r="F741" s="36">
        <v>9037.2900000000009</v>
      </c>
      <c r="G741" s="58">
        <v>0</v>
      </c>
      <c r="H741" s="35">
        <f t="shared" si="59"/>
        <v>9037.2900000000009</v>
      </c>
      <c r="I741" s="35">
        <f t="shared" si="56"/>
        <v>0</v>
      </c>
      <c r="J741" s="35">
        <f t="shared" si="57"/>
        <v>2317.9946804263527</v>
      </c>
      <c r="K741" s="45">
        <f t="shared" si="55"/>
        <v>21368660.181164037</v>
      </c>
    </row>
    <row r="742" spans="2:11">
      <c r="B742" s="43">
        <v>45401</v>
      </c>
      <c r="C742" s="32" t="s">
        <v>27</v>
      </c>
      <c r="D742" s="32" t="s">
        <v>132</v>
      </c>
      <c r="E742" s="36">
        <f t="shared" si="58"/>
        <v>21368660.181164037</v>
      </c>
      <c r="F742" s="36">
        <v>17276.91</v>
      </c>
      <c r="G742" s="58">
        <v>0</v>
      </c>
      <c r="H742" s="35">
        <f t="shared" si="59"/>
        <v>17276.91</v>
      </c>
      <c r="I742" s="35">
        <f t="shared" si="56"/>
        <v>0</v>
      </c>
      <c r="J742" s="35">
        <f t="shared" si="57"/>
        <v>1159.3618972281549</v>
      </c>
      <c r="K742" s="45">
        <f t="shared" si="55"/>
        <v>21384777.729266811</v>
      </c>
    </row>
    <row r="743" spans="2:11">
      <c r="B743" s="43">
        <v>45401</v>
      </c>
      <c r="C743" s="32" t="s">
        <v>29</v>
      </c>
      <c r="D743" s="32" t="s">
        <v>132</v>
      </c>
      <c r="E743" s="36">
        <f t="shared" si="58"/>
        <v>21384777.729266811</v>
      </c>
      <c r="F743" s="36">
        <v>20051.78</v>
      </c>
      <c r="G743" s="58">
        <v>0</v>
      </c>
      <c r="H743" s="35">
        <f t="shared" si="59"/>
        <v>20051.78</v>
      </c>
      <c r="I743" s="35">
        <f t="shared" si="56"/>
        <v>0</v>
      </c>
      <c r="J743" s="35">
        <f t="shared" si="57"/>
        <v>1160.2363587521193</v>
      </c>
      <c r="K743" s="45">
        <f t="shared" si="55"/>
        <v>21403669.272908062</v>
      </c>
    </row>
    <row r="744" spans="2:11">
      <c r="B744" s="43">
        <v>45401</v>
      </c>
      <c r="C744" s="32" t="s">
        <v>27</v>
      </c>
      <c r="D744" s="32" t="s">
        <v>134</v>
      </c>
      <c r="E744" s="36">
        <f t="shared" si="58"/>
        <v>21403669.272908062</v>
      </c>
      <c r="F744" s="36">
        <v>0</v>
      </c>
      <c r="G744" s="58">
        <v>-10833.43</v>
      </c>
      <c r="H744" s="35">
        <f t="shared" si="59"/>
        <v>-10833.43</v>
      </c>
      <c r="I744" s="35">
        <f t="shared" si="56"/>
        <v>0</v>
      </c>
      <c r="J744" s="35">
        <f t="shared" si="57"/>
        <v>1161.2613240841431</v>
      </c>
      <c r="K744" s="45">
        <f t="shared" si="55"/>
        <v>21391674.581583977</v>
      </c>
    </row>
    <row r="745" spans="2:11">
      <c r="B745" s="43">
        <v>45401</v>
      </c>
      <c r="C745" s="32" t="s">
        <v>29</v>
      </c>
      <c r="D745" s="32" t="s">
        <v>134</v>
      </c>
      <c r="E745" s="36">
        <f t="shared" si="58"/>
        <v>21391674.581583977</v>
      </c>
      <c r="F745" s="36">
        <v>0</v>
      </c>
      <c r="G745" s="58">
        <v>-16378</v>
      </c>
      <c r="H745" s="35">
        <f t="shared" si="59"/>
        <v>-16378</v>
      </c>
      <c r="I745" s="35">
        <f t="shared" si="56"/>
        <v>0</v>
      </c>
      <c r="J745" s="35">
        <f t="shared" si="57"/>
        <v>1160.6105491655351</v>
      </c>
      <c r="K745" s="45">
        <f t="shared" si="55"/>
        <v>21374135.97103481</v>
      </c>
    </row>
    <row r="746" spans="2:11">
      <c r="B746" s="43">
        <v>45401</v>
      </c>
      <c r="C746" s="32" t="s">
        <v>27</v>
      </c>
      <c r="D746" s="32" t="s">
        <v>134</v>
      </c>
      <c r="E746" s="36">
        <f t="shared" si="58"/>
        <v>21374135.97103481</v>
      </c>
      <c r="F746" s="36">
        <v>0</v>
      </c>
      <c r="G746" s="58">
        <v>-15805</v>
      </c>
      <c r="H746" s="35">
        <f t="shared" si="59"/>
        <v>-15805</v>
      </c>
      <c r="I746" s="35">
        <f t="shared" si="56"/>
        <v>0</v>
      </c>
      <c r="J746" s="35">
        <f t="shared" si="57"/>
        <v>1159.6589875501302</v>
      </c>
      <c r="K746" s="45">
        <f t="shared" si="55"/>
        <v>21357171.312047258</v>
      </c>
    </row>
    <row r="747" spans="2:11">
      <c r="B747" s="43">
        <v>45402</v>
      </c>
      <c r="C747" s="32" t="s">
        <v>27</v>
      </c>
      <c r="D747" s="32" t="s">
        <v>132</v>
      </c>
      <c r="E747" s="36">
        <f t="shared" si="58"/>
        <v>21357171.312047258</v>
      </c>
      <c r="F747" s="36">
        <v>21943.98</v>
      </c>
      <c r="G747" s="58">
        <v>0</v>
      </c>
      <c r="H747" s="35">
        <f t="shared" si="59"/>
        <v>21943.98</v>
      </c>
      <c r="I747" s="35">
        <f t="shared" si="56"/>
        <v>0</v>
      </c>
      <c r="J747" s="35">
        <f t="shared" si="57"/>
        <v>2317.4771316348406</v>
      </c>
      <c r="K747" s="45">
        <f t="shared" si="55"/>
        <v>21376797.814915624</v>
      </c>
    </row>
    <row r="748" spans="2:11">
      <c r="B748" s="43">
        <v>45402</v>
      </c>
      <c r="C748" s="32" t="s">
        <v>27</v>
      </c>
      <c r="D748" s="32" t="s">
        <v>132</v>
      </c>
      <c r="E748" s="36">
        <f t="shared" si="58"/>
        <v>21376797.814915624</v>
      </c>
      <c r="F748" s="36">
        <v>16543.32</v>
      </c>
      <c r="G748" s="58">
        <v>0</v>
      </c>
      <c r="H748" s="35">
        <f t="shared" si="59"/>
        <v>16543.32</v>
      </c>
      <c r="I748" s="35">
        <f t="shared" si="56"/>
        <v>0</v>
      </c>
      <c r="J748" s="35">
        <f t="shared" si="57"/>
        <v>1159.8034065425061</v>
      </c>
      <c r="K748" s="45">
        <f t="shared" si="55"/>
        <v>21392181.33150908</v>
      </c>
    </row>
    <row r="749" spans="2:11">
      <c r="B749" s="43">
        <v>45402</v>
      </c>
      <c r="C749" s="32" t="s">
        <v>29</v>
      </c>
      <c r="D749" s="32" t="s">
        <v>132</v>
      </c>
      <c r="E749" s="36">
        <f t="shared" si="58"/>
        <v>21392181.33150908</v>
      </c>
      <c r="F749" s="36">
        <v>12886.97</v>
      </c>
      <c r="G749" s="58">
        <v>0</v>
      </c>
      <c r="H749" s="35">
        <f t="shared" si="59"/>
        <v>12886.97</v>
      </c>
      <c r="I749" s="35">
        <f t="shared" si="56"/>
        <v>0</v>
      </c>
      <c r="J749" s="35">
        <f t="shared" si="57"/>
        <v>1160.6380430069648</v>
      </c>
      <c r="K749" s="45">
        <f t="shared" si="55"/>
        <v>21403907.66346607</v>
      </c>
    </row>
    <row r="750" spans="2:11">
      <c r="B750" s="43">
        <v>45402</v>
      </c>
      <c r="C750" s="32" t="s">
        <v>25</v>
      </c>
      <c r="D750" s="32" t="s">
        <v>132</v>
      </c>
      <c r="E750" s="36">
        <f t="shared" si="58"/>
        <v>21403907.66346607</v>
      </c>
      <c r="F750" s="36">
        <v>19629.73</v>
      </c>
      <c r="G750" s="58">
        <v>0</v>
      </c>
      <c r="H750" s="35">
        <f t="shared" si="59"/>
        <v>19629.73</v>
      </c>
      <c r="I750" s="35">
        <f t="shared" si="56"/>
        <v>0</v>
      </c>
      <c r="J750" s="35">
        <f t="shared" si="57"/>
        <v>1161.2742580223157</v>
      </c>
      <c r="K750" s="45">
        <f t="shared" si="55"/>
        <v>21422376.119208049</v>
      </c>
    </row>
    <row r="751" spans="2:11">
      <c r="B751" s="43">
        <v>45402</v>
      </c>
      <c r="C751" s="32" t="s">
        <v>27</v>
      </c>
      <c r="D751" s="32" t="s">
        <v>132</v>
      </c>
      <c r="E751" s="36">
        <f t="shared" si="58"/>
        <v>21422376.119208049</v>
      </c>
      <c r="F751" s="36">
        <v>14699.54</v>
      </c>
      <c r="G751" s="58">
        <v>0</v>
      </c>
      <c r="H751" s="35">
        <f t="shared" si="59"/>
        <v>14699.54</v>
      </c>
      <c r="I751" s="35">
        <f t="shared" si="56"/>
        <v>0</v>
      </c>
      <c r="J751" s="35">
        <f t="shared" si="57"/>
        <v>1162.2762686166332</v>
      </c>
      <c r="K751" s="45">
        <f t="shared" si="55"/>
        <v>21435913.382939432</v>
      </c>
    </row>
    <row r="752" spans="2:11">
      <c r="B752" s="43">
        <v>45402</v>
      </c>
      <c r="C752" s="32" t="s">
        <v>25</v>
      </c>
      <c r="D752" s="32" t="s">
        <v>134</v>
      </c>
      <c r="E752" s="36">
        <f t="shared" si="58"/>
        <v>21435913.382939432</v>
      </c>
      <c r="F752" s="36">
        <v>0</v>
      </c>
      <c r="G752" s="58">
        <v>-11308.73</v>
      </c>
      <c r="H752" s="35">
        <f t="shared" si="59"/>
        <v>-11308.73</v>
      </c>
      <c r="I752" s="35">
        <f t="shared" si="56"/>
        <v>0</v>
      </c>
      <c r="J752" s="35">
        <f t="shared" si="57"/>
        <v>1163.0107361794019</v>
      </c>
      <c r="K752" s="45">
        <f t="shared" si="55"/>
        <v>21423441.642203253</v>
      </c>
    </row>
    <row r="753" spans="2:11">
      <c r="B753" s="43">
        <v>45402</v>
      </c>
      <c r="C753" s="32" t="s">
        <v>25</v>
      </c>
      <c r="D753" s="32" t="s">
        <v>134</v>
      </c>
      <c r="E753" s="36">
        <f t="shared" si="58"/>
        <v>21423441.642203253</v>
      </c>
      <c r="F753" s="36">
        <v>0</v>
      </c>
      <c r="G753" s="58">
        <v>-11335</v>
      </c>
      <c r="H753" s="35">
        <f t="shared" si="59"/>
        <v>-11335</v>
      </c>
      <c r="I753" s="35">
        <f t="shared" si="56"/>
        <v>0</v>
      </c>
      <c r="J753" s="35">
        <f t="shared" si="57"/>
        <v>1162.3340788279793</v>
      </c>
      <c r="K753" s="45">
        <f t="shared" si="55"/>
        <v>21410944.308124423</v>
      </c>
    </row>
    <row r="754" spans="2:11">
      <c r="B754" s="43">
        <v>45403</v>
      </c>
      <c r="C754" s="32" t="s">
        <v>27</v>
      </c>
      <c r="D754" s="32" t="s">
        <v>132</v>
      </c>
      <c r="E754" s="36">
        <f t="shared" si="58"/>
        <v>21410944.308124423</v>
      </c>
      <c r="F754" s="36">
        <v>21571.37</v>
      </c>
      <c r="G754" s="58">
        <v>0</v>
      </c>
      <c r="H754" s="35">
        <f t="shared" si="59"/>
        <v>21571.37</v>
      </c>
      <c r="I754" s="35">
        <f t="shared" si="56"/>
        <v>0</v>
      </c>
      <c r="J754" s="35">
        <f t="shared" si="57"/>
        <v>2323.3120658069529</v>
      </c>
      <c r="K754" s="45">
        <f t="shared" si="55"/>
        <v>21430192.366058618</v>
      </c>
    </row>
    <row r="755" spans="2:11">
      <c r="B755" s="43">
        <v>45403</v>
      </c>
      <c r="C755" s="32" t="s">
        <v>29</v>
      </c>
      <c r="D755" s="32" t="s">
        <v>132</v>
      </c>
      <c r="E755" s="36">
        <f t="shared" si="58"/>
        <v>21430192.366058618</v>
      </c>
      <c r="F755" s="36">
        <v>18538.32</v>
      </c>
      <c r="G755" s="58">
        <v>0</v>
      </c>
      <c r="H755" s="35">
        <f t="shared" si="59"/>
        <v>18538.32</v>
      </c>
      <c r="I755" s="35">
        <f t="shared" si="56"/>
        <v>0</v>
      </c>
      <c r="J755" s="35">
        <f t="shared" si="57"/>
        <v>1162.7003410058728</v>
      </c>
      <c r="K755" s="45">
        <f t="shared" si="55"/>
        <v>21447567.985717613</v>
      </c>
    </row>
    <row r="756" spans="2:11">
      <c r="B756" s="43">
        <v>45403</v>
      </c>
      <c r="C756" s="32" t="s">
        <v>27</v>
      </c>
      <c r="D756" s="32" t="s">
        <v>132</v>
      </c>
      <c r="E756" s="36">
        <f t="shared" si="58"/>
        <v>21447567.985717613</v>
      </c>
      <c r="F756" s="36">
        <v>18274.52</v>
      </c>
      <c r="G756" s="58">
        <v>0</v>
      </c>
      <c r="H756" s="35">
        <f t="shared" si="59"/>
        <v>18274.52</v>
      </c>
      <c r="I756" s="35">
        <f t="shared" si="56"/>
        <v>0</v>
      </c>
      <c r="J756" s="35">
        <f t="shared" si="57"/>
        <v>1163.6430595105699</v>
      </c>
      <c r="K756" s="45">
        <f t="shared" si="55"/>
        <v>21464678.862658102</v>
      </c>
    </row>
    <row r="757" spans="2:11">
      <c r="B757" s="43">
        <v>45403</v>
      </c>
      <c r="C757" s="32" t="s">
        <v>27</v>
      </c>
      <c r="D757" s="32" t="s">
        <v>132</v>
      </c>
      <c r="E757" s="36">
        <f t="shared" si="58"/>
        <v>21464678.862658102</v>
      </c>
      <c r="F757" s="36">
        <v>14154.65</v>
      </c>
      <c r="G757" s="58">
        <v>0</v>
      </c>
      <c r="H757" s="35">
        <f t="shared" si="59"/>
        <v>14154.65</v>
      </c>
      <c r="I757" s="35">
        <f t="shared" si="56"/>
        <v>0</v>
      </c>
      <c r="J757" s="35">
        <f t="shared" si="57"/>
        <v>1164.5714143341656</v>
      </c>
      <c r="K757" s="45">
        <f t="shared" si="55"/>
        <v>21477668.941243768</v>
      </c>
    </row>
    <row r="758" spans="2:11">
      <c r="B758" s="43">
        <v>45403</v>
      </c>
      <c r="C758" s="32" t="s">
        <v>25</v>
      </c>
      <c r="D758" s="32" t="s">
        <v>132</v>
      </c>
      <c r="E758" s="36">
        <f t="shared" si="58"/>
        <v>21477668.941243768</v>
      </c>
      <c r="F758" s="36">
        <v>11328.18</v>
      </c>
      <c r="G758" s="58">
        <v>0</v>
      </c>
      <c r="H758" s="35">
        <f t="shared" si="59"/>
        <v>11328.18</v>
      </c>
      <c r="I758" s="35">
        <f t="shared" si="56"/>
        <v>0</v>
      </c>
      <c r="J758" s="35">
        <f t="shared" si="57"/>
        <v>1165.2761942326965</v>
      </c>
      <c r="K758" s="45">
        <f t="shared" si="55"/>
        <v>21487831.845049534</v>
      </c>
    </row>
    <row r="759" spans="2:11">
      <c r="B759" s="43">
        <v>45403</v>
      </c>
      <c r="C759" s="32" t="s">
        <v>25</v>
      </c>
      <c r="D759" s="32" t="s">
        <v>134</v>
      </c>
      <c r="E759" s="36">
        <f t="shared" si="58"/>
        <v>21487831.845049534</v>
      </c>
      <c r="F759" s="36">
        <v>0</v>
      </c>
      <c r="G759" s="58">
        <v>-3017.04</v>
      </c>
      <c r="H759" s="35">
        <f t="shared" si="59"/>
        <v>-3017.04</v>
      </c>
      <c r="I759" s="35">
        <f t="shared" si="56"/>
        <v>0</v>
      </c>
      <c r="J759" s="35">
        <f t="shared" si="57"/>
        <v>1165.8275850703862</v>
      </c>
      <c r="K759" s="45">
        <f t="shared" si="55"/>
        <v>21483648.977464464</v>
      </c>
    </row>
    <row r="760" spans="2:11">
      <c r="B760" s="43">
        <v>45403</v>
      </c>
      <c r="C760" s="32" t="s">
        <v>27</v>
      </c>
      <c r="D760" s="32" t="s">
        <v>134</v>
      </c>
      <c r="E760" s="36">
        <f t="shared" si="58"/>
        <v>21483648.977464464</v>
      </c>
      <c r="F760" s="36">
        <v>0</v>
      </c>
      <c r="G760" s="58">
        <v>-8659</v>
      </c>
      <c r="H760" s="35">
        <f t="shared" si="59"/>
        <v>-8659</v>
      </c>
      <c r="I760" s="35">
        <f t="shared" si="56"/>
        <v>0</v>
      </c>
      <c r="J760" s="35">
        <f t="shared" si="57"/>
        <v>1165.6006425640164</v>
      </c>
      <c r="K760" s="45">
        <f t="shared" si="55"/>
        <v>21473824.376821898</v>
      </c>
    </row>
    <row r="761" spans="2:11">
      <c r="B761" s="43">
        <v>45403</v>
      </c>
      <c r="C761" s="32" t="s">
        <v>29</v>
      </c>
      <c r="D761" s="32" t="s">
        <v>134</v>
      </c>
      <c r="E761" s="36">
        <f t="shared" si="58"/>
        <v>21473824.376821898</v>
      </c>
      <c r="F761" s="36">
        <v>0</v>
      </c>
      <c r="G761" s="58">
        <v>-5358</v>
      </c>
      <c r="H761" s="35">
        <f t="shared" si="59"/>
        <v>-5358</v>
      </c>
      <c r="I761" s="35">
        <f t="shared" si="56"/>
        <v>0</v>
      </c>
      <c r="J761" s="35">
        <f t="shared" si="57"/>
        <v>1165.0676064473901</v>
      </c>
      <c r="K761" s="45">
        <f t="shared" si="55"/>
        <v>21467301.309215449</v>
      </c>
    </row>
    <row r="762" spans="2:11">
      <c r="B762" s="43">
        <v>45403</v>
      </c>
      <c r="C762" s="32" t="s">
        <v>29</v>
      </c>
      <c r="D762" s="32" t="s">
        <v>134</v>
      </c>
      <c r="E762" s="36">
        <f t="shared" si="58"/>
        <v>21467301.309215449</v>
      </c>
      <c r="F762" s="36">
        <v>0</v>
      </c>
      <c r="G762" s="58">
        <v>-10045</v>
      </c>
      <c r="H762" s="35">
        <f t="shared" si="59"/>
        <v>-10045</v>
      </c>
      <c r="I762" s="35">
        <f t="shared" si="56"/>
        <v>0</v>
      </c>
      <c r="J762" s="35">
        <f t="shared" si="57"/>
        <v>1164.7136958150975</v>
      </c>
      <c r="K762" s="45">
        <f t="shared" si="55"/>
        <v>21456091.595519632</v>
      </c>
    </row>
    <row r="763" spans="2:11">
      <c r="B763" s="43">
        <v>45403</v>
      </c>
      <c r="C763" s="32" t="s">
        <v>27</v>
      </c>
      <c r="D763" s="32" t="s">
        <v>134</v>
      </c>
      <c r="E763" s="36">
        <f t="shared" si="58"/>
        <v>21456091.595519632</v>
      </c>
      <c r="F763" s="36">
        <v>0</v>
      </c>
      <c r="G763" s="58">
        <v>-19656</v>
      </c>
      <c r="H763" s="35">
        <f t="shared" si="59"/>
        <v>-19656</v>
      </c>
      <c r="I763" s="35">
        <f t="shared" si="56"/>
        <v>0</v>
      </c>
      <c r="J763" s="35">
        <f t="shared" si="57"/>
        <v>1164.1055100501696</v>
      </c>
      <c r="K763" s="45">
        <f t="shared" si="55"/>
        <v>21435271.490009584</v>
      </c>
    </row>
    <row r="764" spans="2:11">
      <c r="B764" s="43">
        <v>45404</v>
      </c>
      <c r="C764" s="32" t="s">
        <v>29</v>
      </c>
      <c r="D764" s="32" t="s">
        <v>132</v>
      </c>
      <c r="E764" s="36">
        <f t="shared" si="58"/>
        <v>21435271.490009584</v>
      </c>
      <c r="F764" s="36">
        <v>11130.12</v>
      </c>
      <c r="G764" s="58">
        <v>0</v>
      </c>
      <c r="H764" s="35">
        <f t="shared" si="59"/>
        <v>11130.12</v>
      </c>
      <c r="I764" s="35">
        <f t="shared" si="56"/>
        <v>0</v>
      </c>
      <c r="J764" s="35">
        <f t="shared" si="57"/>
        <v>2325.9518202422314</v>
      </c>
      <c r="K764" s="45">
        <f t="shared" si="55"/>
        <v>21444075.658189341</v>
      </c>
    </row>
    <row r="765" spans="2:11">
      <c r="B765" s="43">
        <v>45404</v>
      </c>
      <c r="C765" s="32" t="s">
        <v>29</v>
      </c>
      <c r="D765" s="32" t="s">
        <v>132</v>
      </c>
      <c r="E765" s="36">
        <f t="shared" si="58"/>
        <v>21444075.658189341</v>
      </c>
      <c r="F765" s="36">
        <v>10955.44</v>
      </c>
      <c r="G765" s="58">
        <v>0</v>
      </c>
      <c r="H765" s="35">
        <f t="shared" si="59"/>
        <v>10955.44</v>
      </c>
      <c r="I765" s="35">
        <f t="shared" si="56"/>
        <v>0</v>
      </c>
      <c r="J765" s="35">
        <f t="shared" si="57"/>
        <v>1163.453582424286</v>
      </c>
      <c r="K765" s="45">
        <f t="shared" si="55"/>
        <v>21453867.644606918</v>
      </c>
    </row>
    <row r="766" spans="2:11">
      <c r="B766" s="43">
        <v>45404</v>
      </c>
      <c r="C766" s="32" t="s">
        <v>27</v>
      </c>
      <c r="D766" s="32" t="s">
        <v>132</v>
      </c>
      <c r="E766" s="36">
        <f t="shared" si="58"/>
        <v>21453867.644606918</v>
      </c>
      <c r="F766" s="36">
        <v>6454.37</v>
      </c>
      <c r="G766" s="58">
        <v>0</v>
      </c>
      <c r="H766" s="35">
        <f t="shared" si="59"/>
        <v>6454.37</v>
      </c>
      <c r="I766" s="35">
        <f t="shared" si="56"/>
        <v>0</v>
      </c>
      <c r="J766" s="35">
        <f t="shared" si="57"/>
        <v>1163.9848490481393</v>
      </c>
      <c r="K766" s="45">
        <f t="shared" si="55"/>
        <v>21459158.029757872</v>
      </c>
    </row>
    <row r="767" spans="2:11">
      <c r="B767" s="43">
        <v>45404</v>
      </c>
      <c r="C767" s="32" t="s">
        <v>25</v>
      </c>
      <c r="D767" s="32" t="s">
        <v>132</v>
      </c>
      <c r="E767" s="36">
        <f t="shared" si="58"/>
        <v>21459158.029757872</v>
      </c>
      <c r="F767" s="36">
        <v>17976.13</v>
      </c>
      <c r="G767" s="58">
        <v>0</v>
      </c>
      <c r="H767" s="35">
        <f t="shared" si="59"/>
        <v>17976.13</v>
      </c>
      <c r="I767" s="35">
        <f t="shared" si="56"/>
        <v>0</v>
      </c>
      <c r="J767" s="35">
        <f t="shared" si="57"/>
        <v>1164.2718801915837</v>
      </c>
      <c r="K767" s="45">
        <f t="shared" si="55"/>
        <v>21475969.88787768</v>
      </c>
    </row>
    <row r="768" spans="2:11">
      <c r="B768" s="43">
        <v>45404</v>
      </c>
      <c r="C768" s="32" t="s">
        <v>29</v>
      </c>
      <c r="D768" s="32" t="s">
        <v>134</v>
      </c>
      <c r="E768" s="36">
        <f t="shared" si="58"/>
        <v>21475969.88787768</v>
      </c>
      <c r="F768" s="36">
        <v>0</v>
      </c>
      <c r="G768" s="58">
        <v>-5602.5</v>
      </c>
      <c r="H768" s="35">
        <f t="shared" si="59"/>
        <v>-5602.5</v>
      </c>
      <c r="I768" s="35">
        <f t="shared" si="56"/>
        <v>0</v>
      </c>
      <c r="J768" s="35">
        <f t="shared" si="57"/>
        <v>1165.184011675751</v>
      </c>
      <c r="K768" s="45">
        <f t="shared" si="55"/>
        <v>21469202.203866005</v>
      </c>
    </row>
    <row r="769" spans="2:11">
      <c r="B769" s="43">
        <v>45404</v>
      </c>
      <c r="C769" s="32" t="s">
        <v>25</v>
      </c>
      <c r="D769" s="32" t="s">
        <v>134</v>
      </c>
      <c r="E769" s="36">
        <f t="shared" si="58"/>
        <v>21469202.203866005</v>
      </c>
      <c r="F769" s="36">
        <v>0</v>
      </c>
      <c r="G769" s="58">
        <v>-5187.29</v>
      </c>
      <c r="H769" s="35">
        <f t="shared" si="59"/>
        <v>-5187.29</v>
      </c>
      <c r="I769" s="35">
        <f t="shared" si="56"/>
        <v>0</v>
      </c>
      <c r="J769" s="35">
        <f t="shared" si="57"/>
        <v>1164.8168293204187</v>
      </c>
      <c r="K769" s="45">
        <f t="shared" si="55"/>
        <v>21462850.097036686</v>
      </c>
    </row>
    <row r="770" spans="2:11">
      <c r="B770" s="43">
        <v>45404</v>
      </c>
      <c r="C770" s="32" t="s">
        <v>29</v>
      </c>
      <c r="D770" s="32" t="s">
        <v>134</v>
      </c>
      <c r="E770" s="36">
        <f t="shared" si="58"/>
        <v>21462850.097036686</v>
      </c>
      <c r="F770" s="36">
        <v>0</v>
      </c>
      <c r="G770" s="58">
        <v>-15350</v>
      </c>
      <c r="H770" s="35">
        <f t="shared" si="59"/>
        <v>-15350</v>
      </c>
      <c r="I770" s="35">
        <f t="shared" si="56"/>
        <v>0</v>
      </c>
      <c r="J770" s="35">
        <f t="shared" si="57"/>
        <v>1164.472194207005</v>
      </c>
      <c r="K770" s="45">
        <f t="shared" si="55"/>
        <v>21446335.62484248</v>
      </c>
    </row>
    <row r="771" spans="2:11">
      <c r="B771" s="43">
        <v>45404</v>
      </c>
      <c r="C771" s="32" t="s">
        <v>25</v>
      </c>
      <c r="D771" s="32" t="s">
        <v>134</v>
      </c>
      <c r="E771" s="36">
        <f t="shared" si="58"/>
        <v>21446335.62484248</v>
      </c>
      <c r="F771" s="36">
        <v>0</v>
      </c>
      <c r="G771" s="58">
        <v>-7553</v>
      </c>
      <c r="H771" s="35">
        <f t="shared" si="59"/>
        <v>-7553</v>
      </c>
      <c r="I771" s="35">
        <f t="shared" si="56"/>
        <v>0</v>
      </c>
      <c r="J771" s="35">
        <f t="shared" si="57"/>
        <v>1163.5761974691434</v>
      </c>
      <c r="K771" s="45">
        <f t="shared" si="55"/>
        <v>21437619.048645012</v>
      </c>
    </row>
    <row r="772" spans="2:11">
      <c r="B772" s="43">
        <v>45404</v>
      </c>
      <c r="C772" s="32" t="s">
        <v>27</v>
      </c>
      <c r="D772" s="32" t="s">
        <v>134</v>
      </c>
      <c r="E772" s="36">
        <f t="shared" si="58"/>
        <v>21437619.048645012</v>
      </c>
      <c r="F772" s="36">
        <v>0</v>
      </c>
      <c r="G772" s="58">
        <v>-13127</v>
      </c>
      <c r="H772" s="35">
        <f t="shared" si="59"/>
        <v>-13127</v>
      </c>
      <c r="I772" s="35">
        <f t="shared" si="56"/>
        <v>0</v>
      </c>
      <c r="J772" s="35">
        <f t="shared" si="57"/>
        <v>1163.1032774904477</v>
      </c>
      <c r="K772" s="45">
        <f t="shared" si="55"/>
        <v>21423328.945367523</v>
      </c>
    </row>
    <row r="773" spans="2:11">
      <c r="B773" s="43">
        <v>45405</v>
      </c>
      <c r="C773" s="32" t="s">
        <v>27</v>
      </c>
      <c r="D773" s="32" t="s">
        <v>132</v>
      </c>
      <c r="E773" s="36">
        <f t="shared" si="58"/>
        <v>21423328.945367523</v>
      </c>
      <c r="F773" s="36">
        <v>26558.19</v>
      </c>
      <c r="G773" s="58">
        <v>0</v>
      </c>
      <c r="H773" s="35">
        <f t="shared" si="59"/>
        <v>26558.19</v>
      </c>
      <c r="I773" s="35">
        <f t="shared" si="56"/>
        <v>0</v>
      </c>
      <c r="J773" s="35">
        <f t="shared" si="57"/>
        <v>2324.6559288670524</v>
      </c>
      <c r="K773" s="45">
        <f t="shared" si="55"/>
        <v>21447562.479438655</v>
      </c>
    </row>
    <row r="774" spans="2:11">
      <c r="B774" s="43">
        <v>45405</v>
      </c>
      <c r="C774" s="32" t="s">
        <v>25</v>
      </c>
      <c r="D774" s="32" t="s">
        <v>132</v>
      </c>
      <c r="E774" s="36">
        <f t="shared" si="58"/>
        <v>21447562.479438655</v>
      </c>
      <c r="F774" s="36">
        <v>19588.650000000001</v>
      </c>
      <c r="G774" s="58">
        <v>0</v>
      </c>
      <c r="H774" s="35">
        <f t="shared" si="59"/>
        <v>19588.650000000001</v>
      </c>
      <c r="I774" s="35">
        <f t="shared" si="56"/>
        <v>0</v>
      </c>
      <c r="J774" s="35">
        <f t="shared" si="57"/>
        <v>1163.6427607660551</v>
      </c>
      <c r="K774" s="45">
        <f t="shared" si="55"/>
        <v>21465987.486677889</v>
      </c>
    </row>
    <row r="775" spans="2:11">
      <c r="B775" s="43">
        <v>45405</v>
      </c>
      <c r="C775" s="32" t="s">
        <v>29</v>
      </c>
      <c r="D775" s="32" t="s">
        <v>132</v>
      </c>
      <c r="E775" s="36">
        <f t="shared" si="58"/>
        <v>21465987.486677889</v>
      </c>
      <c r="F775" s="36">
        <v>16042.75</v>
      </c>
      <c r="G775" s="58">
        <v>0</v>
      </c>
      <c r="H775" s="35">
        <f t="shared" si="59"/>
        <v>16042.75</v>
      </c>
      <c r="I775" s="35">
        <f t="shared" si="56"/>
        <v>0</v>
      </c>
      <c r="J775" s="35">
        <f t="shared" si="57"/>
        <v>1164.6424140512036</v>
      </c>
      <c r="K775" s="45">
        <f t="shared" si="55"/>
        <v>21480865.594263837</v>
      </c>
    </row>
    <row r="776" spans="2:11">
      <c r="B776" s="43">
        <v>45405</v>
      </c>
      <c r="C776" s="32" t="s">
        <v>27</v>
      </c>
      <c r="D776" s="32" t="s">
        <v>132</v>
      </c>
      <c r="E776" s="36">
        <f t="shared" si="58"/>
        <v>21480865.594263837</v>
      </c>
      <c r="F776" s="36">
        <v>10289.33</v>
      </c>
      <c r="G776" s="58">
        <v>0</v>
      </c>
      <c r="H776" s="35">
        <f t="shared" si="59"/>
        <v>10289.33</v>
      </c>
      <c r="I776" s="35">
        <f t="shared" si="56"/>
        <v>0</v>
      </c>
      <c r="J776" s="35">
        <f t="shared" si="57"/>
        <v>1165.4496294260455</v>
      </c>
      <c r="K776" s="45">
        <f t="shared" ref="K776:K839" si="60">E776+H776+I776-J776</f>
        <v>21489989.474634409</v>
      </c>
    </row>
    <row r="777" spans="2:11">
      <c r="B777" s="43">
        <v>45405</v>
      </c>
      <c r="C777" s="32" t="s">
        <v>29</v>
      </c>
      <c r="D777" s="32" t="s">
        <v>132</v>
      </c>
      <c r="E777" s="36">
        <f t="shared" si="58"/>
        <v>21489989.474634409</v>
      </c>
      <c r="F777" s="36">
        <v>18324.55</v>
      </c>
      <c r="G777" s="58">
        <v>0</v>
      </c>
      <c r="H777" s="35">
        <f t="shared" si="59"/>
        <v>18324.55</v>
      </c>
      <c r="I777" s="35">
        <f t="shared" si="56"/>
        <v>0</v>
      </c>
      <c r="J777" s="35">
        <f t="shared" si="57"/>
        <v>1165.9446477925144</v>
      </c>
      <c r="K777" s="45">
        <f t="shared" si="60"/>
        <v>21507148.079986617</v>
      </c>
    </row>
    <row r="778" spans="2:11">
      <c r="B778" s="43">
        <v>45405</v>
      </c>
      <c r="C778" s="32" t="s">
        <v>27</v>
      </c>
      <c r="D778" s="32" t="s">
        <v>132</v>
      </c>
      <c r="E778" s="36">
        <f t="shared" si="58"/>
        <v>21507148.079986617</v>
      </c>
      <c r="F778" s="36">
        <v>16321.42</v>
      </c>
      <c r="G778" s="58">
        <v>0</v>
      </c>
      <c r="H778" s="35">
        <f t="shared" si="59"/>
        <v>16321.42</v>
      </c>
      <c r="I778" s="35">
        <f t="shared" si="56"/>
        <v>0</v>
      </c>
      <c r="J778" s="35">
        <f t="shared" si="57"/>
        <v>1166.87559213279</v>
      </c>
      <c r="K778" s="45">
        <f t="shared" si="60"/>
        <v>21522302.624394488</v>
      </c>
    </row>
    <row r="779" spans="2:11">
      <c r="B779" s="43">
        <v>45405</v>
      </c>
      <c r="C779" s="32" t="s">
        <v>29</v>
      </c>
      <c r="D779" s="32" t="s">
        <v>132</v>
      </c>
      <c r="E779" s="36">
        <f t="shared" si="58"/>
        <v>21522302.624394488</v>
      </c>
      <c r="F779" s="36">
        <v>18708.28</v>
      </c>
      <c r="G779" s="58">
        <v>0</v>
      </c>
      <c r="H779" s="35">
        <f t="shared" si="59"/>
        <v>18708.28</v>
      </c>
      <c r="I779" s="35">
        <f t="shared" si="56"/>
        <v>0</v>
      </c>
      <c r="J779" s="35">
        <f t="shared" si="57"/>
        <v>1167.6978056551811</v>
      </c>
      <c r="K779" s="45">
        <f t="shared" si="60"/>
        <v>21539843.206588835</v>
      </c>
    </row>
    <row r="780" spans="2:11">
      <c r="B780" s="43">
        <v>45405</v>
      </c>
      <c r="C780" s="32" t="s">
        <v>29</v>
      </c>
      <c r="D780" s="32" t="s">
        <v>132</v>
      </c>
      <c r="E780" s="36">
        <f t="shared" si="58"/>
        <v>21539843.206588835</v>
      </c>
      <c r="F780" s="36">
        <v>12992.78</v>
      </c>
      <c r="G780" s="58">
        <v>0</v>
      </c>
      <c r="H780" s="35">
        <f t="shared" si="59"/>
        <v>12992.78</v>
      </c>
      <c r="I780" s="35">
        <f t="shared" si="56"/>
        <v>0</v>
      </c>
      <c r="J780" s="35">
        <f t="shared" si="57"/>
        <v>1168.6494742426787</v>
      </c>
      <c r="K780" s="45">
        <f t="shared" si="60"/>
        <v>21551667.337114595</v>
      </c>
    </row>
    <row r="781" spans="2:11">
      <c r="B781" s="43">
        <v>45405</v>
      </c>
      <c r="C781" s="32" t="s">
        <v>29</v>
      </c>
      <c r="D781" s="32" t="s">
        <v>134</v>
      </c>
      <c r="E781" s="36">
        <f t="shared" si="58"/>
        <v>21551667.337114595</v>
      </c>
      <c r="F781" s="36">
        <v>0</v>
      </c>
      <c r="G781" s="58">
        <v>-13970.75</v>
      </c>
      <c r="H781" s="35">
        <f t="shared" si="59"/>
        <v>-13970.75</v>
      </c>
      <c r="I781" s="35">
        <f t="shared" si="56"/>
        <v>0</v>
      </c>
      <c r="J781" s="35">
        <f t="shared" si="57"/>
        <v>1169.2909953433559</v>
      </c>
      <c r="K781" s="45">
        <f t="shared" si="60"/>
        <v>21536527.29611925</v>
      </c>
    </row>
    <row r="782" spans="2:11">
      <c r="B782" s="43">
        <v>45405</v>
      </c>
      <c r="C782" s="32" t="s">
        <v>27</v>
      </c>
      <c r="D782" s="32" t="s">
        <v>134</v>
      </c>
      <c r="E782" s="36">
        <f t="shared" si="58"/>
        <v>21536527.29611925</v>
      </c>
      <c r="F782" s="36">
        <v>0</v>
      </c>
      <c r="G782" s="58">
        <v>-15745</v>
      </c>
      <c r="H782" s="35">
        <f t="shared" si="59"/>
        <v>-15745</v>
      </c>
      <c r="I782" s="35">
        <f t="shared" si="56"/>
        <v>0</v>
      </c>
      <c r="J782" s="35">
        <f t="shared" si="57"/>
        <v>1168.4695687071671</v>
      </c>
      <c r="K782" s="45">
        <f t="shared" si="60"/>
        <v>21519613.826550543</v>
      </c>
    </row>
    <row r="783" spans="2:11">
      <c r="B783" s="43">
        <v>45406</v>
      </c>
      <c r="C783" s="32" t="s">
        <v>27</v>
      </c>
      <c r="D783" s="32" t="s">
        <v>132</v>
      </c>
      <c r="E783" s="36">
        <f t="shared" si="58"/>
        <v>21519613.826550543</v>
      </c>
      <c r="F783" s="36">
        <v>17070.43</v>
      </c>
      <c r="G783" s="58">
        <v>0</v>
      </c>
      <c r="H783" s="35">
        <f t="shared" si="59"/>
        <v>17070.43</v>
      </c>
      <c r="I783" s="35">
        <f t="shared" si="56"/>
        <v>0</v>
      </c>
      <c r="J783" s="35">
        <f t="shared" si="57"/>
        <v>2335.1038485378544</v>
      </c>
      <c r="K783" s="45">
        <f t="shared" si="60"/>
        <v>21534349.152702004</v>
      </c>
    </row>
    <row r="784" spans="2:11">
      <c r="B784" s="43">
        <v>45406</v>
      </c>
      <c r="C784" s="32" t="s">
        <v>27</v>
      </c>
      <c r="D784" s="32" t="s">
        <v>132</v>
      </c>
      <c r="E784" s="36">
        <f t="shared" si="58"/>
        <v>21534349.152702004</v>
      </c>
      <c r="F784" s="36">
        <v>14678.91</v>
      </c>
      <c r="G784" s="58">
        <v>0</v>
      </c>
      <c r="H784" s="35">
        <f t="shared" si="59"/>
        <v>14678.91</v>
      </c>
      <c r="I784" s="35">
        <f t="shared" si="56"/>
        <v>0</v>
      </c>
      <c r="J784" s="35">
        <f t="shared" si="57"/>
        <v>1168.3513930020345</v>
      </c>
      <c r="K784" s="45">
        <f t="shared" si="60"/>
        <v>21547859.711309001</v>
      </c>
    </row>
    <row r="785" spans="2:11">
      <c r="B785" s="43">
        <v>45406</v>
      </c>
      <c r="C785" s="32" t="s">
        <v>29</v>
      </c>
      <c r="D785" s="32" t="s">
        <v>132</v>
      </c>
      <c r="E785" s="36">
        <f t="shared" si="58"/>
        <v>21547859.711309001</v>
      </c>
      <c r="F785" s="36">
        <v>17139</v>
      </c>
      <c r="G785" s="58">
        <v>0</v>
      </c>
      <c r="H785" s="35">
        <f t="shared" si="59"/>
        <v>17139</v>
      </c>
      <c r="I785" s="35">
        <f t="shared" si="56"/>
        <v>0</v>
      </c>
      <c r="J785" s="35">
        <f t="shared" si="57"/>
        <v>1169.0844116717321</v>
      </c>
      <c r="K785" s="45">
        <f t="shared" si="60"/>
        <v>21563829.626897328</v>
      </c>
    </row>
    <row r="786" spans="2:11">
      <c r="B786" s="43">
        <v>45406</v>
      </c>
      <c r="C786" s="32" t="s">
        <v>29</v>
      </c>
      <c r="D786" s="32" t="s">
        <v>132</v>
      </c>
      <c r="E786" s="36">
        <f t="shared" si="58"/>
        <v>21563829.626897328</v>
      </c>
      <c r="F786" s="36">
        <v>12502.93</v>
      </c>
      <c r="G786" s="58">
        <v>0</v>
      </c>
      <c r="H786" s="35">
        <f t="shared" si="59"/>
        <v>12502.93</v>
      </c>
      <c r="I786" s="35">
        <f t="shared" si="56"/>
        <v>0</v>
      </c>
      <c r="J786" s="35">
        <f t="shared" si="57"/>
        <v>1169.9508633574292</v>
      </c>
      <c r="K786" s="45">
        <f t="shared" si="60"/>
        <v>21575162.60603397</v>
      </c>
    </row>
    <row r="787" spans="2:11">
      <c r="B787" s="43">
        <v>45406</v>
      </c>
      <c r="C787" s="32" t="s">
        <v>25</v>
      </c>
      <c r="D787" s="32" t="s">
        <v>132</v>
      </c>
      <c r="E787" s="36">
        <f t="shared" si="58"/>
        <v>21575162.60603397</v>
      </c>
      <c r="F787" s="36">
        <v>21030.61</v>
      </c>
      <c r="G787" s="58">
        <v>0</v>
      </c>
      <c r="H787" s="35">
        <f t="shared" si="59"/>
        <v>21030.61</v>
      </c>
      <c r="I787" s="35">
        <f t="shared" si="56"/>
        <v>0</v>
      </c>
      <c r="J787" s="35">
        <f t="shared" si="57"/>
        <v>1170.5657369190708</v>
      </c>
      <c r="K787" s="45">
        <f t="shared" si="60"/>
        <v>21595022.650297049</v>
      </c>
    </row>
    <row r="788" spans="2:11">
      <c r="B788" s="43">
        <v>45406</v>
      </c>
      <c r="C788" s="32" t="s">
        <v>25</v>
      </c>
      <c r="D788" s="32" t="s">
        <v>132</v>
      </c>
      <c r="E788" s="36">
        <f t="shared" si="58"/>
        <v>21595022.650297049</v>
      </c>
      <c r="F788" s="36">
        <v>22210.25</v>
      </c>
      <c r="G788" s="58">
        <v>0</v>
      </c>
      <c r="H788" s="35">
        <f t="shared" si="59"/>
        <v>22210.25</v>
      </c>
      <c r="I788" s="35">
        <f t="shared" ref="I788:I851" si="61">(($E788*Daily_Interest)*(_xlfn.DAYS(B788,B787)+1))+((IF(DAY($B787)&gt;Monthly_Cut_off_Date,0,Daily_Interest*H788))*(_xlfn.DAYS(B788,B787)+1))</f>
        <v>0</v>
      </c>
      <c r="J788" s="35">
        <f t="shared" ref="J788:J851" si="62">(($I788+E788)*Daily_Fees_Rate)*((_xlfn.DAYS(B788,B787)+1))</f>
        <v>1171.6432484897857</v>
      </c>
      <c r="K788" s="45">
        <f t="shared" si="60"/>
        <v>21616061.257048558</v>
      </c>
    </row>
    <row r="789" spans="2:11">
      <c r="B789" s="43">
        <v>45406</v>
      </c>
      <c r="C789" s="32" t="s">
        <v>27</v>
      </c>
      <c r="D789" s="32" t="s">
        <v>134</v>
      </c>
      <c r="E789" s="36">
        <f t="shared" ref="E789:E852" si="63">K788</f>
        <v>21616061.257048558</v>
      </c>
      <c r="F789" s="36">
        <v>0</v>
      </c>
      <c r="G789" s="58">
        <v>-11463.02</v>
      </c>
      <c r="H789" s="35">
        <f t="shared" ref="H789:H852" si="64">SUM(F789:G789)</f>
        <v>-11463.02</v>
      </c>
      <c r="I789" s="35">
        <f t="shared" si="61"/>
        <v>0</v>
      </c>
      <c r="J789" s="35">
        <f t="shared" si="62"/>
        <v>1172.7847032572665</v>
      </c>
      <c r="K789" s="45">
        <f t="shared" si="60"/>
        <v>21603425.4523453</v>
      </c>
    </row>
    <row r="790" spans="2:11">
      <c r="B790" s="43">
        <v>45406</v>
      </c>
      <c r="C790" s="32" t="s">
        <v>25</v>
      </c>
      <c r="D790" s="32" t="s">
        <v>134</v>
      </c>
      <c r="E790" s="36">
        <f t="shared" si="63"/>
        <v>21603425.4523453</v>
      </c>
      <c r="F790" s="36">
        <v>0</v>
      </c>
      <c r="G790" s="58">
        <v>-19480</v>
      </c>
      <c r="H790" s="35">
        <f t="shared" si="64"/>
        <v>-19480</v>
      </c>
      <c r="I790" s="35">
        <f t="shared" si="61"/>
        <v>0</v>
      </c>
      <c r="J790" s="35">
        <f t="shared" si="62"/>
        <v>1172.0991445750856</v>
      </c>
      <c r="K790" s="45">
        <f t="shared" si="60"/>
        <v>21582773.353200726</v>
      </c>
    </row>
    <row r="791" spans="2:11">
      <c r="B791" s="43">
        <v>45406</v>
      </c>
      <c r="C791" s="32" t="s">
        <v>27</v>
      </c>
      <c r="D791" s="32" t="s">
        <v>134</v>
      </c>
      <c r="E791" s="36">
        <f t="shared" si="63"/>
        <v>21582773.353200726</v>
      </c>
      <c r="F791" s="36">
        <v>0</v>
      </c>
      <c r="G791" s="58">
        <v>-11583</v>
      </c>
      <c r="H791" s="35">
        <f t="shared" si="64"/>
        <v>-11583</v>
      </c>
      <c r="I791" s="35">
        <f t="shared" si="61"/>
        <v>0</v>
      </c>
      <c r="J791" s="35">
        <f t="shared" si="62"/>
        <v>1170.9786598725816</v>
      </c>
      <c r="K791" s="45">
        <f t="shared" si="60"/>
        <v>21570019.374540854</v>
      </c>
    </row>
    <row r="792" spans="2:11">
      <c r="B792" s="43">
        <v>45406</v>
      </c>
      <c r="C792" s="32" t="s">
        <v>29</v>
      </c>
      <c r="D792" s="32" t="s">
        <v>134</v>
      </c>
      <c r="E792" s="36">
        <f t="shared" si="63"/>
        <v>21570019.374540854</v>
      </c>
      <c r="F792" s="36">
        <v>0</v>
      </c>
      <c r="G792" s="58">
        <v>-18025</v>
      </c>
      <c r="H792" s="35">
        <f t="shared" si="64"/>
        <v>-18025</v>
      </c>
      <c r="I792" s="35">
        <f t="shared" si="61"/>
        <v>0</v>
      </c>
      <c r="J792" s="35">
        <f t="shared" si="62"/>
        <v>1170.286689633411</v>
      </c>
      <c r="K792" s="45">
        <f t="shared" si="60"/>
        <v>21550824.087851223</v>
      </c>
    </row>
    <row r="793" spans="2:11">
      <c r="B793" s="43">
        <v>45406</v>
      </c>
      <c r="C793" s="32" t="s">
        <v>25</v>
      </c>
      <c r="D793" s="32" t="s">
        <v>134</v>
      </c>
      <c r="E793" s="36">
        <f t="shared" si="63"/>
        <v>21550824.087851223</v>
      </c>
      <c r="F793" s="36">
        <v>0</v>
      </c>
      <c r="G793" s="58">
        <v>-11540</v>
      </c>
      <c r="H793" s="35">
        <f t="shared" si="64"/>
        <v>-11540</v>
      </c>
      <c r="I793" s="35">
        <f t="shared" si="61"/>
        <v>0</v>
      </c>
      <c r="J793" s="35">
        <f t="shared" si="62"/>
        <v>1169.2452446478267</v>
      </c>
      <c r="K793" s="45">
        <f t="shared" si="60"/>
        <v>21538114.842606574</v>
      </c>
    </row>
    <row r="794" spans="2:11">
      <c r="B794" s="43">
        <v>45406</v>
      </c>
      <c r="C794" s="32" t="s">
        <v>29</v>
      </c>
      <c r="D794" s="32" t="s">
        <v>134</v>
      </c>
      <c r="E794" s="36">
        <f t="shared" si="63"/>
        <v>21538114.842606574</v>
      </c>
      <c r="F794" s="36">
        <v>0</v>
      </c>
      <c r="G794" s="58">
        <v>-3291</v>
      </c>
      <c r="H794" s="35">
        <f t="shared" si="64"/>
        <v>-3291</v>
      </c>
      <c r="I794" s="35">
        <f t="shared" si="61"/>
        <v>0</v>
      </c>
      <c r="J794" s="35">
        <f t="shared" si="62"/>
        <v>1168.5557014310666</v>
      </c>
      <c r="K794" s="45">
        <f t="shared" si="60"/>
        <v>21533655.286905143</v>
      </c>
    </row>
    <row r="795" spans="2:11">
      <c r="B795" s="43">
        <v>45406</v>
      </c>
      <c r="C795" s="32" t="s">
        <v>29</v>
      </c>
      <c r="D795" s="32" t="s">
        <v>134</v>
      </c>
      <c r="E795" s="36">
        <f t="shared" si="63"/>
        <v>21533655.286905143</v>
      </c>
      <c r="F795" s="36">
        <v>0</v>
      </c>
      <c r="G795" s="58">
        <v>-6657</v>
      </c>
      <c r="H795" s="35">
        <f t="shared" si="64"/>
        <v>-6657</v>
      </c>
      <c r="I795" s="35">
        <f t="shared" si="61"/>
        <v>0</v>
      </c>
      <c r="J795" s="35">
        <f t="shared" si="62"/>
        <v>1168.313747143106</v>
      </c>
      <c r="K795" s="45">
        <f t="shared" si="60"/>
        <v>21525829.973158002</v>
      </c>
    </row>
    <row r="796" spans="2:11">
      <c r="B796" s="43">
        <v>45406</v>
      </c>
      <c r="C796" s="32" t="s">
        <v>27</v>
      </c>
      <c r="D796" s="32" t="s">
        <v>134</v>
      </c>
      <c r="E796" s="36">
        <f t="shared" si="63"/>
        <v>21525829.973158002</v>
      </c>
      <c r="F796" s="36">
        <v>0</v>
      </c>
      <c r="G796" s="58">
        <v>-2790</v>
      </c>
      <c r="H796" s="35">
        <f t="shared" si="64"/>
        <v>-2790</v>
      </c>
      <c r="I796" s="35">
        <f t="shared" si="61"/>
        <v>0</v>
      </c>
      <c r="J796" s="35">
        <f t="shared" si="62"/>
        <v>1167.8891828271696</v>
      </c>
      <c r="K796" s="45">
        <f t="shared" si="60"/>
        <v>21521872.083975174</v>
      </c>
    </row>
    <row r="797" spans="2:11">
      <c r="B797" s="43">
        <v>45406</v>
      </c>
      <c r="C797" s="32" t="s">
        <v>29</v>
      </c>
      <c r="D797" s="32" t="s">
        <v>134</v>
      </c>
      <c r="E797" s="36">
        <f t="shared" si="63"/>
        <v>21521872.083975174</v>
      </c>
      <c r="F797" s="36">
        <v>0</v>
      </c>
      <c r="G797" s="58">
        <v>-2835</v>
      </c>
      <c r="H797" s="35">
        <f t="shared" si="64"/>
        <v>-2835</v>
      </c>
      <c r="I797" s="35">
        <f t="shared" si="61"/>
        <v>0</v>
      </c>
      <c r="J797" s="35">
        <f t="shared" si="62"/>
        <v>1167.6744465791728</v>
      </c>
      <c r="K797" s="45">
        <f t="shared" si="60"/>
        <v>21517869.409528594</v>
      </c>
    </row>
    <row r="798" spans="2:11">
      <c r="B798" s="43">
        <v>45407</v>
      </c>
      <c r="C798" s="32" t="s">
        <v>25</v>
      </c>
      <c r="D798" s="32" t="s">
        <v>132</v>
      </c>
      <c r="E798" s="36">
        <f t="shared" si="63"/>
        <v>21517869.409528594</v>
      </c>
      <c r="F798" s="36">
        <v>11307.41</v>
      </c>
      <c r="G798" s="58">
        <v>0</v>
      </c>
      <c r="H798" s="35">
        <f t="shared" si="64"/>
        <v>11307.41</v>
      </c>
      <c r="I798" s="35">
        <f t="shared" si="61"/>
        <v>0</v>
      </c>
      <c r="J798" s="35">
        <f t="shared" si="62"/>
        <v>2334.9145609914217</v>
      </c>
      <c r="K798" s="45">
        <f t="shared" si="60"/>
        <v>21526841.904967602</v>
      </c>
    </row>
    <row r="799" spans="2:11">
      <c r="B799" s="43">
        <v>45407</v>
      </c>
      <c r="C799" s="32" t="s">
        <v>25</v>
      </c>
      <c r="D799" s="32" t="s">
        <v>132</v>
      </c>
      <c r="E799" s="36">
        <f t="shared" si="63"/>
        <v>21526841.904967602</v>
      </c>
      <c r="F799" s="36">
        <v>15597.18</v>
      </c>
      <c r="G799" s="58">
        <v>0</v>
      </c>
      <c r="H799" s="35">
        <f t="shared" si="64"/>
        <v>15597.18</v>
      </c>
      <c r="I799" s="35">
        <f t="shared" si="61"/>
        <v>0</v>
      </c>
      <c r="J799" s="35">
        <f t="shared" si="62"/>
        <v>1167.9440854356017</v>
      </c>
      <c r="K799" s="45">
        <f t="shared" si="60"/>
        <v>21541271.140882168</v>
      </c>
    </row>
    <row r="800" spans="2:11">
      <c r="B800" s="43">
        <v>45407</v>
      </c>
      <c r="C800" s="32" t="s">
        <v>27</v>
      </c>
      <c r="D800" s="32" t="s">
        <v>132</v>
      </c>
      <c r="E800" s="36">
        <f t="shared" si="63"/>
        <v>21541271.140882168</v>
      </c>
      <c r="F800" s="36">
        <v>14190.38</v>
      </c>
      <c r="G800" s="58">
        <v>0</v>
      </c>
      <c r="H800" s="35">
        <f t="shared" si="64"/>
        <v>14190.38</v>
      </c>
      <c r="I800" s="35">
        <f t="shared" si="61"/>
        <v>0</v>
      </c>
      <c r="J800" s="35">
        <f t="shared" si="62"/>
        <v>1168.7269471678599</v>
      </c>
      <c r="K800" s="45">
        <f t="shared" si="60"/>
        <v>21554292.793935001</v>
      </c>
    </row>
    <row r="801" spans="2:11">
      <c r="B801" s="43">
        <v>45407</v>
      </c>
      <c r="C801" s="32" t="s">
        <v>27</v>
      </c>
      <c r="D801" s="32" t="s">
        <v>132</v>
      </c>
      <c r="E801" s="36">
        <f t="shared" si="63"/>
        <v>21554292.793935001</v>
      </c>
      <c r="F801" s="36">
        <v>18087.47</v>
      </c>
      <c r="G801" s="58">
        <v>0</v>
      </c>
      <c r="H801" s="35">
        <f t="shared" si="64"/>
        <v>18087.47</v>
      </c>
      <c r="I801" s="35">
        <f t="shared" si="61"/>
        <v>0</v>
      </c>
      <c r="J801" s="35">
        <f t="shared" si="62"/>
        <v>1169.4334401468482</v>
      </c>
      <c r="K801" s="45">
        <f t="shared" si="60"/>
        <v>21571210.830494855</v>
      </c>
    </row>
    <row r="802" spans="2:11">
      <c r="B802" s="43">
        <v>45407</v>
      </c>
      <c r="C802" s="32" t="s">
        <v>29</v>
      </c>
      <c r="D802" s="32" t="s">
        <v>132</v>
      </c>
      <c r="E802" s="36">
        <f t="shared" si="63"/>
        <v>21571210.830494855</v>
      </c>
      <c r="F802" s="36">
        <v>13407.01</v>
      </c>
      <c r="G802" s="58">
        <v>0</v>
      </c>
      <c r="H802" s="35">
        <f t="shared" si="64"/>
        <v>13407.01</v>
      </c>
      <c r="I802" s="35">
        <f t="shared" si="61"/>
        <v>0</v>
      </c>
      <c r="J802" s="35">
        <f t="shared" si="62"/>
        <v>1170.3513323683126</v>
      </c>
      <c r="K802" s="45">
        <f t="shared" si="60"/>
        <v>21583447.48916249</v>
      </c>
    </row>
    <row r="803" spans="2:11">
      <c r="B803" s="43">
        <v>45407</v>
      </c>
      <c r="C803" s="32" t="s">
        <v>29</v>
      </c>
      <c r="D803" s="32" t="s">
        <v>132</v>
      </c>
      <c r="E803" s="36">
        <f t="shared" si="63"/>
        <v>21583447.48916249</v>
      </c>
      <c r="F803" s="36">
        <v>14704.98</v>
      </c>
      <c r="G803" s="58">
        <v>0</v>
      </c>
      <c r="H803" s="35">
        <f t="shared" si="64"/>
        <v>14704.98</v>
      </c>
      <c r="I803" s="35">
        <f t="shared" si="61"/>
        <v>0</v>
      </c>
      <c r="J803" s="35">
        <f t="shared" si="62"/>
        <v>1171.0152352844696</v>
      </c>
      <c r="K803" s="45">
        <f t="shared" si="60"/>
        <v>21596981.453927204</v>
      </c>
    </row>
    <row r="804" spans="2:11">
      <c r="B804" s="43">
        <v>45407</v>
      </c>
      <c r="C804" s="32" t="s">
        <v>29</v>
      </c>
      <c r="D804" s="32" t="s">
        <v>132</v>
      </c>
      <c r="E804" s="36">
        <f t="shared" si="63"/>
        <v>21596981.453927204</v>
      </c>
      <c r="F804" s="36">
        <v>12034.23</v>
      </c>
      <c r="G804" s="58">
        <v>0</v>
      </c>
      <c r="H804" s="35">
        <f t="shared" si="64"/>
        <v>12034.23</v>
      </c>
      <c r="I804" s="35">
        <f t="shared" si="61"/>
        <v>0</v>
      </c>
      <c r="J804" s="35">
        <f t="shared" si="62"/>
        <v>1171.7495238609929</v>
      </c>
      <c r="K804" s="45">
        <f t="shared" si="60"/>
        <v>21607843.934403345</v>
      </c>
    </row>
    <row r="805" spans="2:11">
      <c r="B805" s="43">
        <v>45407</v>
      </c>
      <c r="C805" s="32" t="s">
        <v>25</v>
      </c>
      <c r="D805" s="32" t="s">
        <v>132</v>
      </c>
      <c r="E805" s="36">
        <f t="shared" si="63"/>
        <v>21607843.934403345</v>
      </c>
      <c r="F805" s="36">
        <v>12690.08</v>
      </c>
      <c r="G805" s="58">
        <v>0</v>
      </c>
      <c r="H805" s="35">
        <f t="shared" si="64"/>
        <v>12690.08</v>
      </c>
      <c r="I805" s="35">
        <f t="shared" si="61"/>
        <v>0</v>
      </c>
      <c r="J805" s="35">
        <f t="shared" si="62"/>
        <v>1172.3388704024539</v>
      </c>
      <c r="K805" s="45">
        <f t="shared" si="60"/>
        <v>21619361.675532941</v>
      </c>
    </row>
    <row r="806" spans="2:11">
      <c r="B806" s="43">
        <v>45407</v>
      </c>
      <c r="C806" s="32" t="s">
        <v>27</v>
      </c>
      <c r="D806" s="32" t="s">
        <v>132</v>
      </c>
      <c r="E806" s="36">
        <f t="shared" si="63"/>
        <v>21619361.675532941</v>
      </c>
      <c r="F806" s="36">
        <v>14247.5</v>
      </c>
      <c r="G806" s="58">
        <v>0</v>
      </c>
      <c r="H806" s="35">
        <f t="shared" si="64"/>
        <v>14247.5</v>
      </c>
      <c r="I806" s="35">
        <f t="shared" si="61"/>
        <v>0</v>
      </c>
      <c r="J806" s="35">
        <f t="shared" si="62"/>
        <v>1172.9637682713226</v>
      </c>
      <c r="K806" s="45">
        <f t="shared" si="60"/>
        <v>21632436.211764671</v>
      </c>
    </row>
    <row r="807" spans="2:11">
      <c r="B807" s="43">
        <v>45407</v>
      </c>
      <c r="C807" s="32" t="s">
        <v>25</v>
      </c>
      <c r="D807" s="32" t="s">
        <v>134</v>
      </c>
      <c r="E807" s="36">
        <f t="shared" si="63"/>
        <v>21632436.211764671</v>
      </c>
      <c r="F807" s="36">
        <v>0</v>
      </c>
      <c r="G807" s="58">
        <v>-4612.83</v>
      </c>
      <c r="H807" s="35">
        <f t="shared" si="64"/>
        <v>-4612.83</v>
      </c>
      <c r="I807" s="35">
        <f t="shared" si="61"/>
        <v>0</v>
      </c>
      <c r="J807" s="35">
        <f t="shared" si="62"/>
        <v>1173.6731304401478</v>
      </c>
      <c r="K807" s="45">
        <f t="shared" si="60"/>
        <v>21626649.708634231</v>
      </c>
    </row>
    <row r="808" spans="2:11">
      <c r="B808" s="43">
        <v>45407</v>
      </c>
      <c r="C808" s="32" t="s">
        <v>25</v>
      </c>
      <c r="D808" s="32" t="s">
        <v>134</v>
      </c>
      <c r="E808" s="36">
        <f t="shared" si="63"/>
        <v>21626649.708634231</v>
      </c>
      <c r="F808" s="36">
        <v>0</v>
      </c>
      <c r="G808" s="58">
        <v>-2999</v>
      </c>
      <c r="H808" s="35">
        <f t="shared" si="64"/>
        <v>-2999</v>
      </c>
      <c r="I808" s="35">
        <f t="shared" si="61"/>
        <v>0</v>
      </c>
      <c r="J808" s="35">
        <f t="shared" si="62"/>
        <v>1173.3591822940896</v>
      </c>
      <c r="K808" s="45">
        <f t="shared" si="60"/>
        <v>21622477.349451937</v>
      </c>
    </row>
    <row r="809" spans="2:11">
      <c r="B809" s="43">
        <v>45407</v>
      </c>
      <c r="C809" s="32" t="s">
        <v>29</v>
      </c>
      <c r="D809" s="32" t="s">
        <v>134</v>
      </c>
      <c r="E809" s="36">
        <f t="shared" si="63"/>
        <v>21622477.349451937</v>
      </c>
      <c r="F809" s="36">
        <v>0</v>
      </c>
      <c r="G809" s="58">
        <v>-15327</v>
      </c>
      <c r="H809" s="35">
        <f t="shared" si="64"/>
        <v>-15327</v>
      </c>
      <c r="I809" s="35">
        <f t="shared" si="61"/>
        <v>0</v>
      </c>
      <c r="J809" s="35">
        <f t="shared" si="62"/>
        <v>1173.1328099236887</v>
      </c>
      <c r="K809" s="45">
        <f t="shared" si="60"/>
        <v>21605977.216642015</v>
      </c>
    </row>
    <row r="810" spans="2:11">
      <c r="B810" s="43">
        <v>45407</v>
      </c>
      <c r="C810" s="32" t="s">
        <v>27</v>
      </c>
      <c r="D810" s="32" t="s">
        <v>134</v>
      </c>
      <c r="E810" s="36">
        <f t="shared" si="63"/>
        <v>21605977.216642015</v>
      </c>
      <c r="F810" s="36">
        <v>0</v>
      </c>
      <c r="G810" s="58">
        <v>-10622</v>
      </c>
      <c r="H810" s="35">
        <f t="shared" si="64"/>
        <v>-10622</v>
      </c>
      <c r="I810" s="35">
        <f t="shared" si="61"/>
        <v>0</v>
      </c>
      <c r="J810" s="35">
        <f t="shared" si="62"/>
        <v>1172.2375911726372</v>
      </c>
      <c r="K810" s="45">
        <f t="shared" si="60"/>
        <v>21594182.979050841</v>
      </c>
    </row>
    <row r="811" spans="2:11">
      <c r="B811" s="43">
        <v>45407</v>
      </c>
      <c r="C811" s="32" t="s">
        <v>27</v>
      </c>
      <c r="D811" s="32" t="s">
        <v>134</v>
      </c>
      <c r="E811" s="36">
        <f t="shared" si="63"/>
        <v>21594182.979050841</v>
      </c>
      <c r="F811" s="36">
        <v>0</v>
      </c>
      <c r="G811" s="58">
        <v>-16653</v>
      </c>
      <c r="H811" s="35">
        <f t="shared" si="64"/>
        <v>-16653</v>
      </c>
      <c r="I811" s="35">
        <f t="shared" si="61"/>
        <v>0</v>
      </c>
      <c r="J811" s="35">
        <f t="shared" si="62"/>
        <v>1171.597691920455</v>
      </c>
      <c r="K811" s="45">
        <f t="shared" si="60"/>
        <v>21576358.381358922</v>
      </c>
    </row>
    <row r="812" spans="2:11">
      <c r="B812" s="43">
        <v>45408</v>
      </c>
      <c r="C812" s="32" t="s">
        <v>27</v>
      </c>
      <c r="D812" s="32" t="s">
        <v>132</v>
      </c>
      <c r="E812" s="36">
        <f t="shared" si="63"/>
        <v>21576358.381358922</v>
      </c>
      <c r="F812" s="36">
        <v>15136.72</v>
      </c>
      <c r="G812" s="58">
        <v>0</v>
      </c>
      <c r="H812" s="35">
        <f t="shared" si="64"/>
        <v>15136.72</v>
      </c>
      <c r="I812" s="35">
        <f t="shared" si="61"/>
        <v>0</v>
      </c>
      <c r="J812" s="35">
        <f t="shared" si="62"/>
        <v>2341.2612280050048</v>
      </c>
      <c r="K812" s="45">
        <f t="shared" si="60"/>
        <v>21589153.840130914</v>
      </c>
    </row>
    <row r="813" spans="2:11">
      <c r="B813" s="43">
        <v>45408</v>
      </c>
      <c r="C813" s="32" t="s">
        <v>25</v>
      </c>
      <c r="D813" s="32" t="s">
        <v>134</v>
      </c>
      <c r="E813" s="36">
        <f t="shared" si="63"/>
        <v>21589153.840130914</v>
      </c>
      <c r="F813" s="36">
        <v>0</v>
      </c>
      <c r="G813" s="58">
        <v>-7392.86</v>
      </c>
      <c r="H813" s="35">
        <f t="shared" si="64"/>
        <v>-7392.86</v>
      </c>
      <c r="I813" s="35">
        <f t="shared" si="61"/>
        <v>0</v>
      </c>
      <c r="J813" s="35">
        <f t="shared" si="62"/>
        <v>1171.3248347553263</v>
      </c>
      <c r="K813" s="45">
        <f t="shared" si="60"/>
        <v>21580589.655296158</v>
      </c>
    </row>
    <row r="814" spans="2:11">
      <c r="B814" s="43">
        <v>45408</v>
      </c>
      <c r="C814" s="32" t="s">
        <v>25</v>
      </c>
      <c r="D814" s="32" t="s">
        <v>134</v>
      </c>
      <c r="E814" s="36">
        <f t="shared" si="63"/>
        <v>21580589.655296158</v>
      </c>
      <c r="F814" s="36">
        <v>0</v>
      </c>
      <c r="G814" s="58">
        <v>-12580</v>
      </c>
      <c r="H814" s="35">
        <f t="shared" si="64"/>
        <v>-12580</v>
      </c>
      <c r="I814" s="35">
        <f t="shared" si="61"/>
        <v>0</v>
      </c>
      <c r="J814" s="35">
        <f t="shared" si="62"/>
        <v>1170.8601828073772</v>
      </c>
      <c r="K814" s="45">
        <f t="shared" si="60"/>
        <v>21566838.795113351</v>
      </c>
    </row>
    <row r="815" spans="2:11">
      <c r="B815" s="43">
        <v>45408</v>
      </c>
      <c r="C815" s="32" t="s">
        <v>27</v>
      </c>
      <c r="D815" s="32" t="s">
        <v>134</v>
      </c>
      <c r="E815" s="36">
        <f t="shared" si="63"/>
        <v>21566838.795113351</v>
      </c>
      <c r="F815" s="36">
        <v>0</v>
      </c>
      <c r="G815" s="58">
        <v>-18832</v>
      </c>
      <c r="H815" s="35">
        <f t="shared" si="64"/>
        <v>-18832</v>
      </c>
      <c r="I815" s="35">
        <f t="shared" si="61"/>
        <v>0</v>
      </c>
      <c r="J815" s="35">
        <f t="shared" si="62"/>
        <v>1170.1141265167676</v>
      </c>
      <c r="K815" s="45">
        <f t="shared" si="60"/>
        <v>21546836.680986833</v>
      </c>
    </row>
    <row r="816" spans="2:11">
      <c r="B816" s="43">
        <v>45409</v>
      </c>
      <c r="C816" s="32" t="s">
        <v>29</v>
      </c>
      <c r="D816" s="32" t="s">
        <v>132</v>
      </c>
      <c r="E816" s="36">
        <f t="shared" si="63"/>
        <v>21546836.680986833</v>
      </c>
      <c r="F816" s="36">
        <v>12575.11</v>
      </c>
      <c r="G816" s="58">
        <v>0</v>
      </c>
      <c r="H816" s="35">
        <f t="shared" si="64"/>
        <v>12575.11</v>
      </c>
      <c r="I816" s="35">
        <f t="shared" si="61"/>
        <v>0</v>
      </c>
      <c r="J816" s="35">
        <f t="shared" si="62"/>
        <v>2338.0578138215592</v>
      </c>
      <c r="K816" s="45">
        <f t="shared" si="60"/>
        <v>21557073.733173009</v>
      </c>
    </row>
    <row r="817" spans="2:11">
      <c r="B817" s="43">
        <v>45409</v>
      </c>
      <c r="C817" s="32" t="s">
        <v>25</v>
      </c>
      <c r="D817" s="32" t="s">
        <v>132</v>
      </c>
      <c r="E817" s="36">
        <f t="shared" si="63"/>
        <v>21557073.733173009</v>
      </c>
      <c r="F817" s="36">
        <v>17044.5</v>
      </c>
      <c r="G817" s="58">
        <v>0</v>
      </c>
      <c r="H817" s="35">
        <f t="shared" si="64"/>
        <v>17044.5</v>
      </c>
      <c r="I817" s="35">
        <f t="shared" si="61"/>
        <v>0</v>
      </c>
      <c r="J817" s="35">
        <f t="shared" si="62"/>
        <v>1169.5843206870279</v>
      </c>
      <c r="K817" s="45">
        <f t="shared" si="60"/>
        <v>21572948.648852322</v>
      </c>
    </row>
    <row r="818" spans="2:11">
      <c r="B818" s="43">
        <v>45409</v>
      </c>
      <c r="C818" s="32" t="s">
        <v>29</v>
      </c>
      <c r="D818" s="32" t="s">
        <v>132</v>
      </c>
      <c r="E818" s="36">
        <f t="shared" si="63"/>
        <v>21572948.648852322</v>
      </c>
      <c r="F818" s="36">
        <v>21265.119999999999</v>
      </c>
      <c r="G818" s="58">
        <v>0</v>
      </c>
      <c r="H818" s="35">
        <f t="shared" si="64"/>
        <v>21265.119999999999</v>
      </c>
      <c r="I818" s="35">
        <f t="shared" si="61"/>
        <v>0</v>
      </c>
      <c r="J818" s="35">
        <f t="shared" si="62"/>
        <v>1170.4456181293697</v>
      </c>
      <c r="K818" s="45">
        <f t="shared" si="60"/>
        <v>21593043.323234193</v>
      </c>
    </row>
    <row r="819" spans="2:11">
      <c r="B819" s="43">
        <v>45409</v>
      </c>
      <c r="C819" s="32" t="s">
        <v>29</v>
      </c>
      <c r="D819" s="32" t="s">
        <v>132</v>
      </c>
      <c r="E819" s="36">
        <f t="shared" si="63"/>
        <v>21593043.323234193</v>
      </c>
      <c r="F819" s="36">
        <v>14812.22</v>
      </c>
      <c r="G819" s="58">
        <v>0</v>
      </c>
      <c r="H819" s="35">
        <f t="shared" si="64"/>
        <v>14812.22</v>
      </c>
      <c r="I819" s="35">
        <f t="shared" si="61"/>
        <v>0</v>
      </c>
      <c r="J819" s="35">
        <f t="shared" si="62"/>
        <v>1171.5358596147055</v>
      </c>
      <c r="K819" s="45">
        <f t="shared" si="60"/>
        <v>21606684.007374577</v>
      </c>
    </row>
    <row r="820" spans="2:11">
      <c r="B820" s="43">
        <v>45409</v>
      </c>
      <c r="C820" s="32" t="s">
        <v>29</v>
      </c>
      <c r="D820" s="32" t="s">
        <v>132</v>
      </c>
      <c r="E820" s="36">
        <f t="shared" si="63"/>
        <v>21606684.007374577</v>
      </c>
      <c r="F820" s="36">
        <v>20135.13</v>
      </c>
      <c r="G820" s="58">
        <v>0</v>
      </c>
      <c r="H820" s="35">
        <f t="shared" si="64"/>
        <v>20135.13</v>
      </c>
      <c r="I820" s="35">
        <f t="shared" si="61"/>
        <v>0</v>
      </c>
      <c r="J820" s="35">
        <f t="shared" si="62"/>
        <v>1172.275938277121</v>
      </c>
      <c r="K820" s="45">
        <f t="shared" si="60"/>
        <v>21625646.8614363</v>
      </c>
    </row>
    <row r="821" spans="2:11">
      <c r="B821" s="43">
        <v>45409</v>
      </c>
      <c r="C821" s="32" t="s">
        <v>27</v>
      </c>
      <c r="D821" s="32" t="s">
        <v>134</v>
      </c>
      <c r="E821" s="36">
        <f t="shared" si="63"/>
        <v>21625646.8614363</v>
      </c>
      <c r="F821" s="36">
        <v>0</v>
      </c>
      <c r="G821" s="58">
        <v>-4828.51</v>
      </c>
      <c r="H821" s="35">
        <f t="shared" si="64"/>
        <v>-4828.51</v>
      </c>
      <c r="I821" s="35">
        <f t="shared" si="61"/>
        <v>0</v>
      </c>
      <c r="J821" s="35">
        <f t="shared" si="62"/>
        <v>1173.3047725734909</v>
      </c>
      <c r="K821" s="45">
        <f t="shared" si="60"/>
        <v>21619645.046663724</v>
      </c>
    </row>
    <row r="822" spans="2:11">
      <c r="B822" s="43">
        <v>45409</v>
      </c>
      <c r="C822" s="32" t="s">
        <v>25</v>
      </c>
      <c r="D822" s="32" t="s">
        <v>134</v>
      </c>
      <c r="E822" s="36">
        <f t="shared" si="63"/>
        <v>21619645.046663724</v>
      </c>
      <c r="F822" s="36">
        <v>0</v>
      </c>
      <c r="G822" s="58">
        <v>-11097</v>
      </c>
      <c r="H822" s="35">
        <f t="shared" si="64"/>
        <v>-11097</v>
      </c>
      <c r="I822" s="35">
        <f t="shared" si="61"/>
        <v>0</v>
      </c>
      <c r="J822" s="35">
        <f t="shared" si="62"/>
        <v>1172.9791426414993</v>
      </c>
      <c r="K822" s="45">
        <f t="shared" si="60"/>
        <v>21607375.067521084</v>
      </c>
    </row>
    <row r="823" spans="2:11">
      <c r="B823" s="43">
        <v>45409</v>
      </c>
      <c r="C823" s="32" t="s">
        <v>29</v>
      </c>
      <c r="D823" s="32" t="s">
        <v>134</v>
      </c>
      <c r="E823" s="36">
        <f t="shared" si="63"/>
        <v>21607375.067521084</v>
      </c>
      <c r="F823" s="36">
        <v>0</v>
      </c>
      <c r="G823" s="58">
        <v>-8865</v>
      </c>
      <c r="H823" s="35">
        <f t="shared" si="64"/>
        <v>-8865</v>
      </c>
      <c r="I823" s="35">
        <f t="shared" si="61"/>
        <v>0</v>
      </c>
      <c r="J823" s="35">
        <f t="shared" si="62"/>
        <v>1172.3134319148016</v>
      </c>
      <c r="K823" s="45">
        <f t="shared" si="60"/>
        <v>21597337.754089169</v>
      </c>
    </row>
    <row r="824" spans="2:11">
      <c r="B824" s="43">
        <v>45410</v>
      </c>
      <c r="C824" s="32" t="s">
        <v>25</v>
      </c>
      <c r="D824" s="32" t="s">
        <v>132</v>
      </c>
      <c r="E824" s="36">
        <f t="shared" si="63"/>
        <v>21597337.754089169</v>
      </c>
      <c r="F824" s="36">
        <v>13048.07</v>
      </c>
      <c r="G824" s="58">
        <v>0</v>
      </c>
      <c r="H824" s="35">
        <f t="shared" si="64"/>
        <v>13048.07</v>
      </c>
      <c r="I824" s="35">
        <f t="shared" si="61"/>
        <v>0</v>
      </c>
      <c r="J824" s="35">
        <f t="shared" si="62"/>
        <v>2343.537710027274</v>
      </c>
      <c r="K824" s="45">
        <f t="shared" si="60"/>
        <v>21608042.286379144</v>
      </c>
    </row>
    <row r="825" spans="2:11">
      <c r="B825" s="43">
        <v>45410</v>
      </c>
      <c r="C825" s="32" t="s">
        <v>25</v>
      </c>
      <c r="D825" s="32" t="s">
        <v>132</v>
      </c>
      <c r="E825" s="36">
        <f t="shared" si="63"/>
        <v>21608042.286379144</v>
      </c>
      <c r="F825" s="36">
        <v>13161.63</v>
      </c>
      <c r="G825" s="58">
        <v>0</v>
      </c>
      <c r="H825" s="35">
        <f t="shared" si="64"/>
        <v>13161.63</v>
      </c>
      <c r="I825" s="35">
        <f t="shared" si="61"/>
        <v>0</v>
      </c>
      <c r="J825" s="35">
        <f t="shared" si="62"/>
        <v>1172.349632037532</v>
      </c>
      <c r="K825" s="45">
        <f t="shared" si="60"/>
        <v>21620031.566747107</v>
      </c>
    </row>
    <row r="826" spans="2:11">
      <c r="B826" s="43">
        <v>45410</v>
      </c>
      <c r="C826" s="32" t="s">
        <v>27</v>
      </c>
      <c r="D826" s="32" t="s">
        <v>132</v>
      </c>
      <c r="E826" s="36">
        <f t="shared" si="63"/>
        <v>21620031.566747107</v>
      </c>
      <c r="F826" s="36">
        <v>12545.4</v>
      </c>
      <c r="G826" s="58">
        <v>0</v>
      </c>
      <c r="H826" s="35">
        <f t="shared" si="64"/>
        <v>12545.4</v>
      </c>
      <c r="I826" s="35">
        <f t="shared" si="61"/>
        <v>0</v>
      </c>
      <c r="J826" s="35">
        <f t="shared" si="62"/>
        <v>1173.0001133833889</v>
      </c>
      <c r="K826" s="45">
        <f t="shared" si="60"/>
        <v>21631403.966633722</v>
      </c>
    </row>
    <row r="827" spans="2:11">
      <c r="B827" s="43">
        <v>45411</v>
      </c>
      <c r="C827" s="32" t="s">
        <v>25</v>
      </c>
      <c r="D827" s="32" t="s">
        <v>132</v>
      </c>
      <c r="E827" s="36">
        <f t="shared" si="63"/>
        <v>21631403.966633722</v>
      </c>
      <c r="F827" s="36">
        <v>16421.5</v>
      </c>
      <c r="G827" s="58">
        <v>0</v>
      </c>
      <c r="H827" s="35">
        <f t="shared" si="64"/>
        <v>16421.5</v>
      </c>
      <c r="I827" s="35">
        <f t="shared" si="61"/>
        <v>0</v>
      </c>
      <c r="J827" s="35">
        <f t="shared" si="62"/>
        <v>2347.2342514549714</v>
      </c>
      <c r="K827" s="45">
        <f t="shared" si="60"/>
        <v>21645478.232382268</v>
      </c>
    </row>
    <row r="828" spans="2:11">
      <c r="B828" s="43">
        <v>45411</v>
      </c>
      <c r="C828" s="32" t="s">
        <v>25</v>
      </c>
      <c r="D828" s="32" t="s">
        <v>132</v>
      </c>
      <c r="E828" s="36">
        <f t="shared" si="63"/>
        <v>21645478.232382268</v>
      </c>
      <c r="F828" s="36">
        <v>15623.06</v>
      </c>
      <c r="G828" s="58">
        <v>0</v>
      </c>
      <c r="H828" s="35">
        <f t="shared" si="64"/>
        <v>15623.06</v>
      </c>
      <c r="I828" s="35">
        <f t="shared" si="61"/>
        <v>0</v>
      </c>
      <c r="J828" s="35">
        <f t="shared" si="62"/>
        <v>1174.380728466356</v>
      </c>
      <c r="K828" s="45">
        <f t="shared" si="60"/>
        <v>21659926.911653802</v>
      </c>
    </row>
    <row r="829" spans="2:11">
      <c r="B829" s="43">
        <v>45411</v>
      </c>
      <c r="C829" s="32" t="s">
        <v>25</v>
      </c>
      <c r="D829" s="32" t="s">
        <v>132</v>
      </c>
      <c r="E829" s="36">
        <f t="shared" si="63"/>
        <v>21659926.911653802</v>
      </c>
      <c r="F829" s="36">
        <v>16673.43</v>
      </c>
      <c r="G829" s="58">
        <v>0</v>
      </c>
      <c r="H829" s="35">
        <f t="shared" si="64"/>
        <v>16673.43</v>
      </c>
      <c r="I829" s="35">
        <f t="shared" si="61"/>
        <v>0</v>
      </c>
      <c r="J829" s="35">
        <f t="shared" si="62"/>
        <v>1175.1646451027136</v>
      </c>
      <c r="K829" s="45">
        <f t="shared" si="60"/>
        <v>21675425.1770087</v>
      </c>
    </row>
    <row r="830" spans="2:11">
      <c r="B830" s="43">
        <v>45411</v>
      </c>
      <c r="C830" s="32" t="s">
        <v>27</v>
      </c>
      <c r="D830" s="32" t="s">
        <v>134</v>
      </c>
      <c r="E830" s="36">
        <f t="shared" si="63"/>
        <v>21675425.1770087</v>
      </c>
      <c r="F830" s="36">
        <v>0</v>
      </c>
      <c r="G830" s="58">
        <v>-8390.7000000000007</v>
      </c>
      <c r="H830" s="35">
        <f t="shared" si="64"/>
        <v>-8390.7000000000007</v>
      </c>
      <c r="I830" s="35">
        <f t="shared" si="61"/>
        <v>0</v>
      </c>
      <c r="J830" s="35">
        <f t="shared" si="62"/>
        <v>1176.0055072893583</v>
      </c>
      <c r="K830" s="45">
        <f t="shared" si="60"/>
        <v>21665858.47150141</v>
      </c>
    </row>
    <row r="831" spans="2:11">
      <c r="B831" s="43">
        <v>45411</v>
      </c>
      <c r="C831" s="32" t="s">
        <v>25</v>
      </c>
      <c r="D831" s="32" t="s">
        <v>134</v>
      </c>
      <c r="E831" s="36">
        <f t="shared" si="63"/>
        <v>21665858.47150141</v>
      </c>
      <c r="F831" s="36">
        <v>0</v>
      </c>
      <c r="G831" s="58">
        <v>-8344.58</v>
      </c>
      <c r="H831" s="35">
        <f t="shared" si="64"/>
        <v>-8344.58</v>
      </c>
      <c r="I831" s="35">
        <f t="shared" si="61"/>
        <v>0</v>
      </c>
      <c r="J831" s="35">
        <f t="shared" si="62"/>
        <v>1175.4864633365262</v>
      </c>
      <c r="K831" s="45">
        <f t="shared" si="60"/>
        <v>21656338.405038074</v>
      </c>
    </row>
    <row r="832" spans="2:11">
      <c r="B832" s="43">
        <v>45411</v>
      </c>
      <c r="C832" s="32" t="s">
        <v>25</v>
      </c>
      <c r="D832" s="32" t="s">
        <v>134</v>
      </c>
      <c r="E832" s="36">
        <f t="shared" si="63"/>
        <v>21656338.405038074</v>
      </c>
      <c r="F832" s="36">
        <v>0</v>
      </c>
      <c r="G832" s="58">
        <v>-10959</v>
      </c>
      <c r="H832" s="35">
        <f t="shared" si="64"/>
        <v>-10959</v>
      </c>
      <c r="I832" s="35">
        <f t="shared" si="61"/>
        <v>0</v>
      </c>
      <c r="J832" s="35">
        <f t="shared" si="62"/>
        <v>1174.9699497964589</v>
      </c>
      <c r="K832" s="45">
        <f t="shared" si="60"/>
        <v>21644204.435088277</v>
      </c>
    </row>
    <row r="833" spans="2:11">
      <c r="B833" s="43">
        <v>45411</v>
      </c>
      <c r="C833" s="32" t="s">
        <v>29</v>
      </c>
      <c r="D833" s="32" t="s">
        <v>134</v>
      </c>
      <c r="E833" s="36">
        <f t="shared" si="63"/>
        <v>21644204.435088277</v>
      </c>
      <c r="F833" s="36">
        <v>0</v>
      </c>
      <c r="G833" s="58">
        <v>-3070</v>
      </c>
      <c r="H833" s="35">
        <f t="shared" si="64"/>
        <v>-3070</v>
      </c>
      <c r="I833" s="35">
        <f t="shared" si="61"/>
        <v>0</v>
      </c>
      <c r="J833" s="35">
        <f t="shared" si="62"/>
        <v>1174.3116182818651</v>
      </c>
      <c r="K833" s="45">
        <f t="shared" si="60"/>
        <v>21639960.123469993</v>
      </c>
    </row>
    <row r="834" spans="2:11">
      <c r="B834" s="43">
        <v>45411</v>
      </c>
      <c r="C834" s="32" t="s">
        <v>25</v>
      </c>
      <c r="D834" s="32" t="s">
        <v>134</v>
      </c>
      <c r="E834" s="36">
        <f t="shared" si="63"/>
        <v>21639960.123469993</v>
      </c>
      <c r="F834" s="36">
        <v>0</v>
      </c>
      <c r="G834" s="58">
        <v>-16009</v>
      </c>
      <c r="H834" s="35">
        <f t="shared" si="64"/>
        <v>-16009</v>
      </c>
      <c r="I834" s="35">
        <f t="shared" si="61"/>
        <v>0</v>
      </c>
      <c r="J834" s="35">
        <f t="shared" si="62"/>
        <v>1174.0813421144085</v>
      </c>
      <c r="K834" s="45">
        <f t="shared" si="60"/>
        <v>21622777.042127877</v>
      </c>
    </row>
    <row r="835" spans="2:11">
      <c r="B835" s="43">
        <v>45411</v>
      </c>
      <c r="C835" s="32" t="s">
        <v>25</v>
      </c>
      <c r="D835" s="32" t="s">
        <v>134</v>
      </c>
      <c r="E835" s="36">
        <f t="shared" si="63"/>
        <v>21622777.042127877</v>
      </c>
      <c r="F835" s="36">
        <v>0</v>
      </c>
      <c r="G835" s="58">
        <v>-21250</v>
      </c>
      <c r="H835" s="35">
        <f t="shared" si="64"/>
        <v>-21250</v>
      </c>
      <c r="I835" s="35">
        <f t="shared" si="61"/>
        <v>0</v>
      </c>
      <c r="J835" s="35">
        <f t="shared" si="62"/>
        <v>1173.1490698232994</v>
      </c>
      <c r="K835" s="45">
        <f t="shared" si="60"/>
        <v>21600353.893058054</v>
      </c>
    </row>
    <row r="836" spans="2:11">
      <c r="B836" s="43">
        <v>45411</v>
      </c>
      <c r="C836" s="32" t="s">
        <v>27</v>
      </c>
      <c r="D836" s="32" t="s">
        <v>134</v>
      </c>
      <c r="E836" s="36">
        <f t="shared" si="63"/>
        <v>21600353.893058054</v>
      </c>
      <c r="F836" s="36">
        <v>0</v>
      </c>
      <c r="G836" s="58">
        <v>-3305</v>
      </c>
      <c r="H836" s="35">
        <f t="shared" si="64"/>
        <v>-3305</v>
      </c>
      <c r="I836" s="35">
        <f t="shared" si="61"/>
        <v>0</v>
      </c>
      <c r="J836" s="35">
        <f t="shared" si="62"/>
        <v>1171.9324963728809</v>
      </c>
      <c r="K836" s="45">
        <f t="shared" si="60"/>
        <v>21595876.960561682</v>
      </c>
    </row>
    <row r="837" spans="2:11">
      <c r="B837" s="43">
        <v>45412</v>
      </c>
      <c r="C837" s="32" t="s">
        <v>29</v>
      </c>
      <c r="D837" s="32" t="s">
        <v>132</v>
      </c>
      <c r="E837" s="36">
        <f t="shared" si="63"/>
        <v>21595876.960561682</v>
      </c>
      <c r="F837" s="36">
        <v>12151.8</v>
      </c>
      <c r="G837" s="58">
        <v>0</v>
      </c>
      <c r="H837" s="35">
        <f t="shared" si="64"/>
        <v>12151.8</v>
      </c>
      <c r="I837" s="35">
        <f t="shared" si="61"/>
        <v>0</v>
      </c>
      <c r="J837" s="35">
        <f t="shared" si="62"/>
        <v>2343.3791986053006</v>
      </c>
      <c r="K837" s="45">
        <f t="shared" si="60"/>
        <v>21605685.381363075</v>
      </c>
    </row>
    <row r="838" spans="2:11">
      <c r="B838" s="43">
        <v>45412</v>
      </c>
      <c r="C838" s="32" t="s">
        <v>27</v>
      </c>
      <c r="D838" s="32" t="s">
        <v>132</v>
      </c>
      <c r="E838" s="36">
        <f t="shared" si="63"/>
        <v>21605685.381363075</v>
      </c>
      <c r="F838" s="36">
        <v>13334.4</v>
      </c>
      <c r="G838" s="58">
        <v>0</v>
      </c>
      <c r="H838" s="35">
        <f t="shared" si="64"/>
        <v>13334.4</v>
      </c>
      <c r="I838" s="35">
        <f t="shared" si="61"/>
        <v>0</v>
      </c>
      <c r="J838" s="35">
        <f t="shared" si="62"/>
        <v>1172.2217575780269</v>
      </c>
      <c r="K838" s="45">
        <f t="shared" si="60"/>
        <v>21617847.559605494</v>
      </c>
    </row>
    <row r="839" spans="2:11">
      <c r="B839" s="43">
        <v>45412</v>
      </c>
      <c r="C839" s="32" t="s">
        <v>27</v>
      </c>
      <c r="D839" s="32" t="s">
        <v>134</v>
      </c>
      <c r="E839" s="36">
        <f t="shared" si="63"/>
        <v>21617847.559605494</v>
      </c>
      <c r="F839" s="36">
        <v>0</v>
      </c>
      <c r="G839" s="58">
        <v>-8738.2099999999991</v>
      </c>
      <c r="H839" s="35">
        <f t="shared" si="64"/>
        <v>-8738.2099999999991</v>
      </c>
      <c r="I839" s="35">
        <f t="shared" si="61"/>
        <v>0</v>
      </c>
      <c r="J839" s="35">
        <f t="shared" si="62"/>
        <v>1172.8816195404529</v>
      </c>
      <c r="K839" s="45">
        <f t="shared" si="60"/>
        <v>21607936.467985954</v>
      </c>
    </row>
    <row r="840" spans="2:11">
      <c r="B840" s="43">
        <v>45412</v>
      </c>
      <c r="C840" s="32" t="s">
        <v>29</v>
      </c>
      <c r="D840" s="32" t="s">
        <v>134</v>
      </c>
      <c r="E840" s="36">
        <f t="shared" si="63"/>
        <v>21607936.467985954</v>
      </c>
      <c r="F840" s="36">
        <v>0</v>
      </c>
      <c r="G840" s="58">
        <v>-10411</v>
      </c>
      <c r="H840" s="35">
        <f t="shared" si="64"/>
        <v>-10411</v>
      </c>
      <c r="I840" s="35">
        <f t="shared" si="61"/>
        <v>0</v>
      </c>
      <c r="J840" s="35">
        <f t="shared" si="62"/>
        <v>1172.3438908346654</v>
      </c>
      <c r="K840" s="45">
        <f t="shared" ref="K840:K903" si="65">E840+H840+I840-J840</f>
        <v>21596353.12409512</v>
      </c>
    </row>
    <row r="841" spans="2:11">
      <c r="B841" s="43">
        <v>45412</v>
      </c>
      <c r="C841" s="32" t="s">
        <v>29</v>
      </c>
      <c r="D841" s="32" t="s">
        <v>134</v>
      </c>
      <c r="E841" s="36">
        <f t="shared" si="63"/>
        <v>21596353.12409512</v>
      </c>
      <c r="F841" s="36">
        <v>0</v>
      </c>
      <c r="G841" s="58">
        <v>-5359</v>
      </c>
      <c r="H841" s="35">
        <f t="shared" si="64"/>
        <v>-5359</v>
      </c>
      <c r="I841" s="35">
        <f t="shared" si="61"/>
        <v>0</v>
      </c>
      <c r="J841" s="35">
        <f t="shared" si="62"/>
        <v>1171.7154336719013</v>
      </c>
      <c r="K841" s="45">
        <f t="shared" si="65"/>
        <v>21589822.408661447</v>
      </c>
    </row>
    <row r="842" spans="2:11">
      <c r="B842" s="43">
        <v>45413</v>
      </c>
      <c r="C842" s="32" t="s">
        <v>29</v>
      </c>
      <c r="D842" s="32" t="s">
        <v>132</v>
      </c>
      <c r="E842" s="36">
        <f t="shared" si="63"/>
        <v>21589822.408661447</v>
      </c>
      <c r="F842" s="36">
        <v>11039.3</v>
      </c>
      <c r="G842" s="58">
        <v>0</v>
      </c>
      <c r="H842" s="35">
        <f t="shared" si="64"/>
        <v>11039.3</v>
      </c>
      <c r="I842" s="35">
        <f t="shared" si="61"/>
        <v>0</v>
      </c>
      <c r="J842" s="35">
        <f t="shared" si="62"/>
        <v>2342.7222162097355</v>
      </c>
      <c r="K842" s="45">
        <f t="shared" si="65"/>
        <v>21598518.986445237</v>
      </c>
    </row>
    <row r="843" spans="2:11">
      <c r="B843" s="43">
        <v>45413</v>
      </c>
      <c r="C843" s="32" t="s">
        <v>29</v>
      </c>
      <c r="D843" s="32" t="s">
        <v>132</v>
      </c>
      <c r="E843" s="36">
        <f t="shared" si="63"/>
        <v>21598518.986445237</v>
      </c>
      <c r="F843" s="36">
        <v>12666.55</v>
      </c>
      <c r="G843" s="58">
        <v>0</v>
      </c>
      <c r="H843" s="35">
        <f t="shared" si="64"/>
        <v>12666.55</v>
      </c>
      <c r="I843" s="35">
        <f t="shared" si="61"/>
        <v>0</v>
      </c>
      <c r="J843" s="35">
        <f t="shared" si="62"/>
        <v>1171.8329430647261</v>
      </c>
      <c r="K843" s="45">
        <f t="shared" si="65"/>
        <v>21610013.703502174</v>
      </c>
    </row>
    <row r="844" spans="2:11">
      <c r="B844" s="43">
        <v>45413</v>
      </c>
      <c r="C844" s="32" t="s">
        <v>29</v>
      </c>
      <c r="D844" s="32" t="s">
        <v>134</v>
      </c>
      <c r="E844" s="36">
        <f t="shared" si="63"/>
        <v>21610013.703502174</v>
      </c>
      <c r="F844" s="36">
        <v>0</v>
      </c>
      <c r="G844" s="58">
        <v>-6114</v>
      </c>
      <c r="H844" s="35">
        <f t="shared" si="64"/>
        <v>-6114</v>
      </c>
      <c r="I844" s="35">
        <f t="shared" si="61"/>
        <v>0</v>
      </c>
      <c r="J844" s="35">
        <f t="shared" si="62"/>
        <v>1172.4565917568877</v>
      </c>
      <c r="K844" s="45">
        <f t="shared" si="65"/>
        <v>21602727.246910419</v>
      </c>
    </row>
    <row r="845" spans="2:11">
      <c r="B845" s="43">
        <v>45413</v>
      </c>
      <c r="C845" s="32" t="s">
        <v>29</v>
      </c>
      <c r="D845" s="32" t="s">
        <v>134</v>
      </c>
      <c r="E845" s="36">
        <f t="shared" si="63"/>
        <v>21602727.246910419</v>
      </c>
      <c r="F845" s="36">
        <v>0</v>
      </c>
      <c r="G845" s="58">
        <v>-5553</v>
      </c>
      <c r="H845" s="35">
        <f t="shared" si="64"/>
        <v>-5553</v>
      </c>
      <c r="I845" s="35">
        <f t="shared" si="61"/>
        <v>0</v>
      </c>
      <c r="J845" s="35">
        <f t="shared" si="62"/>
        <v>1172.0612632680322</v>
      </c>
      <c r="K845" s="45">
        <f t="shared" si="65"/>
        <v>21596002.185647152</v>
      </c>
    </row>
    <row r="846" spans="2:11">
      <c r="B846" s="43">
        <v>45413</v>
      </c>
      <c r="C846" s="32" t="s">
        <v>29</v>
      </c>
      <c r="D846" s="32" t="s">
        <v>134</v>
      </c>
      <c r="E846" s="36">
        <f t="shared" si="63"/>
        <v>21596002.185647152</v>
      </c>
      <c r="F846" s="36">
        <v>0</v>
      </c>
      <c r="G846" s="58">
        <v>-16636</v>
      </c>
      <c r="H846" s="35">
        <f t="shared" si="64"/>
        <v>-16636</v>
      </c>
      <c r="I846" s="35">
        <f t="shared" si="61"/>
        <v>0</v>
      </c>
      <c r="J846" s="35">
        <f t="shared" si="62"/>
        <v>1171.696393420365</v>
      </c>
      <c r="K846" s="45">
        <f t="shared" si="65"/>
        <v>21578194.489253733</v>
      </c>
    </row>
    <row r="847" spans="2:11">
      <c r="B847" s="43">
        <v>45413</v>
      </c>
      <c r="C847" s="32" t="s">
        <v>29</v>
      </c>
      <c r="D847" s="32" t="s">
        <v>134</v>
      </c>
      <c r="E847" s="36">
        <f t="shared" si="63"/>
        <v>21578194.489253733</v>
      </c>
      <c r="F847" s="36">
        <v>0</v>
      </c>
      <c r="G847" s="58">
        <v>-17413</v>
      </c>
      <c r="H847" s="35">
        <f t="shared" si="64"/>
        <v>-17413</v>
      </c>
      <c r="I847" s="35">
        <f t="shared" si="61"/>
        <v>0</v>
      </c>
      <c r="J847" s="35">
        <f t="shared" si="62"/>
        <v>1170.7302324865066</v>
      </c>
      <c r="K847" s="45">
        <f t="shared" si="65"/>
        <v>21559610.759021245</v>
      </c>
    </row>
    <row r="848" spans="2:11">
      <c r="B848" s="43">
        <v>45413</v>
      </c>
      <c r="C848" s="32" t="s">
        <v>29</v>
      </c>
      <c r="D848" s="32" t="s">
        <v>134</v>
      </c>
      <c r="E848" s="36">
        <f t="shared" si="63"/>
        <v>21559610.759021245</v>
      </c>
      <c r="F848" s="36">
        <v>0</v>
      </c>
      <c r="G848" s="58">
        <v>-7499</v>
      </c>
      <c r="H848" s="35">
        <f t="shared" si="64"/>
        <v>-7499</v>
      </c>
      <c r="I848" s="35">
        <f t="shared" si="61"/>
        <v>0</v>
      </c>
      <c r="J848" s="35">
        <f t="shared" si="62"/>
        <v>1169.7219676464438</v>
      </c>
      <c r="K848" s="45">
        <f t="shared" si="65"/>
        <v>21550942.0370536</v>
      </c>
    </row>
    <row r="849" spans="2:11">
      <c r="B849" s="43">
        <v>45414</v>
      </c>
      <c r="C849" s="32" t="s">
        <v>27</v>
      </c>
      <c r="D849" s="32" t="s">
        <v>132</v>
      </c>
      <c r="E849" s="36">
        <f t="shared" si="63"/>
        <v>21550942.0370536</v>
      </c>
      <c r="F849" s="36">
        <v>14516.14</v>
      </c>
      <c r="G849" s="58">
        <v>0</v>
      </c>
      <c r="H849" s="35">
        <f t="shared" si="64"/>
        <v>14516.14</v>
      </c>
      <c r="I849" s="35">
        <f t="shared" si="61"/>
        <v>0</v>
      </c>
      <c r="J849" s="35">
        <f t="shared" si="62"/>
        <v>2338.5032880214399</v>
      </c>
      <c r="K849" s="45">
        <f t="shared" si="65"/>
        <v>21563119.673765577</v>
      </c>
    </row>
    <row r="850" spans="2:11">
      <c r="B850" s="43">
        <v>45414</v>
      </c>
      <c r="C850" s="32" t="s">
        <v>29</v>
      </c>
      <c r="D850" s="32" t="s">
        <v>132</v>
      </c>
      <c r="E850" s="36">
        <f t="shared" si="63"/>
        <v>21563119.673765577</v>
      </c>
      <c r="F850" s="36">
        <v>17851.27</v>
      </c>
      <c r="G850" s="58">
        <v>0</v>
      </c>
      <c r="H850" s="35">
        <f t="shared" si="64"/>
        <v>17851.27</v>
      </c>
      <c r="I850" s="35">
        <f t="shared" si="61"/>
        <v>0</v>
      </c>
      <c r="J850" s="35">
        <f t="shared" si="62"/>
        <v>1169.9123446762019</v>
      </c>
      <c r="K850" s="45">
        <f t="shared" si="65"/>
        <v>21579801.031420901</v>
      </c>
    </row>
    <row r="851" spans="2:11">
      <c r="B851" s="43">
        <v>45414</v>
      </c>
      <c r="C851" s="32" t="s">
        <v>29</v>
      </c>
      <c r="D851" s="32" t="s">
        <v>132</v>
      </c>
      <c r="E851" s="36">
        <f t="shared" si="63"/>
        <v>21579801.031420901</v>
      </c>
      <c r="F851" s="36">
        <v>18018.88</v>
      </c>
      <c r="G851" s="58">
        <v>0</v>
      </c>
      <c r="H851" s="35">
        <f t="shared" si="64"/>
        <v>18018.88</v>
      </c>
      <c r="I851" s="35">
        <f t="shared" si="61"/>
        <v>0</v>
      </c>
      <c r="J851" s="35">
        <f t="shared" si="62"/>
        <v>1170.817395825673</v>
      </c>
      <c r="K851" s="45">
        <f t="shared" si="65"/>
        <v>21596649.094025075</v>
      </c>
    </row>
    <row r="852" spans="2:11">
      <c r="B852" s="43">
        <v>45414</v>
      </c>
      <c r="C852" s="32" t="s">
        <v>25</v>
      </c>
      <c r="D852" s="32" t="s">
        <v>132</v>
      </c>
      <c r="E852" s="36">
        <f t="shared" si="63"/>
        <v>21596649.094025075</v>
      </c>
      <c r="F852" s="36">
        <v>14475.12</v>
      </c>
      <c r="G852" s="58">
        <v>0</v>
      </c>
      <c r="H852" s="35">
        <f t="shared" si="64"/>
        <v>14475.12</v>
      </c>
      <c r="I852" s="35">
        <f t="shared" ref="I852:I915" si="66">(($E852*Daily_Interest)*(_xlfn.DAYS(B852,B851)+1))+((IF(DAY($B851)&gt;Monthly_Cut_off_Date,0,Daily_Interest*H852))*(_xlfn.DAYS(B852,B851)+1))</f>
        <v>0</v>
      </c>
      <c r="J852" s="35">
        <f t="shared" ref="J852:J915" si="67">(($I852+E852)*Daily_Fees_Rate)*((_xlfn.DAYS(B852,B851)+1))</f>
        <v>1171.731491593016</v>
      </c>
      <c r="K852" s="45">
        <f t="shared" si="65"/>
        <v>21609952.482533485</v>
      </c>
    </row>
    <row r="853" spans="2:11">
      <c r="B853" s="43">
        <v>45415</v>
      </c>
      <c r="C853" s="32" t="s">
        <v>29</v>
      </c>
      <c r="D853" s="32" t="s">
        <v>132</v>
      </c>
      <c r="E853" s="36">
        <f t="shared" ref="E853:E916" si="68">K852</f>
        <v>21609952.482533485</v>
      </c>
      <c r="F853" s="36">
        <v>17783.52</v>
      </c>
      <c r="G853" s="58">
        <v>0</v>
      </c>
      <c r="H853" s="35">
        <f t="shared" ref="H853:H916" si="69">SUM(F853:G853)</f>
        <v>17783.52</v>
      </c>
      <c r="I853" s="35">
        <f t="shared" si="66"/>
        <v>0</v>
      </c>
      <c r="J853" s="35">
        <f t="shared" si="67"/>
        <v>2344.9065403964432</v>
      </c>
      <c r="K853" s="45">
        <f t="shared" si="65"/>
        <v>21625391.095993087</v>
      </c>
    </row>
    <row r="854" spans="2:11">
      <c r="B854" s="43">
        <v>45415</v>
      </c>
      <c r="C854" s="32" t="s">
        <v>25</v>
      </c>
      <c r="D854" s="32" t="s">
        <v>134</v>
      </c>
      <c r="E854" s="36">
        <f t="shared" si="68"/>
        <v>21625391.095993087</v>
      </c>
      <c r="F854" s="36">
        <v>0</v>
      </c>
      <c r="G854" s="58">
        <v>-5630.42</v>
      </c>
      <c r="H854" s="35">
        <f t="shared" si="69"/>
        <v>-5630.42</v>
      </c>
      <c r="I854" s="35">
        <f t="shared" si="66"/>
        <v>0</v>
      </c>
      <c r="J854" s="35">
        <f t="shared" si="67"/>
        <v>1173.2908959566616</v>
      </c>
      <c r="K854" s="45">
        <f t="shared" si="65"/>
        <v>21618587.385097127</v>
      </c>
    </row>
    <row r="855" spans="2:11">
      <c r="B855" s="43">
        <v>45415</v>
      </c>
      <c r="C855" s="32" t="s">
        <v>25</v>
      </c>
      <c r="D855" s="32" t="s">
        <v>134</v>
      </c>
      <c r="E855" s="36">
        <f t="shared" si="68"/>
        <v>21618587.385097127</v>
      </c>
      <c r="F855" s="36">
        <v>0</v>
      </c>
      <c r="G855" s="58">
        <v>-15370</v>
      </c>
      <c r="H855" s="35">
        <f t="shared" si="69"/>
        <v>-15370</v>
      </c>
      <c r="I855" s="35">
        <f t="shared" si="66"/>
        <v>0</v>
      </c>
      <c r="J855" s="35">
        <f t="shared" si="67"/>
        <v>1172.9217589538896</v>
      </c>
      <c r="K855" s="45">
        <f t="shared" si="65"/>
        <v>21602044.463338174</v>
      </c>
    </row>
    <row r="856" spans="2:11">
      <c r="B856" s="43">
        <v>45415</v>
      </c>
      <c r="C856" s="32" t="s">
        <v>27</v>
      </c>
      <c r="D856" s="32" t="s">
        <v>134</v>
      </c>
      <c r="E856" s="36">
        <f t="shared" si="68"/>
        <v>21602044.463338174</v>
      </c>
      <c r="F856" s="36">
        <v>0</v>
      </c>
      <c r="G856" s="58">
        <v>-11258</v>
      </c>
      <c r="H856" s="35">
        <f t="shared" si="69"/>
        <v>-11258</v>
      </c>
      <c r="I856" s="35">
        <f t="shared" si="66"/>
        <v>0</v>
      </c>
      <c r="J856" s="35">
        <f t="shared" si="67"/>
        <v>1172.0242186779174</v>
      </c>
      <c r="K856" s="45">
        <f t="shared" si="65"/>
        <v>21589614.439119495</v>
      </c>
    </row>
    <row r="857" spans="2:11">
      <c r="B857" s="43">
        <v>45415</v>
      </c>
      <c r="C857" s="32" t="s">
        <v>25</v>
      </c>
      <c r="D857" s="32" t="s">
        <v>134</v>
      </c>
      <c r="E857" s="36">
        <f t="shared" si="68"/>
        <v>21589614.439119495</v>
      </c>
      <c r="F857" s="36">
        <v>0</v>
      </c>
      <c r="G857" s="58">
        <v>-4771</v>
      </c>
      <c r="H857" s="35">
        <f t="shared" si="69"/>
        <v>-4771</v>
      </c>
      <c r="I857" s="35">
        <f t="shared" si="66"/>
        <v>0</v>
      </c>
      <c r="J857" s="35">
        <f t="shared" si="67"/>
        <v>1171.3498246663798</v>
      </c>
      <c r="K857" s="45">
        <f t="shared" si="65"/>
        <v>21583672.089294828</v>
      </c>
    </row>
    <row r="858" spans="2:11">
      <c r="B858" s="43">
        <v>45416</v>
      </c>
      <c r="C858" s="32" t="s">
        <v>25</v>
      </c>
      <c r="D858" s="32" t="s">
        <v>132</v>
      </c>
      <c r="E858" s="36">
        <f t="shared" si="68"/>
        <v>21583672.089294828</v>
      </c>
      <c r="F858" s="36">
        <v>14879.53</v>
      </c>
      <c r="G858" s="58">
        <v>0</v>
      </c>
      <c r="H858" s="35">
        <f t="shared" si="69"/>
        <v>14879.53</v>
      </c>
      <c r="I858" s="35">
        <f t="shared" si="66"/>
        <v>0</v>
      </c>
      <c r="J858" s="35">
        <f t="shared" si="67"/>
        <v>2342.054842039433</v>
      </c>
      <c r="K858" s="45">
        <f t="shared" si="65"/>
        <v>21596209.56445279</v>
      </c>
    </row>
    <row r="859" spans="2:11">
      <c r="B859" s="43">
        <v>45416</v>
      </c>
      <c r="C859" s="32" t="s">
        <v>27</v>
      </c>
      <c r="D859" s="32" t="s">
        <v>132</v>
      </c>
      <c r="E859" s="36">
        <f t="shared" si="68"/>
        <v>21596209.56445279</v>
      </c>
      <c r="F859" s="36">
        <v>18482.48</v>
      </c>
      <c r="G859" s="58">
        <v>0</v>
      </c>
      <c r="H859" s="35">
        <f t="shared" si="69"/>
        <v>18482.48</v>
      </c>
      <c r="I859" s="35">
        <f t="shared" si="66"/>
        <v>0</v>
      </c>
      <c r="J859" s="35">
        <f t="shared" si="67"/>
        <v>1171.7076448083092</v>
      </c>
      <c r="K859" s="45">
        <f t="shared" si="65"/>
        <v>21613520.336807981</v>
      </c>
    </row>
    <row r="860" spans="2:11">
      <c r="B860" s="43">
        <v>45416</v>
      </c>
      <c r="C860" s="32" t="s">
        <v>29</v>
      </c>
      <c r="D860" s="32" t="s">
        <v>132</v>
      </c>
      <c r="E860" s="36">
        <f t="shared" si="68"/>
        <v>21613520.336807981</v>
      </c>
      <c r="F860" s="36">
        <v>11690.37</v>
      </c>
      <c r="G860" s="58">
        <v>0</v>
      </c>
      <c r="H860" s="35">
        <f t="shared" si="69"/>
        <v>11690.37</v>
      </c>
      <c r="I860" s="35">
        <f t="shared" si="66"/>
        <v>0</v>
      </c>
      <c r="J860" s="35">
        <f t="shared" si="67"/>
        <v>1172.6468450066395</v>
      </c>
      <c r="K860" s="45">
        <f t="shared" si="65"/>
        <v>21624038.059962977</v>
      </c>
    </row>
    <row r="861" spans="2:11">
      <c r="B861" s="43">
        <v>45416</v>
      </c>
      <c r="C861" s="32" t="s">
        <v>27</v>
      </c>
      <c r="D861" s="32" t="s">
        <v>134</v>
      </c>
      <c r="E861" s="36">
        <f t="shared" si="68"/>
        <v>21624038.059962977</v>
      </c>
      <c r="F861" s="36">
        <v>0</v>
      </c>
      <c r="G861" s="58">
        <v>-8162.37</v>
      </c>
      <c r="H861" s="35">
        <f t="shared" si="69"/>
        <v>-8162.37</v>
      </c>
      <c r="I861" s="35">
        <f t="shared" si="66"/>
        <v>0</v>
      </c>
      <c r="J861" s="35">
        <f t="shared" si="67"/>
        <v>1173.2174866551152</v>
      </c>
      <c r="K861" s="45">
        <f t="shared" si="65"/>
        <v>21614702.472476322</v>
      </c>
    </row>
    <row r="862" spans="2:11">
      <c r="B862" s="43">
        <v>45416</v>
      </c>
      <c r="C862" s="32" t="s">
        <v>29</v>
      </c>
      <c r="D862" s="32" t="s">
        <v>134</v>
      </c>
      <c r="E862" s="36">
        <f t="shared" si="68"/>
        <v>21614702.472476322</v>
      </c>
      <c r="F862" s="36">
        <v>0</v>
      </c>
      <c r="G862" s="58">
        <v>-1816</v>
      </c>
      <c r="H862" s="35">
        <f t="shared" si="69"/>
        <v>-1816</v>
      </c>
      <c r="I862" s="35">
        <f t="shared" si="66"/>
        <v>0</v>
      </c>
      <c r="J862" s="35">
        <f t="shared" si="67"/>
        <v>1172.7109820671574</v>
      </c>
      <c r="K862" s="45">
        <f t="shared" si="65"/>
        <v>21611713.761494257</v>
      </c>
    </row>
    <row r="863" spans="2:11">
      <c r="B863" s="43">
        <v>45417</v>
      </c>
      <c r="C863" s="32" t="s">
        <v>25</v>
      </c>
      <c r="D863" s="32" t="s">
        <v>132</v>
      </c>
      <c r="E863" s="36">
        <f t="shared" si="68"/>
        <v>21611713.761494257</v>
      </c>
      <c r="F863" s="36">
        <v>14532.97</v>
      </c>
      <c r="G863" s="58">
        <v>0</v>
      </c>
      <c r="H863" s="35">
        <f t="shared" si="69"/>
        <v>14532.97</v>
      </c>
      <c r="I863" s="35">
        <f t="shared" si="66"/>
        <v>0</v>
      </c>
      <c r="J863" s="35">
        <f t="shared" si="67"/>
        <v>2345.0976576401258</v>
      </c>
      <c r="K863" s="45">
        <f t="shared" si="65"/>
        <v>21623901.633836616</v>
      </c>
    </row>
    <row r="864" spans="2:11">
      <c r="B864" s="43">
        <v>45417</v>
      </c>
      <c r="C864" s="32" t="s">
        <v>27</v>
      </c>
      <c r="D864" s="32" t="s">
        <v>132</v>
      </c>
      <c r="E864" s="36">
        <f t="shared" si="68"/>
        <v>21623901.633836616</v>
      </c>
      <c r="F864" s="36">
        <v>18494.22</v>
      </c>
      <c r="G864" s="58">
        <v>0</v>
      </c>
      <c r="H864" s="35">
        <f t="shared" si="69"/>
        <v>18494.22</v>
      </c>
      <c r="I864" s="35">
        <f t="shared" si="66"/>
        <v>0</v>
      </c>
      <c r="J864" s="35">
        <f t="shared" si="67"/>
        <v>1173.2100848221808</v>
      </c>
      <c r="K864" s="45">
        <f t="shared" si="65"/>
        <v>21641222.643751793</v>
      </c>
    </row>
    <row r="865" spans="2:11">
      <c r="B865" s="43">
        <v>45417</v>
      </c>
      <c r="C865" s="32" t="s">
        <v>27</v>
      </c>
      <c r="D865" s="32" t="s">
        <v>134</v>
      </c>
      <c r="E865" s="36">
        <f t="shared" si="68"/>
        <v>21641222.643751793</v>
      </c>
      <c r="F865" s="36">
        <v>0</v>
      </c>
      <c r="G865" s="58">
        <v>-12595.06</v>
      </c>
      <c r="H865" s="35">
        <f t="shared" si="69"/>
        <v>-12595.06</v>
      </c>
      <c r="I865" s="35">
        <f t="shared" si="66"/>
        <v>0</v>
      </c>
      <c r="J865" s="35">
        <f t="shared" si="67"/>
        <v>1174.149840461838</v>
      </c>
      <c r="K865" s="45">
        <f t="shared" si="65"/>
        <v>21627453.433911331</v>
      </c>
    </row>
    <row r="866" spans="2:11">
      <c r="B866" s="43">
        <v>45417</v>
      </c>
      <c r="C866" s="32" t="s">
        <v>27</v>
      </c>
      <c r="D866" s="32" t="s">
        <v>134</v>
      </c>
      <c r="E866" s="36">
        <f t="shared" si="68"/>
        <v>21627453.433911331</v>
      </c>
      <c r="F866" s="36">
        <v>0</v>
      </c>
      <c r="G866" s="58">
        <v>-9239.2800000000007</v>
      </c>
      <c r="H866" s="35">
        <f t="shared" si="69"/>
        <v>-9239.2800000000007</v>
      </c>
      <c r="I866" s="35">
        <f t="shared" si="66"/>
        <v>0</v>
      </c>
      <c r="J866" s="35">
        <f t="shared" si="67"/>
        <v>1173.4027886060535</v>
      </c>
      <c r="K866" s="45">
        <f t="shared" si="65"/>
        <v>21617040.751122724</v>
      </c>
    </row>
    <row r="867" spans="2:11">
      <c r="B867" s="43">
        <v>45417</v>
      </c>
      <c r="C867" s="32" t="s">
        <v>27</v>
      </c>
      <c r="D867" s="32" t="s">
        <v>134</v>
      </c>
      <c r="E867" s="36">
        <f t="shared" si="68"/>
        <v>21617040.751122724</v>
      </c>
      <c r="F867" s="36">
        <v>0</v>
      </c>
      <c r="G867" s="58">
        <v>-5770.03</v>
      </c>
      <c r="H867" s="35">
        <f t="shared" si="69"/>
        <v>-5770.03</v>
      </c>
      <c r="I867" s="35">
        <f t="shared" si="66"/>
        <v>0</v>
      </c>
      <c r="J867" s="35">
        <f t="shared" si="67"/>
        <v>1172.8378459484097</v>
      </c>
      <c r="K867" s="45">
        <f t="shared" si="65"/>
        <v>21610097.883276775</v>
      </c>
    </row>
    <row r="868" spans="2:11">
      <c r="B868" s="43">
        <v>45417</v>
      </c>
      <c r="C868" s="32" t="s">
        <v>27</v>
      </c>
      <c r="D868" s="32" t="s">
        <v>134</v>
      </c>
      <c r="E868" s="36">
        <f t="shared" si="68"/>
        <v>21610097.883276775</v>
      </c>
      <c r="F868" s="36">
        <v>0</v>
      </c>
      <c r="G868" s="58">
        <v>-8283</v>
      </c>
      <c r="H868" s="35">
        <f t="shared" si="69"/>
        <v>-8283</v>
      </c>
      <c r="I868" s="35">
        <f t="shared" si="66"/>
        <v>0</v>
      </c>
      <c r="J868" s="35">
        <f t="shared" si="67"/>
        <v>1172.4611589511978</v>
      </c>
      <c r="K868" s="45">
        <f t="shared" si="65"/>
        <v>21600642.422117826</v>
      </c>
    </row>
    <row r="869" spans="2:11">
      <c r="B869" s="43">
        <v>45417</v>
      </c>
      <c r="C869" s="32" t="s">
        <v>29</v>
      </c>
      <c r="D869" s="32" t="s">
        <v>134</v>
      </c>
      <c r="E869" s="36">
        <f t="shared" si="68"/>
        <v>21600642.422117826</v>
      </c>
      <c r="F869" s="36">
        <v>0</v>
      </c>
      <c r="G869" s="58">
        <v>-16757</v>
      </c>
      <c r="H869" s="35">
        <f t="shared" si="69"/>
        <v>-16757</v>
      </c>
      <c r="I869" s="35">
        <f t="shared" si="66"/>
        <v>0</v>
      </c>
      <c r="J869" s="35">
        <f t="shared" si="67"/>
        <v>1171.9481505877595</v>
      </c>
      <c r="K869" s="45">
        <f t="shared" si="65"/>
        <v>21582713.473967239</v>
      </c>
    </row>
    <row r="870" spans="2:11">
      <c r="B870" s="43">
        <v>45418</v>
      </c>
      <c r="C870" s="32" t="s">
        <v>29</v>
      </c>
      <c r="D870" s="32" t="s">
        <v>132</v>
      </c>
      <c r="E870" s="36">
        <f t="shared" si="68"/>
        <v>21582713.473967239</v>
      </c>
      <c r="F870" s="36">
        <v>17058.150000000001</v>
      </c>
      <c r="G870" s="58">
        <v>0</v>
      </c>
      <c r="H870" s="35">
        <f t="shared" si="69"/>
        <v>17058.150000000001</v>
      </c>
      <c r="I870" s="35">
        <f t="shared" si="66"/>
        <v>0</v>
      </c>
      <c r="J870" s="35">
        <f t="shared" si="67"/>
        <v>2341.9508222201757</v>
      </c>
      <c r="K870" s="45">
        <f t="shared" si="65"/>
        <v>21597429.673145019</v>
      </c>
    </row>
    <row r="871" spans="2:11">
      <c r="B871" s="43">
        <v>45418</v>
      </c>
      <c r="C871" s="32" t="s">
        <v>25</v>
      </c>
      <c r="D871" s="32" t="s">
        <v>132</v>
      </c>
      <c r="E871" s="36">
        <f t="shared" si="68"/>
        <v>21597429.673145019</v>
      </c>
      <c r="F871" s="36">
        <v>15145.56</v>
      </c>
      <c r="G871" s="58">
        <v>0</v>
      </c>
      <c r="H871" s="35">
        <f t="shared" si="69"/>
        <v>15145.56</v>
      </c>
      <c r="I871" s="35">
        <f t="shared" si="66"/>
        <v>0</v>
      </c>
      <c r="J871" s="35">
        <f t="shared" si="67"/>
        <v>1171.7738421045485</v>
      </c>
      <c r="K871" s="45">
        <f t="shared" si="65"/>
        <v>21611403.459302913</v>
      </c>
    </row>
    <row r="872" spans="2:11">
      <c r="B872" s="43">
        <v>45418</v>
      </c>
      <c r="C872" s="32" t="s">
        <v>25</v>
      </c>
      <c r="D872" s="32" t="s">
        <v>132</v>
      </c>
      <c r="E872" s="36">
        <f t="shared" si="68"/>
        <v>21611403.459302913</v>
      </c>
      <c r="F872" s="36">
        <v>12287.05</v>
      </c>
      <c r="G872" s="58">
        <v>0</v>
      </c>
      <c r="H872" s="35">
        <f t="shared" si="69"/>
        <v>12287.05</v>
      </c>
      <c r="I872" s="35">
        <f t="shared" si="66"/>
        <v>0</v>
      </c>
      <c r="J872" s="35">
        <f t="shared" si="67"/>
        <v>1172.5319932985929</v>
      </c>
      <c r="K872" s="45">
        <f t="shared" si="65"/>
        <v>21622517.977309614</v>
      </c>
    </row>
    <row r="873" spans="2:11">
      <c r="B873" s="43">
        <v>45418</v>
      </c>
      <c r="C873" s="32" t="s">
        <v>25</v>
      </c>
      <c r="D873" s="32" t="s">
        <v>132</v>
      </c>
      <c r="E873" s="36">
        <f t="shared" si="68"/>
        <v>21622517.977309614</v>
      </c>
      <c r="F873" s="36">
        <v>18316.580000000002</v>
      </c>
      <c r="G873" s="58">
        <v>0</v>
      </c>
      <c r="H873" s="35">
        <f t="shared" si="69"/>
        <v>18316.580000000002</v>
      </c>
      <c r="I873" s="35">
        <f t="shared" si="66"/>
        <v>0</v>
      </c>
      <c r="J873" s="35">
        <f t="shared" si="67"/>
        <v>1173.1350141980679</v>
      </c>
      <c r="K873" s="45">
        <f t="shared" si="65"/>
        <v>21639661.422295414</v>
      </c>
    </row>
    <row r="874" spans="2:11">
      <c r="B874" s="43">
        <v>45418</v>
      </c>
      <c r="C874" s="32" t="s">
        <v>29</v>
      </c>
      <c r="D874" s="32" t="s">
        <v>132</v>
      </c>
      <c r="E874" s="36">
        <f t="shared" si="68"/>
        <v>21639661.422295414</v>
      </c>
      <c r="F874" s="36">
        <v>15376.73</v>
      </c>
      <c r="G874" s="58">
        <v>0</v>
      </c>
      <c r="H874" s="35">
        <f t="shared" si="69"/>
        <v>15376.73</v>
      </c>
      <c r="I874" s="35">
        <f t="shared" si="66"/>
        <v>0</v>
      </c>
      <c r="J874" s="35">
        <f t="shared" si="67"/>
        <v>1174.0651360089471</v>
      </c>
      <c r="K874" s="45">
        <f t="shared" si="65"/>
        <v>21653864.087159406</v>
      </c>
    </row>
    <row r="875" spans="2:11">
      <c r="B875" s="43">
        <v>45418</v>
      </c>
      <c r="C875" s="32" t="s">
        <v>27</v>
      </c>
      <c r="D875" s="32" t="s">
        <v>134</v>
      </c>
      <c r="E875" s="36">
        <f t="shared" si="68"/>
        <v>21653864.087159406</v>
      </c>
      <c r="F875" s="36">
        <v>0</v>
      </c>
      <c r="G875" s="58">
        <v>-3501.43</v>
      </c>
      <c r="H875" s="35">
        <f t="shared" si="69"/>
        <v>-3501.43</v>
      </c>
      <c r="I875" s="35">
        <f t="shared" si="66"/>
        <v>0</v>
      </c>
      <c r="J875" s="35">
        <f t="shared" si="67"/>
        <v>1174.8357050733064</v>
      </c>
      <c r="K875" s="45">
        <f t="shared" si="65"/>
        <v>21649187.821454335</v>
      </c>
    </row>
    <row r="876" spans="2:11">
      <c r="B876" s="43">
        <v>45418</v>
      </c>
      <c r="C876" s="32" t="s">
        <v>29</v>
      </c>
      <c r="D876" s="32" t="s">
        <v>134</v>
      </c>
      <c r="E876" s="36">
        <f t="shared" si="68"/>
        <v>21649187.821454335</v>
      </c>
      <c r="F876" s="36">
        <v>0</v>
      </c>
      <c r="G876" s="58">
        <v>-3111.49</v>
      </c>
      <c r="H876" s="35">
        <f t="shared" si="69"/>
        <v>-3111.49</v>
      </c>
      <c r="I876" s="35">
        <f t="shared" si="66"/>
        <v>0</v>
      </c>
      <c r="J876" s="35">
        <f t="shared" si="67"/>
        <v>1174.5819931309661</v>
      </c>
      <c r="K876" s="45">
        <f t="shared" si="65"/>
        <v>21644901.749461204</v>
      </c>
    </row>
    <row r="877" spans="2:11">
      <c r="B877" s="43">
        <v>45418</v>
      </c>
      <c r="C877" s="32" t="s">
        <v>29</v>
      </c>
      <c r="D877" s="32" t="s">
        <v>134</v>
      </c>
      <c r="E877" s="36">
        <f t="shared" si="68"/>
        <v>21644901.749461204</v>
      </c>
      <c r="F877" s="36">
        <v>0</v>
      </c>
      <c r="G877" s="58">
        <v>-8132</v>
      </c>
      <c r="H877" s="35">
        <f t="shared" si="69"/>
        <v>-8132</v>
      </c>
      <c r="I877" s="35">
        <f t="shared" si="66"/>
        <v>0</v>
      </c>
      <c r="J877" s="35">
        <f t="shared" si="67"/>
        <v>1174.3494512441334</v>
      </c>
      <c r="K877" s="45">
        <f t="shared" si="65"/>
        <v>21635595.40000996</v>
      </c>
    </row>
    <row r="878" spans="2:11">
      <c r="B878" s="43">
        <v>45419</v>
      </c>
      <c r="C878" s="32" t="s">
        <v>29</v>
      </c>
      <c r="D878" s="32" t="s">
        <v>132</v>
      </c>
      <c r="E878" s="36">
        <f t="shared" si="68"/>
        <v>21635595.40000996</v>
      </c>
      <c r="F878" s="36">
        <v>14776.66</v>
      </c>
      <c r="G878" s="58">
        <v>0</v>
      </c>
      <c r="H878" s="35">
        <f t="shared" si="69"/>
        <v>14776.66</v>
      </c>
      <c r="I878" s="35">
        <f t="shared" si="66"/>
        <v>0</v>
      </c>
      <c r="J878" s="35">
        <f t="shared" si="67"/>
        <v>2347.6890659459109</v>
      </c>
      <c r="K878" s="45">
        <f t="shared" si="65"/>
        <v>21648024.370944016</v>
      </c>
    </row>
    <row r="879" spans="2:11">
      <c r="B879" s="43">
        <v>45419</v>
      </c>
      <c r="C879" s="32" t="s">
        <v>29</v>
      </c>
      <c r="D879" s="32" t="s">
        <v>132</v>
      </c>
      <c r="E879" s="36">
        <f t="shared" si="68"/>
        <v>21648024.370944016</v>
      </c>
      <c r="F879" s="36">
        <v>14359.66</v>
      </c>
      <c r="G879" s="58">
        <v>0</v>
      </c>
      <c r="H879" s="35">
        <f t="shared" si="69"/>
        <v>14359.66</v>
      </c>
      <c r="I879" s="35">
        <f t="shared" si="66"/>
        <v>0</v>
      </c>
      <c r="J879" s="35">
        <f t="shared" si="67"/>
        <v>1174.5188698382776</v>
      </c>
      <c r="K879" s="45">
        <f t="shared" si="65"/>
        <v>21661209.512074176</v>
      </c>
    </row>
    <row r="880" spans="2:11">
      <c r="B880" s="43">
        <v>45419</v>
      </c>
      <c r="C880" s="32" t="s">
        <v>29</v>
      </c>
      <c r="D880" s="32" t="s">
        <v>132</v>
      </c>
      <c r="E880" s="36">
        <f t="shared" si="68"/>
        <v>21661209.512074176</v>
      </c>
      <c r="F880" s="36">
        <v>14262.77</v>
      </c>
      <c r="G880" s="58">
        <v>0</v>
      </c>
      <c r="H880" s="35">
        <f t="shared" si="69"/>
        <v>14262.77</v>
      </c>
      <c r="I880" s="35">
        <f t="shared" si="66"/>
        <v>0</v>
      </c>
      <c r="J880" s="35">
        <f t="shared" si="67"/>
        <v>1175.2342329029848</v>
      </c>
      <c r="K880" s="45">
        <f t="shared" si="65"/>
        <v>21674297.047841273</v>
      </c>
    </row>
    <row r="881" spans="2:11">
      <c r="B881" s="43">
        <v>45419</v>
      </c>
      <c r="C881" s="32" t="s">
        <v>29</v>
      </c>
      <c r="D881" s="32" t="s">
        <v>132</v>
      </c>
      <c r="E881" s="36">
        <f t="shared" si="68"/>
        <v>21674297.047841273</v>
      </c>
      <c r="F881" s="36">
        <v>17182.89</v>
      </c>
      <c r="G881" s="58">
        <v>0</v>
      </c>
      <c r="H881" s="35">
        <f t="shared" si="69"/>
        <v>17182.89</v>
      </c>
      <c r="I881" s="35">
        <f t="shared" si="66"/>
        <v>0</v>
      </c>
      <c r="J881" s="35">
        <f t="shared" si="67"/>
        <v>1175.9443003647884</v>
      </c>
      <c r="K881" s="45">
        <f t="shared" si="65"/>
        <v>21690303.993540909</v>
      </c>
    </row>
    <row r="882" spans="2:11">
      <c r="B882" s="43">
        <v>45419</v>
      </c>
      <c r="C882" s="32" t="s">
        <v>29</v>
      </c>
      <c r="D882" s="32" t="s">
        <v>132</v>
      </c>
      <c r="E882" s="36">
        <f t="shared" si="68"/>
        <v>21690303.993540909</v>
      </c>
      <c r="F882" s="36">
        <v>9100.93</v>
      </c>
      <c r="G882" s="58">
        <v>0</v>
      </c>
      <c r="H882" s="35">
        <f t="shared" si="69"/>
        <v>9100.93</v>
      </c>
      <c r="I882" s="35">
        <f t="shared" si="66"/>
        <v>0</v>
      </c>
      <c r="J882" s="35">
        <f t="shared" si="67"/>
        <v>1176.8127611282534</v>
      </c>
      <c r="K882" s="45">
        <f t="shared" si="65"/>
        <v>21698228.110779781</v>
      </c>
    </row>
    <row r="883" spans="2:11">
      <c r="B883" s="43">
        <v>45419</v>
      </c>
      <c r="C883" s="32" t="s">
        <v>29</v>
      </c>
      <c r="D883" s="32" t="s">
        <v>134</v>
      </c>
      <c r="E883" s="36">
        <f t="shared" si="68"/>
        <v>21698228.110779781</v>
      </c>
      <c r="F883" s="36">
        <v>0</v>
      </c>
      <c r="G883" s="58">
        <v>-10651.53</v>
      </c>
      <c r="H883" s="35">
        <f t="shared" si="69"/>
        <v>-10651.53</v>
      </c>
      <c r="I883" s="35">
        <f t="shared" si="66"/>
        <v>0</v>
      </c>
      <c r="J883" s="35">
        <f t="shared" si="67"/>
        <v>1177.2426860518578</v>
      </c>
      <c r="K883" s="45">
        <f t="shared" si="65"/>
        <v>21686399.338093728</v>
      </c>
    </row>
    <row r="884" spans="2:11">
      <c r="B884" s="43">
        <v>45419</v>
      </c>
      <c r="C884" s="32" t="s">
        <v>29</v>
      </c>
      <c r="D884" s="32" t="s">
        <v>134</v>
      </c>
      <c r="E884" s="36">
        <f t="shared" si="68"/>
        <v>21686399.338093728</v>
      </c>
      <c r="F884" s="36">
        <v>0</v>
      </c>
      <c r="G884" s="58">
        <v>-11276</v>
      </c>
      <c r="H884" s="35">
        <f t="shared" si="69"/>
        <v>-11276</v>
      </c>
      <c r="I884" s="35">
        <f t="shared" si="66"/>
        <v>0</v>
      </c>
      <c r="J884" s="35">
        <f t="shared" si="67"/>
        <v>1176.6009130896357</v>
      </c>
      <c r="K884" s="45">
        <f t="shared" si="65"/>
        <v>21673946.737180639</v>
      </c>
    </row>
    <row r="885" spans="2:11">
      <c r="B885" s="43">
        <v>45419</v>
      </c>
      <c r="C885" s="32" t="s">
        <v>25</v>
      </c>
      <c r="D885" s="32" t="s">
        <v>134</v>
      </c>
      <c r="E885" s="36">
        <f t="shared" si="68"/>
        <v>21673946.737180639</v>
      </c>
      <c r="F885" s="36">
        <v>0</v>
      </c>
      <c r="G885" s="58">
        <v>-2195</v>
      </c>
      <c r="H885" s="35">
        <f t="shared" si="69"/>
        <v>-2195</v>
      </c>
      <c r="I885" s="35">
        <f t="shared" si="66"/>
        <v>0</v>
      </c>
      <c r="J885" s="35">
        <f t="shared" si="67"/>
        <v>1175.9252941740076</v>
      </c>
      <c r="K885" s="45">
        <f t="shared" si="65"/>
        <v>21670575.811886463</v>
      </c>
    </row>
    <row r="886" spans="2:11">
      <c r="B886" s="43">
        <v>45419</v>
      </c>
      <c r="C886" s="32" t="s">
        <v>25</v>
      </c>
      <c r="D886" s="32" t="s">
        <v>134</v>
      </c>
      <c r="E886" s="36">
        <f t="shared" si="68"/>
        <v>21670575.811886463</v>
      </c>
      <c r="F886" s="36">
        <v>0</v>
      </c>
      <c r="G886" s="58">
        <v>-14829</v>
      </c>
      <c r="H886" s="35">
        <f t="shared" si="69"/>
        <v>-14829</v>
      </c>
      <c r="I886" s="35">
        <f t="shared" si="66"/>
        <v>0</v>
      </c>
      <c r="J886" s="35">
        <f t="shared" si="67"/>
        <v>1175.7424037956996</v>
      </c>
      <c r="K886" s="45">
        <f t="shared" si="65"/>
        <v>21654571.069482669</v>
      </c>
    </row>
    <row r="887" spans="2:11">
      <c r="B887" s="43">
        <v>45420</v>
      </c>
      <c r="C887" s="32" t="s">
        <v>27</v>
      </c>
      <c r="D887" s="32" t="s">
        <v>132</v>
      </c>
      <c r="E887" s="36">
        <f t="shared" si="68"/>
        <v>21654571.069482669</v>
      </c>
      <c r="F887" s="36">
        <v>16541.36</v>
      </c>
      <c r="G887" s="58">
        <v>0</v>
      </c>
      <c r="H887" s="35">
        <f t="shared" si="69"/>
        <v>16541.36</v>
      </c>
      <c r="I887" s="35">
        <f t="shared" si="66"/>
        <v>0</v>
      </c>
      <c r="J887" s="35">
        <f t="shared" si="67"/>
        <v>2349.7481251451813</v>
      </c>
      <c r="K887" s="45">
        <f t="shared" si="65"/>
        <v>21668762.681357525</v>
      </c>
    </row>
    <row r="888" spans="2:11">
      <c r="B888" s="43">
        <v>45420</v>
      </c>
      <c r="C888" s="32" t="s">
        <v>29</v>
      </c>
      <c r="D888" s="32" t="s">
        <v>132</v>
      </c>
      <c r="E888" s="36">
        <f t="shared" si="68"/>
        <v>21668762.681357525</v>
      </c>
      <c r="F888" s="36">
        <v>17865.919999999998</v>
      </c>
      <c r="G888" s="58">
        <v>0</v>
      </c>
      <c r="H888" s="35">
        <f t="shared" si="69"/>
        <v>17865.919999999998</v>
      </c>
      <c r="I888" s="35">
        <f t="shared" si="66"/>
        <v>0</v>
      </c>
      <c r="J888" s="35">
        <f t="shared" si="67"/>
        <v>1175.6440319543146</v>
      </c>
      <c r="K888" s="45">
        <f t="shared" si="65"/>
        <v>21685452.957325574</v>
      </c>
    </row>
    <row r="889" spans="2:11">
      <c r="B889" s="43">
        <v>45420</v>
      </c>
      <c r="C889" s="32" t="s">
        <v>27</v>
      </c>
      <c r="D889" s="32" t="s">
        <v>134</v>
      </c>
      <c r="E889" s="36">
        <f t="shared" si="68"/>
        <v>21685452.957325574</v>
      </c>
      <c r="F889" s="36">
        <v>0</v>
      </c>
      <c r="G889" s="58">
        <v>-12542.26</v>
      </c>
      <c r="H889" s="35">
        <f t="shared" si="69"/>
        <v>-12542.26</v>
      </c>
      <c r="I889" s="35">
        <f t="shared" si="66"/>
        <v>0</v>
      </c>
      <c r="J889" s="35">
        <f t="shared" si="67"/>
        <v>1176.549566969029</v>
      </c>
      <c r="K889" s="45">
        <f t="shared" si="65"/>
        <v>21671734.147758603</v>
      </c>
    </row>
    <row r="890" spans="2:11">
      <c r="B890" s="43">
        <v>45420</v>
      </c>
      <c r="C890" s="32" t="s">
        <v>29</v>
      </c>
      <c r="D890" s="32" t="s">
        <v>134</v>
      </c>
      <c r="E890" s="36">
        <f t="shared" si="68"/>
        <v>21671734.147758603</v>
      </c>
      <c r="F890" s="36">
        <v>0</v>
      </c>
      <c r="G890" s="58">
        <v>-17079</v>
      </c>
      <c r="H890" s="35">
        <f t="shared" si="69"/>
        <v>-17079</v>
      </c>
      <c r="I890" s="35">
        <f t="shared" si="66"/>
        <v>0</v>
      </c>
      <c r="J890" s="35">
        <f t="shared" si="67"/>
        <v>1175.8052495924396</v>
      </c>
      <c r="K890" s="45">
        <f t="shared" si="65"/>
        <v>21653479.342509009</v>
      </c>
    </row>
    <row r="891" spans="2:11">
      <c r="B891" s="43">
        <v>45421</v>
      </c>
      <c r="C891" s="32" t="s">
        <v>29</v>
      </c>
      <c r="D891" s="32" t="s">
        <v>132</v>
      </c>
      <c r="E891" s="36">
        <f t="shared" si="68"/>
        <v>21653479.342509009</v>
      </c>
      <c r="F891" s="36">
        <v>19426.07</v>
      </c>
      <c r="G891" s="58">
        <v>0</v>
      </c>
      <c r="H891" s="35">
        <f t="shared" si="69"/>
        <v>19426.07</v>
      </c>
      <c r="I891" s="35">
        <f t="shared" si="66"/>
        <v>0</v>
      </c>
      <c r="J891" s="35">
        <f t="shared" si="67"/>
        <v>2349.6296613159375</v>
      </c>
      <c r="K891" s="45">
        <f t="shared" si="65"/>
        <v>21670555.782847695</v>
      </c>
    </row>
    <row r="892" spans="2:11">
      <c r="B892" s="43">
        <v>45421</v>
      </c>
      <c r="C892" s="32" t="s">
        <v>25</v>
      </c>
      <c r="D892" s="32" t="s">
        <v>132</v>
      </c>
      <c r="E892" s="36">
        <f t="shared" si="68"/>
        <v>21670555.782847695</v>
      </c>
      <c r="F892" s="36">
        <v>15897.88</v>
      </c>
      <c r="G892" s="58">
        <v>0</v>
      </c>
      <c r="H892" s="35">
        <f t="shared" si="69"/>
        <v>15897.88</v>
      </c>
      <c r="I892" s="35">
        <f t="shared" si="66"/>
        <v>0</v>
      </c>
      <c r="J892" s="35">
        <f t="shared" si="67"/>
        <v>1175.7413171152905</v>
      </c>
      <c r="K892" s="45">
        <f t="shared" si="65"/>
        <v>21685277.921530578</v>
      </c>
    </row>
    <row r="893" spans="2:11">
      <c r="B893" s="43">
        <v>45421</v>
      </c>
      <c r="C893" s="32" t="s">
        <v>29</v>
      </c>
      <c r="D893" s="32" t="s">
        <v>132</v>
      </c>
      <c r="E893" s="36">
        <f t="shared" si="68"/>
        <v>21685277.921530578</v>
      </c>
      <c r="F893" s="36">
        <v>16523.509999999998</v>
      </c>
      <c r="G893" s="58">
        <v>0</v>
      </c>
      <c r="H893" s="35">
        <f t="shared" si="69"/>
        <v>16523.509999999998</v>
      </c>
      <c r="I893" s="35">
        <f t="shared" si="66"/>
        <v>0</v>
      </c>
      <c r="J893" s="35">
        <f t="shared" si="67"/>
        <v>1176.5400703590569</v>
      </c>
      <c r="K893" s="45">
        <f t="shared" si="65"/>
        <v>21700624.891460221</v>
      </c>
    </row>
    <row r="894" spans="2:11">
      <c r="B894" s="43">
        <v>45421</v>
      </c>
      <c r="C894" s="32" t="s">
        <v>29</v>
      </c>
      <c r="D894" s="32" t="s">
        <v>132</v>
      </c>
      <c r="E894" s="36">
        <f t="shared" si="68"/>
        <v>21700624.891460221</v>
      </c>
      <c r="F894" s="36">
        <v>11412.35</v>
      </c>
      <c r="G894" s="58">
        <v>0</v>
      </c>
      <c r="H894" s="35">
        <f t="shared" si="69"/>
        <v>11412.35</v>
      </c>
      <c r="I894" s="35">
        <f t="shared" si="66"/>
        <v>0</v>
      </c>
      <c r="J894" s="35">
        <f t="shared" si="67"/>
        <v>1177.3727239753102</v>
      </c>
      <c r="K894" s="45">
        <f t="shared" si="65"/>
        <v>21710859.868736248</v>
      </c>
    </row>
    <row r="895" spans="2:11">
      <c r="B895" s="43">
        <v>45421</v>
      </c>
      <c r="C895" s="32" t="s">
        <v>29</v>
      </c>
      <c r="D895" s="32" t="s">
        <v>134</v>
      </c>
      <c r="E895" s="36">
        <f t="shared" si="68"/>
        <v>21710859.868736248</v>
      </c>
      <c r="F895" s="36">
        <v>0</v>
      </c>
      <c r="G895" s="58">
        <v>-16280</v>
      </c>
      <c r="H895" s="35">
        <f t="shared" si="69"/>
        <v>-16280</v>
      </c>
      <c r="I895" s="35">
        <f t="shared" si="66"/>
        <v>0</v>
      </c>
      <c r="J895" s="35">
        <f t="shared" si="67"/>
        <v>1177.9280251767996</v>
      </c>
      <c r="K895" s="45">
        <f t="shared" si="65"/>
        <v>21693401.94071107</v>
      </c>
    </row>
    <row r="896" spans="2:11">
      <c r="B896" s="43">
        <v>45421</v>
      </c>
      <c r="C896" s="32" t="s">
        <v>29</v>
      </c>
      <c r="D896" s="32" t="s">
        <v>134</v>
      </c>
      <c r="E896" s="36">
        <f t="shared" si="68"/>
        <v>21693401.94071107</v>
      </c>
      <c r="F896" s="36">
        <v>0</v>
      </c>
      <c r="G896" s="58">
        <v>-8494</v>
      </c>
      <c r="H896" s="35">
        <f t="shared" si="69"/>
        <v>-8494</v>
      </c>
      <c r="I896" s="35">
        <f t="shared" si="66"/>
        <v>0</v>
      </c>
      <c r="J896" s="35">
        <f t="shared" si="67"/>
        <v>1176.9808410115152</v>
      </c>
      <c r="K896" s="45">
        <f t="shared" si="65"/>
        <v>21683730.959870059</v>
      </c>
    </row>
    <row r="897" spans="2:11">
      <c r="B897" s="43">
        <v>45421</v>
      </c>
      <c r="C897" s="32" t="s">
        <v>29</v>
      </c>
      <c r="D897" s="32" t="s">
        <v>134</v>
      </c>
      <c r="E897" s="36">
        <f t="shared" si="68"/>
        <v>21683730.959870059</v>
      </c>
      <c r="F897" s="36">
        <v>0</v>
      </c>
      <c r="G897" s="58">
        <v>-6395</v>
      </c>
      <c r="H897" s="35">
        <f t="shared" si="69"/>
        <v>-6395</v>
      </c>
      <c r="I897" s="35">
        <f t="shared" si="66"/>
        <v>0</v>
      </c>
      <c r="J897" s="35">
        <f t="shared" si="67"/>
        <v>1176.4561395748863</v>
      </c>
      <c r="K897" s="45">
        <f t="shared" si="65"/>
        <v>21676159.503730483</v>
      </c>
    </row>
    <row r="898" spans="2:11">
      <c r="B898" s="43">
        <v>45421</v>
      </c>
      <c r="C898" s="32" t="s">
        <v>25</v>
      </c>
      <c r="D898" s="32" t="s">
        <v>134</v>
      </c>
      <c r="E898" s="36">
        <f t="shared" si="68"/>
        <v>21676159.503730483</v>
      </c>
      <c r="F898" s="36">
        <v>0</v>
      </c>
      <c r="G898" s="58">
        <v>-10565</v>
      </c>
      <c r="H898" s="35">
        <f t="shared" si="69"/>
        <v>-10565</v>
      </c>
      <c r="I898" s="35">
        <f t="shared" si="66"/>
        <v>0</v>
      </c>
      <c r="J898" s="35">
        <f t="shared" si="67"/>
        <v>1176.0453483656884</v>
      </c>
      <c r="K898" s="45">
        <f t="shared" si="65"/>
        <v>21664418.458382118</v>
      </c>
    </row>
    <row r="899" spans="2:11">
      <c r="B899" s="43">
        <v>45422</v>
      </c>
      <c r="C899" s="32" t="s">
        <v>29</v>
      </c>
      <c r="D899" s="32" t="s">
        <v>132</v>
      </c>
      <c r="E899" s="36">
        <f t="shared" si="68"/>
        <v>21664418.458382118</v>
      </c>
      <c r="F899" s="36">
        <v>13308.83</v>
      </c>
      <c r="G899" s="58">
        <v>0</v>
      </c>
      <c r="H899" s="35">
        <f t="shared" si="69"/>
        <v>13308.83</v>
      </c>
      <c r="I899" s="35">
        <f t="shared" si="66"/>
        <v>0</v>
      </c>
      <c r="J899" s="35">
        <f t="shared" si="67"/>
        <v>2350.8166701433624</v>
      </c>
      <c r="K899" s="45">
        <f t="shared" si="65"/>
        <v>21675376.471711975</v>
      </c>
    </row>
    <row r="900" spans="2:11">
      <c r="B900" s="43">
        <v>45422</v>
      </c>
      <c r="C900" s="32" t="s">
        <v>27</v>
      </c>
      <c r="D900" s="32" t="s">
        <v>132</v>
      </c>
      <c r="E900" s="36">
        <f t="shared" si="68"/>
        <v>21675376.471711975</v>
      </c>
      <c r="F900" s="36">
        <v>16224.76</v>
      </c>
      <c r="G900" s="58">
        <v>0</v>
      </c>
      <c r="H900" s="35">
        <f t="shared" si="69"/>
        <v>16224.76</v>
      </c>
      <c r="I900" s="35">
        <f t="shared" si="66"/>
        <v>0</v>
      </c>
      <c r="J900" s="35">
        <f t="shared" si="67"/>
        <v>1176.002864771543</v>
      </c>
      <c r="K900" s="45">
        <f t="shared" si="65"/>
        <v>21690425.228847206</v>
      </c>
    </row>
    <row r="901" spans="2:11">
      <c r="B901" s="43">
        <v>45422</v>
      </c>
      <c r="C901" s="32" t="s">
        <v>27</v>
      </c>
      <c r="D901" s="32" t="s">
        <v>132</v>
      </c>
      <c r="E901" s="36">
        <f t="shared" si="68"/>
        <v>21690425.228847206</v>
      </c>
      <c r="F901" s="36">
        <v>18067.71</v>
      </c>
      <c r="G901" s="58">
        <v>0</v>
      </c>
      <c r="H901" s="35">
        <f t="shared" si="69"/>
        <v>18067.71</v>
      </c>
      <c r="I901" s="35">
        <f t="shared" si="66"/>
        <v>0</v>
      </c>
      <c r="J901" s="35">
        <f t="shared" si="67"/>
        <v>1176.8193387795206</v>
      </c>
      <c r="K901" s="45">
        <f t="shared" si="65"/>
        <v>21707316.119508427</v>
      </c>
    </row>
    <row r="902" spans="2:11">
      <c r="B902" s="43">
        <v>45422</v>
      </c>
      <c r="C902" s="32" t="s">
        <v>27</v>
      </c>
      <c r="D902" s="32" t="s">
        <v>134</v>
      </c>
      <c r="E902" s="36">
        <f t="shared" si="68"/>
        <v>21707316.119508427</v>
      </c>
      <c r="F902" s="36">
        <v>0</v>
      </c>
      <c r="G902" s="58">
        <v>-18107.73</v>
      </c>
      <c r="H902" s="35">
        <f t="shared" si="69"/>
        <v>-18107.73</v>
      </c>
      <c r="I902" s="35">
        <f t="shared" si="66"/>
        <v>0</v>
      </c>
      <c r="J902" s="35">
        <f t="shared" si="67"/>
        <v>1177.7357581935992</v>
      </c>
      <c r="K902" s="45">
        <f t="shared" si="65"/>
        <v>21688030.653750233</v>
      </c>
    </row>
    <row r="903" spans="2:11">
      <c r="B903" s="43">
        <v>45422</v>
      </c>
      <c r="C903" s="32" t="s">
        <v>29</v>
      </c>
      <c r="D903" s="32" t="s">
        <v>134</v>
      </c>
      <c r="E903" s="36">
        <f t="shared" si="68"/>
        <v>21688030.653750233</v>
      </c>
      <c r="F903" s="36">
        <v>0</v>
      </c>
      <c r="G903" s="58">
        <v>-16660.009999999998</v>
      </c>
      <c r="H903" s="35">
        <f t="shared" si="69"/>
        <v>-16660.009999999998</v>
      </c>
      <c r="I903" s="35">
        <f t="shared" si="66"/>
        <v>0</v>
      </c>
      <c r="J903" s="35">
        <f t="shared" si="67"/>
        <v>1176.6894205205401</v>
      </c>
      <c r="K903" s="45">
        <f t="shared" si="65"/>
        <v>21670193.95432971</v>
      </c>
    </row>
    <row r="904" spans="2:11">
      <c r="B904" s="43">
        <v>45422</v>
      </c>
      <c r="C904" s="32" t="s">
        <v>29</v>
      </c>
      <c r="D904" s="32" t="s">
        <v>134</v>
      </c>
      <c r="E904" s="36">
        <f t="shared" si="68"/>
        <v>21670193.95432971</v>
      </c>
      <c r="F904" s="36">
        <v>0</v>
      </c>
      <c r="G904" s="58">
        <v>-2269</v>
      </c>
      <c r="H904" s="35">
        <f t="shared" si="69"/>
        <v>-2269</v>
      </c>
      <c r="I904" s="35">
        <f t="shared" si="66"/>
        <v>0</v>
      </c>
      <c r="J904" s="35">
        <f t="shared" si="67"/>
        <v>1175.7216860203355</v>
      </c>
      <c r="K904" s="45">
        <f t="shared" ref="K904:K967" si="70">E904+H904+I904-J904</f>
        <v>21666749.23264369</v>
      </c>
    </row>
    <row r="905" spans="2:11">
      <c r="B905" s="43">
        <v>45422</v>
      </c>
      <c r="C905" s="32" t="s">
        <v>29</v>
      </c>
      <c r="D905" s="32" t="s">
        <v>134</v>
      </c>
      <c r="E905" s="36">
        <f t="shared" si="68"/>
        <v>21666749.23264369</v>
      </c>
      <c r="F905" s="36">
        <v>0</v>
      </c>
      <c r="G905" s="58">
        <v>-14848</v>
      </c>
      <c r="H905" s="35">
        <f t="shared" si="69"/>
        <v>-14848</v>
      </c>
      <c r="I905" s="35">
        <f t="shared" si="66"/>
        <v>0</v>
      </c>
      <c r="J905" s="35">
        <f t="shared" si="67"/>
        <v>1175.5347918006946</v>
      </c>
      <c r="K905" s="45">
        <f t="shared" si="70"/>
        <v>21650725.697851889</v>
      </c>
    </row>
    <row r="906" spans="2:11">
      <c r="B906" s="43">
        <v>45422</v>
      </c>
      <c r="C906" s="32" t="s">
        <v>27</v>
      </c>
      <c r="D906" s="32" t="s">
        <v>134</v>
      </c>
      <c r="E906" s="36">
        <f t="shared" si="68"/>
        <v>21650725.697851889</v>
      </c>
      <c r="F906" s="36">
        <v>0</v>
      </c>
      <c r="G906" s="58">
        <v>-10000</v>
      </c>
      <c r="H906" s="35">
        <f t="shared" si="69"/>
        <v>-10000</v>
      </c>
      <c r="I906" s="35">
        <f t="shared" si="66"/>
        <v>0</v>
      </c>
      <c r="J906" s="35">
        <f t="shared" si="67"/>
        <v>1174.665430991967</v>
      </c>
      <c r="K906" s="45">
        <f t="shared" si="70"/>
        <v>21639551.032420896</v>
      </c>
    </row>
    <row r="907" spans="2:11">
      <c r="B907" s="43">
        <v>45422</v>
      </c>
      <c r="C907" s="32" t="s">
        <v>29</v>
      </c>
      <c r="D907" s="32" t="s">
        <v>134</v>
      </c>
      <c r="E907" s="36">
        <f t="shared" si="68"/>
        <v>21639551.032420896</v>
      </c>
      <c r="F907" s="36">
        <v>0</v>
      </c>
      <c r="G907" s="58">
        <v>-16350</v>
      </c>
      <c r="H907" s="35">
        <f t="shared" si="69"/>
        <v>-16350</v>
      </c>
      <c r="I907" s="35">
        <f t="shared" si="66"/>
        <v>0</v>
      </c>
      <c r="J907" s="35">
        <f t="shared" si="67"/>
        <v>1174.0591467792401</v>
      </c>
      <c r="K907" s="45">
        <f t="shared" si="70"/>
        <v>21622026.973274115</v>
      </c>
    </row>
    <row r="908" spans="2:11">
      <c r="B908" s="43">
        <v>45423</v>
      </c>
      <c r="C908" s="32" t="s">
        <v>25</v>
      </c>
      <c r="D908" s="32" t="s">
        <v>132</v>
      </c>
      <c r="E908" s="36">
        <f t="shared" si="68"/>
        <v>21622026.973274115</v>
      </c>
      <c r="F908" s="36">
        <v>11256.65</v>
      </c>
      <c r="G908" s="58">
        <v>0</v>
      </c>
      <c r="H908" s="35">
        <f t="shared" si="69"/>
        <v>11256.65</v>
      </c>
      <c r="I908" s="35">
        <f t="shared" si="66"/>
        <v>0</v>
      </c>
      <c r="J908" s="35">
        <f t="shared" si="67"/>
        <v>2346.2167493074785</v>
      </c>
      <c r="K908" s="45">
        <f t="shared" si="70"/>
        <v>21630937.406524807</v>
      </c>
    </row>
    <row r="909" spans="2:11">
      <c r="B909" s="43">
        <v>45423</v>
      </c>
      <c r="C909" s="32" t="s">
        <v>29</v>
      </c>
      <c r="D909" s="32" t="s">
        <v>132</v>
      </c>
      <c r="E909" s="36">
        <f t="shared" si="68"/>
        <v>21630937.406524807</v>
      </c>
      <c r="F909" s="36">
        <v>14428.98</v>
      </c>
      <c r="G909" s="58">
        <v>0</v>
      </c>
      <c r="H909" s="35">
        <f t="shared" si="69"/>
        <v>14428.98</v>
      </c>
      <c r="I909" s="35">
        <f t="shared" si="66"/>
        <v>0</v>
      </c>
      <c r="J909" s="35">
        <f t="shared" si="67"/>
        <v>1173.5918123943868</v>
      </c>
      <c r="K909" s="45">
        <f t="shared" si="70"/>
        <v>21644192.794712413</v>
      </c>
    </row>
    <row r="910" spans="2:11">
      <c r="B910" s="43">
        <v>45423</v>
      </c>
      <c r="C910" s="32" t="s">
        <v>25</v>
      </c>
      <c r="D910" s="32" t="s">
        <v>132</v>
      </c>
      <c r="E910" s="36">
        <f t="shared" si="68"/>
        <v>21644192.794712413</v>
      </c>
      <c r="F910" s="36">
        <v>17469.509999999998</v>
      </c>
      <c r="G910" s="58">
        <v>0</v>
      </c>
      <c r="H910" s="35">
        <f t="shared" si="69"/>
        <v>17469.509999999998</v>
      </c>
      <c r="I910" s="35">
        <f t="shared" si="66"/>
        <v>0</v>
      </c>
      <c r="J910" s="35">
        <f t="shared" si="67"/>
        <v>1174.3109867304186</v>
      </c>
      <c r="K910" s="45">
        <f t="shared" si="70"/>
        <v>21660487.993725684</v>
      </c>
    </row>
    <row r="911" spans="2:11">
      <c r="B911" s="43">
        <v>45423</v>
      </c>
      <c r="C911" s="32" t="s">
        <v>29</v>
      </c>
      <c r="D911" s="32" t="s">
        <v>132</v>
      </c>
      <c r="E911" s="36">
        <f t="shared" si="68"/>
        <v>21660487.993725684</v>
      </c>
      <c r="F911" s="36">
        <v>14709.86</v>
      </c>
      <c r="G911" s="58">
        <v>0</v>
      </c>
      <c r="H911" s="35">
        <f t="shared" si="69"/>
        <v>14709.86</v>
      </c>
      <c r="I911" s="35">
        <f t="shared" si="66"/>
        <v>0</v>
      </c>
      <c r="J911" s="35">
        <f t="shared" si="67"/>
        <v>1175.1950867480878</v>
      </c>
      <c r="K911" s="45">
        <f t="shared" si="70"/>
        <v>21674022.658638936</v>
      </c>
    </row>
    <row r="912" spans="2:11">
      <c r="B912" s="43">
        <v>45423</v>
      </c>
      <c r="C912" s="32" t="s">
        <v>25</v>
      </c>
      <c r="D912" s="32" t="s">
        <v>134</v>
      </c>
      <c r="E912" s="36">
        <f t="shared" si="68"/>
        <v>21674022.658638936</v>
      </c>
      <c r="F912" s="36">
        <v>0</v>
      </c>
      <c r="G912" s="58">
        <v>-5633.71</v>
      </c>
      <c r="H912" s="35">
        <f t="shared" si="69"/>
        <v>-5633.71</v>
      </c>
      <c r="I912" s="35">
        <f t="shared" si="66"/>
        <v>0</v>
      </c>
      <c r="J912" s="35">
        <f t="shared" si="67"/>
        <v>1175.9294133113417</v>
      </c>
      <c r="K912" s="45">
        <f t="shared" si="70"/>
        <v>21667213.019225623</v>
      </c>
    </row>
    <row r="913" spans="2:11">
      <c r="B913" s="43">
        <v>45423</v>
      </c>
      <c r="C913" s="32" t="s">
        <v>27</v>
      </c>
      <c r="D913" s="32" t="s">
        <v>134</v>
      </c>
      <c r="E913" s="36">
        <f t="shared" si="68"/>
        <v>21667213.019225623</v>
      </c>
      <c r="F913" s="36">
        <v>0</v>
      </c>
      <c r="G913" s="58">
        <v>-3320.33</v>
      </c>
      <c r="H913" s="35">
        <f t="shared" si="69"/>
        <v>-3320.33</v>
      </c>
      <c r="I913" s="35">
        <f t="shared" si="66"/>
        <v>0</v>
      </c>
      <c r="J913" s="35">
        <f t="shared" si="67"/>
        <v>1175.5599546554072</v>
      </c>
      <c r="K913" s="45">
        <f t="shared" si="70"/>
        <v>21662717.129270971</v>
      </c>
    </row>
    <row r="914" spans="2:11">
      <c r="B914" s="43">
        <v>45423</v>
      </c>
      <c r="C914" s="32" t="s">
        <v>29</v>
      </c>
      <c r="D914" s="32" t="s">
        <v>134</v>
      </c>
      <c r="E914" s="36">
        <f t="shared" si="68"/>
        <v>21662717.129270971</v>
      </c>
      <c r="F914" s="36">
        <v>0</v>
      </c>
      <c r="G914" s="58">
        <v>-2796</v>
      </c>
      <c r="H914" s="35">
        <f t="shared" si="69"/>
        <v>-2796</v>
      </c>
      <c r="I914" s="35">
        <f t="shared" si="66"/>
        <v>0</v>
      </c>
      <c r="J914" s="35">
        <f t="shared" si="67"/>
        <v>1175.3160290436297</v>
      </c>
      <c r="K914" s="45">
        <f t="shared" si="70"/>
        <v>21658745.813241929</v>
      </c>
    </row>
    <row r="915" spans="2:11">
      <c r="B915" s="43">
        <v>45423</v>
      </c>
      <c r="C915" s="32" t="s">
        <v>25</v>
      </c>
      <c r="D915" s="32" t="s">
        <v>134</v>
      </c>
      <c r="E915" s="36">
        <f t="shared" si="68"/>
        <v>21658745.813241929</v>
      </c>
      <c r="F915" s="36">
        <v>0</v>
      </c>
      <c r="G915" s="58">
        <v>-7552</v>
      </c>
      <c r="H915" s="35">
        <f t="shared" si="69"/>
        <v>-7552</v>
      </c>
      <c r="I915" s="35">
        <f t="shared" si="66"/>
        <v>0</v>
      </c>
      <c r="J915" s="35">
        <f t="shared" si="67"/>
        <v>1175.1005643187996</v>
      </c>
      <c r="K915" s="45">
        <f t="shared" si="70"/>
        <v>21650018.712677609</v>
      </c>
    </row>
    <row r="916" spans="2:11">
      <c r="B916" s="43">
        <v>45423</v>
      </c>
      <c r="C916" s="32" t="s">
        <v>25</v>
      </c>
      <c r="D916" s="32" t="s">
        <v>134</v>
      </c>
      <c r="E916" s="36">
        <f t="shared" si="68"/>
        <v>21650018.712677609</v>
      </c>
      <c r="F916" s="36">
        <v>0</v>
      </c>
      <c r="G916" s="58">
        <v>-17538</v>
      </c>
      <c r="H916" s="35">
        <f t="shared" si="69"/>
        <v>-17538</v>
      </c>
      <c r="I916" s="35">
        <f t="shared" ref="I916:I979" si="71">(($E916*Daily_Interest)*(_xlfn.DAYS(B916,B915)+1))+((IF(DAY($B915)&gt;Monthly_Cut_off_Date,0,Daily_Interest*H916))*(_xlfn.DAYS(B916,B915)+1))</f>
        <v>0</v>
      </c>
      <c r="J916" s="35">
        <f t="shared" ref="J916:J979" si="72">(($I916+E916)*Daily_Fees_Rate)*((_xlfn.DAYS(B916,B915)+1))</f>
        <v>1174.6270733379999</v>
      </c>
      <c r="K916" s="45">
        <f t="shared" si="70"/>
        <v>21631306.085604273</v>
      </c>
    </row>
    <row r="917" spans="2:11">
      <c r="B917" s="43">
        <v>45423</v>
      </c>
      <c r="C917" s="32" t="s">
        <v>27</v>
      </c>
      <c r="D917" s="32" t="s">
        <v>134</v>
      </c>
      <c r="E917" s="36">
        <f t="shared" ref="E917:E980" si="73">K916</f>
        <v>21631306.085604273</v>
      </c>
      <c r="F917" s="36">
        <v>0</v>
      </c>
      <c r="G917" s="58">
        <v>-16541</v>
      </c>
      <c r="H917" s="35">
        <f t="shared" ref="H917:H980" si="74">SUM(F917:G917)</f>
        <v>-16541</v>
      </c>
      <c r="I917" s="35">
        <f t="shared" si="71"/>
        <v>0</v>
      </c>
      <c r="J917" s="35">
        <f t="shared" si="72"/>
        <v>1173.6118151682347</v>
      </c>
      <c r="K917" s="45">
        <f t="shared" si="70"/>
        <v>21613591.473789103</v>
      </c>
    </row>
    <row r="918" spans="2:11">
      <c r="B918" s="43">
        <v>45424</v>
      </c>
      <c r="C918" s="32" t="s">
        <v>25</v>
      </c>
      <c r="D918" s="32" t="s">
        <v>132</v>
      </c>
      <c r="E918" s="36">
        <f t="shared" si="73"/>
        <v>21613591.473789103</v>
      </c>
      <c r="F918" s="36">
        <v>13547.3</v>
      </c>
      <c r="G918" s="58">
        <v>0</v>
      </c>
      <c r="H918" s="35">
        <f t="shared" si="74"/>
        <v>13547.3</v>
      </c>
      <c r="I918" s="35">
        <f t="shared" si="71"/>
        <v>0</v>
      </c>
      <c r="J918" s="35">
        <f t="shared" si="72"/>
        <v>2345.3014091219825</v>
      </c>
      <c r="K918" s="45">
        <f t="shared" si="70"/>
        <v>21624793.472379982</v>
      </c>
    </row>
    <row r="919" spans="2:11">
      <c r="B919" s="43">
        <v>45424</v>
      </c>
      <c r="C919" s="32" t="s">
        <v>29</v>
      </c>
      <c r="D919" s="32" t="s">
        <v>132</v>
      </c>
      <c r="E919" s="36">
        <f t="shared" si="73"/>
        <v>21624793.472379982</v>
      </c>
      <c r="F919" s="36">
        <v>14609.57</v>
      </c>
      <c r="G919" s="58">
        <v>0</v>
      </c>
      <c r="H919" s="35">
        <f t="shared" si="74"/>
        <v>14609.57</v>
      </c>
      <c r="I919" s="35">
        <f t="shared" si="71"/>
        <v>0</v>
      </c>
      <c r="J919" s="35">
        <f t="shared" si="72"/>
        <v>1173.2584717410093</v>
      </c>
      <c r="K919" s="45">
        <f t="shared" si="70"/>
        <v>21638229.78390824</v>
      </c>
    </row>
    <row r="920" spans="2:11">
      <c r="B920" s="43">
        <v>45424</v>
      </c>
      <c r="C920" s="32" t="s">
        <v>27</v>
      </c>
      <c r="D920" s="32" t="s">
        <v>132</v>
      </c>
      <c r="E920" s="36">
        <f t="shared" si="73"/>
        <v>21638229.78390824</v>
      </c>
      <c r="F920" s="36">
        <v>14811.96</v>
      </c>
      <c r="G920" s="58">
        <v>0</v>
      </c>
      <c r="H920" s="35">
        <f t="shared" si="74"/>
        <v>14811.96</v>
      </c>
      <c r="I920" s="35">
        <f t="shared" si="71"/>
        <v>0</v>
      </c>
      <c r="J920" s="35">
        <f t="shared" si="72"/>
        <v>1173.9874621172464</v>
      </c>
      <c r="K920" s="45">
        <f t="shared" si="70"/>
        <v>21651867.756446123</v>
      </c>
    </row>
    <row r="921" spans="2:11">
      <c r="B921" s="43">
        <v>45424</v>
      </c>
      <c r="C921" s="32" t="s">
        <v>25</v>
      </c>
      <c r="D921" s="32" t="s">
        <v>132</v>
      </c>
      <c r="E921" s="36">
        <f t="shared" si="73"/>
        <v>21651867.756446123</v>
      </c>
      <c r="F921" s="36">
        <v>18257.689999999999</v>
      </c>
      <c r="G921" s="58">
        <v>0</v>
      </c>
      <c r="H921" s="35">
        <f t="shared" si="74"/>
        <v>18257.689999999999</v>
      </c>
      <c r="I921" s="35">
        <f t="shared" si="71"/>
        <v>0</v>
      </c>
      <c r="J921" s="35">
        <f t="shared" si="72"/>
        <v>1174.7273936610034</v>
      </c>
      <c r="K921" s="45">
        <f t="shared" si="70"/>
        <v>21668950.719052464</v>
      </c>
    </row>
    <row r="922" spans="2:11">
      <c r="B922" s="43">
        <v>45424</v>
      </c>
      <c r="C922" s="32" t="s">
        <v>29</v>
      </c>
      <c r="D922" s="32" t="s">
        <v>134</v>
      </c>
      <c r="E922" s="36">
        <f t="shared" si="73"/>
        <v>21668950.719052464</v>
      </c>
      <c r="F922" s="36">
        <v>0</v>
      </c>
      <c r="G922" s="58">
        <v>-12786.53</v>
      </c>
      <c r="H922" s="35">
        <f t="shared" si="74"/>
        <v>-12786.53</v>
      </c>
      <c r="I922" s="35">
        <f t="shared" si="71"/>
        <v>0</v>
      </c>
      <c r="J922" s="35">
        <f t="shared" si="72"/>
        <v>1175.6542339855559</v>
      </c>
      <c r="K922" s="45">
        <f t="shared" si="70"/>
        <v>21654988.534818478</v>
      </c>
    </row>
    <row r="923" spans="2:11">
      <c r="B923" s="43">
        <v>45424</v>
      </c>
      <c r="C923" s="32" t="s">
        <v>25</v>
      </c>
      <c r="D923" s="32" t="s">
        <v>134</v>
      </c>
      <c r="E923" s="36">
        <f t="shared" si="73"/>
        <v>21654988.534818478</v>
      </c>
      <c r="F923" s="36">
        <v>0</v>
      </c>
      <c r="G923" s="58">
        <v>-9081.83</v>
      </c>
      <c r="H923" s="35">
        <f t="shared" si="74"/>
        <v>-9081.83</v>
      </c>
      <c r="I923" s="35">
        <f t="shared" si="71"/>
        <v>0</v>
      </c>
      <c r="J923" s="35">
        <f t="shared" si="72"/>
        <v>1174.8967122567378</v>
      </c>
      <c r="K923" s="45">
        <f t="shared" si="70"/>
        <v>21644731.808106221</v>
      </c>
    </row>
    <row r="924" spans="2:11">
      <c r="B924" s="43">
        <v>45424</v>
      </c>
      <c r="C924" s="32" t="s">
        <v>27</v>
      </c>
      <c r="D924" s="32" t="s">
        <v>134</v>
      </c>
      <c r="E924" s="36">
        <f t="shared" si="73"/>
        <v>21644731.808106221</v>
      </c>
      <c r="F924" s="36">
        <v>0</v>
      </c>
      <c r="G924" s="58">
        <v>-18948</v>
      </c>
      <c r="H924" s="35">
        <f t="shared" si="74"/>
        <v>-18948</v>
      </c>
      <c r="I924" s="35">
        <f t="shared" si="71"/>
        <v>0</v>
      </c>
      <c r="J924" s="35">
        <f t="shared" si="72"/>
        <v>1174.3402310342531</v>
      </c>
      <c r="K924" s="45">
        <f t="shared" si="70"/>
        <v>21624609.467875186</v>
      </c>
    </row>
    <row r="925" spans="2:11">
      <c r="B925" s="43">
        <v>45424</v>
      </c>
      <c r="C925" s="32" t="s">
        <v>29</v>
      </c>
      <c r="D925" s="32" t="s">
        <v>134</v>
      </c>
      <c r="E925" s="36">
        <f t="shared" si="73"/>
        <v>21624609.467875186</v>
      </c>
      <c r="F925" s="36">
        <v>0</v>
      </c>
      <c r="G925" s="58">
        <v>-12293</v>
      </c>
      <c r="H925" s="35">
        <f t="shared" si="74"/>
        <v>-12293</v>
      </c>
      <c r="I925" s="35">
        <f t="shared" si="71"/>
        <v>0</v>
      </c>
      <c r="J925" s="35">
        <f t="shared" si="72"/>
        <v>1173.248488531488</v>
      </c>
      <c r="K925" s="45">
        <f t="shared" si="70"/>
        <v>21611143.219386656</v>
      </c>
    </row>
    <row r="926" spans="2:11">
      <c r="B926" s="43">
        <v>45424</v>
      </c>
      <c r="C926" s="32" t="s">
        <v>27</v>
      </c>
      <c r="D926" s="32" t="s">
        <v>134</v>
      </c>
      <c r="E926" s="36">
        <f t="shared" si="73"/>
        <v>21611143.219386656</v>
      </c>
      <c r="F926" s="36">
        <v>0</v>
      </c>
      <c r="G926" s="58">
        <v>-17527</v>
      </c>
      <c r="H926" s="35">
        <f t="shared" si="74"/>
        <v>-17527</v>
      </c>
      <c r="I926" s="35">
        <f t="shared" si="71"/>
        <v>0</v>
      </c>
      <c r="J926" s="35">
        <f t="shared" si="72"/>
        <v>1172.5178739181315</v>
      </c>
      <c r="K926" s="45">
        <f t="shared" si="70"/>
        <v>21592443.701512739</v>
      </c>
    </row>
    <row r="927" spans="2:11">
      <c r="B927" s="43">
        <v>45424</v>
      </c>
      <c r="C927" s="32" t="s">
        <v>29</v>
      </c>
      <c r="D927" s="32" t="s">
        <v>134</v>
      </c>
      <c r="E927" s="36">
        <f t="shared" si="73"/>
        <v>21592443.701512739</v>
      </c>
      <c r="F927" s="36">
        <v>0</v>
      </c>
      <c r="G927" s="58">
        <v>-4237</v>
      </c>
      <c r="H927" s="35">
        <f t="shared" si="74"/>
        <v>-4237</v>
      </c>
      <c r="I927" s="35">
        <f t="shared" si="71"/>
        <v>0</v>
      </c>
      <c r="J927" s="35">
        <f t="shared" si="72"/>
        <v>1171.5033269911946</v>
      </c>
      <c r="K927" s="45">
        <f t="shared" si="70"/>
        <v>21587035.198185749</v>
      </c>
    </row>
    <row r="928" spans="2:11">
      <c r="B928" s="43">
        <v>45425</v>
      </c>
      <c r="C928" s="32" t="s">
        <v>25</v>
      </c>
      <c r="D928" s="32" t="s">
        <v>132</v>
      </c>
      <c r="E928" s="36">
        <f t="shared" si="73"/>
        <v>21587035.198185749</v>
      </c>
      <c r="F928" s="36">
        <v>17569.2</v>
      </c>
      <c r="G928" s="58">
        <v>0</v>
      </c>
      <c r="H928" s="35">
        <f t="shared" si="74"/>
        <v>17569.2</v>
      </c>
      <c r="I928" s="35">
        <f t="shared" si="71"/>
        <v>0</v>
      </c>
      <c r="J928" s="35">
        <f t="shared" si="72"/>
        <v>2342.4197746342988</v>
      </c>
      <c r="K928" s="45">
        <f t="shared" si="70"/>
        <v>21602261.978411116</v>
      </c>
    </row>
    <row r="929" spans="2:11">
      <c r="B929" s="43">
        <v>45425</v>
      </c>
      <c r="C929" s="32" t="s">
        <v>27</v>
      </c>
      <c r="D929" s="32" t="s">
        <v>132</v>
      </c>
      <c r="E929" s="36">
        <f t="shared" si="73"/>
        <v>21602261.978411116</v>
      </c>
      <c r="F929" s="36">
        <v>15837.06</v>
      </c>
      <c r="G929" s="58">
        <v>0</v>
      </c>
      <c r="H929" s="35">
        <f t="shared" si="74"/>
        <v>15837.06</v>
      </c>
      <c r="I929" s="35">
        <f t="shared" si="71"/>
        <v>0</v>
      </c>
      <c r="J929" s="35">
        <f t="shared" si="72"/>
        <v>1172.0360200115294</v>
      </c>
      <c r="K929" s="45">
        <f t="shared" si="70"/>
        <v>21616927.002391104</v>
      </c>
    </row>
    <row r="930" spans="2:11">
      <c r="B930" s="43">
        <v>45425</v>
      </c>
      <c r="C930" s="32" t="s">
        <v>27</v>
      </c>
      <c r="D930" s="32" t="s">
        <v>132</v>
      </c>
      <c r="E930" s="36">
        <f t="shared" si="73"/>
        <v>21616927.002391104</v>
      </c>
      <c r="F930" s="36">
        <v>6383.21</v>
      </c>
      <c r="G930" s="58">
        <v>0</v>
      </c>
      <c r="H930" s="35">
        <f t="shared" si="74"/>
        <v>6383.21</v>
      </c>
      <c r="I930" s="35">
        <f t="shared" si="71"/>
        <v>0</v>
      </c>
      <c r="J930" s="35">
        <f t="shared" si="72"/>
        <v>1172.831674483087</v>
      </c>
      <c r="K930" s="45">
        <f t="shared" si="70"/>
        <v>21622137.380716622</v>
      </c>
    </row>
    <row r="931" spans="2:11">
      <c r="B931" s="43">
        <v>45425</v>
      </c>
      <c r="C931" s="32" t="s">
        <v>27</v>
      </c>
      <c r="D931" s="32" t="s">
        <v>134</v>
      </c>
      <c r="E931" s="36">
        <f t="shared" si="73"/>
        <v>21622137.380716622</v>
      </c>
      <c r="F931" s="36">
        <v>0</v>
      </c>
      <c r="G931" s="58">
        <v>-7869.22</v>
      </c>
      <c r="H931" s="35">
        <f t="shared" si="74"/>
        <v>-7869.22</v>
      </c>
      <c r="I931" s="35">
        <f t="shared" si="71"/>
        <v>0</v>
      </c>
      <c r="J931" s="35">
        <f t="shared" si="72"/>
        <v>1173.1143648366017</v>
      </c>
      <c r="K931" s="45">
        <f t="shared" si="70"/>
        <v>21613095.046351787</v>
      </c>
    </row>
    <row r="932" spans="2:11">
      <c r="B932" s="43">
        <v>45425</v>
      </c>
      <c r="C932" s="32" t="s">
        <v>25</v>
      </c>
      <c r="D932" s="32" t="s">
        <v>134</v>
      </c>
      <c r="E932" s="36">
        <f t="shared" si="73"/>
        <v>21613095.046351787</v>
      </c>
      <c r="F932" s="36">
        <v>0</v>
      </c>
      <c r="G932" s="58">
        <v>-8169</v>
      </c>
      <c r="H932" s="35">
        <f t="shared" si="74"/>
        <v>-8169</v>
      </c>
      <c r="I932" s="35">
        <f t="shared" si="71"/>
        <v>0</v>
      </c>
      <c r="J932" s="35">
        <f t="shared" si="72"/>
        <v>1172.6237707686673</v>
      </c>
      <c r="K932" s="45">
        <f t="shared" si="70"/>
        <v>21603753.422581017</v>
      </c>
    </row>
    <row r="933" spans="2:11">
      <c r="B933" s="43">
        <v>45425</v>
      </c>
      <c r="C933" s="32" t="s">
        <v>25</v>
      </c>
      <c r="D933" s="32" t="s">
        <v>134</v>
      </c>
      <c r="E933" s="36">
        <f t="shared" si="73"/>
        <v>21603753.422581017</v>
      </c>
      <c r="F933" s="36">
        <v>0</v>
      </c>
      <c r="G933" s="58">
        <v>-10402</v>
      </c>
      <c r="H933" s="35">
        <f t="shared" si="74"/>
        <v>-10402</v>
      </c>
      <c r="I933" s="35">
        <f t="shared" si="71"/>
        <v>0</v>
      </c>
      <c r="J933" s="35">
        <f t="shared" si="72"/>
        <v>1172.116938680635</v>
      </c>
      <c r="K933" s="45">
        <f t="shared" si="70"/>
        <v>21592179.305642337</v>
      </c>
    </row>
    <row r="934" spans="2:11">
      <c r="B934" s="43">
        <v>45426</v>
      </c>
      <c r="C934" s="32" t="s">
        <v>27</v>
      </c>
      <c r="D934" s="32" t="s">
        <v>132</v>
      </c>
      <c r="E934" s="36">
        <f t="shared" si="73"/>
        <v>21592179.305642337</v>
      </c>
      <c r="F934" s="36">
        <v>12244.04</v>
      </c>
      <c r="G934" s="58">
        <v>0</v>
      </c>
      <c r="H934" s="35">
        <f t="shared" si="74"/>
        <v>12244.04</v>
      </c>
      <c r="I934" s="35">
        <f t="shared" si="71"/>
        <v>0</v>
      </c>
      <c r="J934" s="35">
        <f t="shared" si="72"/>
        <v>2342.9779642568446</v>
      </c>
      <c r="K934" s="45">
        <f t="shared" si="70"/>
        <v>21602080.36767808</v>
      </c>
    </row>
    <row r="935" spans="2:11">
      <c r="B935" s="43">
        <v>45426</v>
      </c>
      <c r="C935" s="32" t="s">
        <v>27</v>
      </c>
      <c r="D935" s="32" t="s">
        <v>134</v>
      </c>
      <c r="E935" s="36">
        <f t="shared" si="73"/>
        <v>21602080.36767808</v>
      </c>
      <c r="F935" s="36">
        <v>0</v>
      </c>
      <c r="G935" s="58">
        <v>-7480.72</v>
      </c>
      <c r="H935" s="35">
        <f t="shared" si="74"/>
        <v>-7480.72</v>
      </c>
      <c r="I935" s="35">
        <f t="shared" si="71"/>
        <v>0</v>
      </c>
      <c r="J935" s="35">
        <f t="shared" si="72"/>
        <v>1172.0261666766819</v>
      </c>
      <c r="K935" s="45">
        <f t="shared" si="70"/>
        <v>21593427.621511403</v>
      </c>
    </row>
    <row r="936" spans="2:11">
      <c r="B936" s="43">
        <v>45426</v>
      </c>
      <c r="C936" s="32" t="s">
        <v>29</v>
      </c>
      <c r="D936" s="32" t="s">
        <v>134</v>
      </c>
      <c r="E936" s="36">
        <f t="shared" si="73"/>
        <v>21593427.621511403</v>
      </c>
      <c r="F936" s="36">
        <v>0</v>
      </c>
      <c r="G936" s="58">
        <v>-2548</v>
      </c>
      <c r="H936" s="35">
        <f t="shared" si="74"/>
        <v>-2548</v>
      </c>
      <c r="I936" s="35">
        <f t="shared" si="71"/>
        <v>0</v>
      </c>
      <c r="J936" s="35">
        <f t="shared" si="72"/>
        <v>1171.5567098119566</v>
      </c>
      <c r="K936" s="45">
        <f t="shared" si="70"/>
        <v>21589708.064801592</v>
      </c>
    </row>
    <row r="937" spans="2:11">
      <c r="B937" s="43">
        <v>45427</v>
      </c>
      <c r="C937" s="32" t="s">
        <v>29</v>
      </c>
      <c r="D937" s="32" t="s">
        <v>132</v>
      </c>
      <c r="E937" s="36">
        <f t="shared" si="73"/>
        <v>21589708.064801592</v>
      </c>
      <c r="F937" s="36">
        <v>12518.31</v>
      </c>
      <c r="G937" s="58">
        <v>0</v>
      </c>
      <c r="H937" s="35">
        <f t="shared" si="74"/>
        <v>12518.31</v>
      </c>
      <c r="I937" s="35">
        <f t="shared" si="71"/>
        <v>0</v>
      </c>
      <c r="J937" s="35">
        <f t="shared" si="72"/>
        <v>2342.7098087014338</v>
      </c>
      <c r="K937" s="45">
        <f t="shared" si="70"/>
        <v>21599883.664992891</v>
      </c>
    </row>
    <row r="938" spans="2:11">
      <c r="B938" s="43">
        <v>45427</v>
      </c>
      <c r="C938" s="32" t="s">
        <v>25</v>
      </c>
      <c r="D938" s="32" t="s">
        <v>132</v>
      </c>
      <c r="E938" s="36">
        <f t="shared" si="73"/>
        <v>21599883.664992891</v>
      </c>
      <c r="F938" s="36">
        <v>14410.95</v>
      </c>
      <c r="G938" s="58">
        <v>0</v>
      </c>
      <c r="H938" s="35">
        <f t="shared" si="74"/>
        <v>14410.95</v>
      </c>
      <c r="I938" s="35">
        <f t="shared" si="71"/>
        <v>0</v>
      </c>
      <c r="J938" s="35">
        <f t="shared" si="72"/>
        <v>1171.9069840339166</v>
      </c>
      <c r="K938" s="45">
        <f t="shared" si="70"/>
        <v>21613122.708008856</v>
      </c>
    </row>
    <row r="939" spans="2:11">
      <c r="B939" s="43">
        <v>45427</v>
      </c>
      <c r="C939" s="32" t="s">
        <v>27</v>
      </c>
      <c r="D939" s="32" t="s">
        <v>132</v>
      </c>
      <c r="E939" s="36">
        <f t="shared" si="73"/>
        <v>21613122.708008856</v>
      </c>
      <c r="F939" s="36">
        <v>12588.98</v>
      </c>
      <c r="G939" s="58">
        <v>0</v>
      </c>
      <c r="H939" s="35">
        <f t="shared" si="74"/>
        <v>12588.98</v>
      </c>
      <c r="I939" s="35">
        <f t="shared" si="71"/>
        <v>0</v>
      </c>
      <c r="J939" s="35">
        <f t="shared" si="72"/>
        <v>1172.6252715586536</v>
      </c>
      <c r="K939" s="45">
        <f t="shared" si="70"/>
        <v>21624539.062737297</v>
      </c>
    </row>
    <row r="940" spans="2:11">
      <c r="B940" s="43">
        <v>45427</v>
      </c>
      <c r="C940" s="32" t="s">
        <v>25</v>
      </c>
      <c r="D940" s="32" t="s">
        <v>132</v>
      </c>
      <c r="E940" s="36">
        <f t="shared" si="73"/>
        <v>21624539.062737297</v>
      </c>
      <c r="F940" s="36">
        <v>17757.23</v>
      </c>
      <c r="G940" s="58">
        <v>0</v>
      </c>
      <c r="H940" s="35">
        <f t="shared" si="74"/>
        <v>17757.23</v>
      </c>
      <c r="I940" s="35">
        <f t="shared" si="71"/>
        <v>0</v>
      </c>
      <c r="J940" s="35">
        <f t="shared" si="72"/>
        <v>1173.2446686834701</v>
      </c>
      <c r="K940" s="45">
        <f t="shared" si="70"/>
        <v>21641123.048068613</v>
      </c>
    </row>
    <row r="941" spans="2:11">
      <c r="B941" s="43">
        <v>45427</v>
      </c>
      <c r="C941" s="32" t="s">
        <v>27</v>
      </c>
      <c r="D941" s="32" t="s">
        <v>132</v>
      </c>
      <c r="E941" s="36">
        <f t="shared" si="73"/>
        <v>21641123.048068613</v>
      </c>
      <c r="F941" s="36">
        <v>18571.939999999999</v>
      </c>
      <c r="G941" s="58">
        <v>0</v>
      </c>
      <c r="H941" s="35">
        <f t="shared" si="74"/>
        <v>18571.939999999999</v>
      </c>
      <c r="I941" s="35">
        <f t="shared" si="71"/>
        <v>0</v>
      </c>
      <c r="J941" s="35">
        <f t="shared" si="72"/>
        <v>1174.1444368736286</v>
      </c>
      <c r="K941" s="45">
        <f t="shared" si="70"/>
        <v>21658520.843631741</v>
      </c>
    </row>
    <row r="942" spans="2:11">
      <c r="B942" s="43">
        <v>45427</v>
      </c>
      <c r="C942" s="32" t="s">
        <v>27</v>
      </c>
      <c r="D942" s="32" t="s">
        <v>134</v>
      </c>
      <c r="E942" s="36">
        <f t="shared" si="73"/>
        <v>21658520.843631741</v>
      </c>
      <c r="F942" s="36">
        <v>0</v>
      </c>
      <c r="G942" s="58">
        <v>-4651</v>
      </c>
      <c r="H942" s="35">
        <f t="shared" si="74"/>
        <v>-4651</v>
      </c>
      <c r="I942" s="35">
        <f t="shared" si="71"/>
        <v>0</v>
      </c>
      <c r="J942" s="35">
        <f t="shared" si="72"/>
        <v>1175.0883585374415</v>
      </c>
      <c r="K942" s="45">
        <f t="shared" si="70"/>
        <v>21652694.755273204</v>
      </c>
    </row>
    <row r="943" spans="2:11">
      <c r="B943" s="43">
        <v>45428</v>
      </c>
      <c r="C943" s="32" t="s">
        <v>25</v>
      </c>
      <c r="D943" s="32" t="s">
        <v>132</v>
      </c>
      <c r="E943" s="36">
        <f t="shared" si="73"/>
        <v>21652694.755273204</v>
      </c>
      <c r="F943" s="36">
        <v>15830.07</v>
      </c>
      <c r="G943" s="58">
        <v>0</v>
      </c>
      <c r="H943" s="35">
        <f t="shared" si="74"/>
        <v>15830.07</v>
      </c>
      <c r="I943" s="35">
        <f t="shared" si="71"/>
        <v>0</v>
      </c>
      <c r="J943" s="35">
        <f t="shared" si="72"/>
        <v>2349.5445253702551</v>
      </c>
      <c r="K943" s="45">
        <f t="shared" si="70"/>
        <v>21666175.280747835</v>
      </c>
    </row>
    <row r="944" spans="2:11">
      <c r="B944" s="43">
        <v>45428</v>
      </c>
      <c r="C944" s="32" t="s">
        <v>25</v>
      </c>
      <c r="D944" s="32" t="s">
        <v>132</v>
      </c>
      <c r="E944" s="36">
        <f t="shared" si="73"/>
        <v>21666175.280747835</v>
      </c>
      <c r="F944" s="36">
        <v>12067.33</v>
      </c>
      <c r="G944" s="58">
        <v>0</v>
      </c>
      <c r="H944" s="35">
        <f t="shared" si="74"/>
        <v>12067.33</v>
      </c>
      <c r="I944" s="35">
        <f t="shared" si="71"/>
        <v>0</v>
      </c>
      <c r="J944" s="35">
        <f t="shared" si="72"/>
        <v>1175.5036518998652</v>
      </c>
      <c r="K944" s="45">
        <f t="shared" si="70"/>
        <v>21677067.107095934</v>
      </c>
    </row>
    <row r="945" spans="2:11">
      <c r="B945" s="43">
        <v>45428</v>
      </c>
      <c r="C945" s="32" t="s">
        <v>27</v>
      </c>
      <c r="D945" s="32" t="s">
        <v>134</v>
      </c>
      <c r="E945" s="36">
        <f t="shared" si="73"/>
        <v>21677067.107095934</v>
      </c>
      <c r="F945" s="36">
        <v>0</v>
      </c>
      <c r="G945" s="58">
        <v>-7052.73</v>
      </c>
      <c r="H945" s="35">
        <f t="shared" si="74"/>
        <v>-7052.73</v>
      </c>
      <c r="I945" s="35">
        <f t="shared" si="71"/>
        <v>0</v>
      </c>
      <c r="J945" s="35">
        <f t="shared" si="72"/>
        <v>1176.0945906088043</v>
      </c>
      <c r="K945" s="45">
        <f t="shared" si="70"/>
        <v>21668838.282505326</v>
      </c>
    </row>
    <row r="946" spans="2:11">
      <c r="B946" s="43">
        <v>45429</v>
      </c>
      <c r="C946" s="32" t="s">
        <v>29</v>
      </c>
      <c r="D946" s="32" t="s">
        <v>132</v>
      </c>
      <c r="E946" s="36">
        <f t="shared" si="73"/>
        <v>21668838.282505326</v>
      </c>
      <c r="F946" s="36">
        <v>17255.8</v>
      </c>
      <c r="G946" s="58">
        <v>0</v>
      </c>
      <c r="H946" s="35">
        <f t="shared" si="74"/>
        <v>17255.8</v>
      </c>
      <c r="I946" s="35">
        <f t="shared" si="71"/>
        <v>0</v>
      </c>
      <c r="J946" s="35">
        <f t="shared" si="72"/>
        <v>2351.2962674262485</v>
      </c>
      <c r="K946" s="45">
        <f t="shared" si="70"/>
        <v>21683742.786237899</v>
      </c>
    </row>
    <row r="947" spans="2:11">
      <c r="B947" s="43">
        <v>45429</v>
      </c>
      <c r="C947" s="32" t="s">
        <v>25</v>
      </c>
      <c r="D947" s="32" t="s">
        <v>132</v>
      </c>
      <c r="E947" s="36">
        <f t="shared" si="73"/>
        <v>21683742.786237899</v>
      </c>
      <c r="F947" s="36">
        <v>15696.76</v>
      </c>
      <c r="G947" s="58">
        <v>0</v>
      </c>
      <c r="H947" s="35">
        <f t="shared" si="74"/>
        <v>15696.76</v>
      </c>
      <c r="I947" s="35">
        <f t="shared" si="71"/>
        <v>0</v>
      </c>
      <c r="J947" s="35">
        <f t="shared" si="72"/>
        <v>1176.456781217373</v>
      </c>
      <c r="K947" s="45">
        <f t="shared" si="70"/>
        <v>21698263.089456685</v>
      </c>
    </row>
    <row r="948" spans="2:11">
      <c r="B948" s="43">
        <v>45429</v>
      </c>
      <c r="C948" s="32" t="s">
        <v>25</v>
      </c>
      <c r="D948" s="32" t="s">
        <v>132</v>
      </c>
      <c r="E948" s="36">
        <f t="shared" si="73"/>
        <v>21698263.089456685</v>
      </c>
      <c r="F948" s="36">
        <v>18148.66</v>
      </c>
      <c r="G948" s="58">
        <v>0</v>
      </c>
      <c r="H948" s="35">
        <f t="shared" si="74"/>
        <v>18148.66</v>
      </c>
      <c r="I948" s="35">
        <f t="shared" si="71"/>
        <v>0</v>
      </c>
      <c r="J948" s="35">
        <f t="shared" si="72"/>
        <v>1177.2445838285494</v>
      </c>
      <c r="K948" s="45">
        <f t="shared" si="70"/>
        <v>21715234.504872855</v>
      </c>
    </row>
    <row r="949" spans="2:11">
      <c r="B949" s="43">
        <v>45429</v>
      </c>
      <c r="C949" s="32" t="s">
        <v>25</v>
      </c>
      <c r="D949" s="32" t="s">
        <v>132</v>
      </c>
      <c r="E949" s="36">
        <f t="shared" si="73"/>
        <v>21715234.504872855</v>
      </c>
      <c r="F949" s="36">
        <v>18589.71</v>
      </c>
      <c r="G949" s="58">
        <v>0</v>
      </c>
      <c r="H949" s="35">
        <f t="shared" si="74"/>
        <v>18589.71</v>
      </c>
      <c r="I949" s="35">
        <f t="shared" si="71"/>
        <v>0</v>
      </c>
      <c r="J949" s="35">
        <f t="shared" si="72"/>
        <v>1178.1653721329503</v>
      </c>
      <c r="K949" s="45">
        <f t="shared" si="70"/>
        <v>21732646.049500722</v>
      </c>
    </row>
    <row r="950" spans="2:11">
      <c r="B950" s="43">
        <v>45429</v>
      </c>
      <c r="C950" s="32" t="s">
        <v>27</v>
      </c>
      <c r="D950" s="32" t="s">
        <v>134</v>
      </c>
      <c r="E950" s="36">
        <f t="shared" si="73"/>
        <v>21732646.049500722</v>
      </c>
      <c r="F950" s="36">
        <v>0</v>
      </c>
      <c r="G950" s="58">
        <v>-17009.740000000002</v>
      </c>
      <c r="H950" s="35">
        <f t="shared" si="74"/>
        <v>-17009.740000000002</v>
      </c>
      <c r="I950" s="35">
        <f t="shared" si="71"/>
        <v>0</v>
      </c>
      <c r="J950" s="35">
        <f t="shared" si="72"/>
        <v>1179.1100397556418</v>
      </c>
      <c r="K950" s="45">
        <f t="shared" si="70"/>
        <v>21714457.199460968</v>
      </c>
    </row>
    <row r="951" spans="2:11">
      <c r="B951" s="43">
        <v>45429</v>
      </c>
      <c r="C951" s="32" t="s">
        <v>27</v>
      </c>
      <c r="D951" s="32" t="s">
        <v>134</v>
      </c>
      <c r="E951" s="36">
        <f t="shared" si="73"/>
        <v>21714457.199460968</v>
      </c>
      <c r="F951" s="36">
        <v>0</v>
      </c>
      <c r="G951" s="58">
        <v>-5986.1</v>
      </c>
      <c r="H951" s="35">
        <f t="shared" si="74"/>
        <v>-5986.1</v>
      </c>
      <c r="I951" s="35">
        <f t="shared" si="71"/>
        <v>0</v>
      </c>
      <c r="J951" s="35">
        <f t="shared" si="72"/>
        <v>1178.1231992372514</v>
      </c>
      <c r="K951" s="45">
        <f t="shared" si="70"/>
        <v>21707292.976261731</v>
      </c>
    </row>
    <row r="952" spans="2:11">
      <c r="B952" s="43">
        <v>45429</v>
      </c>
      <c r="C952" s="32" t="s">
        <v>27</v>
      </c>
      <c r="D952" s="32" t="s">
        <v>134</v>
      </c>
      <c r="E952" s="36">
        <f t="shared" si="73"/>
        <v>21707292.976261731</v>
      </c>
      <c r="F952" s="36">
        <v>0</v>
      </c>
      <c r="G952" s="58">
        <v>-6496</v>
      </c>
      <c r="H952" s="35">
        <f t="shared" si="74"/>
        <v>-6496</v>
      </c>
      <c r="I952" s="35">
        <f t="shared" si="71"/>
        <v>0</v>
      </c>
      <c r="J952" s="35">
        <f t="shared" si="72"/>
        <v>1177.7345025510756</v>
      </c>
      <c r="K952" s="45">
        <f t="shared" si="70"/>
        <v>21699619.241759181</v>
      </c>
    </row>
    <row r="953" spans="2:11">
      <c r="B953" s="43">
        <v>45429</v>
      </c>
      <c r="C953" s="32" t="s">
        <v>29</v>
      </c>
      <c r="D953" s="32" t="s">
        <v>134</v>
      </c>
      <c r="E953" s="36">
        <f t="shared" si="73"/>
        <v>21699619.241759181</v>
      </c>
      <c r="F953" s="36">
        <v>0</v>
      </c>
      <c r="G953" s="58">
        <v>-15089</v>
      </c>
      <c r="H953" s="35">
        <f t="shared" si="74"/>
        <v>-15089</v>
      </c>
      <c r="I953" s="35">
        <f t="shared" si="71"/>
        <v>0</v>
      </c>
      <c r="J953" s="35">
        <f t="shared" si="72"/>
        <v>1177.3181622042182</v>
      </c>
      <c r="K953" s="45">
        <f t="shared" si="70"/>
        <v>21683352.923596978</v>
      </c>
    </row>
    <row r="954" spans="2:11">
      <c r="B954" s="43">
        <v>45429</v>
      </c>
      <c r="C954" s="32" t="s">
        <v>29</v>
      </c>
      <c r="D954" s="32" t="s">
        <v>134</v>
      </c>
      <c r="E954" s="36">
        <f t="shared" si="73"/>
        <v>21683352.923596978</v>
      </c>
      <c r="F954" s="36">
        <v>0</v>
      </c>
      <c r="G954" s="58">
        <v>-5035</v>
      </c>
      <c r="H954" s="35">
        <f t="shared" si="74"/>
        <v>-5035</v>
      </c>
      <c r="I954" s="35">
        <f t="shared" si="71"/>
        <v>0</v>
      </c>
      <c r="J954" s="35">
        <f t="shared" si="72"/>
        <v>1176.4356291242045</v>
      </c>
      <c r="K954" s="45">
        <f t="shared" si="70"/>
        <v>21677141.487967853</v>
      </c>
    </row>
    <row r="955" spans="2:11">
      <c r="B955" s="43">
        <v>45429</v>
      </c>
      <c r="C955" s="32" t="s">
        <v>27</v>
      </c>
      <c r="D955" s="32" t="s">
        <v>134</v>
      </c>
      <c r="E955" s="36">
        <f t="shared" si="73"/>
        <v>21677141.487967853</v>
      </c>
      <c r="F955" s="36">
        <v>0</v>
      </c>
      <c r="G955" s="58">
        <v>-18787</v>
      </c>
      <c r="H955" s="35">
        <f t="shared" si="74"/>
        <v>-18787</v>
      </c>
      <c r="I955" s="35">
        <f t="shared" si="71"/>
        <v>0</v>
      </c>
      <c r="J955" s="35">
        <f t="shared" si="72"/>
        <v>1176.0986261612466</v>
      </c>
      <c r="K955" s="45">
        <f t="shared" si="70"/>
        <v>21657178.38934169</v>
      </c>
    </row>
    <row r="956" spans="2:11">
      <c r="B956" s="43">
        <v>45430</v>
      </c>
      <c r="C956" s="32" t="s">
        <v>25</v>
      </c>
      <c r="D956" s="32" t="s">
        <v>132</v>
      </c>
      <c r="E956" s="36">
        <f t="shared" si="73"/>
        <v>21657178.38934169</v>
      </c>
      <c r="F956" s="36">
        <v>12348.43</v>
      </c>
      <c r="G956" s="58">
        <v>0</v>
      </c>
      <c r="H956" s="35">
        <f t="shared" si="74"/>
        <v>12348.43</v>
      </c>
      <c r="I956" s="35">
        <f t="shared" si="71"/>
        <v>0</v>
      </c>
      <c r="J956" s="35">
        <f t="shared" si="72"/>
        <v>2350.031046701592</v>
      </c>
      <c r="K956" s="45">
        <f t="shared" si="70"/>
        <v>21667176.78829499</v>
      </c>
    </row>
    <row r="957" spans="2:11">
      <c r="B957" s="43">
        <v>45430</v>
      </c>
      <c r="C957" s="32" t="s">
        <v>29</v>
      </c>
      <c r="D957" s="32" t="s">
        <v>132</v>
      </c>
      <c r="E957" s="36">
        <f t="shared" si="73"/>
        <v>21667176.78829499</v>
      </c>
      <c r="F957" s="36">
        <v>13479.17</v>
      </c>
      <c r="G957" s="58">
        <v>0</v>
      </c>
      <c r="H957" s="35">
        <f t="shared" si="74"/>
        <v>13479.17</v>
      </c>
      <c r="I957" s="35">
        <f t="shared" si="71"/>
        <v>0</v>
      </c>
      <c r="J957" s="35">
        <f t="shared" si="72"/>
        <v>1175.5579889373826</v>
      </c>
      <c r="K957" s="45">
        <f t="shared" si="70"/>
        <v>21679480.400306053</v>
      </c>
    </row>
    <row r="958" spans="2:11">
      <c r="B958" s="43">
        <v>45430</v>
      </c>
      <c r="C958" s="32" t="s">
        <v>29</v>
      </c>
      <c r="D958" s="32" t="s">
        <v>134</v>
      </c>
      <c r="E958" s="36">
        <f t="shared" si="73"/>
        <v>21679480.400306053</v>
      </c>
      <c r="F958" s="36">
        <v>0</v>
      </c>
      <c r="G958" s="58">
        <v>-2654</v>
      </c>
      <c r="H958" s="35">
        <f t="shared" si="74"/>
        <v>-2654</v>
      </c>
      <c r="I958" s="35">
        <f t="shared" si="71"/>
        <v>0</v>
      </c>
      <c r="J958" s="35">
        <f t="shared" si="72"/>
        <v>1176.2255244236028</v>
      </c>
      <c r="K958" s="45">
        <f t="shared" si="70"/>
        <v>21675650.174781632</v>
      </c>
    </row>
    <row r="959" spans="2:11">
      <c r="B959" s="43">
        <v>45430</v>
      </c>
      <c r="C959" s="32" t="s">
        <v>29</v>
      </c>
      <c r="D959" s="32" t="s">
        <v>134</v>
      </c>
      <c r="E959" s="36">
        <f t="shared" si="73"/>
        <v>21675650.174781632</v>
      </c>
      <c r="F959" s="36">
        <v>0</v>
      </c>
      <c r="G959" s="58">
        <v>-3992</v>
      </c>
      <c r="H959" s="35">
        <f t="shared" si="74"/>
        <v>-3992</v>
      </c>
      <c r="I959" s="35">
        <f t="shared" si="71"/>
        <v>0</v>
      </c>
      <c r="J959" s="35">
        <f t="shared" si="72"/>
        <v>1176.0177145986929</v>
      </c>
      <c r="K959" s="45">
        <f t="shared" si="70"/>
        <v>21670482.157067034</v>
      </c>
    </row>
    <row r="960" spans="2:11">
      <c r="B960" s="43">
        <v>45430</v>
      </c>
      <c r="C960" s="32" t="s">
        <v>29</v>
      </c>
      <c r="D960" s="32" t="s">
        <v>134</v>
      </c>
      <c r="E960" s="36">
        <f t="shared" si="73"/>
        <v>21670482.157067034</v>
      </c>
      <c r="F960" s="36">
        <v>0</v>
      </c>
      <c r="G960" s="58">
        <v>-20543</v>
      </c>
      <c r="H960" s="35">
        <f t="shared" si="74"/>
        <v>-20543</v>
      </c>
      <c r="I960" s="35">
        <f t="shared" si="71"/>
        <v>0</v>
      </c>
      <c r="J960" s="35">
        <f t="shared" si="72"/>
        <v>1175.7373225305096</v>
      </c>
      <c r="K960" s="45">
        <f t="shared" si="70"/>
        <v>21648763.419744503</v>
      </c>
    </row>
    <row r="961" spans="2:11">
      <c r="B961" s="43">
        <v>45431</v>
      </c>
      <c r="C961" s="32" t="s">
        <v>29</v>
      </c>
      <c r="D961" s="32" t="s">
        <v>134</v>
      </c>
      <c r="E961" s="36">
        <f t="shared" si="73"/>
        <v>21648763.419744503</v>
      </c>
      <c r="F961" s="36">
        <v>0</v>
      </c>
      <c r="G961" s="58">
        <v>-6909.11</v>
      </c>
      <c r="H961" s="35">
        <f t="shared" si="74"/>
        <v>-6909.11</v>
      </c>
      <c r="I961" s="35">
        <f t="shared" si="71"/>
        <v>0</v>
      </c>
      <c r="J961" s="35">
        <f t="shared" si="72"/>
        <v>2349.1179342242913</v>
      </c>
      <c r="K961" s="45">
        <f t="shared" si="70"/>
        <v>21639505.19181028</v>
      </c>
    </row>
    <row r="962" spans="2:11">
      <c r="B962" s="43">
        <v>45431</v>
      </c>
      <c r="C962" s="32" t="s">
        <v>27</v>
      </c>
      <c r="D962" s="32" t="s">
        <v>134</v>
      </c>
      <c r="E962" s="36">
        <f t="shared" si="73"/>
        <v>21639505.19181028</v>
      </c>
      <c r="F962" s="36">
        <v>0</v>
      </c>
      <c r="G962" s="58">
        <v>-19552</v>
      </c>
      <c r="H962" s="35">
        <f t="shared" si="74"/>
        <v>-19552</v>
      </c>
      <c r="I962" s="35">
        <f t="shared" si="71"/>
        <v>0</v>
      </c>
      <c r="J962" s="35">
        <f t="shared" si="72"/>
        <v>1174.056659685672</v>
      </c>
      <c r="K962" s="45">
        <f t="shared" si="70"/>
        <v>21618779.135150593</v>
      </c>
    </row>
    <row r="963" spans="2:11">
      <c r="B963" s="43">
        <v>45432</v>
      </c>
      <c r="C963" s="32" t="s">
        <v>25</v>
      </c>
      <c r="D963" s="32" t="s">
        <v>132</v>
      </c>
      <c r="E963" s="36">
        <f t="shared" si="73"/>
        <v>21618779.135150593</v>
      </c>
      <c r="F963" s="36">
        <v>13537.18</v>
      </c>
      <c r="G963" s="58">
        <v>0</v>
      </c>
      <c r="H963" s="35">
        <f t="shared" si="74"/>
        <v>13537.18</v>
      </c>
      <c r="I963" s="35">
        <f t="shared" si="71"/>
        <v>0</v>
      </c>
      <c r="J963" s="35">
        <f t="shared" si="72"/>
        <v>2345.8643248001058</v>
      </c>
      <c r="K963" s="45">
        <f t="shared" si="70"/>
        <v>21629970.450825792</v>
      </c>
    </row>
    <row r="964" spans="2:11">
      <c r="B964" s="43">
        <v>45432</v>
      </c>
      <c r="C964" s="32" t="s">
        <v>25</v>
      </c>
      <c r="D964" s="32" t="s">
        <v>132</v>
      </c>
      <c r="E964" s="36">
        <f t="shared" si="73"/>
        <v>21629970.450825792</v>
      </c>
      <c r="F964" s="36">
        <v>18095.53</v>
      </c>
      <c r="G964" s="58">
        <v>0</v>
      </c>
      <c r="H964" s="35">
        <f t="shared" si="74"/>
        <v>18095.53</v>
      </c>
      <c r="I964" s="35">
        <f t="shared" si="71"/>
        <v>0</v>
      </c>
      <c r="J964" s="35">
        <f t="shared" si="72"/>
        <v>1173.5393499758616</v>
      </c>
      <c r="K964" s="45">
        <f t="shared" si="70"/>
        <v>21646892.441475816</v>
      </c>
    </row>
    <row r="965" spans="2:11">
      <c r="B965" s="43">
        <v>45432</v>
      </c>
      <c r="C965" s="32" t="s">
        <v>25</v>
      </c>
      <c r="D965" s="32" t="s">
        <v>134</v>
      </c>
      <c r="E965" s="36">
        <f t="shared" si="73"/>
        <v>21646892.441475816</v>
      </c>
      <c r="F965" s="36">
        <v>0</v>
      </c>
      <c r="G965" s="58">
        <v>-3951.58</v>
      </c>
      <c r="H965" s="35">
        <f t="shared" si="74"/>
        <v>-3951.58</v>
      </c>
      <c r="I965" s="35">
        <f t="shared" si="71"/>
        <v>0</v>
      </c>
      <c r="J965" s="35">
        <f t="shared" si="72"/>
        <v>1174.4574567274576</v>
      </c>
      <c r="K965" s="45">
        <f t="shared" si="70"/>
        <v>21641766.404019091</v>
      </c>
    </row>
    <row r="966" spans="2:11">
      <c r="B966" s="43">
        <v>45432</v>
      </c>
      <c r="C966" s="32" t="s">
        <v>25</v>
      </c>
      <c r="D966" s="32" t="s">
        <v>134</v>
      </c>
      <c r="E966" s="36">
        <f t="shared" si="73"/>
        <v>21641766.404019091</v>
      </c>
      <c r="F966" s="36">
        <v>0</v>
      </c>
      <c r="G966" s="58">
        <v>-5691</v>
      </c>
      <c r="H966" s="35">
        <f t="shared" si="74"/>
        <v>-5691</v>
      </c>
      <c r="I966" s="35">
        <f t="shared" si="71"/>
        <v>0</v>
      </c>
      <c r="J966" s="35">
        <f t="shared" si="72"/>
        <v>1174.1793423084578</v>
      </c>
      <c r="K966" s="45">
        <f t="shared" si="70"/>
        <v>21634901.224676784</v>
      </c>
    </row>
    <row r="967" spans="2:11">
      <c r="B967" s="43">
        <v>45432</v>
      </c>
      <c r="C967" s="32" t="s">
        <v>29</v>
      </c>
      <c r="D967" s="32" t="s">
        <v>134</v>
      </c>
      <c r="E967" s="36">
        <f t="shared" si="73"/>
        <v>21634901.224676784</v>
      </c>
      <c r="F967" s="36">
        <v>0</v>
      </c>
      <c r="G967" s="58">
        <v>-21423</v>
      </c>
      <c r="H967" s="35">
        <f t="shared" si="74"/>
        <v>-21423</v>
      </c>
      <c r="I967" s="35">
        <f t="shared" si="71"/>
        <v>0</v>
      </c>
      <c r="J967" s="35">
        <f t="shared" si="72"/>
        <v>1173.8068703200584</v>
      </c>
      <c r="K967" s="45">
        <f t="shared" si="70"/>
        <v>21612304.417806465</v>
      </c>
    </row>
    <row r="968" spans="2:11">
      <c r="B968" s="43">
        <v>45432</v>
      </c>
      <c r="C968" s="32" t="s">
        <v>29</v>
      </c>
      <c r="D968" s="32" t="s">
        <v>134</v>
      </c>
      <c r="E968" s="36">
        <f t="shared" si="73"/>
        <v>21612304.417806465</v>
      </c>
      <c r="F968" s="36">
        <v>0</v>
      </c>
      <c r="G968" s="58">
        <v>-16997</v>
      </c>
      <c r="H968" s="35">
        <f t="shared" si="74"/>
        <v>-16997</v>
      </c>
      <c r="I968" s="35">
        <f t="shared" si="71"/>
        <v>0</v>
      </c>
      <c r="J968" s="35">
        <f t="shared" si="72"/>
        <v>1172.5808750230972</v>
      </c>
      <c r="K968" s="45">
        <f t="shared" ref="K968:K1031" si="75">E968+H968+I968-J968</f>
        <v>21594134.836931441</v>
      </c>
    </row>
    <row r="969" spans="2:11">
      <c r="B969" s="43">
        <v>45433</v>
      </c>
      <c r="C969" s="32" t="s">
        <v>27</v>
      </c>
      <c r="D969" s="32" t="s">
        <v>132</v>
      </c>
      <c r="E969" s="36">
        <f t="shared" si="73"/>
        <v>21594134.836931441</v>
      </c>
      <c r="F969" s="36">
        <v>10397.66</v>
      </c>
      <c r="G969" s="58">
        <v>0</v>
      </c>
      <c r="H969" s="35">
        <f t="shared" si="74"/>
        <v>10397.66</v>
      </c>
      <c r="I969" s="35">
        <f t="shared" si="71"/>
        <v>0</v>
      </c>
      <c r="J969" s="35">
        <f t="shared" si="72"/>
        <v>2343.1901599159269</v>
      </c>
      <c r="K969" s="45">
        <f t="shared" si="75"/>
        <v>21602189.306771524</v>
      </c>
    </row>
    <row r="970" spans="2:11">
      <c r="B970" s="43">
        <v>45433</v>
      </c>
      <c r="C970" s="32" t="s">
        <v>29</v>
      </c>
      <c r="D970" s="32" t="s">
        <v>132</v>
      </c>
      <c r="E970" s="36">
        <f t="shared" si="73"/>
        <v>21602189.306771524</v>
      </c>
      <c r="F970" s="36">
        <v>16308.97</v>
      </c>
      <c r="G970" s="58">
        <v>0</v>
      </c>
      <c r="H970" s="35">
        <f t="shared" si="74"/>
        <v>16308.97</v>
      </c>
      <c r="I970" s="35">
        <f t="shared" si="71"/>
        <v>0</v>
      </c>
      <c r="J970" s="35">
        <f t="shared" si="72"/>
        <v>1172.0320771939062</v>
      </c>
      <c r="K970" s="45">
        <f t="shared" si="75"/>
        <v>21617326.24469433</v>
      </c>
    </row>
    <row r="971" spans="2:11">
      <c r="B971" s="43">
        <v>45433</v>
      </c>
      <c r="C971" s="32" t="s">
        <v>29</v>
      </c>
      <c r="D971" s="32" t="s">
        <v>134</v>
      </c>
      <c r="E971" s="36">
        <f t="shared" si="73"/>
        <v>21617326.24469433</v>
      </c>
      <c r="F971" s="36">
        <v>0</v>
      </c>
      <c r="G971" s="58">
        <v>-19795</v>
      </c>
      <c r="H971" s="35">
        <f t="shared" si="74"/>
        <v>-19795</v>
      </c>
      <c r="I971" s="35">
        <f t="shared" si="71"/>
        <v>0</v>
      </c>
      <c r="J971" s="35">
        <f t="shared" si="72"/>
        <v>1172.8533354721335</v>
      </c>
      <c r="K971" s="45">
        <f t="shared" si="75"/>
        <v>21596358.391358856</v>
      </c>
    </row>
    <row r="972" spans="2:11">
      <c r="B972" s="43">
        <v>45434</v>
      </c>
      <c r="C972" s="32" t="s">
        <v>25</v>
      </c>
      <c r="D972" s="32" t="s">
        <v>132</v>
      </c>
      <c r="E972" s="36">
        <f t="shared" si="73"/>
        <v>21596358.391358856</v>
      </c>
      <c r="F972" s="36">
        <v>16386.310000000001</v>
      </c>
      <c r="G972" s="58">
        <v>0</v>
      </c>
      <c r="H972" s="35">
        <f t="shared" si="74"/>
        <v>16386.310000000001</v>
      </c>
      <c r="I972" s="35">
        <f t="shared" si="71"/>
        <v>0</v>
      </c>
      <c r="J972" s="35">
        <f t="shared" si="72"/>
        <v>2343.4314388971734</v>
      </c>
      <c r="K972" s="45">
        <f t="shared" si="75"/>
        <v>21610401.269919958</v>
      </c>
    </row>
    <row r="973" spans="2:11">
      <c r="B973" s="43">
        <v>45434</v>
      </c>
      <c r="C973" s="32" t="s">
        <v>25</v>
      </c>
      <c r="D973" s="32" t="s">
        <v>132</v>
      </c>
      <c r="E973" s="36">
        <f t="shared" si="73"/>
        <v>21610401.269919958</v>
      </c>
      <c r="F973" s="36">
        <v>11804.66</v>
      </c>
      <c r="G973" s="58">
        <v>0</v>
      </c>
      <c r="H973" s="35">
        <f t="shared" si="74"/>
        <v>11804.66</v>
      </c>
      <c r="I973" s="35">
        <f t="shared" si="71"/>
        <v>0</v>
      </c>
      <c r="J973" s="35">
        <f t="shared" si="72"/>
        <v>1172.4776192679069</v>
      </c>
      <c r="K973" s="45">
        <f t="shared" si="75"/>
        <v>21621033.45230069</v>
      </c>
    </row>
    <row r="974" spans="2:11">
      <c r="B974" s="43">
        <v>45434</v>
      </c>
      <c r="C974" s="32" t="s">
        <v>27</v>
      </c>
      <c r="D974" s="32" t="s">
        <v>132</v>
      </c>
      <c r="E974" s="36">
        <f t="shared" si="73"/>
        <v>21621033.45230069</v>
      </c>
      <c r="F974" s="36">
        <v>12729.61</v>
      </c>
      <c r="G974" s="58">
        <v>0</v>
      </c>
      <c r="H974" s="35">
        <f t="shared" si="74"/>
        <v>12729.61</v>
      </c>
      <c r="I974" s="35">
        <f t="shared" si="71"/>
        <v>0</v>
      </c>
      <c r="J974" s="35">
        <f t="shared" si="72"/>
        <v>1173.0544709297378</v>
      </c>
      <c r="K974" s="45">
        <f t="shared" si="75"/>
        <v>21632590.007829759</v>
      </c>
    </row>
    <row r="975" spans="2:11">
      <c r="B975" s="43">
        <v>45434</v>
      </c>
      <c r="C975" s="32" t="s">
        <v>25</v>
      </c>
      <c r="D975" s="32" t="s">
        <v>134</v>
      </c>
      <c r="E975" s="36">
        <f t="shared" si="73"/>
        <v>21632590.007829759</v>
      </c>
      <c r="F975" s="36">
        <v>0</v>
      </c>
      <c r="G975" s="58">
        <v>-16448</v>
      </c>
      <c r="H975" s="35">
        <f t="shared" si="74"/>
        <v>-16448</v>
      </c>
      <c r="I975" s="35">
        <f t="shared" si="71"/>
        <v>0</v>
      </c>
      <c r="J975" s="35">
        <f t="shared" si="72"/>
        <v>1173.6814746833663</v>
      </c>
      <c r="K975" s="45">
        <f t="shared" si="75"/>
        <v>21614968.326355077</v>
      </c>
    </row>
    <row r="976" spans="2:11">
      <c r="B976" s="43">
        <v>45434</v>
      </c>
      <c r="C976" s="32" t="s">
        <v>25</v>
      </c>
      <c r="D976" s="32" t="s">
        <v>134</v>
      </c>
      <c r="E976" s="36">
        <f t="shared" si="73"/>
        <v>21614968.326355077</v>
      </c>
      <c r="F976" s="36">
        <v>0</v>
      </c>
      <c r="G976" s="58">
        <v>-3494</v>
      </c>
      <c r="H976" s="35">
        <f t="shared" si="74"/>
        <v>-3494</v>
      </c>
      <c r="I976" s="35">
        <f t="shared" si="71"/>
        <v>0</v>
      </c>
      <c r="J976" s="35">
        <f t="shared" si="72"/>
        <v>1172.7254060345306</v>
      </c>
      <c r="K976" s="45">
        <f t="shared" si="75"/>
        <v>21610301.600949042</v>
      </c>
    </row>
    <row r="977" spans="2:11">
      <c r="B977" s="43">
        <v>45434</v>
      </c>
      <c r="C977" s="32" t="s">
        <v>29</v>
      </c>
      <c r="D977" s="32" t="s">
        <v>134</v>
      </c>
      <c r="E977" s="36">
        <f t="shared" si="73"/>
        <v>21610301.600949042</v>
      </c>
      <c r="F977" s="36">
        <v>0</v>
      </c>
      <c r="G977" s="58">
        <v>-19268</v>
      </c>
      <c r="H977" s="35">
        <f t="shared" si="74"/>
        <v>-19268</v>
      </c>
      <c r="I977" s="35">
        <f t="shared" si="71"/>
        <v>0</v>
      </c>
      <c r="J977" s="35">
        <f t="shared" si="72"/>
        <v>1172.4722117034535</v>
      </c>
      <c r="K977" s="45">
        <f t="shared" si="75"/>
        <v>21589861.128737338</v>
      </c>
    </row>
    <row r="978" spans="2:11">
      <c r="B978" s="43">
        <v>45435</v>
      </c>
      <c r="C978" s="32" t="s">
        <v>25</v>
      </c>
      <c r="D978" s="32" t="s">
        <v>132</v>
      </c>
      <c r="E978" s="36">
        <f t="shared" si="73"/>
        <v>21589861.128737338</v>
      </c>
      <c r="F978" s="36">
        <v>12316.18</v>
      </c>
      <c r="G978" s="58">
        <v>0</v>
      </c>
      <c r="H978" s="35">
        <f t="shared" si="74"/>
        <v>12316.18</v>
      </c>
      <c r="I978" s="35">
        <f t="shared" si="71"/>
        <v>0</v>
      </c>
      <c r="J978" s="35">
        <f t="shared" si="72"/>
        <v>2342.7264177441571</v>
      </c>
      <c r="K978" s="45">
        <f t="shared" si="75"/>
        <v>21599834.582319595</v>
      </c>
    </row>
    <row r="979" spans="2:11">
      <c r="B979" s="43">
        <v>45435</v>
      </c>
      <c r="C979" s="32" t="s">
        <v>29</v>
      </c>
      <c r="D979" s="32" t="s">
        <v>132</v>
      </c>
      <c r="E979" s="36">
        <f t="shared" si="73"/>
        <v>21599834.582319595</v>
      </c>
      <c r="F979" s="36">
        <v>15114.01</v>
      </c>
      <c r="G979" s="58">
        <v>0</v>
      </c>
      <c r="H979" s="35">
        <f t="shared" si="74"/>
        <v>15114.01</v>
      </c>
      <c r="I979" s="35">
        <f t="shared" si="71"/>
        <v>0</v>
      </c>
      <c r="J979" s="35">
        <f t="shared" si="72"/>
        <v>1171.9043210414429</v>
      </c>
      <c r="K979" s="45">
        <f t="shared" si="75"/>
        <v>21613776.687998556</v>
      </c>
    </row>
    <row r="980" spans="2:11">
      <c r="B980" s="43">
        <v>45435</v>
      </c>
      <c r="C980" s="32" t="s">
        <v>29</v>
      </c>
      <c r="D980" s="32" t="s">
        <v>132</v>
      </c>
      <c r="E980" s="36">
        <f t="shared" si="73"/>
        <v>21613776.687998556</v>
      </c>
      <c r="F980" s="36">
        <v>15155.84</v>
      </c>
      <c r="G980" s="58">
        <v>0</v>
      </c>
      <c r="H980" s="35">
        <f t="shared" si="74"/>
        <v>15155.84</v>
      </c>
      <c r="I980" s="35">
        <f t="shared" ref="I980:I1043" si="76">(($E980*Daily_Interest)*(_xlfn.DAYS(B980,B979)+1))+((IF(DAY($B979)&gt;Monthly_Cut_off_Date,0,Daily_Interest*H980))*(_xlfn.DAYS(B980,B979)+1))</f>
        <v>0</v>
      </c>
      <c r="J980" s="35">
        <f t="shared" ref="J980:J1043" si="77">(($I980+E980)*Daily_Fees_Rate)*((_xlfn.DAYS(B980,B979)+1))</f>
        <v>1172.6607534033353</v>
      </c>
      <c r="K980" s="45">
        <f t="shared" si="75"/>
        <v>21627759.867245153</v>
      </c>
    </row>
    <row r="981" spans="2:11">
      <c r="B981" s="43">
        <v>45435</v>
      </c>
      <c r="C981" s="32" t="s">
        <v>25</v>
      </c>
      <c r="D981" s="32" t="s">
        <v>132</v>
      </c>
      <c r="E981" s="36">
        <f t="shared" ref="E981:E1044" si="78">K980</f>
        <v>21627759.867245153</v>
      </c>
      <c r="F981" s="36">
        <v>16589.080000000002</v>
      </c>
      <c r="G981" s="58">
        <v>0</v>
      </c>
      <c r="H981" s="35">
        <f t="shared" ref="H981:H1044" si="79">SUM(F981:G981)</f>
        <v>16589.080000000002</v>
      </c>
      <c r="I981" s="35">
        <f t="shared" si="76"/>
        <v>0</v>
      </c>
      <c r="J981" s="35">
        <f t="shared" si="77"/>
        <v>1173.4194142217102</v>
      </c>
      <c r="K981" s="45">
        <f t="shared" si="75"/>
        <v>21643175.527830929</v>
      </c>
    </row>
    <row r="982" spans="2:11">
      <c r="B982" s="43">
        <v>45435</v>
      </c>
      <c r="C982" s="32" t="s">
        <v>25</v>
      </c>
      <c r="D982" s="32" t="s">
        <v>132</v>
      </c>
      <c r="E982" s="36">
        <f t="shared" si="78"/>
        <v>21643175.527830929</v>
      </c>
      <c r="F982" s="36">
        <v>15550.08</v>
      </c>
      <c r="G982" s="58">
        <v>0</v>
      </c>
      <c r="H982" s="35">
        <f t="shared" si="79"/>
        <v>15550.08</v>
      </c>
      <c r="I982" s="35">
        <f t="shared" si="76"/>
        <v>0</v>
      </c>
      <c r="J982" s="35">
        <f t="shared" si="77"/>
        <v>1174.2557946663535</v>
      </c>
      <c r="K982" s="45">
        <f t="shared" si="75"/>
        <v>21657551.35203626</v>
      </c>
    </row>
    <row r="983" spans="2:11">
      <c r="B983" s="43">
        <v>45435</v>
      </c>
      <c r="C983" s="32" t="s">
        <v>29</v>
      </c>
      <c r="D983" s="32" t="s">
        <v>134</v>
      </c>
      <c r="E983" s="36">
        <f t="shared" si="78"/>
        <v>21657551.35203626</v>
      </c>
      <c r="F983" s="36">
        <v>0</v>
      </c>
      <c r="G983" s="58">
        <v>-15026</v>
      </c>
      <c r="H983" s="35">
        <f t="shared" si="79"/>
        <v>-15026</v>
      </c>
      <c r="I983" s="35">
        <f t="shared" si="76"/>
        <v>0</v>
      </c>
      <c r="J983" s="35">
        <f t="shared" si="77"/>
        <v>1175.0357585332317</v>
      </c>
      <c r="K983" s="45">
        <f t="shared" si="75"/>
        <v>21641350.316277727</v>
      </c>
    </row>
    <row r="984" spans="2:11">
      <c r="B984" s="43">
        <v>45436</v>
      </c>
      <c r="C984" s="32" t="s">
        <v>27</v>
      </c>
      <c r="D984" s="32" t="s">
        <v>132</v>
      </c>
      <c r="E984" s="36">
        <f t="shared" si="78"/>
        <v>21641350.316277727</v>
      </c>
      <c r="F984" s="36">
        <v>14732.64</v>
      </c>
      <c r="G984" s="58">
        <v>0</v>
      </c>
      <c r="H984" s="35">
        <f t="shared" si="79"/>
        <v>14732.64</v>
      </c>
      <c r="I984" s="35">
        <f t="shared" si="76"/>
        <v>0</v>
      </c>
      <c r="J984" s="35">
        <f t="shared" si="77"/>
        <v>2348.3135347320699</v>
      </c>
      <c r="K984" s="45">
        <f t="shared" si="75"/>
        <v>21653734.642742995</v>
      </c>
    </row>
    <row r="985" spans="2:11">
      <c r="B985" s="43">
        <v>45436</v>
      </c>
      <c r="C985" s="32" t="s">
        <v>25</v>
      </c>
      <c r="D985" s="32" t="s">
        <v>132</v>
      </c>
      <c r="E985" s="36">
        <f t="shared" si="78"/>
        <v>21653734.642742995</v>
      </c>
      <c r="F985" s="36">
        <v>9922.61</v>
      </c>
      <c r="G985" s="58">
        <v>0</v>
      </c>
      <c r="H985" s="35">
        <f t="shared" si="79"/>
        <v>9922.61</v>
      </c>
      <c r="I985" s="35">
        <f t="shared" si="76"/>
        <v>0</v>
      </c>
      <c r="J985" s="35">
        <f t="shared" si="77"/>
        <v>1174.8286820347573</v>
      </c>
      <c r="K985" s="45">
        <f t="shared" si="75"/>
        <v>21662482.424060959</v>
      </c>
    </row>
    <row r="986" spans="2:11">
      <c r="B986" s="43">
        <v>45436</v>
      </c>
      <c r="C986" s="32" t="s">
        <v>29</v>
      </c>
      <c r="D986" s="32" t="s">
        <v>132</v>
      </c>
      <c r="E986" s="36">
        <f t="shared" si="78"/>
        <v>21662482.424060959</v>
      </c>
      <c r="F986" s="36">
        <v>11158.71</v>
      </c>
      <c r="G986" s="58">
        <v>0</v>
      </c>
      <c r="H986" s="35">
        <f t="shared" si="79"/>
        <v>11158.71</v>
      </c>
      <c r="I986" s="35">
        <f t="shared" si="76"/>
        <v>0</v>
      </c>
      <c r="J986" s="35">
        <f t="shared" si="77"/>
        <v>1175.3032950549161</v>
      </c>
      <c r="K986" s="45">
        <f t="shared" si="75"/>
        <v>21672465.830765907</v>
      </c>
    </row>
    <row r="987" spans="2:11">
      <c r="B987" s="43">
        <v>45436</v>
      </c>
      <c r="C987" s="32" t="s">
        <v>25</v>
      </c>
      <c r="D987" s="32" t="s">
        <v>132</v>
      </c>
      <c r="E987" s="36">
        <f t="shared" si="78"/>
        <v>21672465.830765907</v>
      </c>
      <c r="F987" s="36">
        <v>15857.6</v>
      </c>
      <c r="G987" s="58">
        <v>0</v>
      </c>
      <c r="H987" s="35">
        <f t="shared" si="79"/>
        <v>15857.6</v>
      </c>
      <c r="I987" s="35">
        <f t="shared" si="76"/>
        <v>0</v>
      </c>
      <c r="J987" s="35">
        <f t="shared" si="77"/>
        <v>1175.8449472333925</v>
      </c>
      <c r="K987" s="45">
        <f t="shared" si="75"/>
        <v>21687147.585818674</v>
      </c>
    </row>
    <row r="988" spans="2:11">
      <c r="B988" s="43">
        <v>45436</v>
      </c>
      <c r="C988" s="32" t="s">
        <v>25</v>
      </c>
      <c r="D988" s="32" t="s">
        <v>132</v>
      </c>
      <c r="E988" s="36">
        <f t="shared" si="78"/>
        <v>21687147.585818674</v>
      </c>
      <c r="F988" s="36">
        <v>19124.63</v>
      </c>
      <c r="G988" s="58">
        <v>0</v>
      </c>
      <c r="H988" s="35">
        <f t="shared" si="79"/>
        <v>19124.63</v>
      </c>
      <c r="I988" s="35">
        <f t="shared" si="76"/>
        <v>0</v>
      </c>
      <c r="J988" s="35">
        <f t="shared" si="77"/>
        <v>1176.6415094534057</v>
      </c>
      <c r="K988" s="45">
        <f t="shared" si="75"/>
        <v>21705095.574309219</v>
      </c>
    </row>
    <row r="989" spans="2:11">
      <c r="B989" s="43">
        <v>45436</v>
      </c>
      <c r="C989" s="32" t="s">
        <v>29</v>
      </c>
      <c r="D989" s="32" t="s">
        <v>134</v>
      </c>
      <c r="E989" s="36">
        <f t="shared" si="78"/>
        <v>21705095.574309219</v>
      </c>
      <c r="F989" s="36">
        <v>0</v>
      </c>
      <c r="G989" s="58">
        <v>-9377</v>
      </c>
      <c r="H989" s="35">
        <f t="shared" si="79"/>
        <v>-9377</v>
      </c>
      <c r="I989" s="35">
        <f t="shared" si="76"/>
        <v>0</v>
      </c>
      <c r="J989" s="35">
        <f t="shared" si="77"/>
        <v>1177.61528196939</v>
      </c>
      <c r="K989" s="45">
        <f t="shared" si="75"/>
        <v>21694540.959027249</v>
      </c>
    </row>
    <row r="990" spans="2:11">
      <c r="B990" s="43">
        <v>45437</v>
      </c>
      <c r="C990" s="32" t="s">
        <v>29</v>
      </c>
      <c r="D990" s="32" t="s">
        <v>132</v>
      </c>
      <c r="E990" s="36">
        <f t="shared" si="78"/>
        <v>21694540.959027249</v>
      </c>
      <c r="F990" s="36">
        <v>19507.07</v>
      </c>
      <c r="G990" s="58">
        <v>0</v>
      </c>
      <c r="H990" s="35">
        <f t="shared" si="79"/>
        <v>19507.07</v>
      </c>
      <c r="I990" s="35">
        <f t="shared" si="76"/>
        <v>0</v>
      </c>
      <c r="J990" s="35">
        <f t="shared" si="77"/>
        <v>2354.0852774590408</v>
      </c>
      <c r="K990" s="45">
        <f t="shared" si="75"/>
        <v>21711693.943749789</v>
      </c>
    </row>
    <row r="991" spans="2:11">
      <c r="B991" s="43">
        <v>45437</v>
      </c>
      <c r="C991" s="32" t="s">
        <v>25</v>
      </c>
      <c r="D991" s="32" t="s">
        <v>132</v>
      </c>
      <c r="E991" s="36">
        <f t="shared" si="78"/>
        <v>21711693.943749789</v>
      </c>
      <c r="F991" s="36">
        <v>15055.26</v>
      </c>
      <c r="G991" s="58">
        <v>0</v>
      </c>
      <c r="H991" s="35">
        <f t="shared" si="79"/>
        <v>15055.26</v>
      </c>
      <c r="I991" s="35">
        <f t="shared" si="76"/>
        <v>0</v>
      </c>
      <c r="J991" s="35">
        <f t="shared" si="77"/>
        <v>1177.9732781211551</v>
      </c>
      <c r="K991" s="45">
        <f t="shared" si="75"/>
        <v>21725571.230471671</v>
      </c>
    </row>
    <row r="992" spans="2:11">
      <c r="B992" s="43">
        <v>45437</v>
      </c>
      <c r="C992" s="32" t="s">
        <v>29</v>
      </c>
      <c r="D992" s="32" t="s">
        <v>132</v>
      </c>
      <c r="E992" s="36">
        <f t="shared" si="78"/>
        <v>21725571.230471671</v>
      </c>
      <c r="F992" s="36">
        <v>16015.49</v>
      </c>
      <c r="G992" s="58">
        <v>0</v>
      </c>
      <c r="H992" s="35">
        <f t="shared" si="79"/>
        <v>16015.49</v>
      </c>
      <c r="I992" s="35">
        <f t="shared" si="76"/>
        <v>0</v>
      </c>
      <c r="J992" s="35">
        <f t="shared" si="77"/>
        <v>1178.7261937146391</v>
      </c>
      <c r="K992" s="45">
        <f t="shared" si="75"/>
        <v>21740407.994277954</v>
      </c>
    </row>
    <row r="993" spans="2:11">
      <c r="B993" s="43">
        <v>45437</v>
      </c>
      <c r="C993" s="32" t="s">
        <v>27</v>
      </c>
      <c r="D993" s="32" t="s">
        <v>134</v>
      </c>
      <c r="E993" s="36">
        <f t="shared" si="78"/>
        <v>21740407.994277954</v>
      </c>
      <c r="F993" s="36">
        <v>0</v>
      </c>
      <c r="G993" s="58">
        <v>-2782.12</v>
      </c>
      <c r="H993" s="35">
        <f t="shared" si="79"/>
        <v>-2782.12</v>
      </c>
      <c r="I993" s="35">
        <f t="shared" si="76"/>
        <v>0</v>
      </c>
      <c r="J993" s="35">
        <f t="shared" si="77"/>
        <v>1179.5311659725789</v>
      </c>
      <c r="K993" s="45">
        <f t="shared" si="75"/>
        <v>21736446.343111981</v>
      </c>
    </row>
    <row r="994" spans="2:11">
      <c r="B994" s="43">
        <v>45437</v>
      </c>
      <c r="C994" s="32" t="s">
        <v>27</v>
      </c>
      <c r="D994" s="32" t="s">
        <v>134</v>
      </c>
      <c r="E994" s="36">
        <f t="shared" si="78"/>
        <v>21736446.343111981</v>
      </c>
      <c r="F994" s="36">
        <v>0</v>
      </c>
      <c r="G994" s="58">
        <v>-11074</v>
      </c>
      <c r="H994" s="35">
        <f t="shared" si="79"/>
        <v>-11074</v>
      </c>
      <c r="I994" s="35">
        <f t="shared" si="76"/>
        <v>0</v>
      </c>
      <c r="J994" s="35">
        <f t="shared" si="77"/>
        <v>1179.3162256172641</v>
      </c>
      <c r="K994" s="45">
        <f t="shared" si="75"/>
        <v>21724193.026886363</v>
      </c>
    </row>
    <row r="995" spans="2:11">
      <c r="B995" s="43">
        <v>45437</v>
      </c>
      <c r="C995" s="32" t="s">
        <v>29</v>
      </c>
      <c r="D995" s="32" t="s">
        <v>134</v>
      </c>
      <c r="E995" s="36">
        <f t="shared" si="78"/>
        <v>21724193.026886363</v>
      </c>
      <c r="F995" s="36">
        <v>0</v>
      </c>
      <c r="G995" s="58">
        <v>-7639</v>
      </c>
      <c r="H995" s="35">
        <f t="shared" si="79"/>
        <v>-7639</v>
      </c>
      <c r="I995" s="35">
        <f t="shared" si="76"/>
        <v>0</v>
      </c>
      <c r="J995" s="35">
        <f t="shared" si="77"/>
        <v>1178.6514189412148</v>
      </c>
      <c r="K995" s="45">
        <f t="shared" si="75"/>
        <v>21715375.37546742</v>
      </c>
    </row>
    <row r="996" spans="2:11">
      <c r="B996" s="43">
        <v>45437</v>
      </c>
      <c r="C996" s="32" t="s">
        <v>25</v>
      </c>
      <c r="D996" s="32" t="s">
        <v>134</v>
      </c>
      <c r="E996" s="36">
        <f t="shared" si="78"/>
        <v>21715375.37546742</v>
      </c>
      <c r="F996" s="36">
        <v>0</v>
      </c>
      <c r="G996" s="58">
        <v>-7151</v>
      </c>
      <c r="H996" s="35">
        <f t="shared" si="79"/>
        <v>-7151</v>
      </c>
      <c r="I996" s="35">
        <f t="shared" si="76"/>
        <v>0</v>
      </c>
      <c r="J996" s="35">
        <f t="shared" si="77"/>
        <v>1178.1730151015968</v>
      </c>
      <c r="K996" s="45">
        <f t="shared" si="75"/>
        <v>21707046.202452317</v>
      </c>
    </row>
    <row r="997" spans="2:11">
      <c r="B997" s="43">
        <v>45438</v>
      </c>
      <c r="C997" s="32" t="s">
        <v>27</v>
      </c>
      <c r="D997" s="32" t="s">
        <v>132</v>
      </c>
      <c r="E997" s="36">
        <f t="shared" si="78"/>
        <v>21707046.202452317</v>
      </c>
      <c r="F997" s="36">
        <v>9780.86</v>
      </c>
      <c r="G997" s="58">
        <v>0</v>
      </c>
      <c r="H997" s="35">
        <f t="shared" si="79"/>
        <v>9780.86</v>
      </c>
      <c r="I997" s="35">
        <f t="shared" si="76"/>
        <v>0</v>
      </c>
      <c r="J997" s="35">
        <f t="shared" si="77"/>
        <v>2355.4422275550851</v>
      </c>
      <c r="K997" s="45">
        <f t="shared" si="75"/>
        <v>21714471.620224763</v>
      </c>
    </row>
    <row r="998" spans="2:11">
      <c r="B998" s="43">
        <v>45438</v>
      </c>
      <c r="C998" s="32" t="s">
        <v>27</v>
      </c>
      <c r="D998" s="32" t="s">
        <v>134</v>
      </c>
      <c r="E998" s="36">
        <f t="shared" si="78"/>
        <v>21714471.620224763</v>
      </c>
      <c r="F998" s="36">
        <v>0</v>
      </c>
      <c r="G998" s="58">
        <v>-10785.55</v>
      </c>
      <c r="H998" s="35">
        <f t="shared" si="79"/>
        <v>-10785.55</v>
      </c>
      <c r="I998" s="35">
        <f t="shared" si="76"/>
        <v>0</v>
      </c>
      <c r="J998" s="35">
        <f t="shared" si="77"/>
        <v>1178.1239816393265</v>
      </c>
      <c r="K998" s="45">
        <f t="shared" si="75"/>
        <v>21702507.946243122</v>
      </c>
    </row>
    <row r="999" spans="2:11">
      <c r="B999" s="43">
        <v>45438</v>
      </c>
      <c r="C999" s="32" t="s">
        <v>25</v>
      </c>
      <c r="D999" s="32" t="s">
        <v>134</v>
      </c>
      <c r="E999" s="36">
        <f t="shared" si="78"/>
        <v>21702507.946243122</v>
      </c>
      <c r="F999" s="36">
        <v>0</v>
      </c>
      <c r="G999" s="58">
        <v>-16290</v>
      </c>
      <c r="H999" s="35">
        <f t="shared" si="79"/>
        <v>-16290</v>
      </c>
      <c r="I999" s="35">
        <f t="shared" si="76"/>
        <v>0</v>
      </c>
      <c r="J999" s="35">
        <f t="shared" si="77"/>
        <v>1177.4748895742377</v>
      </c>
      <c r="K999" s="45">
        <f t="shared" si="75"/>
        <v>21685040.47135355</v>
      </c>
    </row>
    <row r="1000" spans="2:11">
      <c r="B1000" s="43">
        <v>45438</v>
      </c>
      <c r="C1000" s="32" t="s">
        <v>25</v>
      </c>
      <c r="D1000" s="32" t="s">
        <v>134</v>
      </c>
      <c r="E1000" s="36">
        <f t="shared" si="78"/>
        <v>21685040.47135355</v>
      </c>
      <c r="F1000" s="36">
        <v>0</v>
      </c>
      <c r="G1000" s="58">
        <v>-1719</v>
      </c>
      <c r="H1000" s="35">
        <f t="shared" si="79"/>
        <v>-1719</v>
      </c>
      <c r="I1000" s="35">
        <f t="shared" si="76"/>
        <v>0</v>
      </c>
      <c r="J1000" s="35">
        <f t="shared" si="77"/>
        <v>1176.5271874414848</v>
      </c>
      <c r="K1000" s="45">
        <f t="shared" si="75"/>
        <v>21682144.944166109</v>
      </c>
    </row>
    <row r="1001" spans="2:11">
      <c r="B1001" s="43">
        <v>45439</v>
      </c>
      <c r="C1001" s="32" t="s">
        <v>25</v>
      </c>
      <c r="D1001" s="32" t="s">
        <v>132</v>
      </c>
      <c r="E1001" s="36">
        <f t="shared" si="78"/>
        <v>21682144.944166109</v>
      </c>
      <c r="F1001" s="36">
        <v>20437.349999999999</v>
      </c>
      <c r="G1001" s="58">
        <v>0</v>
      </c>
      <c r="H1001" s="35">
        <f t="shared" si="79"/>
        <v>20437.349999999999</v>
      </c>
      <c r="I1001" s="35">
        <f t="shared" si="76"/>
        <v>0</v>
      </c>
      <c r="J1001" s="35">
        <f t="shared" si="77"/>
        <v>2352.7401798080286</v>
      </c>
      <c r="K1001" s="45">
        <f t="shared" si="75"/>
        <v>21700229.553986304</v>
      </c>
    </row>
    <row r="1002" spans="2:11">
      <c r="B1002" s="43">
        <v>45439</v>
      </c>
      <c r="C1002" s="32" t="s">
        <v>25</v>
      </c>
      <c r="D1002" s="32" t="s">
        <v>132</v>
      </c>
      <c r="E1002" s="36">
        <f t="shared" si="78"/>
        <v>21700229.553986304</v>
      </c>
      <c r="F1002" s="36">
        <v>17501.77</v>
      </c>
      <c r="G1002" s="58">
        <v>0</v>
      </c>
      <c r="H1002" s="35">
        <f t="shared" si="79"/>
        <v>17501.77</v>
      </c>
      <c r="I1002" s="35">
        <f t="shared" si="76"/>
        <v>0</v>
      </c>
      <c r="J1002" s="35">
        <f t="shared" si="77"/>
        <v>1177.3512748437352</v>
      </c>
      <c r="K1002" s="45">
        <f t="shared" si="75"/>
        <v>21716553.972711459</v>
      </c>
    </row>
    <row r="1003" spans="2:11">
      <c r="B1003" s="43">
        <v>45439</v>
      </c>
      <c r="C1003" s="32" t="s">
        <v>27</v>
      </c>
      <c r="D1003" s="32" t="s">
        <v>134</v>
      </c>
      <c r="E1003" s="36">
        <f t="shared" si="78"/>
        <v>21716553.972711459</v>
      </c>
      <c r="F1003" s="36">
        <v>0</v>
      </c>
      <c r="G1003" s="58">
        <v>-9653.74</v>
      </c>
      <c r="H1003" s="35">
        <f t="shared" si="79"/>
        <v>-9653.74</v>
      </c>
      <c r="I1003" s="35">
        <f t="shared" si="76"/>
        <v>0</v>
      </c>
      <c r="J1003" s="35">
        <f t="shared" si="77"/>
        <v>1178.2369601840367</v>
      </c>
      <c r="K1003" s="45">
        <f t="shared" si="75"/>
        <v>21705721.995751277</v>
      </c>
    </row>
    <row r="1004" spans="2:11">
      <c r="B1004" s="43">
        <v>45439</v>
      </c>
      <c r="C1004" s="32" t="s">
        <v>29</v>
      </c>
      <c r="D1004" s="32" t="s">
        <v>134</v>
      </c>
      <c r="E1004" s="36">
        <f t="shared" si="78"/>
        <v>21705721.995751277</v>
      </c>
      <c r="F1004" s="36">
        <v>0</v>
      </c>
      <c r="G1004" s="58">
        <v>-20041</v>
      </c>
      <c r="H1004" s="35">
        <f t="shared" si="79"/>
        <v>-20041</v>
      </c>
      <c r="I1004" s="35">
        <f t="shared" si="76"/>
        <v>0</v>
      </c>
      <c r="J1004" s="35">
        <f t="shared" si="77"/>
        <v>1177.6492686183128</v>
      </c>
      <c r="K1004" s="45">
        <f t="shared" si="75"/>
        <v>21684503.346482657</v>
      </c>
    </row>
    <row r="1005" spans="2:11">
      <c r="B1005" s="43">
        <v>45439</v>
      </c>
      <c r="C1005" s="32" t="s">
        <v>29</v>
      </c>
      <c r="D1005" s="32" t="s">
        <v>134</v>
      </c>
      <c r="E1005" s="36">
        <f t="shared" si="78"/>
        <v>21684503.346482657</v>
      </c>
      <c r="F1005" s="36">
        <v>0</v>
      </c>
      <c r="G1005" s="58">
        <v>-14160</v>
      </c>
      <c r="H1005" s="35">
        <f t="shared" si="79"/>
        <v>-14160</v>
      </c>
      <c r="I1005" s="35">
        <f t="shared" si="76"/>
        <v>0</v>
      </c>
      <c r="J1005" s="35">
        <f t="shared" si="77"/>
        <v>1176.4980455999241</v>
      </c>
      <c r="K1005" s="45">
        <f t="shared" si="75"/>
        <v>21669166.848437056</v>
      </c>
    </row>
    <row r="1006" spans="2:11">
      <c r="B1006" s="43">
        <v>45440</v>
      </c>
      <c r="C1006" s="32" t="s">
        <v>25</v>
      </c>
      <c r="D1006" s="32" t="s">
        <v>132</v>
      </c>
      <c r="E1006" s="36">
        <f t="shared" si="78"/>
        <v>21669166.848437056</v>
      </c>
      <c r="F1006" s="36">
        <v>12574.52</v>
      </c>
      <c r="G1006" s="58">
        <v>0</v>
      </c>
      <c r="H1006" s="35">
        <f t="shared" si="79"/>
        <v>12574.52</v>
      </c>
      <c r="I1006" s="35">
        <f t="shared" si="76"/>
        <v>0</v>
      </c>
      <c r="J1006" s="35">
        <f t="shared" si="77"/>
        <v>2351.3319202766138</v>
      </c>
      <c r="K1006" s="45">
        <f t="shared" si="75"/>
        <v>21679390.036516778</v>
      </c>
    </row>
    <row r="1007" spans="2:11">
      <c r="B1007" s="43">
        <v>45440</v>
      </c>
      <c r="C1007" s="32" t="s">
        <v>25</v>
      </c>
      <c r="D1007" s="32" t="s">
        <v>132</v>
      </c>
      <c r="E1007" s="36">
        <f t="shared" si="78"/>
        <v>21679390.036516778</v>
      </c>
      <c r="F1007" s="36">
        <v>15174.63</v>
      </c>
      <c r="G1007" s="58">
        <v>0</v>
      </c>
      <c r="H1007" s="35">
        <f t="shared" si="79"/>
        <v>15174.63</v>
      </c>
      <c r="I1007" s="35">
        <f t="shared" si="76"/>
        <v>0</v>
      </c>
      <c r="J1007" s="35">
        <f t="shared" si="77"/>
        <v>1176.2206217140604</v>
      </c>
      <c r="K1007" s="45">
        <f t="shared" si="75"/>
        <v>21693388.445895065</v>
      </c>
    </row>
    <row r="1008" spans="2:11">
      <c r="B1008" s="43">
        <v>45440</v>
      </c>
      <c r="C1008" s="32" t="s">
        <v>27</v>
      </c>
      <c r="D1008" s="32" t="s">
        <v>132</v>
      </c>
      <c r="E1008" s="36">
        <f t="shared" si="78"/>
        <v>21693388.445895065</v>
      </c>
      <c r="F1008" s="36">
        <v>17753.59</v>
      </c>
      <c r="G1008" s="58">
        <v>0</v>
      </c>
      <c r="H1008" s="35">
        <f t="shared" si="79"/>
        <v>17753.59</v>
      </c>
      <c r="I1008" s="35">
        <f t="shared" si="76"/>
        <v>0</v>
      </c>
      <c r="J1008" s="35">
        <f t="shared" si="77"/>
        <v>1176.9801088469642</v>
      </c>
      <c r="K1008" s="45">
        <f t="shared" si="75"/>
        <v>21709965.055786218</v>
      </c>
    </row>
    <row r="1009" spans="2:11">
      <c r="B1009" s="43">
        <v>45440</v>
      </c>
      <c r="C1009" s="32" t="s">
        <v>27</v>
      </c>
      <c r="D1009" s="32" t="s">
        <v>132</v>
      </c>
      <c r="E1009" s="36">
        <f t="shared" si="78"/>
        <v>21709965.055786218</v>
      </c>
      <c r="F1009" s="36">
        <v>16000.99</v>
      </c>
      <c r="G1009" s="58">
        <v>0</v>
      </c>
      <c r="H1009" s="35">
        <f t="shared" si="79"/>
        <v>16000.99</v>
      </c>
      <c r="I1009" s="35">
        <f t="shared" si="76"/>
        <v>0</v>
      </c>
      <c r="J1009" s="35">
        <f t="shared" si="77"/>
        <v>1177.8794768808084</v>
      </c>
      <c r="K1009" s="45">
        <f t="shared" si="75"/>
        <v>21724788.166309334</v>
      </c>
    </row>
    <row r="1010" spans="2:11">
      <c r="B1010" s="43">
        <v>45440</v>
      </c>
      <c r="C1010" s="32" t="s">
        <v>25</v>
      </c>
      <c r="D1010" s="32" t="s">
        <v>132</v>
      </c>
      <c r="E1010" s="36">
        <f t="shared" si="78"/>
        <v>21724788.166309334</v>
      </c>
      <c r="F1010" s="36">
        <v>13159.79</v>
      </c>
      <c r="G1010" s="58">
        <v>0</v>
      </c>
      <c r="H1010" s="35">
        <f t="shared" si="79"/>
        <v>13159.79</v>
      </c>
      <c r="I1010" s="35">
        <f t="shared" si="76"/>
        <v>0</v>
      </c>
      <c r="J1010" s="35">
        <f t="shared" si="77"/>
        <v>1178.6837083765224</v>
      </c>
      <c r="K1010" s="45">
        <f t="shared" si="75"/>
        <v>21736769.272600956</v>
      </c>
    </row>
    <row r="1011" spans="2:11">
      <c r="B1011" s="43">
        <v>45440</v>
      </c>
      <c r="C1011" s="32" t="s">
        <v>29</v>
      </c>
      <c r="D1011" s="32" t="s">
        <v>134</v>
      </c>
      <c r="E1011" s="36">
        <f t="shared" si="78"/>
        <v>21736769.272600956</v>
      </c>
      <c r="F1011" s="36">
        <v>0</v>
      </c>
      <c r="G1011" s="58">
        <v>-3650</v>
      </c>
      <c r="H1011" s="35">
        <f t="shared" si="79"/>
        <v>-3650</v>
      </c>
      <c r="I1011" s="35">
        <f t="shared" si="76"/>
        <v>0</v>
      </c>
      <c r="J1011" s="35">
        <f t="shared" si="77"/>
        <v>1179.3337462358634</v>
      </c>
      <c r="K1011" s="45">
        <f t="shared" si="75"/>
        <v>21731939.93885472</v>
      </c>
    </row>
    <row r="1012" spans="2:11">
      <c r="B1012" s="43">
        <v>45441</v>
      </c>
      <c r="C1012" s="32" t="s">
        <v>29</v>
      </c>
      <c r="D1012" s="32" t="s">
        <v>132</v>
      </c>
      <c r="E1012" s="36">
        <f t="shared" si="78"/>
        <v>21731939.93885472</v>
      </c>
      <c r="F1012" s="36">
        <v>11797.14</v>
      </c>
      <c r="G1012" s="58">
        <v>0</v>
      </c>
      <c r="H1012" s="35">
        <f t="shared" si="79"/>
        <v>11797.14</v>
      </c>
      <c r="I1012" s="35">
        <f t="shared" si="76"/>
        <v>0</v>
      </c>
      <c r="J1012" s="35">
        <f t="shared" si="77"/>
        <v>2358.143459098842</v>
      </c>
      <c r="K1012" s="45">
        <f t="shared" si="75"/>
        <v>21741378.935395621</v>
      </c>
    </row>
    <row r="1013" spans="2:11">
      <c r="B1013" s="43">
        <v>45441</v>
      </c>
      <c r="C1013" s="32" t="s">
        <v>27</v>
      </c>
      <c r="D1013" s="32" t="s">
        <v>132</v>
      </c>
      <c r="E1013" s="36">
        <f t="shared" si="78"/>
        <v>21741378.935395621</v>
      </c>
      <c r="F1013" s="36">
        <v>20630.39</v>
      </c>
      <c r="G1013" s="58">
        <v>0</v>
      </c>
      <c r="H1013" s="35">
        <f t="shared" si="79"/>
        <v>20630.39</v>
      </c>
      <c r="I1013" s="35">
        <f t="shared" si="76"/>
        <v>0</v>
      </c>
      <c r="J1013" s="35">
        <f t="shared" si="77"/>
        <v>1179.5838446209702</v>
      </c>
      <c r="K1013" s="45">
        <f t="shared" si="75"/>
        <v>21760829.741551001</v>
      </c>
    </row>
    <row r="1014" spans="2:11">
      <c r="B1014" s="43">
        <v>45441</v>
      </c>
      <c r="C1014" s="32" t="s">
        <v>29</v>
      </c>
      <c r="D1014" s="32" t="s">
        <v>132</v>
      </c>
      <c r="E1014" s="36">
        <f t="shared" si="78"/>
        <v>21760829.741551001</v>
      </c>
      <c r="F1014" s="36">
        <v>16187.41</v>
      </c>
      <c r="G1014" s="58">
        <v>0</v>
      </c>
      <c r="H1014" s="35">
        <f t="shared" si="79"/>
        <v>16187.41</v>
      </c>
      <c r="I1014" s="35">
        <f t="shared" si="76"/>
        <v>0</v>
      </c>
      <c r="J1014" s="35">
        <f t="shared" si="77"/>
        <v>1180.6391528778161</v>
      </c>
      <c r="K1014" s="45">
        <f t="shared" si="75"/>
        <v>21775836.512398124</v>
      </c>
    </row>
    <row r="1015" spans="2:11">
      <c r="B1015" s="43">
        <v>45441</v>
      </c>
      <c r="C1015" s="32" t="s">
        <v>25</v>
      </c>
      <c r="D1015" s="32" t="s">
        <v>134</v>
      </c>
      <c r="E1015" s="36">
        <f t="shared" si="78"/>
        <v>21775836.512398124</v>
      </c>
      <c r="F1015" s="36">
        <v>0</v>
      </c>
      <c r="G1015" s="58">
        <v>-14498.71</v>
      </c>
      <c r="H1015" s="35">
        <f t="shared" si="79"/>
        <v>-14498.71</v>
      </c>
      <c r="I1015" s="35">
        <f t="shared" si="76"/>
        <v>0</v>
      </c>
      <c r="J1015" s="35">
        <f t="shared" si="77"/>
        <v>1181.4533489094383</v>
      </c>
      <c r="K1015" s="45">
        <f t="shared" si="75"/>
        <v>21760156.349049214</v>
      </c>
    </row>
    <row r="1016" spans="2:11">
      <c r="B1016" s="43">
        <v>45441</v>
      </c>
      <c r="C1016" s="32" t="s">
        <v>29</v>
      </c>
      <c r="D1016" s="32" t="s">
        <v>134</v>
      </c>
      <c r="E1016" s="36">
        <f t="shared" si="78"/>
        <v>21760156.349049214</v>
      </c>
      <c r="F1016" s="36">
        <v>0</v>
      </c>
      <c r="G1016" s="58">
        <v>-20621</v>
      </c>
      <c r="H1016" s="35">
        <f t="shared" si="79"/>
        <v>-20621</v>
      </c>
      <c r="I1016" s="35">
        <f t="shared" si="76"/>
        <v>0</v>
      </c>
      <c r="J1016" s="35">
        <f t="shared" si="77"/>
        <v>1180.6026178025315</v>
      </c>
      <c r="K1016" s="45">
        <f t="shared" si="75"/>
        <v>21738354.74643141</v>
      </c>
    </row>
    <row r="1017" spans="2:11">
      <c r="B1017" s="43">
        <v>45441</v>
      </c>
      <c r="C1017" s="32" t="s">
        <v>25</v>
      </c>
      <c r="D1017" s="32" t="s">
        <v>134</v>
      </c>
      <c r="E1017" s="36">
        <f t="shared" si="78"/>
        <v>21738354.74643141</v>
      </c>
      <c r="F1017" s="36">
        <v>0</v>
      </c>
      <c r="G1017" s="58">
        <v>-3432</v>
      </c>
      <c r="H1017" s="35">
        <f t="shared" si="79"/>
        <v>-3432</v>
      </c>
      <c r="I1017" s="35">
        <f t="shared" si="76"/>
        <v>0</v>
      </c>
      <c r="J1017" s="35">
        <f t="shared" si="77"/>
        <v>1179.4197665072561</v>
      </c>
      <c r="K1017" s="45">
        <f t="shared" si="75"/>
        <v>21733743.326664902</v>
      </c>
    </row>
    <row r="1018" spans="2:11">
      <c r="B1018" s="43">
        <v>45441</v>
      </c>
      <c r="C1018" s="32" t="s">
        <v>27</v>
      </c>
      <c r="D1018" s="32" t="s">
        <v>134</v>
      </c>
      <c r="E1018" s="36">
        <f t="shared" si="78"/>
        <v>21733743.326664902</v>
      </c>
      <c r="F1018" s="36">
        <v>0</v>
      </c>
      <c r="G1018" s="58">
        <v>-14252</v>
      </c>
      <c r="H1018" s="35">
        <f t="shared" si="79"/>
        <v>-14252</v>
      </c>
      <c r="I1018" s="35">
        <f t="shared" si="76"/>
        <v>0</v>
      </c>
      <c r="J1018" s="35">
        <f t="shared" si="77"/>
        <v>1179.169572797211</v>
      </c>
      <c r="K1018" s="45">
        <f t="shared" si="75"/>
        <v>21718312.157092106</v>
      </c>
    </row>
    <row r="1019" spans="2:11">
      <c r="B1019" s="43">
        <v>45442</v>
      </c>
      <c r="C1019" s="32" t="s">
        <v>25</v>
      </c>
      <c r="D1019" s="32" t="s">
        <v>132</v>
      </c>
      <c r="E1019" s="36">
        <f t="shared" si="78"/>
        <v>21718312.157092106</v>
      </c>
      <c r="F1019" s="36">
        <v>18475.79</v>
      </c>
      <c r="G1019" s="58">
        <v>0</v>
      </c>
      <c r="H1019" s="35">
        <f t="shared" si="79"/>
        <v>18475.79</v>
      </c>
      <c r="I1019" s="35">
        <f t="shared" si="76"/>
        <v>0</v>
      </c>
      <c r="J1019" s="35">
        <f t="shared" si="77"/>
        <v>2356.6647018173494</v>
      </c>
      <c r="K1019" s="45">
        <f t="shared" si="75"/>
        <v>21734431.282390289</v>
      </c>
    </row>
    <row r="1020" spans="2:11">
      <c r="B1020" s="43">
        <v>45442</v>
      </c>
      <c r="C1020" s="32" t="s">
        <v>25</v>
      </c>
      <c r="D1020" s="32" t="s">
        <v>132</v>
      </c>
      <c r="E1020" s="36">
        <f t="shared" si="78"/>
        <v>21734431.282390289</v>
      </c>
      <c r="F1020" s="36">
        <v>13199.35</v>
      </c>
      <c r="G1020" s="58">
        <v>0</v>
      </c>
      <c r="H1020" s="35">
        <f t="shared" si="79"/>
        <v>13199.35</v>
      </c>
      <c r="I1020" s="35">
        <f t="shared" si="76"/>
        <v>0</v>
      </c>
      <c r="J1020" s="35">
        <f t="shared" si="77"/>
        <v>1179.2068980037627</v>
      </c>
      <c r="K1020" s="45">
        <f t="shared" si="75"/>
        <v>21746451.425492287</v>
      </c>
    </row>
    <row r="1021" spans="2:11">
      <c r="B1021" s="43">
        <v>45442</v>
      </c>
      <c r="C1021" s="32" t="s">
        <v>29</v>
      </c>
      <c r="D1021" s="32" t="s">
        <v>132</v>
      </c>
      <c r="E1021" s="36">
        <f t="shared" si="78"/>
        <v>21746451.425492287</v>
      </c>
      <c r="F1021" s="36">
        <v>14520.18</v>
      </c>
      <c r="G1021" s="58">
        <v>0</v>
      </c>
      <c r="H1021" s="35">
        <f t="shared" si="79"/>
        <v>14520.18</v>
      </c>
      <c r="I1021" s="35">
        <f t="shared" si="76"/>
        <v>0</v>
      </c>
      <c r="J1021" s="35">
        <f t="shared" si="77"/>
        <v>1179.8590538148214</v>
      </c>
      <c r="K1021" s="45">
        <f t="shared" si="75"/>
        <v>21759791.74643847</v>
      </c>
    </row>
    <row r="1022" spans="2:11">
      <c r="B1022" s="43">
        <v>45442</v>
      </c>
      <c r="C1022" s="32" t="s">
        <v>27</v>
      </c>
      <c r="D1022" s="32" t="s">
        <v>134</v>
      </c>
      <c r="E1022" s="36">
        <f t="shared" si="78"/>
        <v>21759791.74643847</v>
      </c>
      <c r="F1022" s="36">
        <v>0</v>
      </c>
      <c r="G1022" s="58">
        <v>-4010</v>
      </c>
      <c r="H1022" s="35">
        <f t="shared" si="79"/>
        <v>-4010</v>
      </c>
      <c r="I1022" s="35">
        <f t="shared" si="76"/>
        <v>0</v>
      </c>
      <c r="J1022" s="35">
        <f t="shared" si="77"/>
        <v>1180.5828361984934</v>
      </c>
      <c r="K1022" s="45">
        <f t="shared" si="75"/>
        <v>21754601.16360227</v>
      </c>
    </row>
    <row r="1023" spans="2:11">
      <c r="B1023" s="43">
        <v>45442</v>
      </c>
      <c r="C1023" s="32" t="s">
        <v>25</v>
      </c>
      <c r="D1023" s="32" t="s">
        <v>134</v>
      </c>
      <c r="E1023" s="36">
        <f t="shared" si="78"/>
        <v>21754601.16360227</v>
      </c>
      <c r="F1023" s="36">
        <v>0</v>
      </c>
      <c r="G1023" s="58">
        <v>-7533</v>
      </c>
      <c r="H1023" s="35">
        <f t="shared" si="79"/>
        <v>-7533</v>
      </c>
      <c r="I1023" s="35">
        <f t="shared" si="76"/>
        <v>0</v>
      </c>
      <c r="J1023" s="35">
        <f t="shared" si="77"/>
        <v>1180.3012198541051</v>
      </c>
      <c r="K1023" s="45">
        <f t="shared" si="75"/>
        <v>21745887.862382416</v>
      </c>
    </row>
    <row r="1024" spans="2:11">
      <c r="B1024" s="43">
        <v>45442</v>
      </c>
      <c r="C1024" s="32" t="s">
        <v>29</v>
      </c>
      <c r="D1024" s="32" t="s">
        <v>134</v>
      </c>
      <c r="E1024" s="36">
        <f t="shared" si="78"/>
        <v>21745887.862382416</v>
      </c>
      <c r="F1024" s="36">
        <v>0</v>
      </c>
      <c r="G1024" s="58">
        <v>-20980</v>
      </c>
      <c r="H1024" s="35">
        <f t="shared" si="79"/>
        <v>-20980</v>
      </c>
      <c r="I1024" s="35">
        <f t="shared" si="76"/>
        <v>0</v>
      </c>
      <c r="J1024" s="35">
        <f t="shared" si="77"/>
        <v>1179.8284775601228</v>
      </c>
      <c r="K1024" s="45">
        <f t="shared" si="75"/>
        <v>21723728.033904854</v>
      </c>
    </row>
    <row r="1025" spans="2:11">
      <c r="B1025" s="43">
        <v>45443</v>
      </c>
      <c r="C1025" s="32" t="s">
        <v>27</v>
      </c>
      <c r="D1025" s="32" t="s">
        <v>132</v>
      </c>
      <c r="E1025" s="36">
        <f t="shared" si="78"/>
        <v>21723728.033904854</v>
      </c>
      <c r="F1025" s="36">
        <v>16545.11</v>
      </c>
      <c r="G1025" s="58">
        <v>0</v>
      </c>
      <c r="H1025" s="35">
        <f t="shared" si="79"/>
        <v>16545.11</v>
      </c>
      <c r="I1025" s="35">
        <f t="shared" si="76"/>
        <v>0</v>
      </c>
      <c r="J1025" s="35">
        <f t="shared" si="77"/>
        <v>2357.2523812659952</v>
      </c>
      <c r="K1025" s="45">
        <f t="shared" si="75"/>
        <v>21737915.891523588</v>
      </c>
    </row>
    <row r="1026" spans="2:11">
      <c r="B1026" s="43">
        <v>45443</v>
      </c>
      <c r="C1026" s="32" t="s">
        <v>25</v>
      </c>
      <c r="D1026" s="32" t="s">
        <v>132</v>
      </c>
      <c r="E1026" s="36">
        <f t="shared" si="78"/>
        <v>21737915.891523588</v>
      </c>
      <c r="F1026" s="36">
        <v>8366.59</v>
      </c>
      <c r="G1026" s="58">
        <v>0</v>
      </c>
      <c r="H1026" s="35">
        <f t="shared" si="79"/>
        <v>8366.59</v>
      </c>
      <c r="I1026" s="35">
        <f t="shared" si="76"/>
        <v>0</v>
      </c>
      <c r="J1026" s="35">
        <f t="shared" si="77"/>
        <v>1179.3959563266351</v>
      </c>
      <c r="K1026" s="45">
        <f t="shared" si="75"/>
        <v>21745103.085567262</v>
      </c>
    </row>
    <row r="1027" spans="2:11">
      <c r="B1027" s="43">
        <v>45443</v>
      </c>
      <c r="C1027" s="32" t="s">
        <v>25</v>
      </c>
      <c r="D1027" s="32" t="s">
        <v>132</v>
      </c>
      <c r="E1027" s="36">
        <f t="shared" si="78"/>
        <v>21745103.085567262</v>
      </c>
      <c r="F1027" s="36">
        <v>19779.560000000001</v>
      </c>
      <c r="G1027" s="58">
        <v>0</v>
      </c>
      <c r="H1027" s="35">
        <f t="shared" si="79"/>
        <v>19779.560000000001</v>
      </c>
      <c r="I1027" s="35">
        <f t="shared" si="76"/>
        <v>0</v>
      </c>
      <c r="J1027" s="35">
        <f t="shared" si="77"/>
        <v>1179.7858993016077</v>
      </c>
      <c r="K1027" s="45">
        <f t="shared" si="75"/>
        <v>21763702.859667961</v>
      </c>
    </row>
    <row r="1028" spans="2:11">
      <c r="B1028" s="43">
        <v>45443</v>
      </c>
      <c r="C1028" s="32" t="s">
        <v>29</v>
      </c>
      <c r="D1028" s="32" t="s">
        <v>132</v>
      </c>
      <c r="E1028" s="36">
        <f t="shared" si="78"/>
        <v>21763702.859667961</v>
      </c>
      <c r="F1028" s="36">
        <v>14448.05</v>
      </c>
      <c r="G1028" s="58">
        <v>0</v>
      </c>
      <c r="H1028" s="35">
        <f t="shared" si="79"/>
        <v>14448.05</v>
      </c>
      <c r="I1028" s="35">
        <f t="shared" si="76"/>
        <v>0</v>
      </c>
      <c r="J1028" s="35">
        <f t="shared" si="77"/>
        <v>1180.7950346056737</v>
      </c>
      <c r="K1028" s="45">
        <f t="shared" si="75"/>
        <v>21776970.114633355</v>
      </c>
    </row>
    <row r="1029" spans="2:11">
      <c r="B1029" s="43">
        <v>45443</v>
      </c>
      <c r="C1029" s="32" t="s">
        <v>25</v>
      </c>
      <c r="D1029" s="32" t="s">
        <v>132</v>
      </c>
      <c r="E1029" s="36">
        <f t="shared" si="78"/>
        <v>21776970.114633355</v>
      </c>
      <c r="F1029" s="36">
        <v>14711.82</v>
      </c>
      <c r="G1029" s="58">
        <v>0</v>
      </c>
      <c r="H1029" s="35">
        <f t="shared" si="79"/>
        <v>14711.82</v>
      </c>
      <c r="I1029" s="35">
        <f t="shared" si="76"/>
        <v>0</v>
      </c>
      <c r="J1029" s="35">
        <f t="shared" si="77"/>
        <v>1181.5148527766439</v>
      </c>
      <c r="K1029" s="45">
        <f t="shared" si="75"/>
        <v>21790500.419780578</v>
      </c>
    </row>
    <row r="1030" spans="2:11">
      <c r="B1030" s="43">
        <v>45443</v>
      </c>
      <c r="C1030" s="32" t="s">
        <v>27</v>
      </c>
      <c r="D1030" s="32" t="s">
        <v>132</v>
      </c>
      <c r="E1030" s="36">
        <f t="shared" si="78"/>
        <v>21790500.419780578</v>
      </c>
      <c r="F1030" s="36">
        <v>13911.48</v>
      </c>
      <c r="G1030" s="58">
        <v>0</v>
      </c>
      <c r="H1030" s="35">
        <f t="shared" si="79"/>
        <v>13911.48</v>
      </c>
      <c r="I1030" s="35">
        <f t="shared" si="76"/>
        <v>0</v>
      </c>
      <c r="J1030" s="35">
        <f t="shared" si="77"/>
        <v>1182.248942799723</v>
      </c>
      <c r="K1030" s="45">
        <f t="shared" si="75"/>
        <v>21803229.650837779</v>
      </c>
    </row>
    <row r="1031" spans="2:11">
      <c r="B1031" s="43">
        <v>45443</v>
      </c>
      <c r="C1031" s="32" t="s">
        <v>25</v>
      </c>
      <c r="D1031" s="32" t="s">
        <v>132</v>
      </c>
      <c r="E1031" s="36">
        <f t="shared" si="78"/>
        <v>21803229.650837779</v>
      </c>
      <c r="F1031" s="36">
        <v>20387.63</v>
      </c>
      <c r="G1031" s="58">
        <v>0</v>
      </c>
      <c r="H1031" s="35">
        <f t="shared" si="79"/>
        <v>20387.63</v>
      </c>
      <c r="I1031" s="35">
        <f t="shared" si="76"/>
        <v>0</v>
      </c>
      <c r="J1031" s="35">
        <f t="shared" si="77"/>
        <v>1182.9395703516432</v>
      </c>
      <c r="K1031" s="45">
        <f t="shared" si="75"/>
        <v>21822434.341267426</v>
      </c>
    </row>
    <row r="1032" spans="2:11">
      <c r="B1032" s="43">
        <v>45443</v>
      </c>
      <c r="C1032" s="32" t="s">
        <v>29</v>
      </c>
      <c r="D1032" s="32" t="s">
        <v>132</v>
      </c>
      <c r="E1032" s="36">
        <f t="shared" si="78"/>
        <v>21822434.341267426</v>
      </c>
      <c r="F1032" s="36">
        <v>20009.71</v>
      </c>
      <c r="G1032" s="58">
        <v>0</v>
      </c>
      <c r="H1032" s="35">
        <f t="shared" si="79"/>
        <v>20009.71</v>
      </c>
      <c r="I1032" s="35">
        <f t="shared" si="76"/>
        <v>0</v>
      </c>
      <c r="J1032" s="35">
        <f t="shared" si="77"/>
        <v>1183.9815255394476</v>
      </c>
      <c r="K1032" s="45">
        <f t="shared" ref="K1032:K1095" si="80">E1032+H1032+I1032-J1032</f>
        <v>21841260.069741886</v>
      </c>
    </row>
    <row r="1033" spans="2:11">
      <c r="B1033" s="43">
        <v>45443</v>
      </c>
      <c r="C1033" s="32" t="s">
        <v>29</v>
      </c>
      <c r="D1033" s="32" t="s">
        <v>134</v>
      </c>
      <c r="E1033" s="36">
        <f t="shared" si="78"/>
        <v>21841260.069741886</v>
      </c>
      <c r="F1033" s="36">
        <v>0</v>
      </c>
      <c r="G1033" s="58">
        <v>-10563</v>
      </c>
      <c r="H1033" s="35">
        <f t="shared" si="79"/>
        <v>-10563</v>
      </c>
      <c r="I1033" s="35">
        <f t="shared" si="76"/>
        <v>0</v>
      </c>
      <c r="J1033" s="35">
        <f t="shared" si="77"/>
        <v>1185.0029200534607</v>
      </c>
      <c r="K1033" s="45">
        <f t="shared" si="80"/>
        <v>21829512.066821832</v>
      </c>
    </row>
    <row r="1034" spans="2:11">
      <c r="B1034" s="43">
        <v>45443</v>
      </c>
      <c r="C1034" s="32" t="s">
        <v>29</v>
      </c>
      <c r="D1034" s="32" t="s">
        <v>134</v>
      </c>
      <c r="E1034" s="36">
        <f t="shared" si="78"/>
        <v>21829512.066821832</v>
      </c>
      <c r="F1034" s="36">
        <v>0</v>
      </c>
      <c r="G1034" s="58">
        <v>-12508</v>
      </c>
      <c r="H1034" s="35">
        <f t="shared" si="79"/>
        <v>-12508</v>
      </c>
      <c r="I1034" s="35">
        <f t="shared" si="76"/>
        <v>0</v>
      </c>
      <c r="J1034" s="35">
        <f t="shared" si="77"/>
        <v>1184.3655292746957</v>
      </c>
      <c r="K1034" s="45">
        <f t="shared" si="80"/>
        <v>21815819.701292556</v>
      </c>
    </row>
    <row r="1035" spans="2:11">
      <c r="B1035" s="43">
        <v>45444</v>
      </c>
      <c r="C1035" s="32" t="s">
        <v>29</v>
      </c>
      <c r="D1035" s="32" t="s">
        <v>132</v>
      </c>
      <c r="E1035" s="36">
        <f t="shared" si="78"/>
        <v>21815819.701292556</v>
      </c>
      <c r="F1035" s="36">
        <v>17088.62</v>
      </c>
      <c r="G1035" s="58">
        <v>0</v>
      </c>
      <c r="H1035" s="35">
        <f t="shared" si="79"/>
        <v>17088.62</v>
      </c>
      <c r="I1035" s="35">
        <f t="shared" si="76"/>
        <v>0</v>
      </c>
      <c r="J1035" s="35">
        <f t="shared" si="77"/>
        <v>2367.2452932517099</v>
      </c>
      <c r="K1035" s="45">
        <f t="shared" si="80"/>
        <v>21830541.075999305</v>
      </c>
    </row>
    <row r="1036" spans="2:11">
      <c r="B1036" s="43">
        <v>45444</v>
      </c>
      <c r="C1036" s="32" t="s">
        <v>27</v>
      </c>
      <c r="D1036" s="32" t="s">
        <v>134</v>
      </c>
      <c r="E1036" s="36">
        <f t="shared" si="78"/>
        <v>21830541.075999305</v>
      </c>
      <c r="F1036" s="36">
        <v>0</v>
      </c>
      <c r="G1036" s="58">
        <v>-3750.79</v>
      </c>
      <c r="H1036" s="35">
        <f t="shared" si="79"/>
        <v>-3750.79</v>
      </c>
      <c r="I1036" s="35">
        <f t="shared" si="76"/>
        <v>0</v>
      </c>
      <c r="J1036" s="35">
        <f t="shared" si="77"/>
        <v>1184.4213584199088</v>
      </c>
      <c r="K1036" s="45">
        <f t="shared" si="80"/>
        <v>21825605.864640884</v>
      </c>
    </row>
    <row r="1037" spans="2:11">
      <c r="B1037" s="43">
        <v>45444</v>
      </c>
      <c r="C1037" s="32" t="s">
        <v>29</v>
      </c>
      <c r="D1037" s="32" t="s">
        <v>134</v>
      </c>
      <c r="E1037" s="36">
        <f t="shared" si="78"/>
        <v>21825605.864640884</v>
      </c>
      <c r="F1037" s="36">
        <v>0</v>
      </c>
      <c r="G1037" s="58">
        <v>-3433.24</v>
      </c>
      <c r="H1037" s="35">
        <f t="shared" si="79"/>
        <v>-3433.24</v>
      </c>
      <c r="I1037" s="35">
        <f t="shared" si="76"/>
        <v>0</v>
      </c>
      <c r="J1037" s="35">
        <f t="shared" si="77"/>
        <v>1184.1535973176585</v>
      </c>
      <c r="K1037" s="45">
        <f t="shared" si="80"/>
        <v>21820988.471043568</v>
      </c>
    </row>
    <row r="1038" spans="2:11">
      <c r="B1038" s="43">
        <v>45444</v>
      </c>
      <c r="C1038" s="32" t="s">
        <v>25</v>
      </c>
      <c r="D1038" s="32" t="s">
        <v>134</v>
      </c>
      <c r="E1038" s="36">
        <f t="shared" si="78"/>
        <v>21820988.471043568</v>
      </c>
      <c r="F1038" s="36">
        <v>0</v>
      </c>
      <c r="G1038" s="58">
        <v>-1374</v>
      </c>
      <c r="H1038" s="35">
        <f t="shared" si="79"/>
        <v>-1374</v>
      </c>
      <c r="I1038" s="35">
        <f t="shared" si="76"/>
        <v>0</v>
      </c>
      <c r="J1038" s="35">
        <f t="shared" si="77"/>
        <v>1183.9030794959583</v>
      </c>
      <c r="K1038" s="45">
        <f t="shared" si="80"/>
        <v>21818430.567964073</v>
      </c>
    </row>
    <row r="1039" spans="2:11">
      <c r="B1039" s="43">
        <v>45445</v>
      </c>
      <c r="C1039" s="32" t="s">
        <v>29</v>
      </c>
      <c r="D1039" s="32" t="s">
        <v>132</v>
      </c>
      <c r="E1039" s="36">
        <f t="shared" si="78"/>
        <v>21818430.567964073</v>
      </c>
      <c r="F1039" s="36">
        <v>16479.95</v>
      </c>
      <c r="G1039" s="58">
        <v>0</v>
      </c>
      <c r="H1039" s="35">
        <f t="shared" si="79"/>
        <v>16479.95</v>
      </c>
      <c r="I1039" s="35">
        <f t="shared" si="76"/>
        <v>0</v>
      </c>
      <c r="J1039" s="35">
        <f t="shared" si="77"/>
        <v>2367.5285996744838</v>
      </c>
      <c r="K1039" s="45">
        <f t="shared" si="80"/>
        <v>21832542.989364397</v>
      </c>
    </row>
    <row r="1040" spans="2:11">
      <c r="B1040" s="43">
        <v>45445</v>
      </c>
      <c r="C1040" s="32" t="s">
        <v>27</v>
      </c>
      <c r="D1040" s="32" t="s">
        <v>132</v>
      </c>
      <c r="E1040" s="36">
        <f t="shared" si="78"/>
        <v>21832542.989364397</v>
      </c>
      <c r="F1040" s="36">
        <v>17560.25</v>
      </c>
      <c r="G1040" s="58">
        <v>0</v>
      </c>
      <c r="H1040" s="35">
        <f t="shared" si="79"/>
        <v>17560.25</v>
      </c>
      <c r="I1040" s="35">
        <f t="shared" si="76"/>
        <v>0</v>
      </c>
      <c r="J1040" s="35">
        <f t="shared" si="77"/>
        <v>1184.5299727203544</v>
      </c>
      <c r="K1040" s="45">
        <f t="shared" si="80"/>
        <v>21848918.709391676</v>
      </c>
    </row>
    <row r="1041" spans="2:11">
      <c r="B1041" s="43">
        <v>45445</v>
      </c>
      <c r="C1041" s="32" t="s">
        <v>25</v>
      </c>
      <c r="D1041" s="32" t="s">
        <v>132</v>
      </c>
      <c r="E1041" s="36">
        <f t="shared" si="78"/>
        <v>21848918.709391676</v>
      </c>
      <c r="F1041" s="36">
        <v>22805.05</v>
      </c>
      <c r="G1041" s="58">
        <v>0</v>
      </c>
      <c r="H1041" s="35">
        <f t="shared" si="79"/>
        <v>22805.05</v>
      </c>
      <c r="I1041" s="35">
        <f t="shared" si="76"/>
        <v>0</v>
      </c>
      <c r="J1041" s="35">
        <f t="shared" si="77"/>
        <v>1185.4184414253807</v>
      </c>
      <c r="K1041" s="45">
        <f t="shared" si="80"/>
        <v>21870538.340950251</v>
      </c>
    </row>
    <row r="1042" spans="2:11">
      <c r="B1042" s="43">
        <v>45445</v>
      </c>
      <c r="C1042" s="32" t="s">
        <v>27</v>
      </c>
      <c r="D1042" s="32" t="s">
        <v>134</v>
      </c>
      <c r="E1042" s="36">
        <f t="shared" si="78"/>
        <v>21870538.340950251</v>
      </c>
      <c r="F1042" s="36">
        <v>0</v>
      </c>
      <c r="G1042" s="58">
        <v>-4487</v>
      </c>
      <c r="H1042" s="35">
        <f t="shared" si="79"/>
        <v>-4487</v>
      </c>
      <c r="I1042" s="35">
        <f t="shared" si="76"/>
        <v>0</v>
      </c>
      <c r="J1042" s="35">
        <f t="shared" si="77"/>
        <v>1186.5914198362225</v>
      </c>
      <c r="K1042" s="45">
        <f t="shared" si="80"/>
        <v>21864864.749530416</v>
      </c>
    </row>
    <row r="1043" spans="2:11">
      <c r="B1043" s="43">
        <v>45445</v>
      </c>
      <c r="C1043" s="32" t="s">
        <v>27</v>
      </c>
      <c r="D1043" s="32" t="s">
        <v>134</v>
      </c>
      <c r="E1043" s="36">
        <f t="shared" si="78"/>
        <v>21864864.749530416</v>
      </c>
      <c r="F1043" s="36">
        <v>0</v>
      </c>
      <c r="G1043" s="58">
        <v>-15410</v>
      </c>
      <c r="H1043" s="35">
        <f t="shared" si="79"/>
        <v>-15410</v>
      </c>
      <c r="I1043" s="35">
        <f t="shared" si="76"/>
        <v>0</v>
      </c>
      <c r="J1043" s="35">
        <f t="shared" si="77"/>
        <v>1186.2835977427067</v>
      </c>
      <c r="K1043" s="45">
        <f t="shared" si="80"/>
        <v>21848268.465932675</v>
      </c>
    </row>
    <row r="1044" spans="2:11">
      <c r="B1044" s="43">
        <v>45445</v>
      </c>
      <c r="C1044" s="32" t="s">
        <v>25</v>
      </c>
      <c r="D1044" s="32" t="s">
        <v>134</v>
      </c>
      <c r="E1044" s="36">
        <f t="shared" si="78"/>
        <v>21848268.465932675</v>
      </c>
      <c r="F1044" s="36">
        <v>0</v>
      </c>
      <c r="G1044" s="58">
        <v>-3642</v>
      </c>
      <c r="H1044" s="35">
        <f t="shared" si="79"/>
        <v>-3642</v>
      </c>
      <c r="I1044" s="35">
        <f t="shared" ref="I1044:I1107" si="81">(($E1044*Daily_Interest)*(_xlfn.DAYS(B1044,B1043)+1))+((IF(DAY($B1043)&gt;Monthly_Cut_off_Date,0,Daily_Interest*H1044))*(_xlfn.DAYS(B1044,B1043)+1))</f>
        <v>0</v>
      </c>
      <c r="J1044" s="35">
        <f t="shared" ref="J1044:J1107" si="82">(($I1044+E1044)*Daily_Fees_Rate)*((_xlfn.DAYS(B1044,B1043)+1))</f>
        <v>1185.383162307088</v>
      </c>
      <c r="K1044" s="45">
        <f t="shared" si="80"/>
        <v>21843441.082770366</v>
      </c>
    </row>
    <row r="1045" spans="2:11">
      <c r="B1045" s="43">
        <v>45445</v>
      </c>
      <c r="C1045" s="32" t="s">
        <v>25</v>
      </c>
      <c r="D1045" s="32" t="s">
        <v>134</v>
      </c>
      <c r="E1045" s="36">
        <f t="shared" ref="E1045:E1108" si="83">K1044</f>
        <v>21843441.082770366</v>
      </c>
      <c r="F1045" s="36">
        <v>0</v>
      </c>
      <c r="G1045" s="58">
        <v>-3294</v>
      </c>
      <c r="H1045" s="35">
        <f t="shared" ref="H1045:H1108" si="84">SUM(F1045:G1045)</f>
        <v>-3294</v>
      </c>
      <c r="I1045" s="35">
        <f t="shared" si="81"/>
        <v>0</v>
      </c>
      <c r="J1045" s="35">
        <f t="shared" si="82"/>
        <v>1185.1212514500546</v>
      </c>
      <c r="K1045" s="45">
        <f t="shared" si="80"/>
        <v>21838961.961518917</v>
      </c>
    </row>
    <row r="1046" spans="2:11">
      <c r="B1046" s="43">
        <v>45446</v>
      </c>
      <c r="C1046" s="32" t="s">
        <v>25</v>
      </c>
      <c r="D1046" s="32" t="s">
        <v>132</v>
      </c>
      <c r="E1046" s="36">
        <f t="shared" si="83"/>
        <v>21838961.961518917</v>
      </c>
      <c r="F1046" s="36">
        <v>13719.36</v>
      </c>
      <c r="G1046" s="58">
        <v>0</v>
      </c>
      <c r="H1046" s="35">
        <f t="shared" si="84"/>
        <v>13719.36</v>
      </c>
      <c r="I1046" s="35">
        <f t="shared" si="81"/>
        <v>0</v>
      </c>
      <c r="J1046" s="35">
        <f t="shared" si="82"/>
        <v>2369.7564712567614</v>
      </c>
      <c r="K1046" s="45">
        <f t="shared" si="80"/>
        <v>21850311.565047659</v>
      </c>
    </row>
    <row r="1047" spans="2:11">
      <c r="B1047" s="43">
        <v>45446</v>
      </c>
      <c r="C1047" s="32" t="s">
        <v>27</v>
      </c>
      <c r="D1047" s="32" t="s">
        <v>134</v>
      </c>
      <c r="E1047" s="36">
        <f t="shared" si="83"/>
        <v>21850311.565047659</v>
      </c>
      <c r="F1047" s="36">
        <v>0</v>
      </c>
      <c r="G1047" s="58">
        <v>-5785.4</v>
      </c>
      <c r="H1047" s="35">
        <f t="shared" si="84"/>
        <v>-5785.4</v>
      </c>
      <c r="I1047" s="35">
        <f t="shared" si="81"/>
        <v>0</v>
      </c>
      <c r="J1047" s="35">
        <f t="shared" si="82"/>
        <v>1185.4940111504918</v>
      </c>
      <c r="K1047" s="45">
        <f t="shared" si="80"/>
        <v>21843340.671036512</v>
      </c>
    </row>
    <row r="1048" spans="2:11">
      <c r="B1048" s="43">
        <v>45446</v>
      </c>
      <c r="C1048" s="32" t="s">
        <v>27</v>
      </c>
      <c r="D1048" s="32" t="s">
        <v>134</v>
      </c>
      <c r="E1048" s="36">
        <f t="shared" si="83"/>
        <v>21843340.671036512</v>
      </c>
      <c r="F1048" s="36">
        <v>0</v>
      </c>
      <c r="G1048" s="58">
        <v>-7472</v>
      </c>
      <c r="H1048" s="35">
        <f t="shared" si="84"/>
        <v>-7472</v>
      </c>
      <c r="I1048" s="35">
        <f t="shared" si="81"/>
        <v>0</v>
      </c>
      <c r="J1048" s="35">
        <f t="shared" si="82"/>
        <v>1185.1158035868157</v>
      </c>
      <c r="K1048" s="45">
        <f t="shared" si="80"/>
        <v>21834683.555232923</v>
      </c>
    </row>
    <row r="1049" spans="2:11">
      <c r="B1049" s="43">
        <v>45446</v>
      </c>
      <c r="C1049" s="32" t="s">
        <v>25</v>
      </c>
      <c r="D1049" s="32" t="s">
        <v>134</v>
      </c>
      <c r="E1049" s="36">
        <f t="shared" si="83"/>
        <v>21834683.555232923</v>
      </c>
      <c r="F1049" s="36">
        <v>0</v>
      </c>
      <c r="G1049" s="58">
        <v>-2187</v>
      </c>
      <c r="H1049" s="35">
        <f t="shared" si="84"/>
        <v>-2187</v>
      </c>
      <c r="I1049" s="35">
        <f t="shared" si="81"/>
        <v>0</v>
      </c>
      <c r="J1049" s="35">
        <f t="shared" si="82"/>
        <v>1184.6461096463684</v>
      </c>
      <c r="K1049" s="45">
        <f t="shared" si="80"/>
        <v>21831311.909123275</v>
      </c>
    </row>
    <row r="1050" spans="2:11">
      <c r="B1050" s="43">
        <v>45446</v>
      </c>
      <c r="C1050" s="32" t="s">
        <v>25</v>
      </c>
      <c r="D1050" s="32" t="s">
        <v>134</v>
      </c>
      <c r="E1050" s="36">
        <f t="shared" si="83"/>
        <v>21831311.909123275</v>
      </c>
      <c r="F1050" s="36">
        <v>0</v>
      </c>
      <c r="G1050" s="58">
        <v>-4076</v>
      </c>
      <c r="H1050" s="35">
        <f t="shared" si="84"/>
        <v>-4076</v>
      </c>
      <c r="I1050" s="35">
        <f t="shared" si="81"/>
        <v>0</v>
      </c>
      <c r="J1050" s="35">
        <f t="shared" si="82"/>
        <v>1184.4631801600401</v>
      </c>
      <c r="K1050" s="45">
        <f t="shared" si="80"/>
        <v>21826051.445943117</v>
      </c>
    </row>
    <row r="1051" spans="2:11">
      <c r="B1051" s="43">
        <v>45447</v>
      </c>
      <c r="C1051" s="32" t="s">
        <v>27</v>
      </c>
      <c r="D1051" s="32" t="s">
        <v>132</v>
      </c>
      <c r="E1051" s="36">
        <f t="shared" si="83"/>
        <v>21826051.445943117</v>
      </c>
      <c r="F1051" s="36">
        <v>15671.65</v>
      </c>
      <c r="G1051" s="58">
        <v>0</v>
      </c>
      <c r="H1051" s="35">
        <f t="shared" si="84"/>
        <v>15671.65</v>
      </c>
      <c r="I1051" s="35">
        <f t="shared" si="81"/>
        <v>0</v>
      </c>
      <c r="J1051" s="35">
        <f t="shared" si="82"/>
        <v>2368.3555448809143</v>
      </c>
      <c r="K1051" s="45">
        <f t="shared" si="80"/>
        <v>21839354.740398236</v>
      </c>
    </row>
    <row r="1052" spans="2:11">
      <c r="B1052" s="43">
        <v>45447</v>
      </c>
      <c r="C1052" s="32" t="s">
        <v>29</v>
      </c>
      <c r="D1052" s="32" t="s">
        <v>132</v>
      </c>
      <c r="E1052" s="36">
        <f t="shared" si="83"/>
        <v>21839354.740398236</v>
      </c>
      <c r="F1052" s="36">
        <v>16197.41</v>
      </c>
      <c r="G1052" s="58">
        <v>0</v>
      </c>
      <c r="H1052" s="35">
        <f t="shared" si="84"/>
        <v>16197.41</v>
      </c>
      <c r="I1052" s="35">
        <f t="shared" si="81"/>
        <v>0</v>
      </c>
      <c r="J1052" s="35">
        <f t="shared" si="82"/>
        <v>1184.8995459427786</v>
      </c>
      <c r="K1052" s="45">
        <f t="shared" si="80"/>
        <v>21854367.250852294</v>
      </c>
    </row>
    <row r="1053" spans="2:11">
      <c r="B1053" s="43">
        <v>45447</v>
      </c>
      <c r="C1053" s="32" t="s">
        <v>25</v>
      </c>
      <c r="D1053" s="32" t="s">
        <v>132</v>
      </c>
      <c r="E1053" s="36">
        <f t="shared" si="83"/>
        <v>21854367.250852294</v>
      </c>
      <c r="F1053" s="36">
        <v>12995.73</v>
      </c>
      <c r="G1053" s="58">
        <v>0</v>
      </c>
      <c r="H1053" s="35">
        <f t="shared" si="84"/>
        <v>12995.73</v>
      </c>
      <c r="I1053" s="35">
        <f t="shared" si="81"/>
        <v>0</v>
      </c>
      <c r="J1053" s="35">
        <f t="shared" si="82"/>
        <v>1185.7140533781824</v>
      </c>
      <c r="K1053" s="45">
        <f t="shared" si="80"/>
        <v>21866177.266798917</v>
      </c>
    </row>
    <row r="1054" spans="2:11">
      <c r="B1054" s="43">
        <v>45447</v>
      </c>
      <c r="C1054" s="32" t="s">
        <v>25</v>
      </c>
      <c r="D1054" s="32" t="s">
        <v>134</v>
      </c>
      <c r="E1054" s="36">
        <f t="shared" si="83"/>
        <v>21866177.266798917</v>
      </c>
      <c r="F1054" s="36">
        <v>0</v>
      </c>
      <c r="G1054" s="58">
        <v>-2468.8000000000002</v>
      </c>
      <c r="H1054" s="35">
        <f t="shared" si="84"/>
        <v>-2468.8000000000002</v>
      </c>
      <c r="I1054" s="35">
        <f t="shared" si="81"/>
        <v>0</v>
      </c>
      <c r="J1054" s="35">
        <f t="shared" si="82"/>
        <v>1186.354808688908</v>
      </c>
      <c r="K1054" s="45">
        <f t="shared" si="80"/>
        <v>21862522.111990228</v>
      </c>
    </row>
    <row r="1055" spans="2:11">
      <c r="B1055" s="43">
        <v>45447</v>
      </c>
      <c r="C1055" s="32" t="s">
        <v>25</v>
      </c>
      <c r="D1055" s="32" t="s">
        <v>134</v>
      </c>
      <c r="E1055" s="36">
        <f t="shared" si="83"/>
        <v>21862522.111990228</v>
      </c>
      <c r="F1055" s="36">
        <v>0</v>
      </c>
      <c r="G1055" s="58">
        <v>-16053</v>
      </c>
      <c r="H1055" s="35">
        <f t="shared" si="84"/>
        <v>-16053</v>
      </c>
      <c r="I1055" s="35">
        <f t="shared" si="81"/>
        <v>0</v>
      </c>
      <c r="J1055" s="35">
        <f t="shared" si="82"/>
        <v>1186.1564973686034</v>
      </c>
      <c r="K1055" s="45">
        <f t="shared" si="80"/>
        <v>21845282.955492858</v>
      </c>
    </row>
    <row r="1056" spans="2:11">
      <c r="B1056" s="43">
        <v>45447</v>
      </c>
      <c r="C1056" s="32" t="s">
        <v>25</v>
      </c>
      <c r="D1056" s="32" t="s">
        <v>134</v>
      </c>
      <c r="E1056" s="36">
        <f t="shared" si="83"/>
        <v>21845282.955492858</v>
      </c>
      <c r="F1056" s="36">
        <v>0</v>
      </c>
      <c r="G1056" s="58">
        <v>-15574</v>
      </c>
      <c r="H1056" s="35">
        <f t="shared" si="84"/>
        <v>-15574</v>
      </c>
      <c r="I1056" s="35">
        <f t="shared" si="81"/>
        <v>0</v>
      </c>
      <c r="J1056" s="35">
        <f t="shared" si="82"/>
        <v>1185.2211827061979</v>
      </c>
      <c r="K1056" s="45">
        <f t="shared" si="80"/>
        <v>21828523.73431015</v>
      </c>
    </row>
    <row r="1057" spans="2:11">
      <c r="B1057" s="43">
        <v>45448</v>
      </c>
      <c r="C1057" s="32" t="s">
        <v>27</v>
      </c>
      <c r="D1057" s="32" t="s">
        <v>132</v>
      </c>
      <c r="E1057" s="36">
        <f t="shared" si="83"/>
        <v>21828523.73431015</v>
      </c>
      <c r="F1057" s="36">
        <v>16512.14</v>
      </c>
      <c r="G1057" s="58">
        <v>0</v>
      </c>
      <c r="H1057" s="35">
        <f t="shared" si="84"/>
        <v>16512.14</v>
      </c>
      <c r="I1057" s="35">
        <f t="shared" si="81"/>
        <v>0</v>
      </c>
      <c r="J1057" s="35">
        <f t="shared" si="82"/>
        <v>2368.6238141039166</v>
      </c>
      <c r="K1057" s="45">
        <f t="shared" si="80"/>
        <v>21842667.250496048</v>
      </c>
    </row>
    <row r="1058" spans="2:11">
      <c r="B1058" s="43">
        <v>45448</v>
      </c>
      <c r="C1058" s="32" t="s">
        <v>29</v>
      </c>
      <c r="D1058" s="32" t="s">
        <v>132</v>
      </c>
      <c r="E1058" s="36">
        <f t="shared" si="83"/>
        <v>21842667.250496048</v>
      </c>
      <c r="F1058" s="36">
        <v>14926.94</v>
      </c>
      <c r="G1058" s="58">
        <v>0</v>
      </c>
      <c r="H1058" s="35">
        <f t="shared" si="84"/>
        <v>14926.94</v>
      </c>
      <c r="I1058" s="35">
        <f t="shared" si="81"/>
        <v>0</v>
      </c>
      <c r="J1058" s="35">
        <f t="shared" si="82"/>
        <v>1185.0792669902858</v>
      </c>
      <c r="K1058" s="45">
        <f t="shared" si="80"/>
        <v>21856409.111229058</v>
      </c>
    </row>
    <row r="1059" spans="2:11">
      <c r="B1059" s="43">
        <v>45448</v>
      </c>
      <c r="C1059" s="32" t="s">
        <v>27</v>
      </c>
      <c r="D1059" s="32" t="s">
        <v>132</v>
      </c>
      <c r="E1059" s="36">
        <f t="shared" si="83"/>
        <v>21856409.111229058</v>
      </c>
      <c r="F1059" s="36">
        <v>15009.14</v>
      </c>
      <c r="G1059" s="58">
        <v>0</v>
      </c>
      <c r="H1059" s="35">
        <f t="shared" si="84"/>
        <v>15009.14</v>
      </c>
      <c r="I1059" s="35">
        <f t="shared" si="81"/>
        <v>0</v>
      </c>
      <c r="J1059" s="35">
        <f t="shared" si="82"/>
        <v>1185.8248350135405</v>
      </c>
      <c r="K1059" s="45">
        <f t="shared" si="80"/>
        <v>21870232.426394045</v>
      </c>
    </row>
    <row r="1060" spans="2:11">
      <c r="B1060" s="43">
        <v>45448</v>
      </c>
      <c r="C1060" s="32" t="s">
        <v>29</v>
      </c>
      <c r="D1060" s="32" t="s">
        <v>132</v>
      </c>
      <c r="E1060" s="36">
        <f t="shared" si="83"/>
        <v>21870232.426394045</v>
      </c>
      <c r="F1060" s="36">
        <v>15805.78</v>
      </c>
      <c r="G1060" s="58">
        <v>0</v>
      </c>
      <c r="H1060" s="35">
        <f t="shared" si="84"/>
        <v>15805.78</v>
      </c>
      <c r="I1060" s="35">
        <f t="shared" si="81"/>
        <v>0</v>
      </c>
      <c r="J1060" s="35">
        <f t="shared" si="82"/>
        <v>1186.5748223669725</v>
      </c>
      <c r="K1060" s="45">
        <f t="shared" si="80"/>
        <v>21884851.63157168</v>
      </c>
    </row>
    <row r="1061" spans="2:11">
      <c r="B1061" s="43">
        <v>45448</v>
      </c>
      <c r="C1061" s="32" t="s">
        <v>29</v>
      </c>
      <c r="D1061" s="32" t="s">
        <v>132</v>
      </c>
      <c r="E1061" s="36">
        <f t="shared" si="83"/>
        <v>21884851.63157168</v>
      </c>
      <c r="F1061" s="36">
        <v>13250.77</v>
      </c>
      <c r="G1061" s="58">
        <v>0</v>
      </c>
      <c r="H1061" s="35">
        <f t="shared" si="84"/>
        <v>13250.77</v>
      </c>
      <c r="I1061" s="35">
        <f t="shared" si="81"/>
        <v>0</v>
      </c>
      <c r="J1061" s="35">
        <f t="shared" si="82"/>
        <v>1187.3679909281745</v>
      </c>
      <c r="K1061" s="45">
        <f t="shared" si="80"/>
        <v>21896915.03358075</v>
      </c>
    </row>
    <row r="1062" spans="2:11">
      <c r="B1062" s="43">
        <v>45448</v>
      </c>
      <c r="C1062" s="32" t="s">
        <v>27</v>
      </c>
      <c r="D1062" s="32" t="s">
        <v>134</v>
      </c>
      <c r="E1062" s="36">
        <f t="shared" si="83"/>
        <v>21896915.03358075</v>
      </c>
      <c r="F1062" s="36">
        <v>0</v>
      </c>
      <c r="G1062" s="58">
        <v>-3620</v>
      </c>
      <c r="H1062" s="35">
        <f t="shared" si="84"/>
        <v>-3620</v>
      </c>
      <c r="I1062" s="35">
        <f t="shared" si="81"/>
        <v>0</v>
      </c>
      <c r="J1062" s="35">
        <f t="shared" si="82"/>
        <v>1188.0224937618427</v>
      </c>
      <c r="K1062" s="45">
        <f t="shared" si="80"/>
        <v>21892107.011086989</v>
      </c>
    </row>
    <row r="1063" spans="2:11">
      <c r="B1063" s="43">
        <v>45448</v>
      </c>
      <c r="C1063" s="32" t="s">
        <v>29</v>
      </c>
      <c r="D1063" s="32" t="s">
        <v>134</v>
      </c>
      <c r="E1063" s="36">
        <f t="shared" si="83"/>
        <v>21892107.011086989</v>
      </c>
      <c r="F1063" s="36">
        <v>0</v>
      </c>
      <c r="G1063" s="58">
        <v>-19256</v>
      </c>
      <c r="H1063" s="35">
        <f t="shared" si="84"/>
        <v>-19256</v>
      </c>
      <c r="I1063" s="35">
        <f t="shared" si="81"/>
        <v>0</v>
      </c>
      <c r="J1063" s="35">
        <f t="shared" si="82"/>
        <v>1187.7616333226281</v>
      </c>
      <c r="K1063" s="45">
        <f t="shared" si="80"/>
        <v>21871663.249453668</v>
      </c>
    </row>
    <row r="1064" spans="2:11">
      <c r="B1064" s="43">
        <v>45448</v>
      </c>
      <c r="C1064" s="32" t="s">
        <v>29</v>
      </c>
      <c r="D1064" s="32" t="s">
        <v>134</v>
      </c>
      <c r="E1064" s="36">
        <f t="shared" si="83"/>
        <v>21871663.249453668</v>
      </c>
      <c r="F1064" s="36">
        <v>0</v>
      </c>
      <c r="G1064" s="58">
        <v>-14351</v>
      </c>
      <c r="H1064" s="35">
        <f t="shared" si="84"/>
        <v>-14351</v>
      </c>
      <c r="I1064" s="35">
        <f t="shared" si="81"/>
        <v>0</v>
      </c>
      <c r="J1064" s="35">
        <f t="shared" si="82"/>
        <v>1186.6524520228768</v>
      </c>
      <c r="K1064" s="45">
        <f t="shared" si="80"/>
        <v>21856125.597001646</v>
      </c>
    </row>
    <row r="1065" spans="2:11">
      <c r="B1065" s="43">
        <v>45449</v>
      </c>
      <c r="C1065" s="32" t="s">
        <v>27</v>
      </c>
      <c r="D1065" s="32" t="s">
        <v>132</v>
      </c>
      <c r="E1065" s="36">
        <f t="shared" si="83"/>
        <v>21856125.597001646</v>
      </c>
      <c r="F1065" s="36">
        <v>13971.86</v>
      </c>
      <c r="G1065" s="58">
        <v>0</v>
      </c>
      <c r="H1065" s="35">
        <f t="shared" si="84"/>
        <v>13971.86</v>
      </c>
      <c r="I1065" s="35">
        <f t="shared" si="81"/>
        <v>0</v>
      </c>
      <c r="J1065" s="35">
        <f t="shared" si="82"/>
        <v>2371.6189057592419</v>
      </c>
      <c r="K1065" s="45">
        <f t="shared" si="80"/>
        <v>21867725.838095885</v>
      </c>
    </row>
    <row r="1066" spans="2:11">
      <c r="B1066" s="43">
        <v>45449</v>
      </c>
      <c r="C1066" s="32" t="s">
        <v>27</v>
      </c>
      <c r="D1066" s="32" t="s">
        <v>132</v>
      </c>
      <c r="E1066" s="36">
        <f t="shared" si="83"/>
        <v>21867725.838095885</v>
      </c>
      <c r="F1066" s="36">
        <v>17608.82</v>
      </c>
      <c r="G1066" s="58">
        <v>0</v>
      </c>
      <c r="H1066" s="35">
        <f t="shared" si="84"/>
        <v>17608.82</v>
      </c>
      <c r="I1066" s="35">
        <f t="shared" si="81"/>
        <v>0</v>
      </c>
      <c r="J1066" s="35">
        <f t="shared" si="82"/>
        <v>1186.4388268042985</v>
      </c>
      <c r="K1066" s="45">
        <f t="shared" si="80"/>
        <v>21884148.219269082</v>
      </c>
    </row>
    <row r="1067" spans="2:11">
      <c r="B1067" s="43">
        <v>45449</v>
      </c>
      <c r="C1067" s="32" t="s">
        <v>27</v>
      </c>
      <c r="D1067" s="32" t="s">
        <v>132</v>
      </c>
      <c r="E1067" s="36">
        <f t="shared" si="83"/>
        <v>21884148.219269082</v>
      </c>
      <c r="F1067" s="36">
        <v>15731.4</v>
      </c>
      <c r="G1067" s="58">
        <v>0</v>
      </c>
      <c r="H1067" s="35">
        <f t="shared" si="84"/>
        <v>15731.4</v>
      </c>
      <c r="I1067" s="35">
        <f t="shared" si="81"/>
        <v>0</v>
      </c>
      <c r="J1067" s="35">
        <f t="shared" si="82"/>
        <v>1187.3298271212368</v>
      </c>
      <c r="K1067" s="45">
        <f t="shared" si="80"/>
        <v>21898692.289441958</v>
      </c>
    </row>
    <row r="1068" spans="2:11">
      <c r="B1068" s="43">
        <v>45449</v>
      </c>
      <c r="C1068" s="32" t="s">
        <v>29</v>
      </c>
      <c r="D1068" s="32" t="s">
        <v>132</v>
      </c>
      <c r="E1068" s="36">
        <f t="shared" si="83"/>
        <v>21898692.289441958</v>
      </c>
      <c r="F1068" s="36">
        <v>19926.05</v>
      </c>
      <c r="G1068" s="58">
        <v>0</v>
      </c>
      <c r="H1068" s="35">
        <f t="shared" si="84"/>
        <v>19926.05</v>
      </c>
      <c r="I1068" s="35">
        <f t="shared" si="81"/>
        <v>0</v>
      </c>
      <c r="J1068" s="35">
        <f t="shared" si="82"/>
        <v>1188.1189192143343</v>
      </c>
      <c r="K1068" s="45">
        <f t="shared" si="80"/>
        <v>21917430.220522743</v>
      </c>
    </row>
    <row r="1069" spans="2:11">
      <c r="B1069" s="43">
        <v>45449</v>
      </c>
      <c r="C1069" s="32" t="s">
        <v>27</v>
      </c>
      <c r="D1069" s="32" t="s">
        <v>134</v>
      </c>
      <c r="E1069" s="36">
        <f t="shared" si="83"/>
        <v>21917430.220522743</v>
      </c>
      <c r="F1069" s="36">
        <v>0</v>
      </c>
      <c r="G1069" s="58">
        <v>-7550.69</v>
      </c>
      <c r="H1069" s="35">
        <f t="shared" si="84"/>
        <v>-7550.69</v>
      </c>
      <c r="I1069" s="35">
        <f t="shared" si="81"/>
        <v>0</v>
      </c>
      <c r="J1069" s="35">
        <f t="shared" si="82"/>
        <v>1189.1355502592278</v>
      </c>
      <c r="K1069" s="45">
        <f t="shared" si="80"/>
        <v>21908690.394972481</v>
      </c>
    </row>
    <row r="1070" spans="2:11">
      <c r="B1070" s="43">
        <v>45449</v>
      </c>
      <c r="C1070" s="32" t="s">
        <v>27</v>
      </c>
      <c r="D1070" s="32" t="s">
        <v>134</v>
      </c>
      <c r="E1070" s="36">
        <f t="shared" si="83"/>
        <v>21908690.394972481</v>
      </c>
      <c r="F1070" s="36">
        <v>0</v>
      </c>
      <c r="G1070" s="58">
        <v>-6738.92</v>
      </c>
      <c r="H1070" s="35">
        <f t="shared" si="84"/>
        <v>-6738.92</v>
      </c>
      <c r="I1070" s="35">
        <f t="shared" si="81"/>
        <v>0</v>
      </c>
      <c r="J1070" s="35">
        <f t="shared" si="82"/>
        <v>1188.661368881196</v>
      </c>
      <c r="K1070" s="45">
        <f t="shared" si="80"/>
        <v>21900762.813603599</v>
      </c>
    </row>
    <row r="1071" spans="2:11">
      <c r="B1071" s="43">
        <v>45449</v>
      </c>
      <c r="C1071" s="32" t="s">
        <v>25</v>
      </c>
      <c r="D1071" s="32" t="s">
        <v>134</v>
      </c>
      <c r="E1071" s="36">
        <f t="shared" si="83"/>
        <v>21900762.813603599</v>
      </c>
      <c r="F1071" s="36">
        <v>0</v>
      </c>
      <c r="G1071" s="58">
        <v>-9432</v>
      </c>
      <c r="H1071" s="35">
        <f t="shared" si="84"/>
        <v>-9432</v>
      </c>
      <c r="I1071" s="35">
        <f t="shared" si="81"/>
        <v>0</v>
      </c>
      <c r="J1071" s="35">
        <f t="shared" si="82"/>
        <v>1188.2312560103685</v>
      </c>
      <c r="K1071" s="45">
        <f t="shared" si="80"/>
        <v>21890142.582347587</v>
      </c>
    </row>
    <row r="1072" spans="2:11">
      <c r="B1072" s="43">
        <v>45449</v>
      </c>
      <c r="C1072" s="32" t="s">
        <v>29</v>
      </c>
      <c r="D1072" s="32" t="s">
        <v>134</v>
      </c>
      <c r="E1072" s="36">
        <f t="shared" si="83"/>
        <v>21890142.582347587</v>
      </c>
      <c r="F1072" s="36">
        <v>0</v>
      </c>
      <c r="G1072" s="58">
        <v>-3554</v>
      </c>
      <c r="H1072" s="35">
        <f t="shared" si="84"/>
        <v>-3554</v>
      </c>
      <c r="I1072" s="35">
        <f t="shared" si="81"/>
        <v>0</v>
      </c>
      <c r="J1072" s="35">
        <f t="shared" si="82"/>
        <v>1187.6550527597396</v>
      </c>
      <c r="K1072" s="45">
        <f t="shared" si="80"/>
        <v>21885400.927294828</v>
      </c>
    </row>
    <row r="1073" spans="2:11">
      <c r="B1073" s="43">
        <v>45449</v>
      </c>
      <c r="C1073" s="32" t="s">
        <v>29</v>
      </c>
      <c r="D1073" s="32" t="s">
        <v>134</v>
      </c>
      <c r="E1073" s="36">
        <f t="shared" si="83"/>
        <v>21885400.927294828</v>
      </c>
      <c r="F1073" s="36">
        <v>0</v>
      </c>
      <c r="G1073" s="58">
        <v>-16323</v>
      </c>
      <c r="H1073" s="35">
        <f t="shared" si="84"/>
        <v>-16323</v>
      </c>
      <c r="I1073" s="35">
        <f t="shared" si="81"/>
        <v>0</v>
      </c>
      <c r="J1073" s="35">
        <f t="shared" si="82"/>
        <v>1187.3977931023085</v>
      </c>
      <c r="K1073" s="45">
        <f t="shared" si="80"/>
        <v>21867890.529501725</v>
      </c>
    </row>
    <row r="1074" spans="2:11">
      <c r="B1074" s="43">
        <v>45449</v>
      </c>
      <c r="C1074" s="32" t="s">
        <v>29</v>
      </c>
      <c r="D1074" s="32" t="s">
        <v>134</v>
      </c>
      <c r="E1074" s="36">
        <f t="shared" si="83"/>
        <v>21867890.529501725</v>
      </c>
      <c r="F1074" s="36">
        <v>0</v>
      </c>
      <c r="G1074" s="58">
        <v>-14722</v>
      </c>
      <c r="H1074" s="35">
        <f t="shared" si="84"/>
        <v>-14722</v>
      </c>
      <c r="I1074" s="35">
        <f t="shared" si="81"/>
        <v>0</v>
      </c>
      <c r="J1074" s="35">
        <f t="shared" si="82"/>
        <v>1186.4477621769008</v>
      </c>
      <c r="K1074" s="45">
        <f t="shared" si="80"/>
        <v>21851982.081739549</v>
      </c>
    </row>
    <row r="1075" spans="2:11">
      <c r="B1075" s="43">
        <v>45450</v>
      </c>
      <c r="C1075" s="32" t="s">
        <v>27</v>
      </c>
      <c r="D1075" s="32" t="s">
        <v>132</v>
      </c>
      <c r="E1075" s="36">
        <f t="shared" si="83"/>
        <v>21851982.081739549</v>
      </c>
      <c r="F1075" s="36">
        <v>10348.01</v>
      </c>
      <c r="G1075" s="58">
        <v>0</v>
      </c>
      <c r="H1075" s="35">
        <f t="shared" si="84"/>
        <v>10348.01</v>
      </c>
      <c r="I1075" s="35">
        <f t="shared" si="81"/>
        <v>0</v>
      </c>
      <c r="J1075" s="35">
        <f t="shared" si="82"/>
        <v>2371.1692908863643</v>
      </c>
      <c r="K1075" s="45">
        <f t="shared" si="80"/>
        <v>21859958.922448665</v>
      </c>
    </row>
    <row r="1076" spans="2:11">
      <c r="B1076" s="43">
        <v>45450</v>
      </c>
      <c r="C1076" s="32" t="s">
        <v>29</v>
      </c>
      <c r="D1076" s="32" t="s">
        <v>132</v>
      </c>
      <c r="E1076" s="36">
        <f t="shared" si="83"/>
        <v>21859958.922448665</v>
      </c>
      <c r="F1076" s="36">
        <v>15968.16</v>
      </c>
      <c r="G1076" s="58">
        <v>0</v>
      </c>
      <c r="H1076" s="35">
        <f t="shared" si="84"/>
        <v>15968.16</v>
      </c>
      <c r="I1076" s="35">
        <f t="shared" si="81"/>
        <v>0</v>
      </c>
      <c r="J1076" s="35">
        <f t="shared" si="82"/>
        <v>1186.0174308915914</v>
      </c>
      <c r="K1076" s="45">
        <f t="shared" si="80"/>
        <v>21874741.065017775</v>
      </c>
    </row>
    <row r="1077" spans="2:11">
      <c r="B1077" s="43">
        <v>45450</v>
      </c>
      <c r="C1077" s="32" t="s">
        <v>29</v>
      </c>
      <c r="D1077" s="32" t="s">
        <v>132</v>
      </c>
      <c r="E1077" s="36">
        <f t="shared" si="83"/>
        <v>21874741.065017775</v>
      </c>
      <c r="F1077" s="36">
        <v>16868.55</v>
      </c>
      <c r="G1077" s="58">
        <v>0</v>
      </c>
      <c r="H1077" s="35">
        <f t="shared" si="84"/>
        <v>16868.55</v>
      </c>
      <c r="I1077" s="35">
        <f t="shared" si="81"/>
        <v>0</v>
      </c>
      <c r="J1077" s="35">
        <f t="shared" si="82"/>
        <v>1186.8194396609165</v>
      </c>
      <c r="K1077" s="45">
        <f t="shared" si="80"/>
        <v>21890422.795578115</v>
      </c>
    </row>
    <row r="1078" spans="2:11">
      <c r="B1078" s="43">
        <v>45450</v>
      </c>
      <c r="C1078" s="32" t="s">
        <v>25</v>
      </c>
      <c r="D1078" s="32" t="s">
        <v>132</v>
      </c>
      <c r="E1078" s="36">
        <f t="shared" si="83"/>
        <v>21890422.795578115</v>
      </c>
      <c r="F1078" s="36">
        <v>13128.69</v>
      </c>
      <c r="G1078" s="58">
        <v>0</v>
      </c>
      <c r="H1078" s="35">
        <f t="shared" si="84"/>
        <v>13128.69</v>
      </c>
      <c r="I1078" s="35">
        <f t="shared" si="81"/>
        <v>0</v>
      </c>
      <c r="J1078" s="35">
        <f t="shared" si="82"/>
        <v>1187.6702557972637</v>
      </c>
      <c r="K1078" s="45">
        <f t="shared" si="80"/>
        <v>21902363.815322317</v>
      </c>
    </row>
    <row r="1079" spans="2:11">
      <c r="B1079" s="43">
        <v>45450</v>
      </c>
      <c r="C1079" s="32" t="s">
        <v>29</v>
      </c>
      <c r="D1079" s="32" t="s">
        <v>132</v>
      </c>
      <c r="E1079" s="36">
        <f t="shared" si="83"/>
        <v>21902363.815322317</v>
      </c>
      <c r="F1079" s="36">
        <v>10679.85</v>
      </c>
      <c r="G1079" s="58">
        <v>0</v>
      </c>
      <c r="H1079" s="35">
        <f t="shared" si="84"/>
        <v>10679.85</v>
      </c>
      <c r="I1079" s="35">
        <f t="shared" si="81"/>
        <v>0</v>
      </c>
      <c r="J1079" s="35">
        <f t="shared" si="82"/>
        <v>1188.3181187511461</v>
      </c>
      <c r="K1079" s="45">
        <f t="shared" si="80"/>
        <v>21911855.347203568</v>
      </c>
    </row>
    <row r="1080" spans="2:11">
      <c r="B1080" s="43">
        <v>45450</v>
      </c>
      <c r="C1080" s="32" t="s">
        <v>29</v>
      </c>
      <c r="D1080" s="32" t="s">
        <v>132</v>
      </c>
      <c r="E1080" s="36">
        <f t="shared" si="83"/>
        <v>21911855.347203568</v>
      </c>
      <c r="F1080" s="36">
        <v>13170.65</v>
      </c>
      <c r="G1080" s="58">
        <v>0</v>
      </c>
      <c r="H1080" s="35">
        <f t="shared" si="84"/>
        <v>13170.65</v>
      </c>
      <c r="I1080" s="35">
        <f t="shared" si="81"/>
        <v>0</v>
      </c>
      <c r="J1080" s="35">
        <f t="shared" si="82"/>
        <v>1188.8330841404663</v>
      </c>
      <c r="K1080" s="45">
        <f t="shared" si="80"/>
        <v>21923837.164119426</v>
      </c>
    </row>
    <row r="1081" spans="2:11">
      <c r="B1081" s="43">
        <v>45450</v>
      </c>
      <c r="C1081" s="32" t="s">
        <v>29</v>
      </c>
      <c r="D1081" s="32" t="s">
        <v>132</v>
      </c>
      <c r="E1081" s="36">
        <f t="shared" si="83"/>
        <v>21923837.164119426</v>
      </c>
      <c r="F1081" s="36">
        <v>14751.96</v>
      </c>
      <c r="G1081" s="58">
        <v>0</v>
      </c>
      <c r="H1081" s="35">
        <f t="shared" si="84"/>
        <v>14751.96</v>
      </c>
      <c r="I1081" s="35">
        <f t="shared" si="81"/>
        <v>0</v>
      </c>
      <c r="J1081" s="35">
        <f t="shared" si="82"/>
        <v>1189.4831605548995</v>
      </c>
      <c r="K1081" s="45">
        <f t="shared" si="80"/>
        <v>21937399.640958872</v>
      </c>
    </row>
    <row r="1082" spans="2:11">
      <c r="B1082" s="43">
        <v>45450</v>
      </c>
      <c r="C1082" s="32" t="s">
        <v>27</v>
      </c>
      <c r="D1082" s="32" t="s">
        <v>134</v>
      </c>
      <c r="E1082" s="36">
        <f t="shared" si="83"/>
        <v>21937399.640958872</v>
      </c>
      <c r="F1082" s="36">
        <v>0</v>
      </c>
      <c r="G1082" s="58">
        <v>-14324</v>
      </c>
      <c r="H1082" s="35">
        <f t="shared" si="84"/>
        <v>-14324</v>
      </c>
      <c r="I1082" s="35">
        <f t="shared" si="81"/>
        <v>0</v>
      </c>
      <c r="J1082" s="35">
        <f t="shared" si="82"/>
        <v>1190.2189960610278</v>
      </c>
      <c r="K1082" s="45">
        <f t="shared" si="80"/>
        <v>21921885.421962809</v>
      </c>
    </row>
    <row r="1083" spans="2:11">
      <c r="B1083" s="43">
        <v>45450</v>
      </c>
      <c r="C1083" s="32" t="s">
        <v>27</v>
      </c>
      <c r="D1083" s="32" t="s">
        <v>134</v>
      </c>
      <c r="E1083" s="36">
        <f t="shared" si="83"/>
        <v>21921885.421962809</v>
      </c>
      <c r="F1083" s="36">
        <v>0</v>
      </c>
      <c r="G1083" s="58">
        <v>-4150</v>
      </c>
      <c r="H1083" s="35">
        <f t="shared" si="84"/>
        <v>-4150</v>
      </c>
      <c r="I1083" s="35">
        <f t="shared" si="81"/>
        <v>0</v>
      </c>
      <c r="J1083" s="35">
        <f t="shared" si="82"/>
        <v>1189.3772683056704</v>
      </c>
      <c r="K1083" s="45">
        <f t="shared" si="80"/>
        <v>21916546.044694502</v>
      </c>
    </row>
    <row r="1084" spans="2:11">
      <c r="B1084" s="43">
        <v>45451</v>
      </c>
      <c r="C1084" s="32" t="s">
        <v>29</v>
      </c>
      <c r="D1084" s="32" t="s">
        <v>132</v>
      </c>
      <c r="E1084" s="36">
        <f t="shared" si="83"/>
        <v>21916546.044694502</v>
      </c>
      <c r="F1084" s="36">
        <v>18474.330000000002</v>
      </c>
      <c r="G1084" s="58">
        <v>0</v>
      </c>
      <c r="H1084" s="35">
        <f t="shared" si="84"/>
        <v>18474.330000000002</v>
      </c>
      <c r="I1084" s="35">
        <f t="shared" si="81"/>
        <v>0</v>
      </c>
      <c r="J1084" s="35">
        <f t="shared" si="82"/>
        <v>2378.1751581657741</v>
      </c>
      <c r="K1084" s="45">
        <f t="shared" si="80"/>
        <v>21932642.199536335</v>
      </c>
    </row>
    <row r="1085" spans="2:11">
      <c r="B1085" s="43">
        <v>45451</v>
      </c>
      <c r="C1085" s="32" t="s">
        <v>29</v>
      </c>
      <c r="D1085" s="32" t="s">
        <v>132</v>
      </c>
      <c r="E1085" s="36">
        <f t="shared" si="83"/>
        <v>21932642.199536335</v>
      </c>
      <c r="F1085" s="36">
        <v>7727.28</v>
      </c>
      <c r="G1085" s="58">
        <v>0</v>
      </c>
      <c r="H1085" s="35">
        <f t="shared" si="84"/>
        <v>7727.28</v>
      </c>
      <c r="I1085" s="35">
        <f t="shared" si="81"/>
        <v>0</v>
      </c>
      <c r="J1085" s="35">
        <f t="shared" si="82"/>
        <v>1189.9608799102341</v>
      </c>
      <c r="K1085" s="45">
        <f t="shared" si="80"/>
        <v>21939179.518656425</v>
      </c>
    </row>
    <row r="1086" spans="2:11">
      <c r="B1086" s="43">
        <v>45451</v>
      </c>
      <c r="C1086" s="32" t="s">
        <v>27</v>
      </c>
      <c r="D1086" s="32" t="s">
        <v>134</v>
      </c>
      <c r="E1086" s="36">
        <f t="shared" si="83"/>
        <v>21939179.518656425</v>
      </c>
      <c r="F1086" s="36">
        <v>0</v>
      </c>
      <c r="G1086" s="58">
        <v>-12833.46</v>
      </c>
      <c r="H1086" s="35">
        <f t="shared" si="84"/>
        <v>-12833.46</v>
      </c>
      <c r="I1086" s="35">
        <f t="shared" si="81"/>
        <v>0</v>
      </c>
      <c r="J1086" s="35">
        <f t="shared" si="82"/>
        <v>1190.3155637618934</v>
      </c>
      <c r="K1086" s="45">
        <f t="shared" si="80"/>
        <v>21925155.743092664</v>
      </c>
    </row>
    <row r="1087" spans="2:11">
      <c r="B1087" s="43">
        <v>45451</v>
      </c>
      <c r="C1087" s="32" t="s">
        <v>25</v>
      </c>
      <c r="D1087" s="32" t="s">
        <v>134</v>
      </c>
      <c r="E1087" s="36">
        <f t="shared" si="83"/>
        <v>21925155.743092664</v>
      </c>
      <c r="F1087" s="36">
        <v>0</v>
      </c>
      <c r="G1087" s="58">
        <v>-1692</v>
      </c>
      <c r="H1087" s="35">
        <f t="shared" si="84"/>
        <v>-1692</v>
      </c>
      <c r="I1087" s="35">
        <f t="shared" si="81"/>
        <v>0</v>
      </c>
      <c r="J1087" s="35">
        <f t="shared" si="82"/>
        <v>1189.5547003803774</v>
      </c>
      <c r="K1087" s="45">
        <f t="shared" si="80"/>
        <v>21922274.188392282</v>
      </c>
    </row>
    <row r="1088" spans="2:11">
      <c r="B1088" s="43">
        <v>45451</v>
      </c>
      <c r="C1088" s="32" t="s">
        <v>25</v>
      </c>
      <c r="D1088" s="32" t="s">
        <v>134</v>
      </c>
      <c r="E1088" s="36">
        <f t="shared" si="83"/>
        <v>21922274.188392282</v>
      </c>
      <c r="F1088" s="36">
        <v>0</v>
      </c>
      <c r="G1088" s="58">
        <v>-21480</v>
      </c>
      <c r="H1088" s="35">
        <f t="shared" si="84"/>
        <v>-21480</v>
      </c>
      <c r="I1088" s="35">
        <f t="shared" si="81"/>
        <v>0</v>
      </c>
      <c r="J1088" s="35">
        <f t="shared" si="82"/>
        <v>1189.3983609236179</v>
      </c>
      <c r="K1088" s="45">
        <f t="shared" si="80"/>
        <v>21899604.790031359</v>
      </c>
    </row>
    <row r="1089" spans="2:11">
      <c r="B1089" s="43">
        <v>45451</v>
      </c>
      <c r="C1089" s="32" t="s">
        <v>29</v>
      </c>
      <c r="D1089" s="32" t="s">
        <v>134</v>
      </c>
      <c r="E1089" s="36">
        <f t="shared" si="83"/>
        <v>21899604.790031359</v>
      </c>
      <c r="F1089" s="36">
        <v>0</v>
      </c>
      <c r="G1089" s="58">
        <v>-8255</v>
      </c>
      <c r="H1089" s="35">
        <f t="shared" si="84"/>
        <v>-8255</v>
      </c>
      <c r="I1089" s="35">
        <f t="shared" si="81"/>
        <v>0</v>
      </c>
      <c r="J1089" s="35">
        <f t="shared" si="82"/>
        <v>1188.1684271575361</v>
      </c>
      <c r="K1089" s="45">
        <f t="shared" si="80"/>
        <v>21890161.6216042</v>
      </c>
    </row>
    <row r="1090" spans="2:11">
      <c r="B1090" s="43">
        <v>45451</v>
      </c>
      <c r="C1090" s="32" t="s">
        <v>27</v>
      </c>
      <c r="D1090" s="32" t="s">
        <v>134</v>
      </c>
      <c r="E1090" s="36">
        <f t="shared" si="83"/>
        <v>21890161.6216042</v>
      </c>
      <c r="F1090" s="36">
        <v>0</v>
      </c>
      <c r="G1090" s="58">
        <v>-11971</v>
      </c>
      <c r="H1090" s="35">
        <f t="shared" si="84"/>
        <v>-11971</v>
      </c>
      <c r="I1090" s="35">
        <f t="shared" si="81"/>
        <v>0</v>
      </c>
      <c r="J1090" s="35">
        <f t="shared" si="82"/>
        <v>1187.6560857392751</v>
      </c>
      <c r="K1090" s="45">
        <f t="shared" si="80"/>
        <v>21877002.96551846</v>
      </c>
    </row>
    <row r="1091" spans="2:11">
      <c r="B1091" s="43">
        <v>45452</v>
      </c>
      <c r="C1091" s="32" t="s">
        <v>29</v>
      </c>
      <c r="D1091" s="32" t="s">
        <v>132</v>
      </c>
      <c r="E1091" s="36">
        <f t="shared" si="83"/>
        <v>21877002.96551846</v>
      </c>
      <c r="F1091" s="36">
        <v>13649.8</v>
      </c>
      <c r="G1091" s="58">
        <v>0</v>
      </c>
      <c r="H1091" s="35">
        <f t="shared" si="84"/>
        <v>13649.8</v>
      </c>
      <c r="I1091" s="35">
        <f t="shared" si="81"/>
        <v>0</v>
      </c>
      <c r="J1091" s="35">
        <f t="shared" si="82"/>
        <v>2373.8843192542931</v>
      </c>
      <c r="K1091" s="45">
        <f t="shared" si="80"/>
        <v>21888278.881199207</v>
      </c>
    </row>
    <row r="1092" spans="2:11">
      <c r="B1092" s="43">
        <v>45452</v>
      </c>
      <c r="C1092" s="32" t="s">
        <v>27</v>
      </c>
      <c r="D1092" s="32" t="s">
        <v>132</v>
      </c>
      <c r="E1092" s="36">
        <f t="shared" si="83"/>
        <v>21888278.881199207</v>
      </c>
      <c r="F1092" s="36">
        <v>13493.84</v>
      </c>
      <c r="G1092" s="58">
        <v>0</v>
      </c>
      <c r="H1092" s="35">
        <f t="shared" si="84"/>
        <v>13493.84</v>
      </c>
      <c r="I1092" s="35">
        <f t="shared" si="81"/>
        <v>0</v>
      </c>
      <c r="J1092" s="35">
        <f t="shared" si="82"/>
        <v>1187.553937196998</v>
      </c>
      <c r="K1092" s="45">
        <f t="shared" si="80"/>
        <v>21900585.16726201</v>
      </c>
    </row>
    <row r="1093" spans="2:11">
      <c r="B1093" s="43">
        <v>45452</v>
      </c>
      <c r="C1093" s="32" t="s">
        <v>29</v>
      </c>
      <c r="D1093" s="32" t="s">
        <v>134</v>
      </c>
      <c r="E1093" s="36">
        <f t="shared" si="83"/>
        <v>21900585.16726201</v>
      </c>
      <c r="F1093" s="36">
        <v>0</v>
      </c>
      <c r="G1093" s="58">
        <v>-13379</v>
      </c>
      <c r="H1093" s="35">
        <f t="shared" si="84"/>
        <v>-13379</v>
      </c>
      <c r="I1093" s="35">
        <f t="shared" si="81"/>
        <v>0</v>
      </c>
      <c r="J1093" s="35">
        <f t="shared" si="82"/>
        <v>1188.221617764551</v>
      </c>
      <c r="K1093" s="45">
        <f t="shared" si="80"/>
        <v>21886017.945644245</v>
      </c>
    </row>
    <row r="1094" spans="2:11">
      <c r="B1094" s="43">
        <v>45453</v>
      </c>
      <c r="C1094" s="32" t="s">
        <v>29</v>
      </c>
      <c r="D1094" s="32" t="s">
        <v>132</v>
      </c>
      <c r="E1094" s="36">
        <f t="shared" si="83"/>
        <v>21886017.945644245</v>
      </c>
      <c r="F1094" s="36">
        <v>13422.73</v>
      </c>
      <c r="G1094" s="58">
        <v>0</v>
      </c>
      <c r="H1094" s="35">
        <f t="shared" si="84"/>
        <v>13422.73</v>
      </c>
      <c r="I1094" s="35">
        <f t="shared" si="81"/>
        <v>0</v>
      </c>
      <c r="J1094" s="35">
        <f t="shared" si="82"/>
        <v>2374.8625391682694</v>
      </c>
      <c r="K1094" s="45">
        <f t="shared" si="80"/>
        <v>21897065.813105077</v>
      </c>
    </row>
    <row r="1095" spans="2:11">
      <c r="B1095" s="43">
        <v>45453</v>
      </c>
      <c r="C1095" s="32" t="s">
        <v>25</v>
      </c>
      <c r="D1095" s="32" t="s">
        <v>132</v>
      </c>
      <c r="E1095" s="36">
        <f t="shared" si="83"/>
        <v>21897065.813105077</v>
      </c>
      <c r="F1095" s="36">
        <v>17266.169999999998</v>
      </c>
      <c r="G1095" s="58">
        <v>0</v>
      </c>
      <c r="H1095" s="35">
        <f t="shared" si="84"/>
        <v>17266.169999999998</v>
      </c>
      <c r="I1095" s="35">
        <f t="shared" si="81"/>
        <v>0</v>
      </c>
      <c r="J1095" s="35">
        <f t="shared" si="82"/>
        <v>1188.0306743419026</v>
      </c>
      <c r="K1095" s="45">
        <f t="shared" si="80"/>
        <v>21913143.952430736</v>
      </c>
    </row>
    <row r="1096" spans="2:11">
      <c r="B1096" s="43">
        <v>45453</v>
      </c>
      <c r="C1096" s="32" t="s">
        <v>27</v>
      </c>
      <c r="D1096" s="32" t="s">
        <v>132</v>
      </c>
      <c r="E1096" s="36">
        <f t="shared" si="83"/>
        <v>21913143.952430736</v>
      </c>
      <c r="F1096" s="36">
        <v>17945.3</v>
      </c>
      <c r="G1096" s="58">
        <v>0</v>
      </c>
      <c r="H1096" s="35">
        <f t="shared" si="84"/>
        <v>17945.3</v>
      </c>
      <c r="I1096" s="35">
        <f t="shared" si="81"/>
        <v>0</v>
      </c>
      <c r="J1096" s="35">
        <f t="shared" si="82"/>
        <v>1188.9029977330026</v>
      </c>
      <c r="K1096" s="45">
        <f t="shared" ref="K1096:K1159" si="85">E1096+H1096+I1096-J1096</f>
        <v>21929900.349433005</v>
      </c>
    </row>
    <row r="1097" spans="2:11">
      <c r="B1097" s="43">
        <v>45453</v>
      </c>
      <c r="C1097" s="32" t="s">
        <v>27</v>
      </c>
      <c r="D1097" s="32" t="s">
        <v>132</v>
      </c>
      <c r="E1097" s="36">
        <f t="shared" si="83"/>
        <v>21929900.349433005</v>
      </c>
      <c r="F1097" s="36">
        <v>12031.12</v>
      </c>
      <c r="G1097" s="58">
        <v>0</v>
      </c>
      <c r="H1097" s="35">
        <f t="shared" si="84"/>
        <v>12031.12</v>
      </c>
      <c r="I1097" s="35">
        <f t="shared" si="81"/>
        <v>0</v>
      </c>
      <c r="J1097" s="35">
        <f t="shared" si="82"/>
        <v>1189.81212016064</v>
      </c>
      <c r="K1097" s="45">
        <f t="shared" si="85"/>
        <v>21940741.657312844</v>
      </c>
    </row>
    <row r="1098" spans="2:11">
      <c r="B1098" s="43">
        <v>45453</v>
      </c>
      <c r="C1098" s="32" t="s">
        <v>25</v>
      </c>
      <c r="D1098" s="32" t="s">
        <v>134</v>
      </c>
      <c r="E1098" s="36">
        <f t="shared" si="83"/>
        <v>21940741.657312844</v>
      </c>
      <c r="F1098" s="36">
        <v>0</v>
      </c>
      <c r="G1098" s="58">
        <v>-9172.2900000000009</v>
      </c>
      <c r="H1098" s="35">
        <f t="shared" si="84"/>
        <v>-9172.2900000000009</v>
      </c>
      <c r="I1098" s="35">
        <f t="shared" si="81"/>
        <v>0</v>
      </c>
      <c r="J1098" s="35">
        <f t="shared" si="82"/>
        <v>1190.4003179776973</v>
      </c>
      <c r="K1098" s="45">
        <f t="shared" si="85"/>
        <v>21930378.966994867</v>
      </c>
    </row>
    <row r="1099" spans="2:11">
      <c r="B1099" s="43">
        <v>45453</v>
      </c>
      <c r="C1099" s="32" t="s">
        <v>25</v>
      </c>
      <c r="D1099" s="32" t="s">
        <v>134</v>
      </c>
      <c r="E1099" s="36">
        <f t="shared" si="83"/>
        <v>21930378.966994867</v>
      </c>
      <c r="F1099" s="36">
        <v>0</v>
      </c>
      <c r="G1099" s="58">
        <v>-5926.92</v>
      </c>
      <c r="H1099" s="35">
        <f t="shared" si="84"/>
        <v>-5926.92</v>
      </c>
      <c r="I1099" s="35">
        <f t="shared" si="81"/>
        <v>0</v>
      </c>
      <c r="J1099" s="35">
        <f t="shared" si="82"/>
        <v>1189.8380876738047</v>
      </c>
      <c r="K1099" s="45">
        <f t="shared" si="85"/>
        <v>21923262.208907191</v>
      </c>
    </row>
    <row r="1100" spans="2:11">
      <c r="B1100" s="43">
        <v>45453</v>
      </c>
      <c r="C1100" s="32" t="s">
        <v>25</v>
      </c>
      <c r="D1100" s="32" t="s">
        <v>134</v>
      </c>
      <c r="E1100" s="36">
        <f t="shared" si="83"/>
        <v>21923262.208907191</v>
      </c>
      <c r="F1100" s="36">
        <v>0</v>
      </c>
      <c r="G1100" s="58">
        <v>-16185</v>
      </c>
      <c r="H1100" s="35">
        <f t="shared" si="84"/>
        <v>-16185</v>
      </c>
      <c r="I1100" s="35">
        <f t="shared" si="81"/>
        <v>0</v>
      </c>
      <c r="J1100" s="35">
        <f t="shared" si="82"/>
        <v>1189.4519662188941</v>
      </c>
      <c r="K1100" s="45">
        <f t="shared" si="85"/>
        <v>21905887.756940972</v>
      </c>
    </row>
    <row r="1101" spans="2:11">
      <c r="B1101" s="43">
        <v>45453</v>
      </c>
      <c r="C1101" s="32" t="s">
        <v>25</v>
      </c>
      <c r="D1101" s="32" t="s">
        <v>134</v>
      </c>
      <c r="E1101" s="36">
        <f t="shared" si="83"/>
        <v>21905887.756940972</v>
      </c>
      <c r="F1101" s="36">
        <v>0</v>
      </c>
      <c r="G1101" s="58">
        <v>-9732</v>
      </c>
      <c r="H1101" s="35">
        <f t="shared" si="84"/>
        <v>-9732</v>
      </c>
      <c r="I1101" s="35">
        <f t="shared" si="81"/>
        <v>0</v>
      </c>
      <c r="J1101" s="35">
        <f t="shared" si="82"/>
        <v>1188.5093110676548</v>
      </c>
      <c r="K1101" s="45">
        <f t="shared" si="85"/>
        <v>21894967.247629903</v>
      </c>
    </row>
    <row r="1102" spans="2:11">
      <c r="B1102" s="43">
        <v>45453</v>
      </c>
      <c r="C1102" s="32" t="s">
        <v>27</v>
      </c>
      <c r="D1102" s="32" t="s">
        <v>134</v>
      </c>
      <c r="E1102" s="36">
        <f t="shared" si="83"/>
        <v>21894967.247629903</v>
      </c>
      <c r="F1102" s="36">
        <v>0</v>
      </c>
      <c r="G1102" s="58">
        <v>-13865</v>
      </c>
      <c r="H1102" s="35">
        <f t="shared" si="84"/>
        <v>-13865</v>
      </c>
      <c r="I1102" s="35">
        <f t="shared" si="81"/>
        <v>0</v>
      </c>
      <c r="J1102" s="35">
        <f t="shared" si="82"/>
        <v>1187.9168161575276</v>
      </c>
      <c r="K1102" s="45">
        <f t="shared" si="85"/>
        <v>21879914.330813747</v>
      </c>
    </row>
    <row r="1103" spans="2:11">
      <c r="B1103" s="43">
        <v>45453</v>
      </c>
      <c r="C1103" s="32" t="s">
        <v>25</v>
      </c>
      <c r="D1103" s="32" t="s">
        <v>134</v>
      </c>
      <c r="E1103" s="36">
        <f t="shared" si="83"/>
        <v>21879914.330813747</v>
      </c>
      <c r="F1103" s="36">
        <v>0</v>
      </c>
      <c r="G1103" s="58">
        <v>-3757</v>
      </c>
      <c r="H1103" s="35">
        <f t="shared" si="84"/>
        <v>-3757</v>
      </c>
      <c r="I1103" s="35">
        <f t="shared" si="81"/>
        <v>0</v>
      </c>
      <c r="J1103" s="35">
        <f t="shared" si="82"/>
        <v>1187.1001164650415</v>
      </c>
      <c r="K1103" s="45">
        <f t="shared" si="85"/>
        <v>21874970.230697282</v>
      </c>
    </row>
    <row r="1104" spans="2:11">
      <c r="B1104" s="43">
        <v>45454</v>
      </c>
      <c r="C1104" s="32" t="s">
        <v>29</v>
      </c>
      <c r="D1104" s="32" t="s">
        <v>132</v>
      </c>
      <c r="E1104" s="36">
        <f t="shared" si="83"/>
        <v>21874970.230697282</v>
      </c>
      <c r="F1104" s="36">
        <v>11612.84</v>
      </c>
      <c r="G1104" s="58">
        <v>0</v>
      </c>
      <c r="H1104" s="35">
        <f t="shared" si="84"/>
        <v>11612.84</v>
      </c>
      <c r="I1104" s="35">
        <f t="shared" si="81"/>
        <v>0</v>
      </c>
      <c r="J1104" s="35">
        <f t="shared" si="82"/>
        <v>2373.6637462020881</v>
      </c>
      <c r="K1104" s="45">
        <f t="shared" si="85"/>
        <v>21884209.406951081</v>
      </c>
    </row>
    <row r="1105" spans="2:11">
      <c r="B1105" s="43">
        <v>45454</v>
      </c>
      <c r="C1105" s="32" t="s">
        <v>27</v>
      </c>
      <c r="D1105" s="32" t="s">
        <v>132</v>
      </c>
      <c r="E1105" s="36">
        <f t="shared" si="83"/>
        <v>21884209.406951081</v>
      </c>
      <c r="F1105" s="36">
        <v>17298.240000000002</v>
      </c>
      <c r="G1105" s="58">
        <v>0</v>
      </c>
      <c r="H1105" s="35">
        <f t="shared" si="84"/>
        <v>17298.240000000002</v>
      </c>
      <c r="I1105" s="35">
        <f t="shared" si="81"/>
        <v>0</v>
      </c>
      <c r="J1105" s="35">
        <f t="shared" si="82"/>
        <v>1187.3331468739254</v>
      </c>
      <c r="K1105" s="45">
        <f t="shared" si="85"/>
        <v>21900320.313804206</v>
      </c>
    </row>
    <row r="1106" spans="2:11">
      <c r="B1106" s="43">
        <v>45454</v>
      </c>
      <c r="C1106" s="32" t="s">
        <v>25</v>
      </c>
      <c r="D1106" s="32" t="s">
        <v>134</v>
      </c>
      <c r="E1106" s="36">
        <f t="shared" si="83"/>
        <v>21900320.313804206</v>
      </c>
      <c r="F1106" s="36">
        <v>0</v>
      </c>
      <c r="G1106" s="58">
        <v>-7496.85</v>
      </c>
      <c r="H1106" s="35">
        <f t="shared" si="84"/>
        <v>-7496.85</v>
      </c>
      <c r="I1106" s="35">
        <f t="shared" si="81"/>
        <v>0</v>
      </c>
      <c r="J1106" s="35">
        <f t="shared" si="82"/>
        <v>1188.2072480752618</v>
      </c>
      <c r="K1106" s="45">
        <f t="shared" si="85"/>
        <v>21891635.256556127</v>
      </c>
    </row>
    <row r="1107" spans="2:11">
      <c r="B1107" s="43">
        <v>45454</v>
      </c>
      <c r="C1107" s="32" t="s">
        <v>25</v>
      </c>
      <c r="D1107" s="32" t="s">
        <v>134</v>
      </c>
      <c r="E1107" s="36">
        <f t="shared" si="83"/>
        <v>21891635.256556127</v>
      </c>
      <c r="F1107" s="36">
        <v>0</v>
      </c>
      <c r="G1107" s="58">
        <v>-4021</v>
      </c>
      <c r="H1107" s="35">
        <f t="shared" si="84"/>
        <v>-4021</v>
      </c>
      <c r="I1107" s="35">
        <f t="shared" si="81"/>
        <v>0</v>
      </c>
      <c r="J1107" s="35">
        <f t="shared" si="82"/>
        <v>1187.736038164893</v>
      </c>
      <c r="K1107" s="45">
        <f t="shared" si="85"/>
        <v>21886426.520517964</v>
      </c>
    </row>
    <row r="1108" spans="2:11">
      <c r="B1108" s="43">
        <v>45455</v>
      </c>
      <c r="C1108" s="32" t="s">
        <v>27</v>
      </c>
      <c r="D1108" s="32" t="s">
        <v>132</v>
      </c>
      <c r="E1108" s="36">
        <f t="shared" si="83"/>
        <v>21886426.520517964</v>
      </c>
      <c r="F1108" s="36">
        <v>17038.79</v>
      </c>
      <c r="G1108" s="58">
        <v>0</v>
      </c>
      <c r="H1108" s="35">
        <f t="shared" si="84"/>
        <v>17038.79</v>
      </c>
      <c r="I1108" s="35">
        <f t="shared" ref="I1108:I1171" si="86">(($E1108*Daily_Interest)*(_xlfn.DAYS(B1108,B1107)+1))+((IF(DAY($B1107)&gt;Monthly_Cut_off_Date,0,Daily_Interest*H1108))*(_xlfn.DAYS(B1108,B1107)+1))</f>
        <v>0</v>
      </c>
      <c r="J1108" s="35">
        <f t="shared" ref="J1108:J1171" si="87">(($I1108+E1108)*Daily_Fees_Rate)*((_xlfn.DAYS(B1108,B1107)+1))</f>
        <v>2374.9068738281626</v>
      </c>
      <c r="K1108" s="45">
        <f t="shared" si="85"/>
        <v>21901090.403644133</v>
      </c>
    </row>
    <row r="1109" spans="2:11">
      <c r="B1109" s="43">
        <v>45455</v>
      </c>
      <c r="C1109" s="32" t="s">
        <v>29</v>
      </c>
      <c r="D1109" s="32" t="s">
        <v>132</v>
      </c>
      <c r="E1109" s="36">
        <f t="shared" ref="E1109:E1172" si="88">K1108</f>
        <v>21901090.403644133</v>
      </c>
      <c r="F1109" s="36">
        <v>12480.83</v>
      </c>
      <c r="G1109" s="58">
        <v>0</v>
      </c>
      <c r="H1109" s="35">
        <f t="shared" ref="H1109:H1172" si="89">SUM(F1109:G1109)</f>
        <v>12480.83</v>
      </c>
      <c r="I1109" s="35">
        <f t="shared" si="86"/>
        <v>0</v>
      </c>
      <c r="J1109" s="35">
        <f t="shared" si="87"/>
        <v>1188.2490294883353</v>
      </c>
      <c r="K1109" s="45">
        <f t="shared" si="85"/>
        <v>21912382.984614644</v>
      </c>
    </row>
    <row r="1110" spans="2:11">
      <c r="B1110" s="43">
        <v>45455</v>
      </c>
      <c r="C1110" s="32" t="s">
        <v>25</v>
      </c>
      <c r="D1110" s="32" t="s">
        <v>132</v>
      </c>
      <c r="E1110" s="36">
        <f t="shared" si="88"/>
        <v>21912382.984614644</v>
      </c>
      <c r="F1110" s="36">
        <v>12507.15</v>
      </c>
      <c r="G1110" s="58">
        <v>0</v>
      </c>
      <c r="H1110" s="35">
        <f t="shared" si="89"/>
        <v>12507.15</v>
      </c>
      <c r="I1110" s="35">
        <f t="shared" si="86"/>
        <v>0</v>
      </c>
      <c r="J1110" s="35">
        <f t="shared" si="87"/>
        <v>1188.8617112375689</v>
      </c>
      <c r="K1110" s="45">
        <f t="shared" si="85"/>
        <v>21923701.272903405</v>
      </c>
    </row>
    <row r="1111" spans="2:11">
      <c r="B1111" s="43">
        <v>45455</v>
      </c>
      <c r="C1111" s="32" t="s">
        <v>25</v>
      </c>
      <c r="D1111" s="32" t="s">
        <v>132</v>
      </c>
      <c r="E1111" s="36">
        <f t="shared" si="88"/>
        <v>21923701.272903405</v>
      </c>
      <c r="F1111" s="36">
        <v>10332.31</v>
      </c>
      <c r="G1111" s="58">
        <v>0</v>
      </c>
      <c r="H1111" s="35">
        <f t="shared" si="89"/>
        <v>10332.31</v>
      </c>
      <c r="I1111" s="35">
        <f t="shared" si="86"/>
        <v>0</v>
      </c>
      <c r="J1111" s="35">
        <f t="shared" si="87"/>
        <v>1189.4757877436568</v>
      </c>
      <c r="K1111" s="45">
        <f t="shared" si="85"/>
        <v>21932844.10711566</v>
      </c>
    </row>
    <row r="1112" spans="2:11">
      <c r="B1112" s="43">
        <v>45455</v>
      </c>
      <c r="C1112" s="32" t="s">
        <v>27</v>
      </c>
      <c r="D1112" s="32" t="s">
        <v>132</v>
      </c>
      <c r="E1112" s="36">
        <f t="shared" si="88"/>
        <v>21932844.10711566</v>
      </c>
      <c r="F1112" s="36">
        <v>16258.6</v>
      </c>
      <c r="G1112" s="58">
        <v>0</v>
      </c>
      <c r="H1112" s="35">
        <f t="shared" si="89"/>
        <v>16258.6</v>
      </c>
      <c r="I1112" s="35">
        <f t="shared" si="86"/>
        <v>0</v>
      </c>
      <c r="J1112" s="35">
        <f t="shared" si="87"/>
        <v>1189.9718344554533</v>
      </c>
      <c r="K1112" s="45">
        <f t="shared" si="85"/>
        <v>21947912.735281207</v>
      </c>
    </row>
    <row r="1113" spans="2:11">
      <c r="B1113" s="43">
        <v>45455</v>
      </c>
      <c r="C1113" s="32" t="s">
        <v>27</v>
      </c>
      <c r="D1113" s="32" t="s">
        <v>132</v>
      </c>
      <c r="E1113" s="36">
        <f t="shared" si="88"/>
        <v>21947912.735281207</v>
      </c>
      <c r="F1113" s="36">
        <v>19983.78</v>
      </c>
      <c r="G1113" s="58">
        <v>0</v>
      </c>
      <c r="H1113" s="35">
        <f t="shared" si="89"/>
        <v>19983.78</v>
      </c>
      <c r="I1113" s="35">
        <f t="shared" si="86"/>
        <v>0</v>
      </c>
      <c r="J1113" s="35">
        <f t="shared" si="87"/>
        <v>1190.7893865710528</v>
      </c>
      <c r="K1113" s="45">
        <f t="shared" si="85"/>
        <v>21966705.725894637</v>
      </c>
    </row>
    <row r="1114" spans="2:11">
      <c r="B1114" s="43">
        <v>45455</v>
      </c>
      <c r="C1114" s="32" t="s">
        <v>27</v>
      </c>
      <c r="D1114" s="32" t="s">
        <v>134</v>
      </c>
      <c r="E1114" s="36">
        <f t="shared" si="88"/>
        <v>21966705.725894637</v>
      </c>
      <c r="F1114" s="36">
        <v>0</v>
      </c>
      <c r="G1114" s="58">
        <v>-11619</v>
      </c>
      <c r="H1114" s="35">
        <f t="shared" si="89"/>
        <v>-11619</v>
      </c>
      <c r="I1114" s="35">
        <f t="shared" si="86"/>
        <v>0</v>
      </c>
      <c r="J1114" s="35">
        <f t="shared" si="87"/>
        <v>1191.8090048843892</v>
      </c>
      <c r="K1114" s="45">
        <f t="shared" si="85"/>
        <v>21953894.916889753</v>
      </c>
    </row>
    <row r="1115" spans="2:11">
      <c r="B1115" s="43">
        <v>45455</v>
      </c>
      <c r="C1115" s="32" t="s">
        <v>29</v>
      </c>
      <c r="D1115" s="32" t="s">
        <v>134</v>
      </c>
      <c r="E1115" s="36">
        <f t="shared" si="88"/>
        <v>21953894.916889753</v>
      </c>
      <c r="F1115" s="36">
        <v>0</v>
      </c>
      <c r="G1115" s="58">
        <v>-7455</v>
      </c>
      <c r="H1115" s="35">
        <f t="shared" si="89"/>
        <v>-7455</v>
      </c>
      <c r="I1115" s="35">
        <f t="shared" si="86"/>
        <v>0</v>
      </c>
      <c r="J1115" s="35">
        <f t="shared" si="87"/>
        <v>1191.1139513009164</v>
      </c>
      <c r="K1115" s="45">
        <f t="shared" si="85"/>
        <v>21945248.802938454</v>
      </c>
    </row>
    <row r="1116" spans="2:11">
      <c r="B1116" s="43">
        <v>45455</v>
      </c>
      <c r="C1116" s="32" t="s">
        <v>29</v>
      </c>
      <c r="D1116" s="32" t="s">
        <v>134</v>
      </c>
      <c r="E1116" s="36">
        <f t="shared" si="88"/>
        <v>21945248.802938454</v>
      </c>
      <c r="F1116" s="36">
        <v>0</v>
      </c>
      <c r="G1116" s="58">
        <v>-5667</v>
      </c>
      <c r="H1116" s="35">
        <f t="shared" si="89"/>
        <v>-5667</v>
      </c>
      <c r="I1116" s="35">
        <f t="shared" si="86"/>
        <v>0</v>
      </c>
      <c r="J1116" s="35">
        <f t="shared" si="87"/>
        <v>1190.6448542686624</v>
      </c>
      <c r="K1116" s="45">
        <f t="shared" si="85"/>
        <v>21938391.158084184</v>
      </c>
    </row>
    <row r="1117" spans="2:11">
      <c r="B1117" s="43">
        <v>45456</v>
      </c>
      <c r="C1117" s="32" t="s">
        <v>25</v>
      </c>
      <c r="D1117" s="32" t="s">
        <v>132</v>
      </c>
      <c r="E1117" s="36">
        <f t="shared" si="88"/>
        <v>21938391.158084184</v>
      </c>
      <c r="F1117" s="36">
        <v>15261.14</v>
      </c>
      <c r="G1117" s="58">
        <v>0</v>
      </c>
      <c r="H1117" s="35">
        <f t="shared" si="89"/>
        <v>15261.14</v>
      </c>
      <c r="I1117" s="35">
        <f t="shared" si="86"/>
        <v>0</v>
      </c>
      <c r="J1117" s="35">
        <f t="shared" si="87"/>
        <v>2380.5455821315172</v>
      </c>
      <c r="K1117" s="45">
        <f t="shared" si="85"/>
        <v>21951271.752502054</v>
      </c>
    </row>
    <row r="1118" spans="2:11">
      <c r="B1118" s="43">
        <v>45456</v>
      </c>
      <c r="C1118" s="32" t="s">
        <v>29</v>
      </c>
      <c r="D1118" s="32" t="s">
        <v>132</v>
      </c>
      <c r="E1118" s="36">
        <f t="shared" si="88"/>
        <v>21951271.752502054</v>
      </c>
      <c r="F1118" s="36">
        <v>11450.22</v>
      </c>
      <c r="G1118" s="58">
        <v>0</v>
      </c>
      <c r="H1118" s="35">
        <f t="shared" si="89"/>
        <v>11450.22</v>
      </c>
      <c r="I1118" s="35">
        <f t="shared" si="86"/>
        <v>0</v>
      </c>
      <c r="J1118" s="35">
        <f t="shared" si="87"/>
        <v>1190.9716308739228</v>
      </c>
      <c r="K1118" s="45">
        <f t="shared" si="85"/>
        <v>21961531.000871178</v>
      </c>
    </row>
    <row r="1119" spans="2:11">
      <c r="B1119" s="43">
        <v>45456</v>
      </c>
      <c r="C1119" s="32" t="s">
        <v>25</v>
      </c>
      <c r="D1119" s="32" t="s">
        <v>132</v>
      </c>
      <c r="E1119" s="36">
        <f t="shared" si="88"/>
        <v>21961531.000871178</v>
      </c>
      <c r="F1119" s="36">
        <v>13538.62</v>
      </c>
      <c r="G1119" s="58">
        <v>0</v>
      </c>
      <c r="H1119" s="35">
        <f t="shared" si="89"/>
        <v>13538.62</v>
      </c>
      <c r="I1119" s="35">
        <f t="shared" si="86"/>
        <v>0</v>
      </c>
      <c r="J1119" s="35">
        <f t="shared" si="87"/>
        <v>1191.5282489095189</v>
      </c>
      <c r="K1119" s="45">
        <f t="shared" si="85"/>
        <v>21973878.092622269</v>
      </c>
    </row>
    <row r="1120" spans="2:11">
      <c r="B1120" s="43">
        <v>45456</v>
      </c>
      <c r="C1120" s="32" t="s">
        <v>29</v>
      </c>
      <c r="D1120" s="32" t="s">
        <v>132</v>
      </c>
      <c r="E1120" s="36">
        <f t="shared" si="88"/>
        <v>21973878.092622269</v>
      </c>
      <c r="F1120" s="36">
        <v>17772.080000000002</v>
      </c>
      <c r="G1120" s="58">
        <v>0</v>
      </c>
      <c r="H1120" s="35">
        <f t="shared" si="89"/>
        <v>17772.080000000002</v>
      </c>
      <c r="I1120" s="35">
        <f t="shared" si="86"/>
        <v>0</v>
      </c>
      <c r="J1120" s="35">
        <f t="shared" si="87"/>
        <v>1192.1981433996946</v>
      </c>
      <c r="K1120" s="45">
        <f t="shared" si="85"/>
        <v>21990457.974478867</v>
      </c>
    </row>
    <row r="1121" spans="2:11">
      <c r="B1121" s="43">
        <v>45456</v>
      </c>
      <c r="C1121" s="32" t="s">
        <v>27</v>
      </c>
      <c r="D1121" s="32" t="s">
        <v>132</v>
      </c>
      <c r="E1121" s="36">
        <f t="shared" si="88"/>
        <v>21990457.974478867</v>
      </c>
      <c r="F1121" s="36">
        <v>12665.09</v>
      </c>
      <c r="G1121" s="58">
        <v>0</v>
      </c>
      <c r="H1121" s="35">
        <f t="shared" si="89"/>
        <v>12665.09</v>
      </c>
      <c r="I1121" s="35">
        <f t="shared" si="86"/>
        <v>0</v>
      </c>
      <c r="J1121" s="35">
        <f t="shared" si="87"/>
        <v>1193.097688954826</v>
      </c>
      <c r="K1121" s="45">
        <f t="shared" si="85"/>
        <v>22001929.966789912</v>
      </c>
    </row>
    <row r="1122" spans="2:11">
      <c r="B1122" s="43">
        <v>45456</v>
      </c>
      <c r="C1122" s="32" t="s">
        <v>29</v>
      </c>
      <c r="D1122" s="32" t="s">
        <v>132</v>
      </c>
      <c r="E1122" s="36">
        <f t="shared" si="88"/>
        <v>22001929.966789912</v>
      </c>
      <c r="F1122" s="36">
        <v>13130.58</v>
      </c>
      <c r="G1122" s="58">
        <v>0</v>
      </c>
      <c r="H1122" s="35">
        <f t="shared" si="89"/>
        <v>13130.58</v>
      </c>
      <c r="I1122" s="35">
        <f t="shared" si="86"/>
        <v>0</v>
      </c>
      <c r="J1122" s="35">
        <f t="shared" si="87"/>
        <v>1193.7201047103279</v>
      </c>
      <c r="K1122" s="45">
        <f t="shared" si="85"/>
        <v>22013866.826685201</v>
      </c>
    </row>
    <row r="1123" spans="2:11">
      <c r="B1123" s="43">
        <v>45456</v>
      </c>
      <c r="C1123" s="32" t="s">
        <v>25</v>
      </c>
      <c r="D1123" s="32" t="s">
        <v>132</v>
      </c>
      <c r="E1123" s="36">
        <f t="shared" si="88"/>
        <v>22013866.826685201</v>
      </c>
      <c r="F1123" s="36">
        <v>11641.15</v>
      </c>
      <c r="G1123" s="58">
        <v>0</v>
      </c>
      <c r="H1123" s="35">
        <f t="shared" si="89"/>
        <v>11641.15</v>
      </c>
      <c r="I1123" s="35">
        <f t="shared" si="86"/>
        <v>0</v>
      </c>
      <c r="J1123" s="35">
        <f t="shared" si="87"/>
        <v>1194.3677419705875</v>
      </c>
      <c r="K1123" s="45">
        <f t="shared" si="85"/>
        <v>22024313.608943228</v>
      </c>
    </row>
    <row r="1124" spans="2:11">
      <c r="B1124" s="43">
        <v>45456</v>
      </c>
      <c r="C1124" s="32" t="s">
        <v>27</v>
      </c>
      <c r="D1124" s="32" t="s">
        <v>134</v>
      </c>
      <c r="E1124" s="36">
        <f t="shared" si="88"/>
        <v>22024313.608943228</v>
      </c>
      <c r="F1124" s="36">
        <v>0</v>
      </c>
      <c r="G1124" s="58">
        <v>-3290</v>
      </c>
      <c r="H1124" s="35">
        <f t="shared" si="89"/>
        <v>-3290</v>
      </c>
      <c r="I1124" s="35">
        <f t="shared" si="86"/>
        <v>0</v>
      </c>
      <c r="J1124" s="35">
        <f t="shared" si="87"/>
        <v>1194.9345347033052</v>
      </c>
      <c r="K1124" s="45">
        <f t="shared" si="85"/>
        <v>22019828.674408525</v>
      </c>
    </row>
    <row r="1125" spans="2:11">
      <c r="B1125" s="43">
        <v>45456</v>
      </c>
      <c r="C1125" s="32" t="s">
        <v>25</v>
      </c>
      <c r="D1125" s="32" t="s">
        <v>134</v>
      </c>
      <c r="E1125" s="36">
        <f t="shared" si="88"/>
        <v>22019828.674408525</v>
      </c>
      <c r="F1125" s="36">
        <v>0</v>
      </c>
      <c r="G1125" s="58">
        <v>-21079</v>
      </c>
      <c r="H1125" s="35">
        <f t="shared" si="89"/>
        <v>-21079</v>
      </c>
      <c r="I1125" s="35">
        <f t="shared" si="86"/>
        <v>0</v>
      </c>
      <c r="J1125" s="35">
        <f t="shared" si="87"/>
        <v>1194.6912034805232</v>
      </c>
      <c r="K1125" s="45">
        <f t="shared" si="85"/>
        <v>21997554.983205047</v>
      </c>
    </row>
    <row r="1126" spans="2:11">
      <c r="B1126" s="43">
        <v>45457</v>
      </c>
      <c r="C1126" s="32" t="s">
        <v>25</v>
      </c>
      <c r="D1126" s="32" t="s">
        <v>132</v>
      </c>
      <c r="E1126" s="36">
        <f t="shared" si="88"/>
        <v>21997554.983205047</v>
      </c>
      <c r="F1126" s="36">
        <v>13312.6</v>
      </c>
      <c r="G1126" s="58">
        <v>0</v>
      </c>
      <c r="H1126" s="35">
        <f t="shared" si="89"/>
        <v>13312.6</v>
      </c>
      <c r="I1126" s="35">
        <f t="shared" si="86"/>
        <v>0</v>
      </c>
      <c r="J1126" s="35">
        <f t="shared" si="87"/>
        <v>2386.9654778065733</v>
      </c>
      <c r="K1126" s="45">
        <f t="shared" si="85"/>
        <v>22008480.617727242</v>
      </c>
    </row>
    <row r="1127" spans="2:11">
      <c r="B1127" s="43">
        <v>45457</v>
      </c>
      <c r="C1127" s="32" t="s">
        <v>25</v>
      </c>
      <c r="D1127" s="32" t="s">
        <v>132</v>
      </c>
      <c r="E1127" s="36">
        <f t="shared" si="88"/>
        <v>22008480.617727242</v>
      </c>
      <c r="F1127" s="36">
        <v>14035.09</v>
      </c>
      <c r="G1127" s="58">
        <v>0</v>
      </c>
      <c r="H1127" s="35">
        <f t="shared" si="89"/>
        <v>14035.09</v>
      </c>
      <c r="I1127" s="35">
        <f t="shared" si="86"/>
        <v>0</v>
      </c>
      <c r="J1127" s="35">
        <f t="shared" si="87"/>
        <v>1194.0755118830002</v>
      </c>
      <c r="K1127" s="45">
        <f t="shared" si="85"/>
        <v>22021321.632215358</v>
      </c>
    </row>
    <row r="1128" spans="2:11">
      <c r="B1128" s="43">
        <v>45457</v>
      </c>
      <c r="C1128" s="32" t="s">
        <v>25</v>
      </c>
      <c r="D1128" s="32" t="s">
        <v>132</v>
      </c>
      <c r="E1128" s="36">
        <f t="shared" si="88"/>
        <v>22021321.632215358</v>
      </c>
      <c r="F1128" s="36">
        <v>16616.27</v>
      </c>
      <c r="G1128" s="58">
        <v>0</v>
      </c>
      <c r="H1128" s="35">
        <f t="shared" si="89"/>
        <v>16616.27</v>
      </c>
      <c r="I1128" s="35">
        <f t="shared" si="86"/>
        <v>0</v>
      </c>
      <c r="J1128" s="35">
        <f t="shared" si="87"/>
        <v>1194.7722042723715</v>
      </c>
      <c r="K1128" s="45">
        <f t="shared" si="85"/>
        <v>22036743.130011085</v>
      </c>
    </row>
    <row r="1129" spans="2:11">
      <c r="B1129" s="43">
        <v>45457</v>
      </c>
      <c r="C1129" s="32" t="s">
        <v>27</v>
      </c>
      <c r="D1129" s="32" t="s">
        <v>134</v>
      </c>
      <c r="E1129" s="36">
        <f t="shared" si="88"/>
        <v>22036743.130011085</v>
      </c>
      <c r="F1129" s="36">
        <v>0</v>
      </c>
      <c r="G1129" s="58">
        <v>-14318.29</v>
      </c>
      <c r="H1129" s="35">
        <f t="shared" si="89"/>
        <v>-14318.29</v>
      </c>
      <c r="I1129" s="35">
        <f t="shared" si="86"/>
        <v>0</v>
      </c>
      <c r="J1129" s="35">
        <f t="shared" si="87"/>
        <v>1195.6089014162717</v>
      </c>
      <c r="K1129" s="45">
        <f t="shared" si="85"/>
        <v>22021229.231109671</v>
      </c>
    </row>
    <row r="1130" spans="2:11">
      <c r="B1130" s="43">
        <v>45458</v>
      </c>
      <c r="C1130" s="32" t="s">
        <v>27</v>
      </c>
      <c r="D1130" s="32" t="s">
        <v>134</v>
      </c>
      <c r="E1130" s="36">
        <f t="shared" si="88"/>
        <v>22021229.231109671</v>
      </c>
      <c r="F1130" s="36">
        <v>0</v>
      </c>
      <c r="G1130" s="58">
        <v>-13110.71</v>
      </c>
      <c r="H1130" s="35">
        <f t="shared" si="89"/>
        <v>-13110.71</v>
      </c>
      <c r="I1130" s="35">
        <f t="shared" si="86"/>
        <v>0</v>
      </c>
      <c r="J1130" s="35">
        <f t="shared" si="87"/>
        <v>2389.5343820554554</v>
      </c>
      <c r="K1130" s="45">
        <f t="shared" si="85"/>
        <v>22005728.986727614</v>
      </c>
    </row>
    <row r="1131" spans="2:11">
      <c r="B1131" s="43">
        <v>45458</v>
      </c>
      <c r="C1131" s="32" t="s">
        <v>29</v>
      </c>
      <c r="D1131" s="32" t="s">
        <v>134</v>
      </c>
      <c r="E1131" s="36">
        <f t="shared" si="88"/>
        <v>22005728.986727614</v>
      </c>
      <c r="F1131" s="36">
        <v>0</v>
      </c>
      <c r="G1131" s="58">
        <v>-9030.2000000000007</v>
      </c>
      <c r="H1131" s="35">
        <f t="shared" si="89"/>
        <v>-9030.2000000000007</v>
      </c>
      <c r="I1131" s="35">
        <f t="shared" si="86"/>
        <v>0</v>
      </c>
      <c r="J1131" s="35">
        <f t="shared" si="87"/>
        <v>1193.9262214684793</v>
      </c>
      <c r="K1131" s="45">
        <f t="shared" si="85"/>
        <v>21995504.860506147</v>
      </c>
    </row>
    <row r="1132" spans="2:11">
      <c r="B1132" s="43">
        <v>45458</v>
      </c>
      <c r="C1132" s="32" t="s">
        <v>29</v>
      </c>
      <c r="D1132" s="32" t="s">
        <v>134</v>
      </c>
      <c r="E1132" s="36">
        <f t="shared" si="88"/>
        <v>21995504.860506147</v>
      </c>
      <c r="F1132" s="36">
        <v>0</v>
      </c>
      <c r="G1132" s="58">
        <v>-18337</v>
      </c>
      <c r="H1132" s="35">
        <f t="shared" si="89"/>
        <v>-18337</v>
      </c>
      <c r="I1132" s="35">
        <f t="shared" si="86"/>
        <v>0</v>
      </c>
      <c r="J1132" s="35">
        <f t="shared" si="87"/>
        <v>1193.3715089936154</v>
      </c>
      <c r="K1132" s="45">
        <f t="shared" si="85"/>
        <v>21975974.488997154</v>
      </c>
    </row>
    <row r="1133" spans="2:11">
      <c r="B1133" s="43">
        <v>45459</v>
      </c>
      <c r="C1133" s="32" t="s">
        <v>25</v>
      </c>
      <c r="D1133" s="32" t="s">
        <v>132</v>
      </c>
      <c r="E1133" s="36">
        <f t="shared" si="88"/>
        <v>21975974.488997154</v>
      </c>
      <c r="F1133" s="36">
        <v>16682.349999999999</v>
      </c>
      <c r="G1133" s="58">
        <v>0</v>
      </c>
      <c r="H1133" s="35">
        <f t="shared" si="89"/>
        <v>16682.349999999999</v>
      </c>
      <c r="I1133" s="35">
        <f t="shared" si="86"/>
        <v>0</v>
      </c>
      <c r="J1133" s="35">
        <f t="shared" si="87"/>
        <v>2384.623767798003</v>
      </c>
      <c r="K1133" s="45">
        <f t="shared" si="85"/>
        <v>21990272.215229359</v>
      </c>
    </row>
    <row r="1134" spans="2:11">
      <c r="B1134" s="43">
        <v>45459</v>
      </c>
      <c r="C1134" s="32" t="s">
        <v>27</v>
      </c>
      <c r="D1134" s="32" t="s">
        <v>132</v>
      </c>
      <c r="E1134" s="36">
        <f t="shared" si="88"/>
        <v>21990272.215229359</v>
      </c>
      <c r="F1134" s="36">
        <v>10744.9</v>
      </c>
      <c r="G1134" s="58">
        <v>0</v>
      </c>
      <c r="H1134" s="35">
        <f t="shared" si="89"/>
        <v>10744.9</v>
      </c>
      <c r="I1134" s="35">
        <f t="shared" si="86"/>
        <v>0</v>
      </c>
      <c r="J1134" s="35">
        <f t="shared" si="87"/>
        <v>1193.0876105412001</v>
      </c>
      <c r="K1134" s="45">
        <f t="shared" si="85"/>
        <v>21999824.027618814</v>
      </c>
    </row>
    <row r="1135" spans="2:11">
      <c r="B1135" s="43">
        <v>45459</v>
      </c>
      <c r="C1135" s="32" t="s">
        <v>25</v>
      </c>
      <c r="D1135" s="32" t="s">
        <v>134</v>
      </c>
      <c r="E1135" s="36">
        <f t="shared" si="88"/>
        <v>21999824.027618814</v>
      </c>
      <c r="F1135" s="36">
        <v>0</v>
      </c>
      <c r="G1135" s="58">
        <v>-11480.27</v>
      </c>
      <c r="H1135" s="35">
        <f t="shared" si="89"/>
        <v>-11480.27</v>
      </c>
      <c r="I1135" s="35">
        <f t="shared" si="86"/>
        <v>0</v>
      </c>
      <c r="J1135" s="35">
        <f t="shared" si="87"/>
        <v>1193.6058464642726</v>
      </c>
      <c r="K1135" s="45">
        <f t="shared" si="85"/>
        <v>21987150.15177235</v>
      </c>
    </row>
    <row r="1136" spans="2:11">
      <c r="B1136" s="43">
        <v>45459</v>
      </c>
      <c r="C1136" s="32" t="s">
        <v>25</v>
      </c>
      <c r="D1136" s="32" t="s">
        <v>134</v>
      </c>
      <c r="E1136" s="36">
        <f t="shared" si="88"/>
        <v>21987150.15177235</v>
      </c>
      <c r="F1136" s="36">
        <v>0</v>
      </c>
      <c r="G1136" s="58">
        <v>-3788</v>
      </c>
      <c r="H1136" s="35">
        <f t="shared" si="89"/>
        <v>-3788</v>
      </c>
      <c r="I1136" s="35">
        <f t="shared" si="86"/>
        <v>0</v>
      </c>
      <c r="J1136" s="35">
        <f t="shared" si="87"/>
        <v>1192.9182222228828</v>
      </c>
      <c r="K1136" s="45">
        <f t="shared" si="85"/>
        <v>21982169.233550128</v>
      </c>
    </row>
    <row r="1137" spans="2:11">
      <c r="B1137" s="43">
        <v>45459</v>
      </c>
      <c r="C1137" s="32" t="s">
        <v>27</v>
      </c>
      <c r="D1137" s="32" t="s">
        <v>134</v>
      </c>
      <c r="E1137" s="36">
        <f t="shared" si="88"/>
        <v>21982169.233550128</v>
      </c>
      <c r="F1137" s="36">
        <v>0</v>
      </c>
      <c r="G1137" s="58">
        <v>-1456</v>
      </c>
      <c r="H1137" s="35">
        <f t="shared" si="89"/>
        <v>-1456</v>
      </c>
      <c r="I1137" s="35">
        <f t="shared" si="86"/>
        <v>0</v>
      </c>
      <c r="J1137" s="35">
        <f t="shared" si="87"/>
        <v>1192.6479812835307</v>
      </c>
      <c r="K1137" s="45">
        <f t="shared" si="85"/>
        <v>21979520.585568845</v>
      </c>
    </row>
    <row r="1138" spans="2:11">
      <c r="B1138" s="43">
        <v>45459</v>
      </c>
      <c r="C1138" s="32" t="s">
        <v>25</v>
      </c>
      <c r="D1138" s="32" t="s">
        <v>134</v>
      </c>
      <c r="E1138" s="36">
        <f t="shared" si="88"/>
        <v>21979520.585568845</v>
      </c>
      <c r="F1138" s="36">
        <v>0</v>
      </c>
      <c r="G1138" s="58">
        <v>-9792</v>
      </c>
      <c r="H1138" s="35">
        <f t="shared" si="89"/>
        <v>-9792</v>
      </c>
      <c r="I1138" s="35">
        <f t="shared" si="86"/>
        <v>0</v>
      </c>
      <c r="J1138" s="35">
        <f t="shared" si="87"/>
        <v>1192.5042782379192</v>
      </c>
      <c r="K1138" s="45">
        <f t="shared" si="85"/>
        <v>21968536.081290606</v>
      </c>
    </row>
    <row r="1139" spans="2:11">
      <c r="B1139" s="43">
        <v>45460</v>
      </c>
      <c r="C1139" s="32" t="s">
        <v>27</v>
      </c>
      <c r="D1139" s="32" t="s">
        <v>132</v>
      </c>
      <c r="E1139" s="36">
        <f t="shared" si="88"/>
        <v>21968536.081290606</v>
      </c>
      <c r="F1139" s="36">
        <v>22337.26</v>
      </c>
      <c r="G1139" s="58">
        <v>0</v>
      </c>
      <c r="H1139" s="35">
        <f t="shared" si="89"/>
        <v>22337.26</v>
      </c>
      <c r="I1139" s="35">
        <f t="shared" si="86"/>
        <v>0</v>
      </c>
      <c r="J1139" s="35">
        <f t="shared" si="87"/>
        <v>2383.8166225303162</v>
      </c>
      <c r="K1139" s="45">
        <f t="shared" si="85"/>
        <v>21988489.524668079</v>
      </c>
    </row>
    <row r="1140" spans="2:11">
      <c r="B1140" s="43">
        <v>45460</v>
      </c>
      <c r="C1140" s="32" t="s">
        <v>27</v>
      </c>
      <c r="D1140" s="32" t="s">
        <v>132</v>
      </c>
      <c r="E1140" s="36">
        <f t="shared" si="88"/>
        <v>21988489.524668079</v>
      </c>
      <c r="F1140" s="36">
        <v>19320.349999999999</v>
      </c>
      <c r="G1140" s="58">
        <v>0</v>
      </c>
      <c r="H1140" s="35">
        <f t="shared" si="89"/>
        <v>19320.349999999999</v>
      </c>
      <c r="I1140" s="35">
        <f t="shared" si="86"/>
        <v>0</v>
      </c>
      <c r="J1140" s="35">
        <f t="shared" si="87"/>
        <v>1192.9908902277236</v>
      </c>
      <c r="K1140" s="45">
        <f t="shared" si="85"/>
        <v>22006616.883777853</v>
      </c>
    </row>
    <row r="1141" spans="2:11">
      <c r="B1141" s="43">
        <v>45460</v>
      </c>
      <c r="C1141" s="32" t="s">
        <v>25</v>
      </c>
      <c r="D1141" s="32" t="s">
        <v>132</v>
      </c>
      <c r="E1141" s="36">
        <f t="shared" si="88"/>
        <v>22006616.883777853</v>
      </c>
      <c r="F1141" s="36">
        <v>13171.46</v>
      </c>
      <c r="G1141" s="58">
        <v>0</v>
      </c>
      <c r="H1141" s="35">
        <f t="shared" si="89"/>
        <v>13171.46</v>
      </c>
      <c r="I1141" s="35">
        <f t="shared" si="86"/>
        <v>0</v>
      </c>
      <c r="J1141" s="35">
        <f t="shared" si="87"/>
        <v>1193.9743945406319</v>
      </c>
      <c r="K1141" s="45">
        <f t="shared" si="85"/>
        <v>22018594.369383313</v>
      </c>
    </row>
    <row r="1142" spans="2:11">
      <c r="B1142" s="43">
        <v>45461</v>
      </c>
      <c r="C1142" s="32" t="s">
        <v>27</v>
      </c>
      <c r="D1142" s="32" t="s">
        <v>132</v>
      </c>
      <c r="E1142" s="36">
        <f t="shared" si="88"/>
        <v>22018594.369383313</v>
      </c>
      <c r="F1142" s="36">
        <v>14802.75</v>
      </c>
      <c r="G1142" s="58">
        <v>0</v>
      </c>
      <c r="H1142" s="35">
        <f t="shared" si="89"/>
        <v>14802.75</v>
      </c>
      <c r="I1142" s="35">
        <f t="shared" si="86"/>
        <v>0</v>
      </c>
      <c r="J1142" s="35">
        <f t="shared" si="87"/>
        <v>2389.2484719175145</v>
      </c>
      <c r="K1142" s="45">
        <f t="shared" si="85"/>
        <v>22031007.870911397</v>
      </c>
    </row>
    <row r="1143" spans="2:11">
      <c r="B1143" s="43">
        <v>45461</v>
      </c>
      <c r="C1143" s="32" t="s">
        <v>25</v>
      </c>
      <c r="D1143" s="32" t="s">
        <v>132</v>
      </c>
      <c r="E1143" s="36">
        <f t="shared" si="88"/>
        <v>22031007.870911397</v>
      </c>
      <c r="F1143" s="36">
        <v>16459.5</v>
      </c>
      <c r="G1143" s="58">
        <v>0</v>
      </c>
      <c r="H1143" s="35">
        <f t="shared" si="89"/>
        <v>16459.5</v>
      </c>
      <c r="I1143" s="35">
        <f t="shared" si="86"/>
        <v>0</v>
      </c>
      <c r="J1143" s="35">
        <f t="shared" si="87"/>
        <v>1195.2977335276657</v>
      </c>
      <c r="K1143" s="45">
        <f t="shared" si="85"/>
        <v>22046272.07317787</v>
      </c>
    </row>
    <row r="1144" spans="2:11">
      <c r="B1144" s="43">
        <v>45461</v>
      </c>
      <c r="C1144" s="32" t="s">
        <v>27</v>
      </c>
      <c r="D1144" s="32" t="s">
        <v>132</v>
      </c>
      <c r="E1144" s="36">
        <f t="shared" si="88"/>
        <v>22046272.07317787</v>
      </c>
      <c r="F1144" s="36">
        <v>10899.36</v>
      </c>
      <c r="G1144" s="58">
        <v>0</v>
      </c>
      <c r="H1144" s="35">
        <f t="shared" si="89"/>
        <v>10899.36</v>
      </c>
      <c r="I1144" s="35">
        <f t="shared" si="86"/>
        <v>0</v>
      </c>
      <c r="J1144" s="35">
        <f t="shared" si="87"/>
        <v>1196.1258965640611</v>
      </c>
      <c r="K1144" s="45">
        <f t="shared" si="85"/>
        <v>22055975.307281304</v>
      </c>
    </row>
    <row r="1145" spans="2:11">
      <c r="B1145" s="43">
        <v>45461</v>
      </c>
      <c r="C1145" s="32" t="s">
        <v>27</v>
      </c>
      <c r="D1145" s="32" t="s">
        <v>132</v>
      </c>
      <c r="E1145" s="36">
        <f t="shared" si="88"/>
        <v>22055975.307281304</v>
      </c>
      <c r="F1145" s="36">
        <v>13307.26</v>
      </c>
      <c r="G1145" s="58">
        <v>0</v>
      </c>
      <c r="H1145" s="35">
        <f t="shared" si="89"/>
        <v>13307.26</v>
      </c>
      <c r="I1145" s="35">
        <f t="shared" si="86"/>
        <v>0</v>
      </c>
      <c r="J1145" s="35">
        <f t="shared" si="87"/>
        <v>1196.6523479093505</v>
      </c>
      <c r="K1145" s="45">
        <f t="shared" si="85"/>
        <v>22068085.914933395</v>
      </c>
    </row>
    <row r="1146" spans="2:11">
      <c r="B1146" s="43">
        <v>45461</v>
      </c>
      <c r="C1146" s="32" t="s">
        <v>27</v>
      </c>
      <c r="D1146" s="32" t="s">
        <v>134</v>
      </c>
      <c r="E1146" s="36">
        <f t="shared" si="88"/>
        <v>22068085.914933395</v>
      </c>
      <c r="F1146" s="36">
        <v>0</v>
      </c>
      <c r="G1146" s="58">
        <v>-15858.9</v>
      </c>
      <c r="H1146" s="35">
        <f t="shared" si="89"/>
        <v>-15858.9</v>
      </c>
      <c r="I1146" s="35">
        <f t="shared" si="86"/>
        <v>0</v>
      </c>
      <c r="J1146" s="35">
        <f t="shared" si="87"/>
        <v>1197.3094118967542</v>
      </c>
      <c r="K1146" s="45">
        <f t="shared" si="85"/>
        <v>22051029.705521498</v>
      </c>
    </row>
    <row r="1147" spans="2:11">
      <c r="B1147" s="43">
        <v>45461</v>
      </c>
      <c r="C1147" s="32" t="s">
        <v>25</v>
      </c>
      <c r="D1147" s="32" t="s">
        <v>134</v>
      </c>
      <c r="E1147" s="36">
        <f t="shared" si="88"/>
        <v>22051029.705521498</v>
      </c>
      <c r="F1147" s="36">
        <v>0</v>
      </c>
      <c r="G1147" s="58">
        <v>-8563.5400000000009</v>
      </c>
      <c r="H1147" s="35">
        <f t="shared" si="89"/>
        <v>-8563.5400000000009</v>
      </c>
      <c r="I1147" s="35">
        <f t="shared" si="86"/>
        <v>0</v>
      </c>
      <c r="J1147" s="35">
        <f t="shared" si="87"/>
        <v>1196.3840230733256</v>
      </c>
      <c r="K1147" s="45">
        <f t="shared" si="85"/>
        <v>22041269.781498425</v>
      </c>
    </row>
    <row r="1148" spans="2:11">
      <c r="B1148" s="43">
        <v>45461</v>
      </c>
      <c r="C1148" s="32" t="s">
        <v>29</v>
      </c>
      <c r="D1148" s="32" t="s">
        <v>134</v>
      </c>
      <c r="E1148" s="36">
        <f t="shared" si="88"/>
        <v>22041269.781498425</v>
      </c>
      <c r="F1148" s="36">
        <v>0</v>
      </c>
      <c r="G1148" s="58">
        <v>-19587</v>
      </c>
      <c r="H1148" s="35">
        <f t="shared" si="89"/>
        <v>-19587</v>
      </c>
      <c r="I1148" s="35">
        <f t="shared" si="86"/>
        <v>0</v>
      </c>
      <c r="J1148" s="35">
        <f t="shared" si="87"/>
        <v>1195.854496002547</v>
      </c>
      <c r="K1148" s="45">
        <f t="shared" si="85"/>
        <v>22020486.927002423</v>
      </c>
    </row>
    <row r="1149" spans="2:11">
      <c r="B1149" s="43">
        <v>45461</v>
      </c>
      <c r="C1149" s="32" t="s">
        <v>27</v>
      </c>
      <c r="D1149" s="32" t="s">
        <v>134</v>
      </c>
      <c r="E1149" s="36">
        <f t="shared" si="88"/>
        <v>22020486.927002423</v>
      </c>
      <c r="F1149" s="36">
        <v>0</v>
      </c>
      <c r="G1149" s="58">
        <v>-12540</v>
      </c>
      <c r="H1149" s="35">
        <f t="shared" si="89"/>
        <v>-12540</v>
      </c>
      <c r="I1149" s="35">
        <f t="shared" si="86"/>
        <v>0</v>
      </c>
      <c r="J1149" s="35">
        <f t="shared" si="87"/>
        <v>1194.7269171363932</v>
      </c>
      <c r="K1149" s="45">
        <f t="shared" si="85"/>
        <v>22006752.200085286</v>
      </c>
    </row>
    <row r="1150" spans="2:11">
      <c r="B1150" s="43">
        <v>45461</v>
      </c>
      <c r="C1150" s="32" t="s">
        <v>29</v>
      </c>
      <c r="D1150" s="32" t="s">
        <v>134</v>
      </c>
      <c r="E1150" s="36">
        <f t="shared" si="88"/>
        <v>22006752.200085286</v>
      </c>
      <c r="F1150" s="36">
        <v>0</v>
      </c>
      <c r="G1150" s="58">
        <v>-16835</v>
      </c>
      <c r="H1150" s="35">
        <f t="shared" si="89"/>
        <v>-16835</v>
      </c>
      <c r="I1150" s="35">
        <f t="shared" si="86"/>
        <v>0</v>
      </c>
      <c r="J1150" s="35">
        <f t="shared" si="87"/>
        <v>1193.9817361600681</v>
      </c>
      <c r="K1150" s="45">
        <f t="shared" si="85"/>
        <v>21988723.218349125</v>
      </c>
    </row>
    <row r="1151" spans="2:11">
      <c r="B1151" s="43">
        <v>45461</v>
      </c>
      <c r="C1151" s="32" t="s">
        <v>25</v>
      </c>
      <c r="D1151" s="32" t="s">
        <v>134</v>
      </c>
      <c r="E1151" s="36">
        <f t="shared" si="88"/>
        <v>21988723.218349125</v>
      </c>
      <c r="F1151" s="36">
        <v>0</v>
      </c>
      <c r="G1151" s="58">
        <v>-9358</v>
      </c>
      <c r="H1151" s="35">
        <f t="shared" si="89"/>
        <v>-9358</v>
      </c>
      <c r="I1151" s="35">
        <f t="shared" si="86"/>
        <v>0</v>
      </c>
      <c r="J1151" s="35">
        <f t="shared" si="87"/>
        <v>1193.0035693356851</v>
      </c>
      <c r="K1151" s="45">
        <f t="shared" si="85"/>
        <v>21978172.21477979</v>
      </c>
    </row>
    <row r="1152" spans="2:11">
      <c r="B1152" s="43">
        <v>45462</v>
      </c>
      <c r="C1152" s="32" t="s">
        <v>25</v>
      </c>
      <c r="D1152" s="32" t="s">
        <v>134</v>
      </c>
      <c r="E1152" s="36">
        <f t="shared" si="88"/>
        <v>21978172.21477979</v>
      </c>
      <c r="F1152" s="36">
        <v>0</v>
      </c>
      <c r="G1152" s="58">
        <v>-9554.31</v>
      </c>
      <c r="H1152" s="35">
        <f t="shared" si="89"/>
        <v>-9554.31</v>
      </c>
      <c r="I1152" s="35">
        <f t="shared" si="86"/>
        <v>0</v>
      </c>
      <c r="J1152" s="35">
        <f t="shared" si="87"/>
        <v>2384.8622441003399</v>
      </c>
      <c r="K1152" s="45">
        <f t="shared" si="85"/>
        <v>21966233.042535692</v>
      </c>
    </row>
    <row r="1153" spans="2:11">
      <c r="B1153" s="43">
        <v>45462</v>
      </c>
      <c r="C1153" s="32" t="s">
        <v>25</v>
      </c>
      <c r="D1153" s="32" t="s">
        <v>134</v>
      </c>
      <c r="E1153" s="36">
        <f t="shared" si="88"/>
        <v>21966233.042535692</v>
      </c>
      <c r="F1153" s="36">
        <v>0</v>
      </c>
      <c r="G1153" s="58">
        <v>-4878</v>
      </c>
      <c r="H1153" s="35">
        <f t="shared" si="89"/>
        <v>-4878</v>
      </c>
      <c r="I1153" s="35">
        <f t="shared" si="86"/>
        <v>0</v>
      </c>
      <c r="J1153" s="35">
        <f t="shared" si="87"/>
        <v>1191.7833593328587</v>
      </c>
      <c r="K1153" s="45">
        <f t="shared" si="85"/>
        <v>21960163.259176359</v>
      </c>
    </row>
    <row r="1154" spans="2:11">
      <c r="B1154" s="43">
        <v>45462</v>
      </c>
      <c r="C1154" s="32" t="s">
        <v>29</v>
      </c>
      <c r="D1154" s="32" t="s">
        <v>134</v>
      </c>
      <c r="E1154" s="36">
        <f t="shared" si="88"/>
        <v>21960163.259176359</v>
      </c>
      <c r="F1154" s="36">
        <v>0</v>
      </c>
      <c r="G1154" s="58">
        <v>-2251</v>
      </c>
      <c r="H1154" s="35">
        <f t="shared" si="89"/>
        <v>-2251</v>
      </c>
      <c r="I1154" s="35">
        <f t="shared" si="86"/>
        <v>0</v>
      </c>
      <c r="J1154" s="35">
        <f t="shared" si="87"/>
        <v>1191.454041748528</v>
      </c>
      <c r="K1154" s="45">
        <f t="shared" si="85"/>
        <v>21956720.805134609</v>
      </c>
    </row>
    <row r="1155" spans="2:11">
      <c r="B1155" s="43">
        <v>45462</v>
      </c>
      <c r="C1155" s="32" t="s">
        <v>25</v>
      </c>
      <c r="D1155" s="32" t="s">
        <v>134</v>
      </c>
      <c r="E1155" s="36">
        <f t="shared" si="88"/>
        <v>21956720.805134609</v>
      </c>
      <c r="F1155" s="36">
        <v>0</v>
      </c>
      <c r="G1155" s="58">
        <v>-16055</v>
      </c>
      <c r="H1155" s="35">
        <f t="shared" si="89"/>
        <v>-16055</v>
      </c>
      <c r="I1155" s="35">
        <f t="shared" si="86"/>
        <v>0</v>
      </c>
      <c r="J1155" s="35">
        <f t="shared" si="87"/>
        <v>1191.2672705604832</v>
      </c>
      <c r="K1155" s="45">
        <f t="shared" si="85"/>
        <v>21939474.537864048</v>
      </c>
    </row>
    <row r="1156" spans="2:11">
      <c r="B1156" s="43">
        <v>45462</v>
      </c>
      <c r="C1156" s="32" t="s">
        <v>25</v>
      </c>
      <c r="D1156" s="32" t="s">
        <v>134</v>
      </c>
      <c r="E1156" s="36">
        <f t="shared" si="88"/>
        <v>21939474.537864048</v>
      </c>
      <c r="F1156" s="36">
        <v>0</v>
      </c>
      <c r="G1156" s="58">
        <v>-16849</v>
      </c>
      <c r="H1156" s="35">
        <f t="shared" si="89"/>
        <v>-16849</v>
      </c>
      <c r="I1156" s="35">
        <f t="shared" si="86"/>
        <v>0</v>
      </c>
      <c r="J1156" s="35">
        <f t="shared" si="87"/>
        <v>1190.3315701013348</v>
      </c>
      <c r="K1156" s="45">
        <f t="shared" si="85"/>
        <v>21921435.206293948</v>
      </c>
    </row>
    <row r="1157" spans="2:11">
      <c r="B1157" s="43">
        <v>45463</v>
      </c>
      <c r="C1157" s="32" t="s">
        <v>25</v>
      </c>
      <c r="D1157" s="32" t="s">
        <v>132</v>
      </c>
      <c r="E1157" s="36">
        <f t="shared" si="88"/>
        <v>21921435.206293948</v>
      </c>
      <c r="F1157" s="36">
        <v>15291.23</v>
      </c>
      <c r="G1157" s="58">
        <v>0</v>
      </c>
      <c r="H1157" s="35">
        <f t="shared" si="89"/>
        <v>15291.23</v>
      </c>
      <c r="I1157" s="35">
        <f t="shared" si="86"/>
        <v>0</v>
      </c>
      <c r="J1157" s="35">
        <f t="shared" si="87"/>
        <v>2378.7056834883479</v>
      </c>
      <c r="K1157" s="45">
        <f t="shared" si="85"/>
        <v>21934347.73061046</v>
      </c>
    </row>
    <row r="1158" spans="2:11">
      <c r="B1158" s="43">
        <v>45463</v>
      </c>
      <c r="C1158" s="32" t="s">
        <v>27</v>
      </c>
      <c r="D1158" s="32" t="s">
        <v>132</v>
      </c>
      <c r="E1158" s="36">
        <f t="shared" si="88"/>
        <v>21934347.73061046</v>
      </c>
      <c r="F1158" s="36">
        <v>19732.36</v>
      </c>
      <c r="G1158" s="58">
        <v>0</v>
      </c>
      <c r="H1158" s="35">
        <f t="shared" si="89"/>
        <v>19732.36</v>
      </c>
      <c r="I1158" s="35">
        <f t="shared" si="86"/>
        <v>0</v>
      </c>
      <c r="J1158" s="35">
        <f t="shared" si="87"/>
        <v>1190.0534139168174</v>
      </c>
      <c r="K1158" s="45">
        <f t="shared" si="85"/>
        <v>21952890.037196543</v>
      </c>
    </row>
    <row r="1159" spans="2:11">
      <c r="B1159" s="43">
        <v>45463</v>
      </c>
      <c r="C1159" s="32" t="s">
        <v>27</v>
      </c>
      <c r="D1159" s="32" t="s">
        <v>132</v>
      </c>
      <c r="E1159" s="36">
        <f t="shared" si="88"/>
        <v>21952890.037196543</v>
      </c>
      <c r="F1159" s="36">
        <v>13660.7</v>
      </c>
      <c r="G1159" s="58">
        <v>0</v>
      </c>
      <c r="H1159" s="35">
        <f t="shared" si="89"/>
        <v>13660.7</v>
      </c>
      <c r="I1159" s="35">
        <f t="shared" si="86"/>
        <v>0</v>
      </c>
      <c r="J1159" s="35">
        <f t="shared" si="87"/>
        <v>1191.0594313067882</v>
      </c>
      <c r="K1159" s="45">
        <f t="shared" si="85"/>
        <v>21965359.677765235</v>
      </c>
    </row>
    <row r="1160" spans="2:11">
      <c r="B1160" s="43">
        <v>45463</v>
      </c>
      <c r="C1160" s="32" t="s">
        <v>25</v>
      </c>
      <c r="D1160" s="32" t="s">
        <v>134</v>
      </c>
      <c r="E1160" s="36">
        <f t="shared" si="88"/>
        <v>21965359.677765235</v>
      </c>
      <c r="F1160" s="36">
        <v>0</v>
      </c>
      <c r="G1160" s="58">
        <v>-9814.14</v>
      </c>
      <c r="H1160" s="35">
        <f t="shared" si="89"/>
        <v>-9814.14</v>
      </c>
      <c r="I1160" s="35">
        <f t="shared" si="86"/>
        <v>0</v>
      </c>
      <c r="J1160" s="35">
        <f t="shared" si="87"/>
        <v>1191.7359747131088</v>
      </c>
      <c r="K1160" s="45">
        <f t="shared" ref="K1160:K1223" si="90">E1160+H1160+I1160-J1160</f>
        <v>21954353.801790521</v>
      </c>
    </row>
    <row r="1161" spans="2:11">
      <c r="B1161" s="43">
        <v>45463</v>
      </c>
      <c r="C1161" s="32" t="s">
        <v>25</v>
      </c>
      <c r="D1161" s="32" t="s">
        <v>134</v>
      </c>
      <c r="E1161" s="36">
        <f t="shared" si="88"/>
        <v>21954353.801790521</v>
      </c>
      <c r="F1161" s="36">
        <v>0</v>
      </c>
      <c r="G1161" s="58">
        <v>-12105</v>
      </c>
      <c r="H1161" s="35">
        <f t="shared" si="89"/>
        <v>-12105</v>
      </c>
      <c r="I1161" s="35">
        <f t="shared" si="86"/>
        <v>0</v>
      </c>
      <c r="J1161" s="35">
        <f t="shared" si="87"/>
        <v>1191.1388482137154</v>
      </c>
      <c r="K1161" s="45">
        <f t="shared" si="90"/>
        <v>21941057.662942305</v>
      </c>
    </row>
    <row r="1162" spans="2:11">
      <c r="B1162" s="43">
        <v>45463</v>
      </c>
      <c r="C1162" s="32" t="s">
        <v>27</v>
      </c>
      <c r="D1162" s="32" t="s">
        <v>134</v>
      </c>
      <c r="E1162" s="36">
        <f t="shared" si="88"/>
        <v>21941057.662942305</v>
      </c>
      <c r="F1162" s="36">
        <v>0</v>
      </c>
      <c r="G1162" s="58">
        <v>-9516</v>
      </c>
      <c r="H1162" s="35">
        <f t="shared" si="89"/>
        <v>-9516</v>
      </c>
      <c r="I1162" s="35">
        <f t="shared" si="86"/>
        <v>0</v>
      </c>
      <c r="J1162" s="35">
        <f t="shared" si="87"/>
        <v>1190.4174629406011</v>
      </c>
      <c r="K1162" s="45">
        <f t="shared" si="90"/>
        <v>21930351.245479364</v>
      </c>
    </row>
    <row r="1163" spans="2:11">
      <c r="B1163" s="43">
        <v>45463</v>
      </c>
      <c r="C1163" s="32" t="s">
        <v>27</v>
      </c>
      <c r="D1163" s="32" t="s">
        <v>134</v>
      </c>
      <c r="E1163" s="36">
        <f t="shared" si="88"/>
        <v>21930351.245479364</v>
      </c>
      <c r="F1163" s="36">
        <v>0</v>
      </c>
      <c r="G1163" s="58">
        <v>-11080</v>
      </c>
      <c r="H1163" s="35">
        <f t="shared" si="89"/>
        <v>-11080</v>
      </c>
      <c r="I1163" s="35">
        <f t="shared" si="86"/>
        <v>0</v>
      </c>
      <c r="J1163" s="35">
        <f t="shared" si="87"/>
        <v>1189.8365836361843</v>
      </c>
      <c r="K1163" s="45">
        <f t="shared" si="90"/>
        <v>21918081.408895727</v>
      </c>
    </row>
    <row r="1164" spans="2:11">
      <c r="B1164" s="43">
        <v>45464</v>
      </c>
      <c r="C1164" s="32" t="s">
        <v>27</v>
      </c>
      <c r="D1164" s="32" t="s">
        <v>132</v>
      </c>
      <c r="E1164" s="36">
        <f t="shared" si="88"/>
        <v>21918081.408895727</v>
      </c>
      <c r="F1164" s="36">
        <v>19653.46</v>
      </c>
      <c r="G1164" s="58">
        <v>0</v>
      </c>
      <c r="H1164" s="35">
        <f t="shared" si="89"/>
        <v>19653.46</v>
      </c>
      <c r="I1164" s="35">
        <f t="shared" si="86"/>
        <v>0</v>
      </c>
      <c r="J1164" s="35">
        <f t="shared" si="87"/>
        <v>2378.3417612881203</v>
      </c>
      <c r="K1164" s="45">
        <f t="shared" si="90"/>
        <v>21935356.527134441</v>
      </c>
    </row>
    <row r="1165" spans="2:11">
      <c r="B1165" s="43">
        <v>45464</v>
      </c>
      <c r="C1165" s="32" t="s">
        <v>29</v>
      </c>
      <c r="D1165" s="32" t="s">
        <v>132</v>
      </c>
      <c r="E1165" s="36">
        <f t="shared" si="88"/>
        <v>21935356.527134441</v>
      </c>
      <c r="F1165" s="36">
        <v>12849.53</v>
      </c>
      <c r="G1165" s="58">
        <v>0</v>
      </c>
      <c r="H1165" s="35">
        <f t="shared" si="89"/>
        <v>12849.53</v>
      </c>
      <c r="I1165" s="35">
        <f t="shared" si="86"/>
        <v>0</v>
      </c>
      <c r="J1165" s="35">
        <f t="shared" si="87"/>
        <v>1190.1081464195593</v>
      </c>
      <c r="K1165" s="45">
        <f t="shared" si="90"/>
        <v>21947015.948988024</v>
      </c>
    </row>
    <row r="1166" spans="2:11">
      <c r="B1166" s="43">
        <v>45464</v>
      </c>
      <c r="C1166" s="32" t="s">
        <v>29</v>
      </c>
      <c r="D1166" s="32" t="s">
        <v>134</v>
      </c>
      <c r="E1166" s="36">
        <f t="shared" si="88"/>
        <v>21947015.948988024</v>
      </c>
      <c r="F1166" s="36">
        <v>0</v>
      </c>
      <c r="G1166" s="58">
        <v>-13611.18</v>
      </c>
      <c r="H1166" s="35">
        <f t="shared" si="89"/>
        <v>-13611.18</v>
      </c>
      <c r="I1166" s="35">
        <f t="shared" si="86"/>
        <v>0</v>
      </c>
      <c r="J1166" s="35">
        <f t="shared" si="87"/>
        <v>1190.7407312108448</v>
      </c>
      <c r="K1166" s="45">
        <f t="shared" si="90"/>
        <v>21932214.028256815</v>
      </c>
    </row>
    <row r="1167" spans="2:11">
      <c r="B1167" s="43">
        <v>45464</v>
      </c>
      <c r="C1167" s="32" t="s">
        <v>27</v>
      </c>
      <c r="D1167" s="32" t="s">
        <v>134</v>
      </c>
      <c r="E1167" s="36">
        <f t="shared" si="88"/>
        <v>21932214.028256815</v>
      </c>
      <c r="F1167" s="36">
        <v>0</v>
      </c>
      <c r="G1167" s="58">
        <v>-21489</v>
      </c>
      <c r="H1167" s="35">
        <f t="shared" si="89"/>
        <v>-21489</v>
      </c>
      <c r="I1167" s="35">
        <f t="shared" si="86"/>
        <v>0</v>
      </c>
      <c r="J1167" s="35">
        <f t="shared" si="87"/>
        <v>1189.937649372486</v>
      </c>
      <c r="K1167" s="45">
        <f t="shared" si="90"/>
        <v>21909535.090607442</v>
      </c>
    </row>
    <row r="1168" spans="2:11">
      <c r="B1168" s="43">
        <v>45464</v>
      </c>
      <c r="C1168" s="32" t="s">
        <v>25</v>
      </c>
      <c r="D1168" s="32" t="s">
        <v>134</v>
      </c>
      <c r="E1168" s="36">
        <f t="shared" si="88"/>
        <v>21909535.090607442</v>
      </c>
      <c r="F1168" s="36">
        <v>0</v>
      </c>
      <c r="G1168" s="58">
        <v>-21036</v>
      </c>
      <c r="H1168" s="35">
        <f t="shared" si="89"/>
        <v>-21036</v>
      </c>
      <c r="I1168" s="35">
        <f t="shared" si="86"/>
        <v>0</v>
      </c>
      <c r="J1168" s="35">
        <f t="shared" si="87"/>
        <v>1188.7071980499707</v>
      </c>
      <c r="K1168" s="45">
        <f t="shared" si="90"/>
        <v>21887310.383409392</v>
      </c>
    </row>
    <row r="1169" spans="2:11">
      <c r="B1169" s="43">
        <v>45464</v>
      </c>
      <c r="C1169" s="32" t="s">
        <v>29</v>
      </c>
      <c r="D1169" s="32" t="s">
        <v>134</v>
      </c>
      <c r="E1169" s="36">
        <f t="shared" si="88"/>
        <v>21887310.383409392</v>
      </c>
      <c r="F1169" s="36">
        <v>0</v>
      </c>
      <c r="G1169" s="58">
        <v>-15554</v>
      </c>
      <c r="H1169" s="35">
        <f t="shared" si="89"/>
        <v>-15554</v>
      </c>
      <c r="I1169" s="35">
        <f t="shared" si="86"/>
        <v>0</v>
      </c>
      <c r="J1169" s="35">
        <f t="shared" si="87"/>
        <v>1187.5013911119586</v>
      </c>
      <c r="K1169" s="45">
        <f t="shared" si="90"/>
        <v>21870568.882018279</v>
      </c>
    </row>
    <row r="1170" spans="2:11">
      <c r="B1170" s="43">
        <v>45465</v>
      </c>
      <c r="C1170" s="32" t="s">
        <v>27</v>
      </c>
      <c r="D1170" s="32" t="s">
        <v>132</v>
      </c>
      <c r="E1170" s="36">
        <f t="shared" si="88"/>
        <v>21870568.882018279</v>
      </c>
      <c r="F1170" s="36">
        <v>13575.16</v>
      </c>
      <c r="G1170" s="58">
        <v>0</v>
      </c>
      <c r="H1170" s="35">
        <f t="shared" si="89"/>
        <v>13575.16</v>
      </c>
      <c r="I1170" s="35">
        <f t="shared" si="86"/>
        <v>0</v>
      </c>
      <c r="J1170" s="35">
        <f t="shared" si="87"/>
        <v>2373.1861536987126</v>
      </c>
      <c r="K1170" s="45">
        <f t="shared" si="90"/>
        <v>21881770.855864581</v>
      </c>
    </row>
    <row r="1171" spans="2:11">
      <c r="B1171" s="43">
        <v>45465</v>
      </c>
      <c r="C1171" s="32" t="s">
        <v>29</v>
      </c>
      <c r="D1171" s="32" t="s">
        <v>132</v>
      </c>
      <c r="E1171" s="36">
        <f t="shared" si="88"/>
        <v>21881770.855864581</v>
      </c>
      <c r="F1171" s="36">
        <v>12418.76</v>
      </c>
      <c r="G1171" s="58">
        <v>0</v>
      </c>
      <c r="H1171" s="35">
        <f t="shared" si="89"/>
        <v>12418.76</v>
      </c>
      <c r="I1171" s="35">
        <f t="shared" si="86"/>
        <v>0</v>
      </c>
      <c r="J1171" s="35">
        <f t="shared" si="87"/>
        <v>1187.2008426868513</v>
      </c>
      <c r="K1171" s="45">
        <f t="shared" si="90"/>
        <v>21893002.415021896</v>
      </c>
    </row>
    <row r="1172" spans="2:11">
      <c r="B1172" s="43">
        <v>45465</v>
      </c>
      <c r="C1172" s="32" t="s">
        <v>25</v>
      </c>
      <c r="D1172" s="32" t="s">
        <v>132</v>
      </c>
      <c r="E1172" s="36">
        <f t="shared" si="88"/>
        <v>21893002.415021896</v>
      </c>
      <c r="F1172" s="36">
        <v>8885.6299999999992</v>
      </c>
      <c r="G1172" s="58">
        <v>0</v>
      </c>
      <c r="H1172" s="35">
        <f t="shared" si="89"/>
        <v>8885.6299999999992</v>
      </c>
      <c r="I1172" s="35">
        <f t="shared" ref="I1172:I1235" si="91">(($E1172*Daily_Interest)*(_xlfn.DAYS(B1172,B1171)+1))+((IF(DAY($B1171)&gt;Monthly_Cut_off_Date,0,Daily_Interest*H1172))*(_xlfn.DAYS(B1172,B1171)+1))</f>
        <v>0</v>
      </c>
      <c r="J1172" s="35">
        <f t="shared" ref="J1172:J1235" si="92">(($I1172+E1172)*Daily_Fees_Rate)*((_xlfn.DAYS(B1172,B1171)+1))</f>
        <v>1187.8102136826487</v>
      </c>
      <c r="K1172" s="45">
        <f t="shared" si="90"/>
        <v>21900700.234808214</v>
      </c>
    </row>
    <row r="1173" spans="2:11">
      <c r="B1173" s="43">
        <v>45465</v>
      </c>
      <c r="C1173" s="32" t="s">
        <v>29</v>
      </c>
      <c r="D1173" s="32" t="s">
        <v>134</v>
      </c>
      <c r="E1173" s="36">
        <f t="shared" ref="E1173:E1236" si="93">K1172</f>
        <v>21900700.234808214</v>
      </c>
      <c r="F1173" s="36">
        <v>0</v>
      </c>
      <c r="G1173" s="58">
        <v>-8189.59</v>
      </c>
      <c r="H1173" s="35">
        <f t="shared" ref="H1173:H1236" si="94">SUM(F1173:G1173)</f>
        <v>-8189.59</v>
      </c>
      <c r="I1173" s="35">
        <f t="shared" si="91"/>
        <v>0</v>
      </c>
      <c r="J1173" s="35">
        <f t="shared" si="92"/>
        <v>1188.2278607824821</v>
      </c>
      <c r="K1173" s="45">
        <f t="shared" si="90"/>
        <v>21891322.416947432</v>
      </c>
    </row>
    <row r="1174" spans="2:11">
      <c r="B1174" s="43">
        <v>45465</v>
      </c>
      <c r="C1174" s="32" t="s">
        <v>27</v>
      </c>
      <c r="D1174" s="32" t="s">
        <v>134</v>
      </c>
      <c r="E1174" s="36">
        <f t="shared" si="93"/>
        <v>21891322.416947432</v>
      </c>
      <c r="F1174" s="36">
        <v>0</v>
      </c>
      <c r="G1174" s="58">
        <v>-19593</v>
      </c>
      <c r="H1174" s="35">
        <f t="shared" si="94"/>
        <v>-19593</v>
      </c>
      <c r="I1174" s="35">
        <f t="shared" si="91"/>
        <v>0</v>
      </c>
      <c r="J1174" s="35">
        <f t="shared" si="92"/>
        <v>1187.7190649752222</v>
      </c>
      <c r="K1174" s="45">
        <f t="shared" si="90"/>
        <v>21870541.697882455</v>
      </c>
    </row>
    <row r="1175" spans="2:11">
      <c r="B1175" s="43">
        <v>45466</v>
      </c>
      <c r="C1175" s="32" t="s">
        <v>27</v>
      </c>
      <c r="D1175" s="32" t="s">
        <v>132</v>
      </c>
      <c r="E1175" s="36">
        <f t="shared" si="93"/>
        <v>21870541.697882455</v>
      </c>
      <c r="F1175" s="36">
        <v>14566.92</v>
      </c>
      <c r="G1175" s="58">
        <v>0</v>
      </c>
      <c r="H1175" s="35">
        <f t="shared" si="94"/>
        <v>14566.92</v>
      </c>
      <c r="I1175" s="35">
        <f t="shared" si="91"/>
        <v>0</v>
      </c>
      <c r="J1175" s="35">
        <f t="shared" si="92"/>
        <v>2373.1832039348046</v>
      </c>
      <c r="K1175" s="45">
        <f t="shared" si="90"/>
        <v>21882735.434678521</v>
      </c>
    </row>
    <row r="1176" spans="2:11">
      <c r="B1176" s="43">
        <v>45466</v>
      </c>
      <c r="C1176" s="32" t="s">
        <v>25</v>
      </c>
      <c r="D1176" s="32" t="s">
        <v>132</v>
      </c>
      <c r="E1176" s="36">
        <f t="shared" si="93"/>
        <v>21882735.434678521</v>
      </c>
      <c r="F1176" s="36">
        <v>17123.259999999998</v>
      </c>
      <c r="G1176" s="58">
        <v>0</v>
      </c>
      <c r="H1176" s="35">
        <f t="shared" si="94"/>
        <v>17123.259999999998</v>
      </c>
      <c r="I1176" s="35">
        <f t="shared" si="91"/>
        <v>0</v>
      </c>
      <c r="J1176" s="35">
        <f t="shared" si="92"/>
        <v>1187.253176146894</v>
      </c>
      <c r="K1176" s="45">
        <f t="shared" si="90"/>
        <v>21898671.441502377</v>
      </c>
    </row>
    <row r="1177" spans="2:11">
      <c r="B1177" s="43">
        <v>45466</v>
      </c>
      <c r="C1177" s="32" t="s">
        <v>29</v>
      </c>
      <c r="D1177" s="32" t="s">
        <v>134</v>
      </c>
      <c r="E1177" s="36">
        <f t="shared" si="93"/>
        <v>21898671.441502377</v>
      </c>
      <c r="F1177" s="36">
        <v>0</v>
      </c>
      <c r="G1177" s="58">
        <v>-9963.9</v>
      </c>
      <c r="H1177" s="35">
        <f t="shared" si="94"/>
        <v>-9963.9</v>
      </c>
      <c r="I1177" s="35">
        <f t="shared" si="91"/>
        <v>0</v>
      </c>
      <c r="J1177" s="35">
        <f t="shared" si="92"/>
        <v>1188.1177881042609</v>
      </c>
      <c r="K1177" s="45">
        <f t="shared" si="90"/>
        <v>21887519.423714276</v>
      </c>
    </row>
    <row r="1178" spans="2:11">
      <c r="B1178" s="43">
        <v>45466</v>
      </c>
      <c r="C1178" s="32" t="s">
        <v>27</v>
      </c>
      <c r="D1178" s="32" t="s">
        <v>134</v>
      </c>
      <c r="E1178" s="36">
        <f t="shared" si="93"/>
        <v>21887519.423714276</v>
      </c>
      <c r="F1178" s="36">
        <v>0</v>
      </c>
      <c r="G1178" s="58">
        <v>-8489.19</v>
      </c>
      <c r="H1178" s="35">
        <f t="shared" si="94"/>
        <v>-8489.19</v>
      </c>
      <c r="I1178" s="35">
        <f t="shared" si="91"/>
        <v>0</v>
      </c>
      <c r="J1178" s="35">
        <f t="shared" si="92"/>
        <v>1187.5127326449517</v>
      </c>
      <c r="K1178" s="45">
        <f t="shared" si="90"/>
        <v>21877842.720981631</v>
      </c>
    </row>
    <row r="1179" spans="2:11">
      <c r="B1179" s="43">
        <v>45466</v>
      </c>
      <c r="C1179" s="32" t="s">
        <v>27</v>
      </c>
      <c r="D1179" s="32" t="s">
        <v>134</v>
      </c>
      <c r="E1179" s="36">
        <f t="shared" si="93"/>
        <v>21877842.720981631</v>
      </c>
      <c r="F1179" s="36">
        <v>0</v>
      </c>
      <c r="G1179" s="58">
        <v>-530.94000000000005</v>
      </c>
      <c r="H1179" s="35">
        <f t="shared" si="94"/>
        <v>-530.94000000000005</v>
      </c>
      <c r="I1179" s="35">
        <f t="shared" si="91"/>
        <v>0</v>
      </c>
      <c r="J1179" s="35">
        <f t="shared" si="92"/>
        <v>1186.9877207656893</v>
      </c>
      <c r="K1179" s="45">
        <f t="shared" si="90"/>
        <v>21876124.793260865</v>
      </c>
    </row>
    <row r="1180" spans="2:11">
      <c r="B1180" s="43">
        <v>45466</v>
      </c>
      <c r="C1180" s="32" t="s">
        <v>29</v>
      </c>
      <c r="D1180" s="32" t="s">
        <v>134</v>
      </c>
      <c r="E1180" s="36">
        <f t="shared" si="93"/>
        <v>21876124.793260865</v>
      </c>
      <c r="F1180" s="36">
        <v>0</v>
      </c>
      <c r="G1180" s="58">
        <v>-5511</v>
      </c>
      <c r="H1180" s="35">
        <f t="shared" si="94"/>
        <v>-5511</v>
      </c>
      <c r="I1180" s="35">
        <f t="shared" si="91"/>
        <v>0</v>
      </c>
      <c r="J1180" s="35">
        <f t="shared" si="92"/>
        <v>1186.8945141760032</v>
      </c>
      <c r="K1180" s="45">
        <f t="shared" si="90"/>
        <v>21869426.898746688</v>
      </c>
    </row>
    <row r="1181" spans="2:11">
      <c r="B1181" s="43">
        <v>45466</v>
      </c>
      <c r="C1181" s="32" t="s">
        <v>27</v>
      </c>
      <c r="D1181" s="32" t="s">
        <v>134</v>
      </c>
      <c r="E1181" s="36">
        <f t="shared" si="93"/>
        <v>21869426.898746688</v>
      </c>
      <c r="F1181" s="36">
        <v>0</v>
      </c>
      <c r="G1181" s="58">
        <v>-6231</v>
      </c>
      <c r="H1181" s="35">
        <f t="shared" si="94"/>
        <v>-6231</v>
      </c>
      <c r="I1181" s="35">
        <f t="shared" si="91"/>
        <v>0</v>
      </c>
      <c r="J1181" s="35">
        <f t="shared" si="92"/>
        <v>1186.5311182669684</v>
      </c>
      <c r="K1181" s="45">
        <f t="shared" si="90"/>
        <v>21862009.367628422</v>
      </c>
    </row>
    <row r="1182" spans="2:11">
      <c r="B1182" s="43">
        <v>45467</v>
      </c>
      <c r="C1182" s="32" t="s">
        <v>29</v>
      </c>
      <c r="D1182" s="32" t="s">
        <v>132</v>
      </c>
      <c r="E1182" s="36">
        <f t="shared" si="93"/>
        <v>21862009.367628422</v>
      </c>
      <c r="F1182" s="36">
        <v>12072.38</v>
      </c>
      <c r="G1182" s="58">
        <v>0</v>
      </c>
      <c r="H1182" s="35">
        <f t="shared" si="94"/>
        <v>12072.38</v>
      </c>
      <c r="I1182" s="35">
        <f t="shared" si="91"/>
        <v>0</v>
      </c>
      <c r="J1182" s="35">
        <f t="shared" si="92"/>
        <v>2372.2573565950811</v>
      </c>
      <c r="K1182" s="45">
        <f t="shared" si="90"/>
        <v>21871709.490271825</v>
      </c>
    </row>
    <row r="1183" spans="2:11">
      <c r="B1183" s="43">
        <v>45467</v>
      </c>
      <c r="C1183" s="32" t="s">
        <v>29</v>
      </c>
      <c r="D1183" s="32" t="s">
        <v>134</v>
      </c>
      <c r="E1183" s="36">
        <f t="shared" si="93"/>
        <v>21871709.490271825</v>
      </c>
      <c r="F1183" s="36">
        <v>0</v>
      </c>
      <c r="G1183" s="58">
        <v>-8747.07</v>
      </c>
      <c r="H1183" s="35">
        <f t="shared" si="94"/>
        <v>-8747.07</v>
      </c>
      <c r="I1183" s="35">
        <f t="shared" si="91"/>
        <v>0</v>
      </c>
      <c r="J1183" s="35">
        <f t="shared" si="92"/>
        <v>1186.6549608298033</v>
      </c>
      <c r="K1183" s="45">
        <f t="shared" si="90"/>
        <v>21861775.765310995</v>
      </c>
    </row>
    <row r="1184" spans="2:11">
      <c r="B1184" s="43">
        <v>45467</v>
      </c>
      <c r="C1184" s="32" t="s">
        <v>25</v>
      </c>
      <c r="D1184" s="32" t="s">
        <v>134</v>
      </c>
      <c r="E1184" s="36">
        <f t="shared" si="93"/>
        <v>21861775.765310995</v>
      </c>
      <c r="F1184" s="36">
        <v>0</v>
      </c>
      <c r="G1184" s="58">
        <v>-7668</v>
      </c>
      <c r="H1184" s="35">
        <f t="shared" si="94"/>
        <v>-7668</v>
      </c>
      <c r="I1184" s="35">
        <f t="shared" si="91"/>
        <v>0</v>
      </c>
      <c r="J1184" s="35">
        <f t="shared" si="92"/>
        <v>1186.1160041465348</v>
      </c>
      <c r="K1184" s="45">
        <f t="shared" si="90"/>
        <v>21852921.649306849</v>
      </c>
    </row>
    <row r="1185" spans="2:11">
      <c r="B1185" s="43">
        <v>45467</v>
      </c>
      <c r="C1185" s="32" t="s">
        <v>25</v>
      </c>
      <c r="D1185" s="32" t="s">
        <v>134</v>
      </c>
      <c r="E1185" s="36">
        <f t="shared" si="93"/>
        <v>21852921.649306849</v>
      </c>
      <c r="F1185" s="36">
        <v>0</v>
      </c>
      <c r="G1185" s="58">
        <v>-7900</v>
      </c>
      <c r="H1185" s="35">
        <f t="shared" si="94"/>
        <v>-7900</v>
      </c>
      <c r="I1185" s="35">
        <f t="shared" si="91"/>
        <v>0</v>
      </c>
      <c r="J1185" s="35">
        <f t="shared" si="92"/>
        <v>1185.6356219119061</v>
      </c>
      <c r="K1185" s="45">
        <f t="shared" si="90"/>
        <v>21843836.013684936</v>
      </c>
    </row>
    <row r="1186" spans="2:11">
      <c r="B1186" s="43">
        <v>45468</v>
      </c>
      <c r="C1186" s="32" t="s">
        <v>27</v>
      </c>
      <c r="D1186" s="32" t="s">
        <v>132</v>
      </c>
      <c r="E1186" s="36">
        <f t="shared" si="93"/>
        <v>21843836.013684936</v>
      </c>
      <c r="F1186" s="36">
        <v>12754.54</v>
      </c>
      <c r="G1186" s="58">
        <v>0</v>
      </c>
      <c r="H1186" s="35">
        <f t="shared" si="94"/>
        <v>12754.54</v>
      </c>
      <c r="I1186" s="35">
        <f t="shared" si="91"/>
        <v>0</v>
      </c>
      <c r="J1186" s="35">
        <f t="shared" si="92"/>
        <v>2370.2853570473048</v>
      </c>
      <c r="K1186" s="45">
        <f t="shared" si="90"/>
        <v>21854220.268327888</v>
      </c>
    </row>
    <row r="1187" spans="2:11">
      <c r="B1187" s="43">
        <v>45468</v>
      </c>
      <c r="C1187" s="32" t="s">
        <v>25</v>
      </c>
      <c r="D1187" s="32" t="s">
        <v>132</v>
      </c>
      <c r="E1187" s="36">
        <f t="shared" si="93"/>
        <v>21854220.268327888</v>
      </c>
      <c r="F1187" s="36">
        <v>13059.19</v>
      </c>
      <c r="G1187" s="58">
        <v>0</v>
      </c>
      <c r="H1187" s="35">
        <f t="shared" si="94"/>
        <v>13059.19</v>
      </c>
      <c r="I1187" s="35">
        <f t="shared" si="91"/>
        <v>0</v>
      </c>
      <c r="J1187" s="35">
        <f t="shared" si="92"/>
        <v>1185.7060788052838</v>
      </c>
      <c r="K1187" s="45">
        <f t="shared" si="90"/>
        <v>21866093.752249084</v>
      </c>
    </row>
    <row r="1188" spans="2:11">
      <c r="B1188" s="43">
        <v>45468</v>
      </c>
      <c r="C1188" s="32" t="s">
        <v>27</v>
      </c>
      <c r="D1188" s="32" t="s">
        <v>134</v>
      </c>
      <c r="E1188" s="36">
        <f t="shared" si="93"/>
        <v>21866093.752249084</v>
      </c>
      <c r="F1188" s="36">
        <v>0</v>
      </c>
      <c r="G1188" s="58">
        <v>-6998</v>
      </c>
      <c r="H1188" s="35">
        <f t="shared" si="94"/>
        <v>-6998</v>
      </c>
      <c r="I1188" s="35">
        <f t="shared" si="91"/>
        <v>0</v>
      </c>
      <c r="J1188" s="35">
        <f t="shared" si="92"/>
        <v>1186.3502775865309</v>
      </c>
      <c r="K1188" s="45">
        <f t="shared" si="90"/>
        <v>21857909.401971497</v>
      </c>
    </row>
    <row r="1189" spans="2:11">
      <c r="B1189" s="43">
        <v>45468</v>
      </c>
      <c r="C1189" s="32" t="s">
        <v>25</v>
      </c>
      <c r="D1189" s="32" t="s">
        <v>134</v>
      </c>
      <c r="E1189" s="36">
        <f t="shared" si="93"/>
        <v>21857909.401971497</v>
      </c>
      <c r="F1189" s="36">
        <v>0</v>
      </c>
      <c r="G1189" s="58">
        <v>-17217</v>
      </c>
      <c r="H1189" s="35">
        <f t="shared" si="94"/>
        <v>-17217</v>
      </c>
      <c r="I1189" s="35">
        <f t="shared" si="91"/>
        <v>0</v>
      </c>
      <c r="J1189" s="35">
        <f t="shared" si="92"/>
        <v>1185.9062336556078</v>
      </c>
      <c r="K1189" s="45">
        <f t="shared" si="90"/>
        <v>21839506.495737839</v>
      </c>
    </row>
    <row r="1190" spans="2:11">
      <c r="B1190" s="43">
        <v>45469</v>
      </c>
      <c r="C1190" s="32" t="s">
        <v>29</v>
      </c>
      <c r="D1190" s="32" t="s">
        <v>132</v>
      </c>
      <c r="E1190" s="36">
        <f t="shared" si="93"/>
        <v>21839506.495737839</v>
      </c>
      <c r="F1190" s="36">
        <v>18358.72</v>
      </c>
      <c r="G1190" s="58">
        <v>0</v>
      </c>
      <c r="H1190" s="35">
        <f t="shared" si="94"/>
        <v>18358.72</v>
      </c>
      <c r="I1190" s="35">
        <f t="shared" si="91"/>
        <v>0</v>
      </c>
      <c r="J1190" s="35">
        <f t="shared" si="92"/>
        <v>2369.8155589318712</v>
      </c>
      <c r="K1190" s="45">
        <f t="shared" si="90"/>
        <v>21855495.400178906</v>
      </c>
    </row>
    <row r="1191" spans="2:11">
      <c r="B1191" s="43">
        <v>45469</v>
      </c>
      <c r="C1191" s="32" t="s">
        <v>25</v>
      </c>
      <c r="D1191" s="32" t="s">
        <v>132</v>
      </c>
      <c r="E1191" s="36">
        <f t="shared" si="93"/>
        <v>21855495.400178906</v>
      </c>
      <c r="F1191" s="36">
        <v>16799.79</v>
      </c>
      <c r="G1191" s="58">
        <v>0</v>
      </c>
      <c r="H1191" s="35">
        <f t="shared" si="94"/>
        <v>16799.79</v>
      </c>
      <c r="I1191" s="35">
        <f t="shared" si="91"/>
        <v>0</v>
      </c>
      <c r="J1191" s="35">
        <f t="shared" si="92"/>
        <v>1185.7752613964935</v>
      </c>
      <c r="K1191" s="45">
        <f t="shared" si="90"/>
        <v>21871109.41491751</v>
      </c>
    </row>
    <row r="1192" spans="2:11">
      <c r="B1192" s="43">
        <v>45469</v>
      </c>
      <c r="C1192" s="32" t="s">
        <v>29</v>
      </c>
      <c r="D1192" s="32" t="s">
        <v>134</v>
      </c>
      <c r="E1192" s="36">
        <f t="shared" si="93"/>
        <v>21871109.41491751</v>
      </c>
      <c r="F1192" s="36">
        <v>0</v>
      </c>
      <c r="G1192" s="58">
        <v>-4984.1400000000003</v>
      </c>
      <c r="H1192" s="35">
        <f t="shared" si="94"/>
        <v>-4984.1400000000003</v>
      </c>
      <c r="I1192" s="35">
        <f t="shared" si="91"/>
        <v>0</v>
      </c>
      <c r="J1192" s="35">
        <f t="shared" si="92"/>
        <v>1186.6224035943303</v>
      </c>
      <c r="K1192" s="45">
        <f t="shared" si="90"/>
        <v>21864938.652513914</v>
      </c>
    </row>
    <row r="1193" spans="2:11">
      <c r="B1193" s="43">
        <v>45469</v>
      </c>
      <c r="C1193" s="32" t="s">
        <v>25</v>
      </c>
      <c r="D1193" s="32" t="s">
        <v>134</v>
      </c>
      <c r="E1193" s="36">
        <f t="shared" si="93"/>
        <v>21864938.652513914</v>
      </c>
      <c r="F1193" s="36">
        <v>0</v>
      </c>
      <c r="G1193" s="58">
        <v>-1353.92</v>
      </c>
      <c r="H1193" s="35">
        <f t="shared" si="94"/>
        <v>-1353.92</v>
      </c>
      <c r="I1193" s="35">
        <f t="shared" si="91"/>
        <v>0</v>
      </c>
      <c r="J1193" s="35">
        <f t="shared" si="92"/>
        <v>1186.2876073671955</v>
      </c>
      <c r="K1193" s="45">
        <f t="shared" si="90"/>
        <v>21862398.444906544</v>
      </c>
    </row>
    <row r="1194" spans="2:11">
      <c r="B1194" s="43">
        <v>45469</v>
      </c>
      <c r="C1194" s="32" t="s">
        <v>27</v>
      </c>
      <c r="D1194" s="32" t="s">
        <v>134</v>
      </c>
      <c r="E1194" s="36">
        <f t="shared" si="93"/>
        <v>21862398.444906544</v>
      </c>
      <c r="F1194" s="36">
        <v>0</v>
      </c>
      <c r="G1194" s="58">
        <v>-2284</v>
      </c>
      <c r="H1194" s="35">
        <f t="shared" si="94"/>
        <v>-2284</v>
      </c>
      <c r="I1194" s="35">
        <f t="shared" si="91"/>
        <v>0</v>
      </c>
      <c r="J1194" s="35">
        <f t="shared" si="92"/>
        <v>1186.1497877806578</v>
      </c>
      <c r="K1194" s="45">
        <f t="shared" si="90"/>
        <v>21858928.295118764</v>
      </c>
    </row>
    <row r="1195" spans="2:11">
      <c r="B1195" s="43">
        <v>45469</v>
      </c>
      <c r="C1195" s="32" t="s">
        <v>29</v>
      </c>
      <c r="D1195" s="32" t="s">
        <v>134</v>
      </c>
      <c r="E1195" s="36">
        <f t="shared" si="93"/>
        <v>21858928.295118764</v>
      </c>
      <c r="F1195" s="36">
        <v>0</v>
      </c>
      <c r="G1195" s="58">
        <v>-7142</v>
      </c>
      <c r="H1195" s="35">
        <f t="shared" si="94"/>
        <v>-7142</v>
      </c>
      <c r="I1195" s="35">
        <f t="shared" si="91"/>
        <v>0</v>
      </c>
      <c r="J1195" s="35">
        <f t="shared" si="92"/>
        <v>1185.9615139531218</v>
      </c>
      <c r="K1195" s="45">
        <f t="shared" si="90"/>
        <v>21850600.333604813</v>
      </c>
    </row>
    <row r="1196" spans="2:11">
      <c r="B1196" s="43">
        <v>45469</v>
      </c>
      <c r="C1196" s="32" t="s">
        <v>27</v>
      </c>
      <c r="D1196" s="32" t="s">
        <v>134</v>
      </c>
      <c r="E1196" s="36">
        <f t="shared" si="93"/>
        <v>21850600.333604813</v>
      </c>
      <c r="F1196" s="36">
        <v>0</v>
      </c>
      <c r="G1196" s="58">
        <v>-8733</v>
      </c>
      <c r="H1196" s="35">
        <f t="shared" si="94"/>
        <v>-8733</v>
      </c>
      <c r="I1196" s="35">
        <f t="shared" si="91"/>
        <v>0</v>
      </c>
      <c r="J1196" s="35">
        <f t="shared" si="92"/>
        <v>1185.5096783593594</v>
      </c>
      <c r="K1196" s="45">
        <f t="shared" si="90"/>
        <v>21840681.823926453</v>
      </c>
    </row>
    <row r="1197" spans="2:11">
      <c r="B1197" s="43">
        <v>45469</v>
      </c>
      <c r="C1197" s="32" t="s">
        <v>29</v>
      </c>
      <c r="D1197" s="32" t="s">
        <v>134</v>
      </c>
      <c r="E1197" s="36">
        <f t="shared" si="93"/>
        <v>21840681.823926453</v>
      </c>
      <c r="F1197" s="36">
        <v>0</v>
      </c>
      <c r="G1197" s="58">
        <v>-13178</v>
      </c>
      <c r="H1197" s="35">
        <f t="shared" si="94"/>
        <v>-13178</v>
      </c>
      <c r="I1197" s="35">
        <f t="shared" si="91"/>
        <v>0</v>
      </c>
      <c r="J1197" s="35">
        <f t="shared" si="92"/>
        <v>1184.971547184972</v>
      </c>
      <c r="K1197" s="45">
        <f t="shared" si="90"/>
        <v>21826318.852379266</v>
      </c>
    </row>
    <row r="1198" spans="2:11">
      <c r="B1198" s="43">
        <v>45470</v>
      </c>
      <c r="C1198" s="32" t="s">
        <v>27</v>
      </c>
      <c r="D1198" s="32" t="s">
        <v>132</v>
      </c>
      <c r="E1198" s="36">
        <f t="shared" si="93"/>
        <v>21826318.852379266</v>
      </c>
      <c r="F1198" s="36">
        <v>8797.67</v>
      </c>
      <c r="G1198" s="58">
        <v>0</v>
      </c>
      <c r="H1198" s="35">
        <f t="shared" si="94"/>
        <v>8797.67</v>
      </c>
      <c r="I1198" s="35">
        <f t="shared" si="91"/>
        <v>0</v>
      </c>
      <c r="J1198" s="35">
        <f t="shared" si="92"/>
        <v>2368.3845612844248</v>
      </c>
      <c r="K1198" s="45">
        <f t="shared" si="90"/>
        <v>21832748.137817983</v>
      </c>
    </row>
    <row r="1199" spans="2:11">
      <c r="B1199" s="43">
        <v>45470</v>
      </c>
      <c r="C1199" s="32" t="s">
        <v>27</v>
      </c>
      <c r="D1199" s="32" t="s">
        <v>132</v>
      </c>
      <c r="E1199" s="36">
        <f t="shared" si="93"/>
        <v>21832748.137817983</v>
      </c>
      <c r="F1199" s="36">
        <v>16709.3</v>
      </c>
      <c r="G1199" s="58">
        <v>0</v>
      </c>
      <c r="H1199" s="35">
        <f t="shared" si="94"/>
        <v>16709.3</v>
      </c>
      <c r="I1199" s="35">
        <f t="shared" si="91"/>
        <v>0</v>
      </c>
      <c r="J1199" s="35">
        <f t="shared" si="92"/>
        <v>1184.5411031000015</v>
      </c>
      <c r="K1199" s="45">
        <f t="shared" si="90"/>
        <v>21848272.896714885</v>
      </c>
    </row>
    <row r="1200" spans="2:11">
      <c r="B1200" s="43">
        <v>45470</v>
      </c>
      <c r="C1200" s="32" t="s">
        <v>25</v>
      </c>
      <c r="D1200" s="32" t="s">
        <v>132</v>
      </c>
      <c r="E1200" s="36">
        <f t="shared" si="93"/>
        <v>21848272.896714885</v>
      </c>
      <c r="F1200" s="36">
        <v>11317.18</v>
      </c>
      <c r="G1200" s="58">
        <v>0</v>
      </c>
      <c r="H1200" s="35">
        <f t="shared" si="94"/>
        <v>11317.18</v>
      </c>
      <c r="I1200" s="35">
        <f t="shared" si="91"/>
        <v>0</v>
      </c>
      <c r="J1200" s="35">
        <f t="shared" si="92"/>
        <v>1185.3834027002631</v>
      </c>
      <c r="K1200" s="45">
        <f t="shared" si="90"/>
        <v>21858404.693312183</v>
      </c>
    </row>
    <row r="1201" spans="2:11">
      <c r="B1201" s="43">
        <v>45470</v>
      </c>
      <c r="C1201" s="32" t="s">
        <v>27</v>
      </c>
      <c r="D1201" s="32" t="s">
        <v>132</v>
      </c>
      <c r="E1201" s="36">
        <f t="shared" si="93"/>
        <v>21858404.693312183</v>
      </c>
      <c r="F1201" s="36">
        <v>15674.05</v>
      </c>
      <c r="G1201" s="58">
        <v>0</v>
      </c>
      <c r="H1201" s="35">
        <f t="shared" si="94"/>
        <v>15674.05</v>
      </c>
      <c r="I1201" s="35">
        <f t="shared" si="91"/>
        <v>0</v>
      </c>
      <c r="J1201" s="35">
        <f t="shared" si="92"/>
        <v>1185.9331058087307</v>
      </c>
      <c r="K1201" s="45">
        <f t="shared" si="90"/>
        <v>21872892.810206376</v>
      </c>
    </row>
    <row r="1202" spans="2:11">
      <c r="B1202" s="43">
        <v>45471</v>
      </c>
      <c r="C1202" s="32" t="s">
        <v>29</v>
      </c>
      <c r="D1202" s="32" t="s">
        <v>132</v>
      </c>
      <c r="E1202" s="36">
        <f t="shared" si="93"/>
        <v>21872892.810206376</v>
      </c>
      <c r="F1202" s="36">
        <v>18738.259999999998</v>
      </c>
      <c r="G1202" s="58">
        <v>0</v>
      </c>
      <c r="H1202" s="35">
        <f t="shared" si="94"/>
        <v>18738.259999999998</v>
      </c>
      <c r="I1202" s="35">
        <f t="shared" si="91"/>
        <v>0</v>
      </c>
      <c r="J1202" s="35">
        <f t="shared" si="92"/>
        <v>2373.4383242859494</v>
      </c>
      <c r="K1202" s="45">
        <f t="shared" si="90"/>
        <v>21889257.63188209</v>
      </c>
    </row>
    <row r="1203" spans="2:11">
      <c r="B1203" s="43">
        <v>45471</v>
      </c>
      <c r="C1203" s="32" t="s">
        <v>29</v>
      </c>
      <c r="D1203" s="32" t="s">
        <v>132</v>
      </c>
      <c r="E1203" s="36">
        <f t="shared" si="93"/>
        <v>21889257.63188209</v>
      </c>
      <c r="F1203" s="36">
        <v>13670.15</v>
      </c>
      <c r="G1203" s="58">
        <v>0</v>
      </c>
      <c r="H1203" s="35">
        <f t="shared" si="94"/>
        <v>13670.15</v>
      </c>
      <c r="I1203" s="35">
        <f t="shared" si="91"/>
        <v>0</v>
      </c>
      <c r="J1203" s="35">
        <f t="shared" si="92"/>
        <v>1187.6070395552647</v>
      </c>
      <c r="K1203" s="45">
        <f t="shared" si="90"/>
        <v>21901740.174842533</v>
      </c>
    </row>
    <row r="1204" spans="2:11">
      <c r="B1204" s="43">
        <v>45471</v>
      </c>
      <c r="C1204" s="32" t="s">
        <v>25</v>
      </c>
      <c r="D1204" s="32" t="s">
        <v>132</v>
      </c>
      <c r="E1204" s="36">
        <f t="shared" si="93"/>
        <v>21901740.174842533</v>
      </c>
      <c r="F1204" s="36">
        <v>16540.8</v>
      </c>
      <c r="G1204" s="58">
        <v>0</v>
      </c>
      <c r="H1204" s="35">
        <f t="shared" si="94"/>
        <v>16540.8</v>
      </c>
      <c r="I1204" s="35">
        <f t="shared" si="91"/>
        <v>0</v>
      </c>
      <c r="J1204" s="35">
        <f t="shared" si="92"/>
        <v>1188.2842829840131</v>
      </c>
      <c r="K1204" s="45">
        <f t="shared" si="90"/>
        <v>21917092.690559551</v>
      </c>
    </row>
    <row r="1205" spans="2:11">
      <c r="B1205" s="43">
        <v>45471</v>
      </c>
      <c r="C1205" s="32" t="s">
        <v>25</v>
      </c>
      <c r="D1205" s="32" t="s">
        <v>134</v>
      </c>
      <c r="E1205" s="36">
        <f t="shared" si="93"/>
        <v>21917092.690559551</v>
      </c>
      <c r="F1205" s="36">
        <v>0</v>
      </c>
      <c r="G1205" s="58">
        <v>-13228.57</v>
      </c>
      <c r="H1205" s="35">
        <f t="shared" si="94"/>
        <v>-13228.57</v>
      </c>
      <c r="I1205" s="35">
        <f t="shared" si="91"/>
        <v>0</v>
      </c>
      <c r="J1205" s="35">
        <f t="shared" si="92"/>
        <v>1189.1172374883201</v>
      </c>
      <c r="K1205" s="45">
        <f t="shared" si="90"/>
        <v>21902675.003322061</v>
      </c>
    </row>
    <row r="1206" spans="2:11">
      <c r="B1206" s="43">
        <v>45471</v>
      </c>
      <c r="C1206" s="32" t="s">
        <v>27</v>
      </c>
      <c r="D1206" s="32" t="s">
        <v>134</v>
      </c>
      <c r="E1206" s="36">
        <f t="shared" si="93"/>
        <v>21902675.003322061</v>
      </c>
      <c r="F1206" s="36">
        <v>0</v>
      </c>
      <c r="G1206" s="58">
        <v>-16277</v>
      </c>
      <c r="H1206" s="35">
        <f t="shared" si="94"/>
        <v>-16277</v>
      </c>
      <c r="I1206" s="35">
        <f t="shared" si="91"/>
        <v>0</v>
      </c>
      <c r="J1206" s="35">
        <f t="shared" si="92"/>
        <v>1188.3350023323683</v>
      </c>
      <c r="K1206" s="45">
        <f t="shared" si="90"/>
        <v>21885209.668319728</v>
      </c>
    </row>
    <row r="1207" spans="2:11">
      <c r="B1207" s="43">
        <v>45471</v>
      </c>
      <c r="C1207" s="32" t="s">
        <v>25</v>
      </c>
      <c r="D1207" s="32" t="s">
        <v>134</v>
      </c>
      <c r="E1207" s="36">
        <f t="shared" si="93"/>
        <v>21885209.668319728</v>
      </c>
      <c r="F1207" s="36">
        <v>0</v>
      </c>
      <c r="G1207" s="58">
        <v>-21351</v>
      </c>
      <c r="H1207" s="35">
        <f t="shared" si="94"/>
        <v>-21351</v>
      </c>
      <c r="I1207" s="35">
        <f t="shared" si="91"/>
        <v>0</v>
      </c>
      <c r="J1207" s="35">
        <f t="shared" si="92"/>
        <v>1187.3874162997222</v>
      </c>
      <c r="K1207" s="45">
        <f t="shared" si="90"/>
        <v>21862671.280903429</v>
      </c>
    </row>
    <row r="1208" spans="2:11">
      <c r="B1208" s="43">
        <v>45472</v>
      </c>
      <c r="C1208" s="32" t="s">
        <v>27</v>
      </c>
      <c r="D1208" s="32" t="s">
        <v>132</v>
      </c>
      <c r="E1208" s="36">
        <f t="shared" si="93"/>
        <v>21862671.280903429</v>
      </c>
      <c r="F1208" s="36">
        <v>12861.46</v>
      </c>
      <c r="G1208" s="58">
        <v>0</v>
      </c>
      <c r="H1208" s="35">
        <f t="shared" si="94"/>
        <v>12861.46</v>
      </c>
      <c r="I1208" s="35">
        <f t="shared" si="91"/>
        <v>0</v>
      </c>
      <c r="J1208" s="35">
        <f t="shared" si="92"/>
        <v>2372.3291811291238</v>
      </c>
      <c r="K1208" s="45">
        <f t="shared" si="90"/>
        <v>21873160.411722299</v>
      </c>
    </row>
    <row r="1209" spans="2:11">
      <c r="B1209" s="43">
        <v>45472</v>
      </c>
      <c r="C1209" s="32" t="s">
        <v>25</v>
      </c>
      <c r="D1209" s="32" t="s">
        <v>132</v>
      </c>
      <c r="E1209" s="36">
        <f t="shared" si="93"/>
        <v>21873160.411722299</v>
      </c>
      <c r="F1209" s="36">
        <v>13394.29</v>
      </c>
      <c r="G1209" s="58">
        <v>0</v>
      </c>
      <c r="H1209" s="35">
        <f t="shared" si="94"/>
        <v>13394.29</v>
      </c>
      <c r="I1209" s="35">
        <f t="shared" si="91"/>
        <v>0</v>
      </c>
      <c r="J1209" s="35">
        <f t="shared" si="92"/>
        <v>1186.7336809288308</v>
      </c>
      <c r="K1209" s="45">
        <f t="shared" si="90"/>
        <v>21885367.968041368</v>
      </c>
    </row>
    <row r="1210" spans="2:11">
      <c r="B1210" s="43">
        <v>45472</v>
      </c>
      <c r="C1210" s="32" t="s">
        <v>25</v>
      </c>
      <c r="D1210" s="32" t="s">
        <v>132</v>
      </c>
      <c r="E1210" s="36">
        <f t="shared" si="93"/>
        <v>21885367.968041368</v>
      </c>
      <c r="F1210" s="36">
        <v>9491.3799999999992</v>
      </c>
      <c r="G1210" s="58">
        <v>0</v>
      </c>
      <c r="H1210" s="35">
        <f t="shared" si="94"/>
        <v>9491.3799999999992</v>
      </c>
      <c r="I1210" s="35">
        <f t="shared" si="91"/>
        <v>0</v>
      </c>
      <c r="J1210" s="35">
        <f t="shared" si="92"/>
        <v>1187.3960048899312</v>
      </c>
      <c r="K1210" s="45">
        <f t="shared" si="90"/>
        <v>21893671.952036478</v>
      </c>
    </row>
    <row r="1211" spans="2:11">
      <c r="B1211" s="43">
        <v>45472</v>
      </c>
      <c r="C1211" s="32" t="s">
        <v>27</v>
      </c>
      <c r="D1211" s="32" t="s">
        <v>132</v>
      </c>
      <c r="E1211" s="36">
        <f t="shared" si="93"/>
        <v>21893671.952036478</v>
      </c>
      <c r="F1211" s="36">
        <v>17079.32</v>
      </c>
      <c r="G1211" s="58">
        <v>0</v>
      </c>
      <c r="H1211" s="35">
        <f t="shared" si="94"/>
        <v>17079.32</v>
      </c>
      <c r="I1211" s="35">
        <f t="shared" si="91"/>
        <v>0</v>
      </c>
      <c r="J1211" s="35">
        <f t="shared" si="92"/>
        <v>1187.8465395775299</v>
      </c>
      <c r="K1211" s="45">
        <f t="shared" si="90"/>
        <v>21909563.425496899</v>
      </c>
    </row>
    <row r="1212" spans="2:11">
      <c r="B1212" s="43">
        <v>45472</v>
      </c>
      <c r="C1212" s="32" t="s">
        <v>29</v>
      </c>
      <c r="D1212" s="32" t="s">
        <v>134</v>
      </c>
      <c r="E1212" s="36">
        <f t="shared" si="93"/>
        <v>21909563.425496899</v>
      </c>
      <c r="F1212" s="36">
        <v>0</v>
      </c>
      <c r="G1212" s="58">
        <v>-14378.02</v>
      </c>
      <c r="H1212" s="35">
        <f t="shared" si="94"/>
        <v>-14378.02</v>
      </c>
      <c r="I1212" s="35">
        <f t="shared" si="91"/>
        <v>0</v>
      </c>
      <c r="J1212" s="35">
        <f t="shared" si="92"/>
        <v>1188.7087353663451</v>
      </c>
      <c r="K1212" s="45">
        <f t="shared" si="90"/>
        <v>21893996.696761534</v>
      </c>
    </row>
    <row r="1213" spans="2:11">
      <c r="B1213" s="43">
        <v>45472</v>
      </c>
      <c r="C1213" s="32" t="s">
        <v>27</v>
      </c>
      <c r="D1213" s="32" t="s">
        <v>134</v>
      </c>
      <c r="E1213" s="36">
        <f t="shared" si="93"/>
        <v>21893996.696761534</v>
      </c>
      <c r="F1213" s="36">
        <v>0</v>
      </c>
      <c r="G1213" s="58">
        <v>-6171.61</v>
      </c>
      <c r="H1213" s="35">
        <f t="shared" si="94"/>
        <v>-6171.61</v>
      </c>
      <c r="I1213" s="35">
        <f t="shared" si="91"/>
        <v>0</v>
      </c>
      <c r="J1213" s="35">
        <f t="shared" si="92"/>
        <v>1187.8641586822077</v>
      </c>
      <c r="K1213" s="45">
        <f t="shared" si="90"/>
        <v>21886637.222602852</v>
      </c>
    </row>
    <row r="1214" spans="2:11">
      <c r="B1214" s="43">
        <v>45472</v>
      </c>
      <c r="C1214" s="32" t="s">
        <v>29</v>
      </c>
      <c r="D1214" s="32" t="s">
        <v>134</v>
      </c>
      <c r="E1214" s="36">
        <f t="shared" si="93"/>
        <v>21886637.222602852</v>
      </c>
      <c r="F1214" s="36">
        <v>0</v>
      </c>
      <c r="G1214" s="58">
        <v>-3673.81</v>
      </c>
      <c r="H1214" s="35">
        <f t="shared" si="94"/>
        <v>-3673.81</v>
      </c>
      <c r="I1214" s="35">
        <f t="shared" si="91"/>
        <v>0</v>
      </c>
      <c r="J1214" s="35">
        <f t="shared" si="92"/>
        <v>1187.4648686073563</v>
      </c>
      <c r="K1214" s="45">
        <f t="shared" si="90"/>
        <v>21881775.947734244</v>
      </c>
    </row>
    <row r="1215" spans="2:11">
      <c r="B1215" s="43">
        <v>45472</v>
      </c>
      <c r="C1215" s="32" t="s">
        <v>27</v>
      </c>
      <c r="D1215" s="32" t="s">
        <v>134</v>
      </c>
      <c r="E1215" s="36">
        <f t="shared" si="93"/>
        <v>21881775.947734244</v>
      </c>
      <c r="F1215" s="36">
        <v>0</v>
      </c>
      <c r="G1215" s="58">
        <v>-3320</v>
      </c>
      <c r="H1215" s="35">
        <f t="shared" si="94"/>
        <v>-3320</v>
      </c>
      <c r="I1215" s="35">
        <f t="shared" si="91"/>
        <v>0</v>
      </c>
      <c r="J1215" s="35">
        <f t="shared" si="92"/>
        <v>1187.2011189474883</v>
      </c>
      <c r="K1215" s="45">
        <f t="shared" si="90"/>
        <v>21877268.746615298</v>
      </c>
    </row>
    <row r="1216" spans="2:11">
      <c r="B1216" s="43">
        <v>45472</v>
      </c>
      <c r="C1216" s="32" t="s">
        <v>27</v>
      </c>
      <c r="D1216" s="32" t="s">
        <v>134</v>
      </c>
      <c r="E1216" s="36">
        <f t="shared" si="93"/>
        <v>21877268.746615298</v>
      </c>
      <c r="F1216" s="36">
        <v>0</v>
      </c>
      <c r="G1216" s="58">
        <v>-11898</v>
      </c>
      <c r="H1216" s="35">
        <f t="shared" si="94"/>
        <v>-11898</v>
      </c>
      <c r="I1216" s="35">
        <f t="shared" si="91"/>
        <v>0</v>
      </c>
      <c r="J1216" s="35">
        <f t="shared" si="92"/>
        <v>1186.9565796457189</v>
      </c>
      <c r="K1216" s="45">
        <f t="shared" si="90"/>
        <v>21864183.790035654</v>
      </c>
    </row>
    <row r="1217" spans="2:11">
      <c r="B1217" s="43">
        <v>45472</v>
      </c>
      <c r="C1217" s="32" t="s">
        <v>25</v>
      </c>
      <c r="D1217" s="32" t="s">
        <v>134</v>
      </c>
      <c r="E1217" s="36">
        <f t="shared" si="93"/>
        <v>21864183.790035654</v>
      </c>
      <c r="F1217" s="36">
        <v>0</v>
      </c>
      <c r="G1217" s="58">
        <v>-10442</v>
      </c>
      <c r="H1217" s="35">
        <f t="shared" si="94"/>
        <v>-10442</v>
      </c>
      <c r="I1217" s="35">
        <f t="shared" si="91"/>
        <v>0</v>
      </c>
      <c r="J1217" s="35">
        <f t="shared" si="92"/>
        <v>1186.2466521183628</v>
      </c>
      <c r="K1217" s="45">
        <f t="shared" si="90"/>
        <v>21852555.543383535</v>
      </c>
    </row>
    <row r="1218" spans="2:11">
      <c r="B1218" s="43">
        <v>45473</v>
      </c>
      <c r="C1218" s="32" t="s">
        <v>25</v>
      </c>
      <c r="D1218" s="32" t="s">
        <v>132</v>
      </c>
      <c r="E1218" s="36">
        <f t="shared" si="93"/>
        <v>21852555.543383535</v>
      </c>
      <c r="F1218" s="36">
        <v>15592.8</v>
      </c>
      <c r="G1218" s="58">
        <v>0</v>
      </c>
      <c r="H1218" s="35">
        <f t="shared" si="94"/>
        <v>15592.8</v>
      </c>
      <c r="I1218" s="35">
        <f t="shared" si="91"/>
        <v>0</v>
      </c>
      <c r="J1218" s="35">
        <f t="shared" si="92"/>
        <v>2371.2315174905525</v>
      </c>
      <c r="K1218" s="45">
        <f t="shared" si="90"/>
        <v>21865777.111866046</v>
      </c>
    </row>
    <row r="1219" spans="2:11">
      <c r="B1219" s="43">
        <v>45473</v>
      </c>
      <c r="C1219" s="32" t="s">
        <v>25</v>
      </c>
      <c r="D1219" s="32" t="s">
        <v>132</v>
      </c>
      <c r="E1219" s="36">
        <f t="shared" si="93"/>
        <v>21865777.111866046</v>
      </c>
      <c r="F1219" s="36">
        <v>14222.87</v>
      </c>
      <c r="G1219" s="58">
        <v>0</v>
      </c>
      <c r="H1219" s="35">
        <f t="shared" si="94"/>
        <v>14222.87</v>
      </c>
      <c r="I1219" s="35">
        <f t="shared" si="91"/>
        <v>0</v>
      </c>
      <c r="J1219" s="35">
        <f t="shared" si="92"/>
        <v>1186.3330981849163</v>
      </c>
      <c r="K1219" s="45">
        <f t="shared" si="90"/>
        <v>21878813.648767862</v>
      </c>
    </row>
    <row r="1220" spans="2:11">
      <c r="B1220" s="43">
        <v>45473</v>
      </c>
      <c r="C1220" s="32" t="s">
        <v>29</v>
      </c>
      <c r="D1220" s="32" t="s">
        <v>134</v>
      </c>
      <c r="E1220" s="36">
        <f t="shared" si="93"/>
        <v>21878813.648767862</v>
      </c>
      <c r="F1220" s="36">
        <v>0</v>
      </c>
      <c r="G1220" s="58">
        <v>-12884.13</v>
      </c>
      <c r="H1220" s="35">
        <f t="shared" si="94"/>
        <v>-12884.13</v>
      </c>
      <c r="I1220" s="35">
        <f t="shared" si="91"/>
        <v>0</v>
      </c>
      <c r="J1220" s="35">
        <f t="shared" si="92"/>
        <v>1187.0403986907804</v>
      </c>
      <c r="K1220" s="45">
        <f t="shared" si="90"/>
        <v>21864742.478369173</v>
      </c>
    </row>
    <row r="1221" spans="2:11">
      <c r="B1221" s="43">
        <v>45473</v>
      </c>
      <c r="C1221" s="32" t="s">
        <v>27</v>
      </c>
      <c r="D1221" s="32" t="s">
        <v>134</v>
      </c>
      <c r="E1221" s="36">
        <f t="shared" si="93"/>
        <v>21864742.478369173</v>
      </c>
      <c r="F1221" s="36">
        <v>0</v>
      </c>
      <c r="G1221" s="58">
        <v>-5998</v>
      </c>
      <c r="H1221" s="35">
        <f t="shared" si="94"/>
        <v>-5998</v>
      </c>
      <c r="I1221" s="35">
        <f t="shared" si="91"/>
        <v>0</v>
      </c>
      <c r="J1221" s="35">
        <f t="shared" si="92"/>
        <v>1186.2769638908753</v>
      </c>
      <c r="K1221" s="45">
        <f t="shared" si="90"/>
        <v>21857558.201405283</v>
      </c>
    </row>
    <row r="1222" spans="2:11">
      <c r="B1222" s="43">
        <v>45473</v>
      </c>
      <c r="C1222" s="32" t="s">
        <v>29</v>
      </c>
      <c r="D1222" s="32" t="s">
        <v>134</v>
      </c>
      <c r="E1222" s="36">
        <f t="shared" si="93"/>
        <v>21857558.201405283</v>
      </c>
      <c r="F1222" s="36">
        <v>0</v>
      </c>
      <c r="G1222" s="58">
        <v>-19108</v>
      </c>
      <c r="H1222" s="35">
        <f t="shared" si="94"/>
        <v>-19108</v>
      </c>
      <c r="I1222" s="35">
        <f t="shared" si="91"/>
        <v>0</v>
      </c>
      <c r="J1222" s="35">
        <f t="shared" si="92"/>
        <v>1185.8871791827817</v>
      </c>
      <c r="K1222" s="45">
        <f t="shared" si="90"/>
        <v>21837264.314226102</v>
      </c>
    </row>
    <row r="1223" spans="2:11">
      <c r="B1223" s="43">
        <v>45473</v>
      </c>
      <c r="C1223" s="32" t="s">
        <v>25</v>
      </c>
      <c r="D1223" s="32" t="s">
        <v>134</v>
      </c>
      <c r="E1223" s="36">
        <f t="shared" si="93"/>
        <v>21837264.314226102</v>
      </c>
      <c r="F1223" s="36">
        <v>0</v>
      </c>
      <c r="G1223" s="58">
        <v>-3827</v>
      </c>
      <c r="H1223" s="35">
        <f t="shared" si="94"/>
        <v>-3827</v>
      </c>
      <c r="I1223" s="35">
        <f t="shared" si="91"/>
        <v>0</v>
      </c>
      <c r="J1223" s="35">
        <f t="shared" si="92"/>
        <v>1184.7861293582855</v>
      </c>
      <c r="K1223" s="45">
        <f t="shared" si="90"/>
        <v>21832252.528096743</v>
      </c>
    </row>
    <row r="1224" spans="2:11">
      <c r="B1224" s="43">
        <v>45474</v>
      </c>
      <c r="C1224" s="32" t="s">
        <v>27</v>
      </c>
      <c r="D1224" s="32" t="s">
        <v>132</v>
      </c>
      <c r="E1224" s="36">
        <f t="shared" si="93"/>
        <v>21832252.528096743</v>
      </c>
      <c r="F1224" s="36">
        <v>16343.13</v>
      </c>
      <c r="G1224" s="58">
        <v>0</v>
      </c>
      <c r="H1224" s="35">
        <f t="shared" si="94"/>
        <v>16343.13</v>
      </c>
      <c r="I1224" s="35">
        <f t="shared" si="91"/>
        <v>0</v>
      </c>
      <c r="J1224" s="35">
        <f t="shared" si="92"/>
        <v>2369.028427346127</v>
      </c>
      <c r="K1224" s="45">
        <f t="shared" ref="K1224:K1287" si="95">E1224+H1224+I1224-J1224</f>
        <v>21846226.629669394</v>
      </c>
    </row>
    <row r="1225" spans="2:11">
      <c r="B1225" s="43">
        <v>45474</v>
      </c>
      <c r="C1225" s="32" t="s">
        <v>27</v>
      </c>
      <c r="D1225" s="32" t="s">
        <v>134</v>
      </c>
      <c r="E1225" s="36">
        <f t="shared" si="93"/>
        <v>21846226.629669394</v>
      </c>
      <c r="F1225" s="36">
        <v>0</v>
      </c>
      <c r="G1225" s="58">
        <v>-5594.53</v>
      </c>
      <c r="H1225" s="35">
        <f t="shared" si="94"/>
        <v>-5594.53</v>
      </c>
      <c r="I1225" s="35">
        <f t="shared" si="91"/>
        <v>0</v>
      </c>
      <c r="J1225" s="35">
        <f t="shared" si="92"/>
        <v>1185.2723819800128</v>
      </c>
      <c r="K1225" s="45">
        <f t="shared" si="95"/>
        <v>21839446.827287413</v>
      </c>
    </row>
    <row r="1226" spans="2:11">
      <c r="B1226" s="43">
        <v>45474</v>
      </c>
      <c r="C1226" s="32" t="s">
        <v>27</v>
      </c>
      <c r="D1226" s="32" t="s">
        <v>134</v>
      </c>
      <c r="E1226" s="36">
        <f t="shared" si="93"/>
        <v>21839446.827287413</v>
      </c>
      <c r="F1226" s="36">
        <v>0</v>
      </c>
      <c r="G1226" s="58">
        <v>-9975</v>
      </c>
      <c r="H1226" s="35">
        <f t="shared" si="94"/>
        <v>-9975</v>
      </c>
      <c r="I1226" s="35">
        <f t="shared" si="91"/>
        <v>0</v>
      </c>
      <c r="J1226" s="35">
        <f t="shared" si="92"/>
        <v>1184.9045421395283</v>
      </c>
      <c r="K1226" s="45">
        <f t="shared" si="95"/>
        <v>21828286.922745273</v>
      </c>
    </row>
    <row r="1227" spans="2:11">
      <c r="B1227" s="43">
        <v>45474</v>
      </c>
      <c r="C1227" s="32" t="s">
        <v>29</v>
      </c>
      <c r="D1227" s="32" t="s">
        <v>134</v>
      </c>
      <c r="E1227" s="36">
        <f t="shared" si="93"/>
        <v>21828286.922745273</v>
      </c>
      <c r="F1227" s="36">
        <v>0</v>
      </c>
      <c r="G1227" s="58">
        <v>-21258</v>
      </c>
      <c r="H1227" s="35">
        <f t="shared" si="94"/>
        <v>-21258</v>
      </c>
      <c r="I1227" s="35">
        <f t="shared" si="91"/>
        <v>0</v>
      </c>
      <c r="J1227" s="35">
        <f t="shared" si="92"/>
        <v>1184.2990587824452</v>
      </c>
      <c r="K1227" s="45">
        <f t="shared" si="95"/>
        <v>21805844.623686489</v>
      </c>
    </row>
    <row r="1228" spans="2:11">
      <c r="B1228" s="43">
        <v>45474</v>
      </c>
      <c r="C1228" s="32" t="s">
        <v>29</v>
      </c>
      <c r="D1228" s="32" t="s">
        <v>134</v>
      </c>
      <c r="E1228" s="36">
        <f t="shared" si="93"/>
        <v>21805844.623686489</v>
      </c>
      <c r="F1228" s="36">
        <v>0</v>
      </c>
      <c r="G1228" s="58">
        <v>-5730</v>
      </c>
      <c r="H1228" s="35">
        <f t="shared" si="94"/>
        <v>-5730</v>
      </c>
      <c r="I1228" s="35">
        <f t="shared" si="91"/>
        <v>0</v>
      </c>
      <c r="J1228" s="35">
        <f t="shared" si="92"/>
        <v>1183.0814463446804</v>
      </c>
      <c r="K1228" s="45">
        <f t="shared" si="95"/>
        <v>21798931.542240143</v>
      </c>
    </row>
    <row r="1229" spans="2:11">
      <c r="B1229" s="43">
        <v>45475</v>
      </c>
      <c r="C1229" s="32" t="s">
        <v>29</v>
      </c>
      <c r="D1229" s="32" t="s">
        <v>132</v>
      </c>
      <c r="E1229" s="36">
        <f t="shared" si="93"/>
        <v>21798931.542240143</v>
      </c>
      <c r="F1229" s="36">
        <v>16475.759999999998</v>
      </c>
      <c r="G1229" s="58">
        <v>0</v>
      </c>
      <c r="H1229" s="35">
        <f t="shared" si="94"/>
        <v>16475.759999999998</v>
      </c>
      <c r="I1229" s="35">
        <f t="shared" si="91"/>
        <v>0</v>
      </c>
      <c r="J1229" s="35">
        <f t="shared" si="92"/>
        <v>2365.4127508317638</v>
      </c>
      <c r="K1229" s="45">
        <f t="shared" si="95"/>
        <v>21813041.889489312</v>
      </c>
    </row>
    <row r="1230" spans="2:11">
      <c r="B1230" s="43">
        <v>45475</v>
      </c>
      <c r="C1230" s="32" t="s">
        <v>29</v>
      </c>
      <c r="D1230" s="32" t="s">
        <v>132</v>
      </c>
      <c r="E1230" s="36">
        <f t="shared" si="93"/>
        <v>21813041.889489312</v>
      </c>
      <c r="F1230" s="36">
        <v>20539.91</v>
      </c>
      <c r="G1230" s="58">
        <v>0</v>
      </c>
      <c r="H1230" s="35">
        <f t="shared" si="94"/>
        <v>20539.91</v>
      </c>
      <c r="I1230" s="35">
        <f t="shared" si="91"/>
        <v>0</v>
      </c>
      <c r="J1230" s="35">
        <f t="shared" si="92"/>
        <v>1183.4719357654151</v>
      </c>
      <c r="K1230" s="45">
        <f t="shared" si="95"/>
        <v>21832398.327553548</v>
      </c>
    </row>
    <row r="1231" spans="2:11">
      <c r="B1231" s="43">
        <v>45475</v>
      </c>
      <c r="C1231" s="32" t="s">
        <v>29</v>
      </c>
      <c r="D1231" s="32" t="s">
        <v>132</v>
      </c>
      <c r="E1231" s="36">
        <f t="shared" si="93"/>
        <v>21832398.327553548</v>
      </c>
      <c r="F1231" s="36">
        <v>16179.95</v>
      </c>
      <c r="G1231" s="58">
        <v>0</v>
      </c>
      <c r="H1231" s="35">
        <f t="shared" si="94"/>
        <v>16179.95</v>
      </c>
      <c r="I1231" s="35">
        <f t="shared" si="91"/>
        <v>0</v>
      </c>
      <c r="J1231" s="35">
        <f t="shared" si="92"/>
        <v>1184.5221240583392</v>
      </c>
      <c r="K1231" s="45">
        <f t="shared" si="95"/>
        <v>21847393.755429488</v>
      </c>
    </row>
    <row r="1232" spans="2:11">
      <c r="B1232" s="43">
        <v>45475</v>
      </c>
      <c r="C1232" s="32" t="s">
        <v>29</v>
      </c>
      <c r="D1232" s="32" t="s">
        <v>134</v>
      </c>
      <c r="E1232" s="36">
        <f t="shared" si="93"/>
        <v>21847393.755429488</v>
      </c>
      <c r="F1232" s="36">
        <v>0</v>
      </c>
      <c r="G1232" s="58">
        <v>-13668</v>
      </c>
      <c r="H1232" s="35">
        <f t="shared" si="94"/>
        <v>-13668</v>
      </c>
      <c r="I1232" s="35">
        <f t="shared" si="91"/>
        <v>0</v>
      </c>
      <c r="J1232" s="35">
        <f t="shared" si="92"/>
        <v>1185.3357046742788</v>
      </c>
      <c r="K1232" s="45">
        <f t="shared" si="95"/>
        <v>21832540.419724815</v>
      </c>
    </row>
    <row r="1233" spans="2:11">
      <c r="B1233" s="43">
        <v>45475</v>
      </c>
      <c r="C1233" s="32" t="s">
        <v>29</v>
      </c>
      <c r="D1233" s="32" t="s">
        <v>134</v>
      </c>
      <c r="E1233" s="36">
        <f t="shared" si="93"/>
        <v>21832540.419724815</v>
      </c>
      <c r="F1233" s="36">
        <v>0</v>
      </c>
      <c r="G1233" s="58">
        <v>-9295</v>
      </c>
      <c r="H1233" s="35">
        <f t="shared" si="94"/>
        <v>-9295</v>
      </c>
      <c r="I1233" s="35">
        <f t="shared" si="91"/>
        <v>0</v>
      </c>
      <c r="J1233" s="35">
        <f t="shared" si="92"/>
        <v>1184.5298333039289</v>
      </c>
      <c r="K1233" s="45">
        <f t="shared" si="95"/>
        <v>21822060.889891509</v>
      </c>
    </row>
    <row r="1234" spans="2:11">
      <c r="B1234" s="43">
        <v>45475</v>
      </c>
      <c r="C1234" s="32" t="s">
        <v>27</v>
      </c>
      <c r="D1234" s="32" t="s">
        <v>134</v>
      </c>
      <c r="E1234" s="36">
        <f t="shared" si="93"/>
        <v>21822060.889891509</v>
      </c>
      <c r="F1234" s="36">
        <v>0</v>
      </c>
      <c r="G1234" s="58">
        <v>-9375</v>
      </c>
      <c r="H1234" s="35">
        <f t="shared" si="94"/>
        <v>-9375</v>
      </c>
      <c r="I1234" s="35">
        <f t="shared" si="91"/>
        <v>0</v>
      </c>
      <c r="J1234" s="35">
        <f t="shared" si="92"/>
        <v>1183.9612638434855</v>
      </c>
      <c r="K1234" s="45">
        <f t="shared" si="95"/>
        <v>21811501.928627666</v>
      </c>
    </row>
    <row r="1235" spans="2:11">
      <c r="B1235" s="43">
        <v>45475</v>
      </c>
      <c r="C1235" s="32" t="s">
        <v>29</v>
      </c>
      <c r="D1235" s="32" t="s">
        <v>134</v>
      </c>
      <c r="E1235" s="36">
        <f t="shared" si="93"/>
        <v>21811501.928627666</v>
      </c>
      <c r="F1235" s="36">
        <v>0</v>
      </c>
      <c r="G1235" s="58">
        <v>-3292</v>
      </c>
      <c r="H1235" s="35">
        <f t="shared" si="94"/>
        <v>-3292</v>
      </c>
      <c r="I1235" s="35">
        <f t="shared" si="91"/>
        <v>0</v>
      </c>
      <c r="J1235" s="35">
        <f t="shared" si="92"/>
        <v>1183.3883848113037</v>
      </c>
      <c r="K1235" s="45">
        <f t="shared" si="95"/>
        <v>21807026.540242855</v>
      </c>
    </row>
    <row r="1236" spans="2:11">
      <c r="B1236" s="43">
        <v>45476</v>
      </c>
      <c r="C1236" s="32" t="s">
        <v>25</v>
      </c>
      <c r="D1236" s="32" t="s">
        <v>132</v>
      </c>
      <c r="E1236" s="36">
        <f t="shared" si="93"/>
        <v>21807026.540242855</v>
      </c>
      <c r="F1236" s="36">
        <v>14329.61</v>
      </c>
      <c r="G1236" s="58">
        <v>0</v>
      </c>
      <c r="H1236" s="35">
        <f t="shared" si="94"/>
        <v>14329.61</v>
      </c>
      <c r="I1236" s="35">
        <f t="shared" ref="I1236:I1299" si="96">(($E1236*Daily_Interest)*(_xlfn.DAYS(B1236,B1235)+1))+((IF(DAY($B1235)&gt;Monthly_Cut_off_Date,0,Daily_Interest*H1236))*(_xlfn.DAYS(B1236,B1235)+1))</f>
        <v>0</v>
      </c>
      <c r="J1236" s="35">
        <f t="shared" ref="J1236:J1299" si="97">(($I1236+E1236)*Daily_Fees_Rate)*((_xlfn.DAYS(B1236,B1235)+1))</f>
        <v>2366.2911430344493</v>
      </c>
      <c r="K1236" s="45">
        <f t="shared" si="95"/>
        <v>21818989.85909982</v>
      </c>
    </row>
    <row r="1237" spans="2:11">
      <c r="B1237" s="43">
        <v>45476</v>
      </c>
      <c r="C1237" s="32" t="s">
        <v>29</v>
      </c>
      <c r="D1237" s="32" t="s">
        <v>132</v>
      </c>
      <c r="E1237" s="36">
        <f t="shared" ref="E1237:E1300" si="98">K1236</f>
        <v>21818989.85909982</v>
      </c>
      <c r="F1237" s="36">
        <v>13592.47</v>
      </c>
      <c r="G1237" s="58">
        <v>0</v>
      </c>
      <c r="H1237" s="35">
        <f t="shared" ref="H1237:H1300" si="99">SUM(F1237:G1237)</f>
        <v>13592.47</v>
      </c>
      <c r="I1237" s="35">
        <f t="shared" si="96"/>
        <v>0</v>
      </c>
      <c r="J1237" s="35">
        <f t="shared" si="97"/>
        <v>1183.7946443149372</v>
      </c>
      <c r="K1237" s="45">
        <f t="shared" si="95"/>
        <v>21831398.534455504</v>
      </c>
    </row>
    <row r="1238" spans="2:11">
      <c r="B1238" s="43">
        <v>45476</v>
      </c>
      <c r="C1238" s="32" t="s">
        <v>27</v>
      </c>
      <c r="D1238" s="32" t="s">
        <v>132</v>
      </c>
      <c r="E1238" s="36">
        <f t="shared" si="98"/>
        <v>21831398.534455504</v>
      </c>
      <c r="F1238" s="36">
        <v>13409.23</v>
      </c>
      <c r="G1238" s="58">
        <v>0</v>
      </c>
      <c r="H1238" s="35">
        <f t="shared" si="99"/>
        <v>13409.23</v>
      </c>
      <c r="I1238" s="35">
        <f t="shared" si="96"/>
        <v>0</v>
      </c>
      <c r="J1238" s="35">
        <f t="shared" si="97"/>
        <v>1184.4678800386787</v>
      </c>
      <c r="K1238" s="45">
        <f t="shared" si="95"/>
        <v>21843623.296575464</v>
      </c>
    </row>
    <row r="1239" spans="2:11">
      <c r="B1239" s="43">
        <v>45476</v>
      </c>
      <c r="C1239" s="32" t="s">
        <v>25</v>
      </c>
      <c r="D1239" s="32" t="s">
        <v>132</v>
      </c>
      <c r="E1239" s="36">
        <f t="shared" si="98"/>
        <v>21843623.296575464</v>
      </c>
      <c r="F1239" s="36">
        <v>19340.93</v>
      </c>
      <c r="G1239" s="58">
        <v>0</v>
      </c>
      <c r="H1239" s="35">
        <f t="shared" si="99"/>
        <v>19340.93</v>
      </c>
      <c r="I1239" s="35">
        <f t="shared" si="96"/>
        <v>0</v>
      </c>
      <c r="J1239" s="35">
        <f t="shared" si="97"/>
        <v>1185.1311375047248</v>
      </c>
      <c r="K1239" s="45">
        <f t="shared" si="95"/>
        <v>21861779.095437959</v>
      </c>
    </row>
    <row r="1240" spans="2:11">
      <c r="B1240" s="43">
        <v>45476</v>
      </c>
      <c r="C1240" s="32" t="s">
        <v>29</v>
      </c>
      <c r="D1240" s="32" t="s">
        <v>132</v>
      </c>
      <c r="E1240" s="36">
        <f t="shared" si="98"/>
        <v>21861779.095437959</v>
      </c>
      <c r="F1240" s="36">
        <v>19429.62</v>
      </c>
      <c r="G1240" s="58">
        <v>0</v>
      </c>
      <c r="H1240" s="35">
        <f t="shared" si="99"/>
        <v>19429.62</v>
      </c>
      <c r="I1240" s="35">
        <f t="shared" si="96"/>
        <v>0</v>
      </c>
      <c r="J1240" s="35">
        <f t="shared" si="97"/>
        <v>1186.1161848233896</v>
      </c>
      <c r="K1240" s="45">
        <f t="shared" si="95"/>
        <v>21880022.599253137</v>
      </c>
    </row>
    <row r="1241" spans="2:11">
      <c r="B1241" s="43">
        <v>45476</v>
      </c>
      <c r="C1241" s="32" t="s">
        <v>29</v>
      </c>
      <c r="D1241" s="32" t="s">
        <v>132</v>
      </c>
      <c r="E1241" s="36">
        <f t="shared" si="98"/>
        <v>21880022.599253137</v>
      </c>
      <c r="F1241" s="36">
        <v>14581.23</v>
      </c>
      <c r="G1241" s="58">
        <v>0</v>
      </c>
      <c r="H1241" s="35">
        <f t="shared" si="99"/>
        <v>14581.23</v>
      </c>
      <c r="I1241" s="35">
        <f t="shared" si="96"/>
        <v>0</v>
      </c>
      <c r="J1241" s="35">
        <f t="shared" si="97"/>
        <v>1187.1059905957654</v>
      </c>
      <c r="K1241" s="45">
        <f t="shared" si="95"/>
        <v>21893416.723262541</v>
      </c>
    </row>
    <row r="1242" spans="2:11">
      <c r="B1242" s="43">
        <v>45476</v>
      </c>
      <c r="C1242" s="32" t="s">
        <v>29</v>
      </c>
      <c r="D1242" s="32" t="s">
        <v>132</v>
      </c>
      <c r="E1242" s="36">
        <f t="shared" si="98"/>
        <v>21893416.723262541</v>
      </c>
      <c r="F1242" s="36">
        <v>15312.6</v>
      </c>
      <c r="G1242" s="58">
        <v>0</v>
      </c>
      <c r="H1242" s="35">
        <f t="shared" si="99"/>
        <v>15312.6</v>
      </c>
      <c r="I1242" s="35">
        <f t="shared" si="96"/>
        <v>0</v>
      </c>
      <c r="J1242" s="35">
        <f t="shared" si="97"/>
        <v>1187.8326920778238</v>
      </c>
      <c r="K1242" s="45">
        <f t="shared" si="95"/>
        <v>21907541.490570463</v>
      </c>
    </row>
    <row r="1243" spans="2:11">
      <c r="B1243" s="43">
        <v>45476</v>
      </c>
      <c r="C1243" s="32" t="s">
        <v>25</v>
      </c>
      <c r="D1243" s="32" t="s">
        <v>132</v>
      </c>
      <c r="E1243" s="36">
        <f t="shared" si="98"/>
        <v>21907541.490570463</v>
      </c>
      <c r="F1243" s="36">
        <v>13862.62</v>
      </c>
      <c r="G1243" s="58">
        <v>0</v>
      </c>
      <c r="H1243" s="35">
        <f t="shared" si="99"/>
        <v>13862.62</v>
      </c>
      <c r="I1243" s="35">
        <f t="shared" si="96"/>
        <v>0</v>
      </c>
      <c r="J1243" s="35">
        <f t="shared" si="97"/>
        <v>1188.59903479118</v>
      </c>
      <c r="K1243" s="45">
        <f t="shared" si="95"/>
        <v>21920215.511535674</v>
      </c>
    </row>
    <row r="1244" spans="2:11">
      <c r="B1244" s="43">
        <v>45476</v>
      </c>
      <c r="C1244" s="32" t="s">
        <v>29</v>
      </c>
      <c r="D1244" s="32" t="s">
        <v>132</v>
      </c>
      <c r="E1244" s="36">
        <f t="shared" si="98"/>
        <v>21920215.511535674</v>
      </c>
      <c r="F1244" s="36">
        <v>14050.77</v>
      </c>
      <c r="G1244" s="58">
        <v>0</v>
      </c>
      <c r="H1244" s="35">
        <f t="shared" si="99"/>
        <v>14050.77</v>
      </c>
      <c r="I1244" s="35">
        <f t="shared" si="96"/>
        <v>0</v>
      </c>
      <c r="J1244" s="35">
        <f t="shared" si="97"/>
        <v>1189.2866669060229</v>
      </c>
      <c r="K1244" s="45">
        <f t="shared" si="95"/>
        <v>21933076.994868767</v>
      </c>
    </row>
    <row r="1245" spans="2:11">
      <c r="B1245" s="43">
        <v>45476</v>
      </c>
      <c r="C1245" s="32" t="s">
        <v>27</v>
      </c>
      <c r="D1245" s="32" t="s">
        <v>132</v>
      </c>
      <c r="E1245" s="36">
        <f t="shared" si="98"/>
        <v>21933076.994868767</v>
      </c>
      <c r="F1245" s="36">
        <v>12004.84</v>
      </c>
      <c r="G1245" s="58">
        <v>0</v>
      </c>
      <c r="H1245" s="35">
        <f t="shared" si="99"/>
        <v>12004.84</v>
      </c>
      <c r="I1245" s="35">
        <f t="shared" si="96"/>
        <v>0</v>
      </c>
      <c r="J1245" s="35">
        <f t="shared" si="97"/>
        <v>1189.9844698375969</v>
      </c>
      <c r="K1245" s="45">
        <f t="shared" si="95"/>
        <v>21943891.850398928</v>
      </c>
    </row>
    <row r="1246" spans="2:11">
      <c r="B1246" s="43">
        <v>45476</v>
      </c>
      <c r="C1246" s="32" t="s">
        <v>29</v>
      </c>
      <c r="D1246" s="32" t="s">
        <v>134</v>
      </c>
      <c r="E1246" s="36">
        <f t="shared" si="98"/>
        <v>21943891.850398928</v>
      </c>
      <c r="F1246" s="36">
        <v>0</v>
      </c>
      <c r="G1246" s="58">
        <v>-13415.49</v>
      </c>
      <c r="H1246" s="35">
        <f t="shared" si="99"/>
        <v>-13415.49</v>
      </c>
      <c r="I1246" s="35">
        <f t="shared" si="96"/>
        <v>0</v>
      </c>
      <c r="J1246" s="35">
        <f t="shared" si="97"/>
        <v>1190.571232475937</v>
      </c>
      <c r="K1246" s="45">
        <f t="shared" si="95"/>
        <v>21929285.789166454</v>
      </c>
    </row>
    <row r="1247" spans="2:11">
      <c r="B1247" s="43">
        <v>45476</v>
      </c>
      <c r="C1247" s="32" t="s">
        <v>25</v>
      </c>
      <c r="D1247" s="32" t="s">
        <v>134</v>
      </c>
      <c r="E1247" s="36">
        <f t="shared" si="98"/>
        <v>21929285.789166454</v>
      </c>
      <c r="F1247" s="36">
        <v>0</v>
      </c>
      <c r="G1247" s="58">
        <v>-17954</v>
      </c>
      <c r="H1247" s="35">
        <f t="shared" si="99"/>
        <v>-17954</v>
      </c>
      <c r="I1247" s="35">
        <f t="shared" si="96"/>
        <v>0</v>
      </c>
      <c r="J1247" s="35">
        <f t="shared" si="97"/>
        <v>1189.7787770427024</v>
      </c>
      <c r="K1247" s="45">
        <f t="shared" si="95"/>
        <v>21910142.01038941</v>
      </c>
    </row>
    <row r="1248" spans="2:11">
      <c r="B1248" s="43">
        <v>45476</v>
      </c>
      <c r="C1248" s="32" t="s">
        <v>29</v>
      </c>
      <c r="D1248" s="32" t="s">
        <v>134</v>
      </c>
      <c r="E1248" s="36">
        <f t="shared" si="98"/>
        <v>21910142.01038941</v>
      </c>
      <c r="F1248" s="36">
        <v>0</v>
      </c>
      <c r="G1248" s="58">
        <v>-12784</v>
      </c>
      <c r="H1248" s="35">
        <f t="shared" si="99"/>
        <v>-12784</v>
      </c>
      <c r="I1248" s="35">
        <f t="shared" si="96"/>
        <v>0</v>
      </c>
      <c r="J1248" s="35">
        <f t="shared" si="97"/>
        <v>1188.7401266315439</v>
      </c>
      <c r="K1248" s="45">
        <f t="shared" si="95"/>
        <v>21896169.270262778</v>
      </c>
    </row>
    <row r="1249" spans="2:11">
      <c r="B1249" s="43">
        <v>45476</v>
      </c>
      <c r="C1249" s="32" t="s">
        <v>25</v>
      </c>
      <c r="D1249" s="32" t="s">
        <v>134</v>
      </c>
      <c r="E1249" s="36">
        <f t="shared" si="98"/>
        <v>21896169.270262778</v>
      </c>
      <c r="F1249" s="36">
        <v>0</v>
      </c>
      <c r="G1249" s="58">
        <v>-2637</v>
      </c>
      <c r="H1249" s="35">
        <f t="shared" si="99"/>
        <v>-2637</v>
      </c>
      <c r="I1249" s="35">
        <f t="shared" si="96"/>
        <v>0</v>
      </c>
      <c r="J1249" s="35">
        <f t="shared" si="97"/>
        <v>1187.9820321901823</v>
      </c>
      <c r="K1249" s="45">
        <f t="shared" si="95"/>
        <v>21892344.288230587</v>
      </c>
    </row>
    <row r="1250" spans="2:11">
      <c r="B1250" s="43">
        <v>45477</v>
      </c>
      <c r="C1250" s="32" t="s">
        <v>29</v>
      </c>
      <c r="D1250" s="32" t="s">
        <v>132</v>
      </c>
      <c r="E1250" s="36">
        <f t="shared" si="98"/>
        <v>21892344.288230587</v>
      </c>
      <c r="F1250" s="36">
        <v>20007.060000000001</v>
      </c>
      <c r="G1250" s="58">
        <v>0</v>
      </c>
      <c r="H1250" s="35">
        <f t="shared" si="99"/>
        <v>20007.060000000001</v>
      </c>
      <c r="I1250" s="35">
        <f t="shared" si="96"/>
        <v>0</v>
      </c>
      <c r="J1250" s="35">
        <f t="shared" si="97"/>
        <v>2375.549013704458</v>
      </c>
      <c r="K1250" s="45">
        <f t="shared" si="95"/>
        <v>21909975.799216881</v>
      </c>
    </row>
    <row r="1251" spans="2:11">
      <c r="B1251" s="43">
        <v>45477</v>
      </c>
      <c r="C1251" s="32" t="s">
        <v>27</v>
      </c>
      <c r="D1251" s="32" t="s">
        <v>134</v>
      </c>
      <c r="E1251" s="36">
        <f t="shared" si="98"/>
        <v>21909975.799216881</v>
      </c>
      <c r="F1251" s="36">
        <v>0</v>
      </c>
      <c r="G1251" s="58">
        <v>-18318.84</v>
      </c>
      <c r="H1251" s="35">
        <f t="shared" si="99"/>
        <v>-18318.84</v>
      </c>
      <c r="I1251" s="35">
        <f t="shared" si="96"/>
        <v>0</v>
      </c>
      <c r="J1251" s="35">
        <f t="shared" si="97"/>
        <v>1188.7311088036272</v>
      </c>
      <c r="K1251" s="45">
        <f t="shared" si="95"/>
        <v>21890468.228108078</v>
      </c>
    </row>
    <row r="1252" spans="2:11">
      <c r="B1252" s="43">
        <v>45477</v>
      </c>
      <c r="C1252" s="32" t="s">
        <v>27</v>
      </c>
      <c r="D1252" s="32" t="s">
        <v>134</v>
      </c>
      <c r="E1252" s="36">
        <f t="shared" si="98"/>
        <v>21890468.228108078</v>
      </c>
      <c r="F1252" s="36">
        <v>0</v>
      </c>
      <c r="G1252" s="58">
        <v>-6662</v>
      </c>
      <c r="H1252" s="35">
        <f t="shared" si="99"/>
        <v>-6662</v>
      </c>
      <c r="I1252" s="35">
        <f t="shared" si="96"/>
        <v>0</v>
      </c>
      <c r="J1252" s="35">
        <f t="shared" si="97"/>
        <v>1187.6727207503159</v>
      </c>
      <c r="K1252" s="45">
        <f t="shared" si="95"/>
        <v>21882618.555387329</v>
      </c>
    </row>
    <row r="1253" spans="2:11">
      <c r="B1253" s="43">
        <v>45477</v>
      </c>
      <c r="C1253" s="32" t="s">
        <v>29</v>
      </c>
      <c r="D1253" s="32" t="s">
        <v>134</v>
      </c>
      <c r="E1253" s="36">
        <f t="shared" si="98"/>
        <v>21882618.555387329</v>
      </c>
      <c r="F1253" s="36">
        <v>0</v>
      </c>
      <c r="G1253" s="58">
        <v>-9290</v>
      </c>
      <c r="H1253" s="35">
        <f t="shared" si="99"/>
        <v>-9290</v>
      </c>
      <c r="I1253" s="35">
        <f t="shared" si="96"/>
        <v>0</v>
      </c>
      <c r="J1253" s="35">
        <f t="shared" si="97"/>
        <v>1187.2468348322943</v>
      </c>
      <c r="K1253" s="45">
        <f t="shared" si="95"/>
        <v>21872141.308552496</v>
      </c>
    </row>
    <row r="1254" spans="2:11">
      <c r="B1254" s="43">
        <v>45477</v>
      </c>
      <c r="C1254" s="32" t="s">
        <v>29</v>
      </c>
      <c r="D1254" s="32" t="s">
        <v>134</v>
      </c>
      <c r="E1254" s="36">
        <f t="shared" si="98"/>
        <v>21872141.308552496</v>
      </c>
      <c r="F1254" s="36">
        <v>0</v>
      </c>
      <c r="G1254" s="58">
        <v>-4075</v>
      </c>
      <c r="H1254" s="35">
        <f t="shared" si="99"/>
        <v>-4075</v>
      </c>
      <c r="I1254" s="35">
        <f t="shared" si="96"/>
        <v>0</v>
      </c>
      <c r="J1254" s="35">
        <f t="shared" si="97"/>
        <v>1186.6783892364929</v>
      </c>
      <c r="K1254" s="45">
        <f t="shared" si="95"/>
        <v>21866879.63016326</v>
      </c>
    </row>
    <row r="1255" spans="2:11">
      <c r="B1255" s="43">
        <v>45478</v>
      </c>
      <c r="C1255" s="32" t="s">
        <v>25</v>
      </c>
      <c r="D1255" s="32" t="s">
        <v>134</v>
      </c>
      <c r="E1255" s="36">
        <f t="shared" si="98"/>
        <v>21866879.63016326</v>
      </c>
      <c r="F1255" s="36">
        <v>0</v>
      </c>
      <c r="G1255" s="58">
        <v>-4954</v>
      </c>
      <c r="H1255" s="35">
        <f t="shared" si="99"/>
        <v>-4954</v>
      </c>
      <c r="I1255" s="35">
        <f t="shared" si="96"/>
        <v>0</v>
      </c>
      <c r="J1255" s="35">
        <f t="shared" si="97"/>
        <v>2372.7858311708869</v>
      </c>
      <c r="K1255" s="45">
        <f t="shared" si="95"/>
        <v>21859552.844332088</v>
      </c>
    </row>
    <row r="1256" spans="2:11">
      <c r="B1256" s="43">
        <v>45478</v>
      </c>
      <c r="C1256" s="32" t="s">
        <v>25</v>
      </c>
      <c r="D1256" s="32" t="s">
        <v>134</v>
      </c>
      <c r="E1256" s="36">
        <f t="shared" si="98"/>
        <v>21859552.844332088</v>
      </c>
      <c r="F1256" s="36">
        <v>0</v>
      </c>
      <c r="G1256" s="58">
        <v>-16224</v>
      </c>
      <c r="H1256" s="35">
        <f t="shared" si="99"/>
        <v>-16224</v>
      </c>
      <c r="I1256" s="35">
        <f t="shared" si="96"/>
        <v>0</v>
      </c>
      <c r="J1256" s="35">
        <f t="shared" si="97"/>
        <v>1185.9953990238155</v>
      </c>
      <c r="K1256" s="45">
        <f t="shared" si="95"/>
        <v>21842142.848933063</v>
      </c>
    </row>
    <row r="1257" spans="2:11">
      <c r="B1257" s="43">
        <v>45478</v>
      </c>
      <c r="C1257" s="32" t="s">
        <v>29</v>
      </c>
      <c r="D1257" s="32" t="s">
        <v>134</v>
      </c>
      <c r="E1257" s="36">
        <f t="shared" si="98"/>
        <v>21842142.848933063</v>
      </c>
      <c r="F1257" s="36">
        <v>0</v>
      </c>
      <c r="G1257" s="58">
        <v>-3207</v>
      </c>
      <c r="H1257" s="35">
        <f t="shared" si="99"/>
        <v>-3207</v>
      </c>
      <c r="I1257" s="35">
        <f t="shared" si="96"/>
        <v>0</v>
      </c>
      <c r="J1257" s="35">
        <f t="shared" si="97"/>
        <v>1185.050815454915</v>
      </c>
      <c r="K1257" s="45">
        <f t="shared" si="95"/>
        <v>21837750.798117608</v>
      </c>
    </row>
    <row r="1258" spans="2:11">
      <c r="B1258" s="43">
        <v>45479</v>
      </c>
      <c r="C1258" s="32" t="s">
        <v>25</v>
      </c>
      <c r="D1258" s="32" t="s">
        <v>132</v>
      </c>
      <c r="E1258" s="36">
        <f t="shared" si="98"/>
        <v>21837750.798117608</v>
      </c>
      <c r="F1258" s="36">
        <v>16012.81</v>
      </c>
      <c r="G1258" s="58">
        <v>0</v>
      </c>
      <c r="H1258" s="35">
        <f t="shared" si="99"/>
        <v>16012.81</v>
      </c>
      <c r="I1258" s="35">
        <f t="shared" si="96"/>
        <v>0</v>
      </c>
      <c r="J1258" s="35">
        <f t="shared" si="97"/>
        <v>2369.6250473221871</v>
      </c>
      <c r="K1258" s="45">
        <f t="shared" si="95"/>
        <v>21851393.983070284</v>
      </c>
    </row>
    <row r="1259" spans="2:11">
      <c r="B1259" s="43">
        <v>45479</v>
      </c>
      <c r="C1259" s="32" t="s">
        <v>27</v>
      </c>
      <c r="D1259" s="32" t="s">
        <v>134</v>
      </c>
      <c r="E1259" s="36">
        <f t="shared" si="98"/>
        <v>21851393.983070284</v>
      </c>
      <c r="F1259" s="36">
        <v>0</v>
      </c>
      <c r="G1259" s="58">
        <v>-5126.37</v>
      </c>
      <c r="H1259" s="35">
        <f t="shared" si="99"/>
        <v>-5126.37</v>
      </c>
      <c r="I1259" s="35">
        <f t="shared" si="96"/>
        <v>0</v>
      </c>
      <c r="J1259" s="35">
        <f t="shared" si="97"/>
        <v>1185.5527380056931</v>
      </c>
      <c r="K1259" s="45">
        <f t="shared" si="95"/>
        <v>21845082.060332276</v>
      </c>
    </row>
    <row r="1260" spans="2:11">
      <c r="B1260" s="43">
        <v>45479</v>
      </c>
      <c r="C1260" s="32" t="s">
        <v>27</v>
      </c>
      <c r="D1260" s="32" t="s">
        <v>134</v>
      </c>
      <c r="E1260" s="36">
        <f t="shared" si="98"/>
        <v>21845082.060332276</v>
      </c>
      <c r="F1260" s="36">
        <v>0</v>
      </c>
      <c r="G1260" s="58">
        <v>-10219</v>
      </c>
      <c r="H1260" s="35">
        <f t="shared" si="99"/>
        <v>-10219</v>
      </c>
      <c r="I1260" s="35">
        <f t="shared" si="96"/>
        <v>0</v>
      </c>
      <c r="J1260" s="35">
        <f t="shared" si="97"/>
        <v>1185.2102830900058</v>
      </c>
      <c r="K1260" s="45">
        <f t="shared" si="95"/>
        <v>21833677.850049186</v>
      </c>
    </row>
    <row r="1261" spans="2:11">
      <c r="B1261" s="43">
        <v>45480</v>
      </c>
      <c r="C1261" s="32" t="s">
        <v>25</v>
      </c>
      <c r="D1261" s="32" t="s">
        <v>132</v>
      </c>
      <c r="E1261" s="36">
        <f t="shared" si="98"/>
        <v>21833677.850049186</v>
      </c>
      <c r="F1261" s="36">
        <v>16711.8</v>
      </c>
      <c r="G1261" s="58">
        <v>0</v>
      </c>
      <c r="H1261" s="35">
        <f t="shared" si="99"/>
        <v>16711.8</v>
      </c>
      <c r="I1261" s="35">
        <f t="shared" si="96"/>
        <v>0</v>
      </c>
      <c r="J1261" s="35">
        <f t="shared" si="97"/>
        <v>2369.1830897300983</v>
      </c>
      <c r="K1261" s="45">
        <f t="shared" si="95"/>
        <v>21848020.466959458</v>
      </c>
    </row>
    <row r="1262" spans="2:11">
      <c r="B1262" s="43">
        <v>45480</v>
      </c>
      <c r="C1262" s="32" t="s">
        <v>29</v>
      </c>
      <c r="D1262" s="32" t="s">
        <v>134</v>
      </c>
      <c r="E1262" s="36">
        <f t="shared" si="98"/>
        <v>21848020.466959458</v>
      </c>
      <c r="F1262" s="36">
        <v>0</v>
      </c>
      <c r="G1262" s="58">
        <v>-7047</v>
      </c>
      <c r="H1262" s="35">
        <f t="shared" si="99"/>
        <v>-7047</v>
      </c>
      <c r="I1262" s="35">
        <f t="shared" si="96"/>
        <v>0</v>
      </c>
      <c r="J1262" s="35">
        <f t="shared" si="97"/>
        <v>1185.3697070619924</v>
      </c>
      <c r="K1262" s="45">
        <f t="shared" si="95"/>
        <v>21839788.097252395</v>
      </c>
    </row>
    <row r="1263" spans="2:11">
      <c r="B1263" s="43">
        <v>45480</v>
      </c>
      <c r="C1263" s="32" t="s">
        <v>25</v>
      </c>
      <c r="D1263" s="32" t="s">
        <v>134</v>
      </c>
      <c r="E1263" s="36">
        <f t="shared" si="98"/>
        <v>21839788.097252395</v>
      </c>
      <c r="F1263" s="36">
        <v>0</v>
      </c>
      <c r="G1263" s="58">
        <v>-2014</v>
      </c>
      <c r="H1263" s="35">
        <f t="shared" si="99"/>
        <v>-2014</v>
      </c>
      <c r="I1263" s="35">
        <f t="shared" si="96"/>
        <v>0</v>
      </c>
      <c r="J1263" s="35">
        <f t="shared" si="97"/>
        <v>1184.92305782515</v>
      </c>
      <c r="K1263" s="45">
        <f t="shared" si="95"/>
        <v>21836589.174194571</v>
      </c>
    </row>
    <row r="1264" spans="2:11">
      <c r="B1264" s="43">
        <v>45480</v>
      </c>
      <c r="C1264" s="32" t="s">
        <v>25</v>
      </c>
      <c r="D1264" s="32" t="s">
        <v>134</v>
      </c>
      <c r="E1264" s="36">
        <f t="shared" si="98"/>
        <v>21836589.174194571</v>
      </c>
      <c r="F1264" s="36">
        <v>0</v>
      </c>
      <c r="G1264" s="58">
        <v>-8120</v>
      </c>
      <c r="H1264" s="35">
        <f t="shared" si="99"/>
        <v>-8120</v>
      </c>
      <c r="I1264" s="35">
        <f t="shared" si="96"/>
        <v>0</v>
      </c>
      <c r="J1264" s="35">
        <f t="shared" si="97"/>
        <v>1184.7494994703461</v>
      </c>
      <c r="K1264" s="45">
        <f t="shared" si="95"/>
        <v>21827284.424695101</v>
      </c>
    </row>
    <row r="1265" spans="2:11">
      <c r="B1265" s="43">
        <v>45480</v>
      </c>
      <c r="C1265" s="32" t="s">
        <v>29</v>
      </c>
      <c r="D1265" s="32" t="s">
        <v>134</v>
      </c>
      <c r="E1265" s="36">
        <f t="shared" si="98"/>
        <v>21827284.424695101</v>
      </c>
      <c r="F1265" s="36">
        <v>0</v>
      </c>
      <c r="G1265" s="58">
        <v>-10685</v>
      </c>
      <c r="H1265" s="35">
        <f t="shared" si="99"/>
        <v>-10685</v>
      </c>
      <c r="I1265" s="35">
        <f t="shared" si="96"/>
        <v>0</v>
      </c>
      <c r="J1265" s="35">
        <f t="shared" si="97"/>
        <v>1184.2446680049438</v>
      </c>
      <c r="K1265" s="45">
        <f t="shared" si="95"/>
        <v>21815415.180027097</v>
      </c>
    </row>
    <row r="1266" spans="2:11">
      <c r="B1266" s="43">
        <v>45481</v>
      </c>
      <c r="C1266" s="32" t="s">
        <v>29</v>
      </c>
      <c r="D1266" s="32" t="s">
        <v>132</v>
      </c>
      <c r="E1266" s="36">
        <f t="shared" si="98"/>
        <v>21815415.180027097</v>
      </c>
      <c r="F1266" s="36">
        <v>18477.990000000002</v>
      </c>
      <c r="G1266" s="58">
        <v>0</v>
      </c>
      <c r="H1266" s="35">
        <f t="shared" si="99"/>
        <v>18477.990000000002</v>
      </c>
      <c r="I1266" s="35">
        <f t="shared" si="96"/>
        <v>0</v>
      </c>
      <c r="J1266" s="35">
        <f t="shared" si="97"/>
        <v>2367.2013984508367</v>
      </c>
      <c r="K1266" s="45">
        <f t="shared" si="95"/>
        <v>21831525.968628645</v>
      </c>
    </row>
    <row r="1267" spans="2:11">
      <c r="B1267" s="43">
        <v>45481</v>
      </c>
      <c r="C1267" s="32" t="s">
        <v>29</v>
      </c>
      <c r="D1267" s="32" t="s">
        <v>132</v>
      </c>
      <c r="E1267" s="36">
        <f t="shared" si="98"/>
        <v>21831525.968628645</v>
      </c>
      <c r="F1267" s="36">
        <v>12924.28</v>
      </c>
      <c r="G1267" s="58">
        <v>0</v>
      </c>
      <c r="H1267" s="35">
        <f t="shared" si="99"/>
        <v>12924.28</v>
      </c>
      <c r="I1267" s="35">
        <f t="shared" si="96"/>
        <v>0</v>
      </c>
      <c r="J1267" s="35">
        <f t="shared" si="97"/>
        <v>1184.4747940109864</v>
      </c>
      <c r="K1267" s="45">
        <f t="shared" si="95"/>
        <v>21843265.773834635</v>
      </c>
    </row>
    <row r="1268" spans="2:11">
      <c r="B1268" s="43">
        <v>45481</v>
      </c>
      <c r="C1268" s="32" t="s">
        <v>29</v>
      </c>
      <c r="D1268" s="32" t="s">
        <v>132</v>
      </c>
      <c r="E1268" s="36">
        <f t="shared" si="98"/>
        <v>21843265.773834635</v>
      </c>
      <c r="F1268" s="36">
        <v>11931.62</v>
      </c>
      <c r="G1268" s="58">
        <v>0</v>
      </c>
      <c r="H1268" s="35">
        <f t="shared" si="99"/>
        <v>11931.62</v>
      </c>
      <c r="I1268" s="35">
        <f t="shared" si="96"/>
        <v>0</v>
      </c>
      <c r="J1268" s="35">
        <f t="shared" si="97"/>
        <v>1185.111740020765</v>
      </c>
      <c r="K1268" s="45">
        <f t="shared" si="95"/>
        <v>21854012.282094616</v>
      </c>
    </row>
    <row r="1269" spans="2:11">
      <c r="B1269" s="43">
        <v>45481</v>
      </c>
      <c r="C1269" s="32" t="s">
        <v>29</v>
      </c>
      <c r="D1269" s="32" t="s">
        <v>132</v>
      </c>
      <c r="E1269" s="36">
        <f t="shared" si="98"/>
        <v>21854012.282094616</v>
      </c>
      <c r="F1269" s="36">
        <v>16838.32</v>
      </c>
      <c r="G1269" s="58">
        <v>0</v>
      </c>
      <c r="H1269" s="35">
        <f t="shared" si="99"/>
        <v>16838.32</v>
      </c>
      <c r="I1269" s="35">
        <f t="shared" si="96"/>
        <v>0</v>
      </c>
      <c r="J1269" s="35">
        <f t="shared" si="97"/>
        <v>1185.6947944612043</v>
      </c>
      <c r="K1269" s="45">
        <f t="shared" si="95"/>
        <v>21869664.907300156</v>
      </c>
    </row>
    <row r="1270" spans="2:11">
      <c r="B1270" s="43">
        <v>45481</v>
      </c>
      <c r="C1270" s="32" t="s">
        <v>25</v>
      </c>
      <c r="D1270" s="32" t="s">
        <v>134</v>
      </c>
      <c r="E1270" s="36">
        <f t="shared" si="98"/>
        <v>21869664.907300156</v>
      </c>
      <c r="F1270" s="36">
        <v>0</v>
      </c>
      <c r="G1270" s="58">
        <v>-19140</v>
      </c>
      <c r="H1270" s="35">
        <f t="shared" si="99"/>
        <v>-19140</v>
      </c>
      <c r="I1270" s="35">
        <f t="shared" si="96"/>
        <v>0</v>
      </c>
      <c r="J1270" s="35">
        <f t="shared" si="97"/>
        <v>1186.5440314793909</v>
      </c>
      <c r="K1270" s="45">
        <f t="shared" si="95"/>
        <v>21849338.363268677</v>
      </c>
    </row>
    <row r="1271" spans="2:11">
      <c r="B1271" s="43">
        <v>45481</v>
      </c>
      <c r="C1271" s="32" t="s">
        <v>27</v>
      </c>
      <c r="D1271" s="32" t="s">
        <v>134</v>
      </c>
      <c r="E1271" s="36">
        <f t="shared" si="98"/>
        <v>21849338.363268677</v>
      </c>
      <c r="F1271" s="36">
        <v>0</v>
      </c>
      <c r="G1271" s="58">
        <v>-6616</v>
      </c>
      <c r="H1271" s="35">
        <f t="shared" si="99"/>
        <v>-6616</v>
      </c>
      <c r="I1271" s="35">
        <f t="shared" si="96"/>
        <v>0</v>
      </c>
      <c r="J1271" s="35">
        <f t="shared" si="97"/>
        <v>1185.4412098493667</v>
      </c>
      <c r="K1271" s="45">
        <f t="shared" si="95"/>
        <v>21841536.922058828</v>
      </c>
    </row>
    <row r="1272" spans="2:11">
      <c r="B1272" s="43">
        <v>45481</v>
      </c>
      <c r="C1272" s="32" t="s">
        <v>25</v>
      </c>
      <c r="D1272" s="32" t="s">
        <v>134</v>
      </c>
      <c r="E1272" s="36">
        <f t="shared" si="98"/>
        <v>21841536.922058828</v>
      </c>
      <c r="F1272" s="36">
        <v>0</v>
      </c>
      <c r="G1272" s="58">
        <v>-13277</v>
      </c>
      <c r="H1272" s="35">
        <f t="shared" si="99"/>
        <v>-13277</v>
      </c>
      <c r="I1272" s="35">
        <f t="shared" si="96"/>
        <v>0</v>
      </c>
      <c r="J1272" s="35">
        <f t="shared" si="97"/>
        <v>1185.0179407437943</v>
      </c>
      <c r="K1272" s="45">
        <f t="shared" si="95"/>
        <v>21827074.904118083</v>
      </c>
    </row>
    <row r="1273" spans="2:11">
      <c r="B1273" s="43">
        <v>45482</v>
      </c>
      <c r="C1273" s="32" t="s">
        <v>25</v>
      </c>
      <c r="D1273" s="32" t="s">
        <v>132</v>
      </c>
      <c r="E1273" s="36">
        <f t="shared" si="98"/>
        <v>21827074.904118083</v>
      </c>
      <c r="F1273" s="36">
        <v>19841.13</v>
      </c>
      <c r="G1273" s="58">
        <v>0</v>
      </c>
      <c r="H1273" s="35">
        <f t="shared" si="99"/>
        <v>19841.13</v>
      </c>
      <c r="I1273" s="35">
        <f t="shared" si="96"/>
        <v>0</v>
      </c>
      <c r="J1273" s="35">
        <f t="shared" si="97"/>
        <v>2368.4666008293366</v>
      </c>
      <c r="K1273" s="45">
        <f t="shared" si="95"/>
        <v>21844547.567517255</v>
      </c>
    </row>
    <row r="1274" spans="2:11">
      <c r="B1274" s="43">
        <v>45482</v>
      </c>
      <c r="C1274" s="32" t="s">
        <v>25</v>
      </c>
      <c r="D1274" s="32" t="s">
        <v>132</v>
      </c>
      <c r="E1274" s="36">
        <f t="shared" si="98"/>
        <v>21844547.567517255</v>
      </c>
      <c r="F1274" s="36">
        <v>10563.27</v>
      </c>
      <c r="G1274" s="58">
        <v>0</v>
      </c>
      <c r="H1274" s="35">
        <f t="shared" si="99"/>
        <v>10563.27</v>
      </c>
      <c r="I1274" s="35">
        <f t="shared" si="96"/>
        <v>0</v>
      </c>
      <c r="J1274" s="35">
        <f t="shared" si="97"/>
        <v>1185.1812840512814</v>
      </c>
      <c r="K1274" s="45">
        <f t="shared" si="95"/>
        <v>21853925.656233203</v>
      </c>
    </row>
    <row r="1275" spans="2:11">
      <c r="B1275" s="43">
        <v>45482</v>
      </c>
      <c r="C1275" s="32" t="s">
        <v>27</v>
      </c>
      <c r="D1275" s="32" t="s">
        <v>132</v>
      </c>
      <c r="E1275" s="36">
        <f t="shared" si="98"/>
        <v>21853925.656233203</v>
      </c>
      <c r="F1275" s="36">
        <v>16944.84</v>
      </c>
      <c r="G1275" s="58">
        <v>0</v>
      </c>
      <c r="H1275" s="35">
        <f t="shared" si="99"/>
        <v>16944.84</v>
      </c>
      <c r="I1275" s="35">
        <f t="shared" si="96"/>
        <v>0</v>
      </c>
      <c r="J1275" s="35">
        <f t="shared" si="97"/>
        <v>1185.6900945538548</v>
      </c>
      <c r="K1275" s="45">
        <f t="shared" si="95"/>
        <v>21869684.80613865</v>
      </c>
    </row>
    <row r="1276" spans="2:11">
      <c r="B1276" s="43">
        <v>45482</v>
      </c>
      <c r="C1276" s="32" t="s">
        <v>27</v>
      </c>
      <c r="D1276" s="32" t="s">
        <v>134</v>
      </c>
      <c r="E1276" s="36">
        <f t="shared" si="98"/>
        <v>21869684.80613865</v>
      </c>
      <c r="F1276" s="36">
        <v>0</v>
      </c>
      <c r="G1276" s="58">
        <v>-7812.32</v>
      </c>
      <c r="H1276" s="35">
        <f t="shared" si="99"/>
        <v>-7812.32</v>
      </c>
      <c r="I1276" s="35">
        <f t="shared" si="96"/>
        <v>0</v>
      </c>
      <c r="J1276" s="35">
        <f t="shared" si="97"/>
        <v>1186.5451110957522</v>
      </c>
      <c r="K1276" s="45">
        <f t="shared" si="95"/>
        <v>21860685.941027552</v>
      </c>
    </row>
    <row r="1277" spans="2:11">
      <c r="B1277" s="43">
        <v>45482</v>
      </c>
      <c r="C1277" s="32" t="s">
        <v>27</v>
      </c>
      <c r="D1277" s="32" t="s">
        <v>134</v>
      </c>
      <c r="E1277" s="36">
        <f t="shared" si="98"/>
        <v>21860685.941027552</v>
      </c>
      <c r="F1277" s="36">
        <v>0</v>
      </c>
      <c r="G1277" s="58">
        <v>-5306.04</v>
      </c>
      <c r="H1277" s="35">
        <f t="shared" si="99"/>
        <v>-5306.04</v>
      </c>
      <c r="I1277" s="35">
        <f t="shared" si="96"/>
        <v>0</v>
      </c>
      <c r="J1277" s="35">
        <f t="shared" si="97"/>
        <v>1186.0568754628368</v>
      </c>
      <c r="K1277" s="45">
        <f t="shared" si="95"/>
        <v>21854193.844152089</v>
      </c>
    </row>
    <row r="1278" spans="2:11">
      <c r="B1278" s="43">
        <v>45482</v>
      </c>
      <c r="C1278" s="32" t="s">
        <v>29</v>
      </c>
      <c r="D1278" s="32" t="s">
        <v>134</v>
      </c>
      <c r="E1278" s="36">
        <f t="shared" si="98"/>
        <v>21854193.844152089</v>
      </c>
      <c r="F1278" s="36">
        <v>0</v>
      </c>
      <c r="G1278" s="58">
        <v>-5291.35</v>
      </c>
      <c r="H1278" s="35">
        <f t="shared" si="99"/>
        <v>-5291.35</v>
      </c>
      <c r="I1278" s="35">
        <f t="shared" si="96"/>
        <v>0</v>
      </c>
      <c r="J1278" s="35">
        <f t="shared" si="97"/>
        <v>1185.7046451551473</v>
      </c>
      <c r="K1278" s="45">
        <f t="shared" si="95"/>
        <v>21847716.789506931</v>
      </c>
    </row>
    <row r="1279" spans="2:11">
      <c r="B1279" s="43">
        <v>45483</v>
      </c>
      <c r="C1279" s="32" t="s">
        <v>25</v>
      </c>
      <c r="D1279" s="32" t="s">
        <v>132</v>
      </c>
      <c r="E1279" s="36">
        <f t="shared" si="98"/>
        <v>21847716.789506931</v>
      </c>
      <c r="F1279" s="36">
        <v>12959.93</v>
      </c>
      <c r="G1279" s="58">
        <v>0</v>
      </c>
      <c r="H1279" s="35">
        <f t="shared" si="99"/>
        <v>12959.93</v>
      </c>
      <c r="I1279" s="35">
        <f t="shared" si="96"/>
        <v>0</v>
      </c>
      <c r="J1279" s="35">
        <f t="shared" si="97"/>
        <v>2370.706461934702</v>
      </c>
      <c r="K1279" s="45">
        <f t="shared" si="95"/>
        <v>21858306.013044994</v>
      </c>
    </row>
    <row r="1280" spans="2:11">
      <c r="B1280" s="43">
        <v>45483</v>
      </c>
      <c r="C1280" s="32" t="s">
        <v>27</v>
      </c>
      <c r="D1280" s="32" t="s">
        <v>132</v>
      </c>
      <c r="E1280" s="36">
        <f t="shared" si="98"/>
        <v>21858306.013044994</v>
      </c>
      <c r="F1280" s="36">
        <v>17009.02</v>
      </c>
      <c r="G1280" s="58">
        <v>0</v>
      </c>
      <c r="H1280" s="35">
        <f t="shared" si="99"/>
        <v>17009.02</v>
      </c>
      <c r="I1280" s="35">
        <f t="shared" si="96"/>
        <v>0</v>
      </c>
      <c r="J1280" s="35">
        <f t="shared" si="97"/>
        <v>1185.9277518866402</v>
      </c>
      <c r="K1280" s="45">
        <f t="shared" si="95"/>
        <v>21874129.105293106</v>
      </c>
    </row>
    <row r="1281" spans="2:11">
      <c r="B1281" s="43">
        <v>45483</v>
      </c>
      <c r="C1281" s="32" t="s">
        <v>25</v>
      </c>
      <c r="D1281" s="32" t="s">
        <v>132</v>
      </c>
      <c r="E1281" s="36">
        <f t="shared" si="98"/>
        <v>21874129.105293106</v>
      </c>
      <c r="F1281" s="36">
        <v>12099.07</v>
      </c>
      <c r="G1281" s="58">
        <v>0</v>
      </c>
      <c r="H1281" s="35">
        <f t="shared" si="99"/>
        <v>12099.07</v>
      </c>
      <c r="I1281" s="35">
        <f t="shared" si="96"/>
        <v>0</v>
      </c>
      <c r="J1281" s="35">
        <f t="shared" si="97"/>
        <v>1186.7862376360163</v>
      </c>
      <c r="K1281" s="45">
        <f t="shared" si="95"/>
        <v>21885041.389055472</v>
      </c>
    </row>
    <row r="1282" spans="2:11">
      <c r="B1282" s="43">
        <v>45483</v>
      </c>
      <c r="C1282" s="32" t="s">
        <v>29</v>
      </c>
      <c r="D1282" s="32" t="s">
        <v>134</v>
      </c>
      <c r="E1282" s="36">
        <f t="shared" si="98"/>
        <v>21885041.389055472</v>
      </c>
      <c r="F1282" s="36">
        <v>0</v>
      </c>
      <c r="G1282" s="58">
        <v>-15252</v>
      </c>
      <c r="H1282" s="35">
        <f t="shared" si="99"/>
        <v>-15252</v>
      </c>
      <c r="I1282" s="35">
        <f t="shared" si="96"/>
        <v>0</v>
      </c>
      <c r="J1282" s="35">
        <f t="shared" si="97"/>
        <v>1187.3782862669818</v>
      </c>
      <c r="K1282" s="45">
        <f t="shared" si="95"/>
        <v>21868602.010769203</v>
      </c>
    </row>
    <row r="1283" spans="2:11">
      <c r="B1283" s="43">
        <v>45484</v>
      </c>
      <c r="C1283" s="32" t="s">
        <v>25</v>
      </c>
      <c r="D1283" s="32" t="s">
        <v>132</v>
      </c>
      <c r="E1283" s="36">
        <f t="shared" si="98"/>
        <v>21868602.010769203</v>
      </c>
      <c r="F1283" s="36">
        <v>14206.03</v>
      </c>
      <c r="G1283" s="58">
        <v>0</v>
      </c>
      <c r="H1283" s="35">
        <f t="shared" si="99"/>
        <v>14206.03</v>
      </c>
      <c r="I1283" s="35">
        <f t="shared" si="96"/>
        <v>0</v>
      </c>
      <c r="J1283" s="35">
        <f t="shared" si="97"/>
        <v>2372.9727275350133</v>
      </c>
      <c r="K1283" s="45">
        <f t="shared" si="95"/>
        <v>21880435.068041671</v>
      </c>
    </row>
    <row r="1284" spans="2:11">
      <c r="B1284" s="43">
        <v>45484</v>
      </c>
      <c r="C1284" s="32" t="s">
        <v>27</v>
      </c>
      <c r="D1284" s="32" t="s">
        <v>132</v>
      </c>
      <c r="E1284" s="36">
        <f t="shared" si="98"/>
        <v>21880435.068041671</v>
      </c>
      <c r="F1284" s="36">
        <v>21459.55</v>
      </c>
      <c r="G1284" s="58">
        <v>0</v>
      </c>
      <c r="H1284" s="35">
        <f t="shared" si="99"/>
        <v>21459.55</v>
      </c>
      <c r="I1284" s="35">
        <f t="shared" si="96"/>
        <v>0</v>
      </c>
      <c r="J1284" s="35">
        <f t="shared" si="97"/>
        <v>1187.1283691910151</v>
      </c>
      <c r="K1284" s="45">
        <f t="shared" si="95"/>
        <v>21900707.489672482</v>
      </c>
    </row>
    <row r="1285" spans="2:11">
      <c r="B1285" s="43">
        <v>45484</v>
      </c>
      <c r="C1285" s="32" t="s">
        <v>25</v>
      </c>
      <c r="D1285" s="32" t="s">
        <v>132</v>
      </c>
      <c r="E1285" s="36">
        <f t="shared" si="98"/>
        <v>21900707.489672482</v>
      </c>
      <c r="F1285" s="36">
        <v>16674.98</v>
      </c>
      <c r="G1285" s="58">
        <v>0</v>
      </c>
      <c r="H1285" s="35">
        <f t="shared" si="99"/>
        <v>16674.98</v>
      </c>
      <c r="I1285" s="35">
        <f t="shared" si="96"/>
        <v>0</v>
      </c>
      <c r="J1285" s="35">
        <f t="shared" si="97"/>
        <v>1188.2282543969218</v>
      </c>
      <c r="K1285" s="45">
        <f t="shared" si="95"/>
        <v>21916194.241418086</v>
      </c>
    </row>
    <row r="1286" spans="2:11">
      <c r="B1286" s="43">
        <v>45484</v>
      </c>
      <c r="C1286" s="32" t="s">
        <v>29</v>
      </c>
      <c r="D1286" s="32" t="s">
        <v>132</v>
      </c>
      <c r="E1286" s="36">
        <f t="shared" si="98"/>
        <v>21916194.241418086</v>
      </c>
      <c r="F1286" s="36">
        <v>11723.06</v>
      </c>
      <c r="G1286" s="58">
        <v>0</v>
      </c>
      <c r="H1286" s="35">
        <f t="shared" si="99"/>
        <v>11723.06</v>
      </c>
      <c r="I1286" s="35">
        <f t="shared" si="96"/>
        <v>0</v>
      </c>
      <c r="J1286" s="35">
        <f t="shared" si="97"/>
        <v>1189.0684919098712</v>
      </c>
      <c r="K1286" s="45">
        <f t="shared" si="95"/>
        <v>21926728.232926175</v>
      </c>
    </row>
    <row r="1287" spans="2:11">
      <c r="B1287" s="43">
        <v>45484</v>
      </c>
      <c r="C1287" s="32" t="s">
        <v>25</v>
      </c>
      <c r="D1287" s="32" t="s">
        <v>132</v>
      </c>
      <c r="E1287" s="36">
        <f t="shared" si="98"/>
        <v>21926728.232926175</v>
      </c>
      <c r="F1287" s="36">
        <v>17260.02</v>
      </c>
      <c r="G1287" s="58">
        <v>0</v>
      </c>
      <c r="H1287" s="35">
        <f t="shared" si="99"/>
        <v>17260.02</v>
      </c>
      <c r="I1287" s="35">
        <f t="shared" si="96"/>
        <v>0</v>
      </c>
      <c r="J1287" s="35">
        <f t="shared" si="97"/>
        <v>1189.6400162018326</v>
      </c>
      <c r="K1287" s="45">
        <f t="shared" si="95"/>
        <v>21942798.612909973</v>
      </c>
    </row>
    <row r="1288" spans="2:11">
      <c r="B1288" s="43">
        <v>45484</v>
      </c>
      <c r="C1288" s="32" t="s">
        <v>25</v>
      </c>
      <c r="D1288" s="32" t="s">
        <v>134</v>
      </c>
      <c r="E1288" s="36">
        <f t="shared" si="98"/>
        <v>21942798.612909973</v>
      </c>
      <c r="F1288" s="36">
        <v>0</v>
      </c>
      <c r="G1288" s="58">
        <v>-9541.27</v>
      </c>
      <c r="H1288" s="35">
        <f t="shared" si="99"/>
        <v>-9541.27</v>
      </c>
      <c r="I1288" s="35">
        <f t="shared" si="96"/>
        <v>0</v>
      </c>
      <c r="J1288" s="35">
        <f t="shared" si="97"/>
        <v>1190.5119186079373</v>
      </c>
      <c r="K1288" s="45">
        <f t="shared" ref="K1288:K1351" si="100">E1288+H1288+I1288-J1288</f>
        <v>21932066.830991365</v>
      </c>
    </row>
    <row r="1289" spans="2:11">
      <c r="B1289" s="43">
        <v>45484</v>
      </c>
      <c r="C1289" s="32" t="s">
        <v>27</v>
      </c>
      <c r="D1289" s="32" t="s">
        <v>134</v>
      </c>
      <c r="E1289" s="36">
        <f t="shared" si="98"/>
        <v>21932066.830991365</v>
      </c>
      <c r="F1289" s="36">
        <v>0</v>
      </c>
      <c r="G1289" s="58">
        <v>-3598</v>
      </c>
      <c r="H1289" s="35">
        <f t="shared" si="99"/>
        <v>-3598</v>
      </c>
      <c r="I1289" s="35">
        <f t="shared" si="96"/>
        <v>0</v>
      </c>
      <c r="J1289" s="35">
        <f t="shared" si="97"/>
        <v>1189.9296631487598</v>
      </c>
      <c r="K1289" s="45">
        <f t="shared" si="100"/>
        <v>21927278.901328217</v>
      </c>
    </row>
    <row r="1290" spans="2:11">
      <c r="B1290" s="43">
        <v>45484</v>
      </c>
      <c r="C1290" s="32" t="s">
        <v>29</v>
      </c>
      <c r="D1290" s="32" t="s">
        <v>134</v>
      </c>
      <c r="E1290" s="36">
        <f t="shared" si="98"/>
        <v>21927278.901328217</v>
      </c>
      <c r="F1290" s="36">
        <v>0</v>
      </c>
      <c r="G1290" s="58">
        <v>-16771</v>
      </c>
      <c r="H1290" s="35">
        <f t="shared" si="99"/>
        <v>-16771</v>
      </c>
      <c r="I1290" s="35">
        <f t="shared" si="96"/>
        <v>0</v>
      </c>
      <c r="J1290" s="35">
        <f t="shared" si="97"/>
        <v>1189.6698928509966</v>
      </c>
      <c r="K1290" s="45">
        <f t="shared" si="100"/>
        <v>21909318.231435366</v>
      </c>
    </row>
    <row r="1291" spans="2:11">
      <c r="B1291" s="43">
        <v>45484</v>
      </c>
      <c r="C1291" s="32" t="s">
        <v>25</v>
      </c>
      <c r="D1291" s="32" t="s">
        <v>134</v>
      </c>
      <c r="E1291" s="36">
        <f t="shared" si="98"/>
        <v>21909318.231435366</v>
      </c>
      <c r="F1291" s="36">
        <v>0</v>
      </c>
      <c r="G1291" s="58">
        <v>-12436</v>
      </c>
      <c r="H1291" s="35">
        <f t="shared" si="99"/>
        <v>-12436</v>
      </c>
      <c r="I1291" s="35">
        <f t="shared" si="96"/>
        <v>0</v>
      </c>
      <c r="J1291" s="35">
        <f t="shared" si="97"/>
        <v>1188.6954323024208</v>
      </c>
      <c r="K1291" s="45">
        <f t="shared" si="100"/>
        <v>21895693.536003064</v>
      </c>
    </row>
    <row r="1292" spans="2:11">
      <c r="B1292" s="43">
        <v>45485</v>
      </c>
      <c r="C1292" s="32" t="s">
        <v>29</v>
      </c>
      <c r="D1292" s="32" t="s">
        <v>132</v>
      </c>
      <c r="E1292" s="36">
        <f t="shared" si="98"/>
        <v>21895693.536003064</v>
      </c>
      <c r="F1292" s="36">
        <v>14174.84</v>
      </c>
      <c r="G1292" s="58">
        <v>0</v>
      </c>
      <c r="H1292" s="35">
        <f t="shared" si="99"/>
        <v>14174.84</v>
      </c>
      <c r="I1292" s="35">
        <f t="shared" si="96"/>
        <v>0</v>
      </c>
      <c r="J1292" s="35">
        <f t="shared" si="97"/>
        <v>2375.912442222565</v>
      </c>
      <c r="K1292" s="45">
        <f t="shared" si="100"/>
        <v>21907492.463560842</v>
      </c>
    </row>
    <row r="1293" spans="2:11">
      <c r="B1293" s="43">
        <v>45485</v>
      </c>
      <c r="C1293" s="32" t="s">
        <v>25</v>
      </c>
      <c r="D1293" s="32" t="s">
        <v>134</v>
      </c>
      <c r="E1293" s="36">
        <f t="shared" si="98"/>
        <v>21907492.463560842</v>
      </c>
      <c r="F1293" s="36">
        <v>0</v>
      </c>
      <c r="G1293" s="58">
        <v>-8128.02</v>
      </c>
      <c r="H1293" s="35">
        <f t="shared" si="99"/>
        <v>-8128.02</v>
      </c>
      <c r="I1293" s="35">
        <f t="shared" si="96"/>
        <v>0</v>
      </c>
      <c r="J1293" s="35">
        <f t="shared" si="97"/>
        <v>1188.5963748187526</v>
      </c>
      <c r="K1293" s="45">
        <f t="shared" si="100"/>
        <v>21898175.847186025</v>
      </c>
    </row>
    <row r="1294" spans="2:11">
      <c r="B1294" s="43">
        <v>45485</v>
      </c>
      <c r="C1294" s="32" t="s">
        <v>29</v>
      </c>
      <c r="D1294" s="32" t="s">
        <v>134</v>
      </c>
      <c r="E1294" s="36">
        <f t="shared" si="98"/>
        <v>21898175.847186025</v>
      </c>
      <c r="F1294" s="36">
        <v>0</v>
      </c>
      <c r="G1294" s="58">
        <v>-11253</v>
      </c>
      <c r="H1294" s="35">
        <f t="shared" si="99"/>
        <v>-11253</v>
      </c>
      <c r="I1294" s="35">
        <f t="shared" si="96"/>
        <v>0</v>
      </c>
      <c r="J1294" s="35">
        <f t="shared" si="97"/>
        <v>1188.090899513119</v>
      </c>
      <c r="K1294" s="45">
        <f t="shared" si="100"/>
        <v>21885734.756286513</v>
      </c>
    </row>
    <row r="1295" spans="2:11">
      <c r="B1295" s="43">
        <v>45485</v>
      </c>
      <c r="C1295" s="32" t="s">
        <v>29</v>
      </c>
      <c r="D1295" s="32" t="s">
        <v>134</v>
      </c>
      <c r="E1295" s="36">
        <f t="shared" si="98"/>
        <v>21885734.756286513</v>
      </c>
      <c r="F1295" s="36">
        <v>0</v>
      </c>
      <c r="G1295" s="58">
        <v>-12481</v>
      </c>
      <c r="H1295" s="35">
        <f t="shared" si="99"/>
        <v>-12481</v>
      </c>
      <c r="I1295" s="35">
        <f t="shared" si="96"/>
        <v>0</v>
      </c>
      <c r="J1295" s="35">
        <f t="shared" si="97"/>
        <v>1187.4159050760995</v>
      </c>
      <c r="K1295" s="45">
        <f t="shared" si="100"/>
        <v>21872066.340381436</v>
      </c>
    </row>
    <row r="1296" spans="2:11">
      <c r="B1296" s="43">
        <v>45485</v>
      </c>
      <c r="C1296" s="32" t="s">
        <v>25</v>
      </c>
      <c r="D1296" s="32" t="s">
        <v>134</v>
      </c>
      <c r="E1296" s="36">
        <f t="shared" si="98"/>
        <v>21872066.340381436</v>
      </c>
      <c r="F1296" s="36">
        <v>0</v>
      </c>
      <c r="G1296" s="58">
        <v>-20126</v>
      </c>
      <c r="H1296" s="35">
        <f t="shared" si="99"/>
        <v>-20126</v>
      </c>
      <c r="I1296" s="35">
        <f t="shared" si="96"/>
        <v>0</v>
      </c>
      <c r="J1296" s="35">
        <f t="shared" si="97"/>
        <v>1186.6743218199915</v>
      </c>
      <c r="K1296" s="45">
        <f t="shared" si="100"/>
        <v>21850753.666059617</v>
      </c>
    </row>
    <row r="1297" spans="2:11">
      <c r="B1297" s="43">
        <v>45486</v>
      </c>
      <c r="C1297" s="32" t="s">
        <v>25</v>
      </c>
      <c r="D1297" s="32" t="s">
        <v>132</v>
      </c>
      <c r="E1297" s="36">
        <f t="shared" si="98"/>
        <v>21850753.666059617</v>
      </c>
      <c r="F1297" s="36">
        <v>13660.46</v>
      </c>
      <c r="G1297" s="58">
        <v>0</v>
      </c>
      <c r="H1297" s="35">
        <f t="shared" si="99"/>
        <v>13660.46</v>
      </c>
      <c r="I1297" s="35">
        <f t="shared" si="96"/>
        <v>0</v>
      </c>
      <c r="J1297" s="35">
        <f t="shared" si="97"/>
        <v>2371.035994898577</v>
      </c>
      <c r="K1297" s="45">
        <f t="shared" si="100"/>
        <v>21862043.090064719</v>
      </c>
    </row>
    <row r="1298" spans="2:11">
      <c r="B1298" s="43">
        <v>45486</v>
      </c>
      <c r="C1298" s="32" t="s">
        <v>25</v>
      </c>
      <c r="D1298" s="32" t="s">
        <v>132</v>
      </c>
      <c r="E1298" s="36">
        <f t="shared" si="98"/>
        <v>21862043.090064719</v>
      </c>
      <c r="F1298" s="36">
        <v>9143.74</v>
      </c>
      <c r="G1298" s="58">
        <v>0</v>
      </c>
      <c r="H1298" s="35">
        <f t="shared" si="99"/>
        <v>9143.74</v>
      </c>
      <c r="I1298" s="35">
        <f t="shared" si="96"/>
        <v>0</v>
      </c>
      <c r="J1298" s="35">
        <f t="shared" si="97"/>
        <v>1186.13050791659</v>
      </c>
      <c r="K1298" s="45">
        <f t="shared" si="100"/>
        <v>21870000.699556801</v>
      </c>
    </row>
    <row r="1299" spans="2:11">
      <c r="B1299" s="43">
        <v>45486</v>
      </c>
      <c r="C1299" s="32" t="s">
        <v>29</v>
      </c>
      <c r="D1299" s="32" t="s">
        <v>132</v>
      </c>
      <c r="E1299" s="36">
        <f t="shared" si="98"/>
        <v>21870000.699556801</v>
      </c>
      <c r="F1299" s="36">
        <v>15734.9</v>
      </c>
      <c r="G1299" s="58">
        <v>0</v>
      </c>
      <c r="H1299" s="35">
        <f t="shared" si="99"/>
        <v>15734.9</v>
      </c>
      <c r="I1299" s="35">
        <f t="shared" si="96"/>
        <v>0</v>
      </c>
      <c r="J1299" s="35">
        <f t="shared" si="97"/>
        <v>1186.5622499706037</v>
      </c>
      <c r="K1299" s="45">
        <f t="shared" si="100"/>
        <v>21884549.03730683</v>
      </c>
    </row>
    <row r="1300" spans="2:11">
      <c r="B1300" s="43">
        <v>45486</v>
      </c>
      <c r="C1300" s="32" t="s">
        <v>27</v>
      </c>
      <c r="D1300" s="32" t="s">
        <v>132</v>
      </c>
      <c r="E1300" s="36">
        <f t="shared" si="98"/>
        <v>21884549.03730683</v>
      </c>
      <c r="F1300" s="36">
        <v>16865.43</v>
      </c>
      <c r="G1300" s="58">
        <v>0</v>
      </c>
      <c r="H1300" s="35">
        <f t="shared" si="99"/>
        <v>16865.43</v>
      </c>
      <c r="I1300" s="35">
        <f t="shared" ref="I1300:I1363" si="101">(($E1300*Daily_Interest)*(_xlfn.DAYS(B1300,B1299)+1))+((IF(DAY($B1299)&gt;Monthly_Cut_off_Date,0,Daily_Interest*H1300))*(_xlfn.DAYS(B1300,B1299)+1))</f>
        <v>0</v>
      </c>
      <c r="J1300" s="35">
        <f t="shared" ref="J1300:J1363" si="102">(($I1300+E1300)*Daily_Fees_Rate)*((_xlfn.DAYS(B1300,B1299)+1))</f>
        <v>1187.3515736021461</v>
      </c>
      <c r="K1300" s="45">
        <f t="shared" si="100"/>
        <v>21900227.115733229</v>
      </c>
    </row>
    <row r="1301" spans="2:11">
      <c r="B1301" s="43">
        <v>45486</v>
      </c>
      <c r="C1301" s="32" t="s">
        <v>25</v>
      </c>
      <c r="D1301" s="32" t="s">
        <v>132</v>
      </c>
      <c r="E1301" s="36">
        <f t="shared" ref="E1301:E1364" si="103">K1300</f>
        <v>21900227.115733229</v>
      </c>
      <c r="F1301" s="36">
        <v>14427.95</v>
      </c>
      <c r="G1301" s="58">
        <v>0</v>
      </c>
      <c r="H1301" s="35">
        <f t="shared" ref="H1301:H1364" si="104">SUM(F1301:G1301)</f>
        <v>14427.95</v>
      </c>
      <c r="I1301" s="35">
        <f t="shared" si="101"/>
        <v>0</v>
      </c>
      <c r="J1301" s="35">
        <f t="shared" si="102"/>
        <v>1188.2021915910709</v>
      </c>
      <c r="K1301" s="45">
        <f t="shared" si="100"/>
        <v>21913466.863541637</v>
      </c>
    </row>
    <row r="1302" spans="2:11">
      <c r="B1302" s="43">
        <v>45486</v>
      </c>
      <c r="C1302" s="32" t="s">
        <v>25</v>
      </c>
      <c r="D1302" s="32" t="s">
        <v>132</v>
      </c>
      <c r="E1302" s="36">
        <f t="shared" si="103"/>
        <v>21913466.863541637</v>
      </c>
      <c r="F1302" s="36">
        <v>18568.41</v>
      </c>
      <c r="G1302" s="58">
        <v>0</v>
      </c>
      <c r="H1302" s="35">
        <f t="shared" si="104"/>
        <v>18568.41</v>
      </c>
      <c r="I1302" s="35">
        <f t="shared" si="101"/>
        <v>0</v>
      </c>
      <c r="J1302" s="35">
        <f t="shared" si="102"/>
        <v>1188.9205173544947</v>
      </c>
      <c r="K1302" s="45">
        <f t="shared" si="100"/>
        <v>21930846.353024282</v>
      </c>
    </row>
    <row r="1303" spans="2:11">
      <c r="B1303" s="43">
        <v>45486</v>
      </c>
      <c r="C1303" s="32" t="s">
        <v>29</v>
      </c>
      <c r="D1303" s="32" t="s">
        <v>132</v>
      </c>
      <c r="E1303" s="36">
        <f t="shared" si="103"/>
        <v>21930846.353024282</v>
      </c>
      <c r="F1303" s="36">
        <v>14480.78</v>
      </c>
      <c r="G1303" s="58">
        <v>0</v>
      </c>
      <c r="H1303" s="35">
        <f t="shared" si="104"/>
        <v>14480.78</v>
      </c>
      <c r="I1303" s="35">
        <f t="shared" si="101"/>
        <v>0</v>
      </c>
      <c r="J1303" s="35">
        <f t="shared" si="102"/>
        <v>1189.8634458174226</v>
      </c>
      <c r="K1303" s="45">
        <f t="shared" si="100"/>
        <v>21944137.269578464</v>
      </c>
    </row>
    <row r="1304" spans="2:11">
      <c r="B1304" s="43">
        <v>45486</v>
      </c>
      <c r="C1304" s="32" t="s">
        <v>27</v>
      </c>
      <c r="D1304" s="32" t="s">
        <v>132</v>
      </c>
      <c r="E1304" s="36">
        <f t="shared" si="103"/>
        <v>21944137.269578464</v>
      </c>
      <c r="F1304" s="36">
        <v>15836.98</v>
      </c>
      <c r="G1304" s="58">
        <v>0</v>
      </c>
      <c r="H1304" s="35">
        <f t="shared" si="104"/>
        <v>15836.98</v>
      </c>
      <c r="I1304" s="35">
        <f t="shared" si="101"/>
        <v>0</v>
      </c>
      <c r="J1304" s="35">
        <f t="shared" si="102"/>
        <v>1190.5845477536939</v>
      </c>
      <c r="K1304" s="45">
        <f t="shared" si="100"/>
        <v>21958783.66503071</v>
      </c>
    </row>
    <row r="1305" spans="2:11">
      <c r="B1305" s="43">
        <v>45486</v>
      </c>
      <c r="C1305" s="32" t="s">
        <v>25</v>
      </c>
      <c r="D1305" s="32" t="s">
        <v>134</v>
      </c>
      <c r="E1305" s="36">
        <f t="shared" si="103"/>
        <v>21958783.66503071</v>
      </c>
      <c r="F1305" s="36">
        <v>0</v>
      </c>
      <c r="G1305" s="58">
        <v>-8786.2199999999993</v>
      </c>
      <c r="H1305" s="35">
        <f t="shared" si="104"/>
        <v>-8786.2199999999993</v>
      </c>
      <c r="I1305" s="35">
        <f t="shared" si="101"/>
        <v>0</v>
      </c>
      <c r="J1305" s="35">
        <f t="shared" si="102"/>
        <v>1191.3791915299114</v>
      </c>
      <c r="K1305" s="45">
        <f t="shared" si="100"/>
        <v>21948806.065839183</v>
      </c>
    </row>
    <row r="1306" spans="2:11">
      <c r="B1306" s="43">
        <v>45486</v>
      </c>
      <c r="C1306" s="32" t="s">
        <v>27</v>
      </c>
      <c r="D1306" s="32" t="s">
        <v>134</v>
      </c>
      <c r="E1306" s="36">
        <f t="shared" si="103"/>
        <v>21948806.065839183</v>
      </c>
      <c r="F1306" s="36">
        <v>0</v>
      </c>
      <c r="G1306" s="58">
        <v>-8783.3799999999992</v>
      </c>
      <c r="H1306" s="35">
        <f t="shared" si="104"/>
        <v>-8783.3799999999992</v>
      </c>
      <c r="I1306" s="35">
        <f t="shared" si="101"/>
        <v>0</v>
      </c>
      <c r="J1306" s="35">
        <f t="shared" si="102"/>
        <v>1190.8378544394996</v>
      </c>
      <c r="K1306" s="45">
        <f t="shared" si="100"/>
        <v>21938831.847984742</v>
      </c>
    </row>
    <row r="1307" spans="2:11">
      <c r="B1307" s="43">
        <v>45486</v>
      </c>
      <c r="C1307" s="32" t="s">
        <v>27</v>
      </c>
      <c r="D1307" s="32" t="s">
        <v>134</v>
      </c>
      <c r="E1307" s="36">
        <f t="shared" si="103"/>
        <v>21938831.847984742</v>
      </c>
      <c r="F1307" s="36">
        <v>0</v>
      </c>
      <c r="G1307" s="58">
        <v>-4070.05</v>
      </c>
      <c r="H1307" s="35">
        <f t="shared" si="104"/>
        <v>-4070.05</v>
      </c>
      <c r="I1307" s="35">
        <f t="shared" si="101"/>
        <v>0</v>
      </c>
      <c r="J1307" s="35">
        <f t="shared" si="102"/>
        <v>1190.2967008043604</v>
      </c>
      <c r="K1307" s="45">
        <f t="shared" si="100"/>
        <v>21933571.501283936</v>
      </c>
    </row>
    <row r="1308" spans="2:11">
      <c r="B1308" s="43">
        <v>45486</v>
      </c>
      <c r="C1308" s="32" t="s">
        <v>25</v>
      </c>
      <c r="D1308" s="32" t="s">
        <v>134</v>
      </c>
      <c r="E1308" s="36">
        <f t="shared" si="103"/>
        <v>21933571.501283936</v>
      </c>
      <c r="F1308" s="36">
        <v>0</v>
      </c>
      <c r="G1308" s="58">
        <v>-18437</v>
      </c>
      <c r="H1308" s="35">
        <f t="shared" si="104"/>
        <v>-18437</v>
      </c>
      <c r="I1308" s="35">
        <f t="shared" si="101"/>
        <v>0</v>
      </c>
      <c r="J1308" s="35">
        <f t="shared" si="102"/>
        <v>1190.0112994043934</v>
      </c>
      <c r="K1308" s="45">
        <f t="shared" si="100"/>
        <v>21913944.489984531</v>
      </c>
    </row>
    <row r="1309" spans="2:11">
      <c r="B1309" s="43">
        <v>45486</v>
      </c>
      <c r="C1309" s="32" t="s">
        <v>25</v>
      </c>
      <c r="D1309" s="32" t="s">
        <v>134</v>
      </c>
      <c r="E1309" s="36">
        <f t="shared" si="103"/>
        <v>21913944.489984531</v>
      </c>
      <c r="F1309" s="36">
        <v>0</v>
      </c>
      <c r="G1309" s="58">
        <v>-9276</v>
      </c>
      <c r="H1309" s="35">
        <f t="shared" si="104"/>
        <v>-9276</v>
      </c>
      <c r="I1309" s="35">
        <f t="shared" si="101"/>
        <v>0</v>
      </c>
      <c r="J1309" s="35">
        <f t="shared" si="102"/>
        <v>1188.9464310942569</v>
      </c>
      <c r="K1309" s="45">
        <f t="shared" si="100"/>
        <v>21903479.543553438</v>
      </c>
    </row>
    <row r="1310" spans="2:11">
      <c r="B1310" s="43">
        <v>45486</v>
      </c>
      <c r="C1310" s="32" t="s">
        <v>25</v>
      </c>
      <c r="D1310" s="32" t="s">
        <v>134</v>
      </c>
      <c r="E1310" s="36">
        <f t="shared" si="103"/>
        <v>21903479.543553438</v>
      </c>
      <c r="F1310" s="36">
        <v>0</v>
      </c>
      <c r="G1310" s="58">
        <v>-20120</v>
      </c>
      <c r="H1310" s="35">
        <f t="shared" si="104"/>
        <v>-20120</v>
      </c>
      <c r="I1310" s="35">
        <f t="shared" si="101"/>
        <v>0</v>
      </c>
      <c r="J1310" s="35">
        <f t="shared" si="102"/>
        <v>1188.3786528598762</v>
      </c>
      <c r="K1310" s="45">
        <f t="shared" si="100"/>
        <v>21882171.164900579</v>
      </c>
    </row>
    <row r="1311" spans="2:11">
      <c r="B1311" s="43">
        <v>45486</v>
      </c>
      <c r="C1311" s="32" t="s">
        <v>27</v>
      </c>
      <c r="D1311" s="32" t="s">
        <v>134</v>
      </c>
      <c r="E1311" s="36">
        <f t="shared" si="103"/>
        <v>21882171.164900579</v>
      </c>
      <c r="F1311" s="36">
        <v>0</v>
      </c>
      <c r="G1311" s="58">
        <v>-4545</v>
      </c>
      <c r="H1311" s="35">
        <f t="shared" si="104"/>
        <v>-4545</v>
      </c>
      <c r="I1311" s="35">
        <f t="shared" si="101"/>
        <v>0</v>
      </c>
      <c r="J1311" s="35">
        <f t="shared" si="102"/>
        <v>1187.2225615517459</v>
      </c>
      <c r="K1311" s="45">
        <f t="shared" si="100"/>
        <v>21876438.942339025</v>
      </c>
    </row>
    <row r="1312" spans="2:11">
      <c r="B1312" s="43">
        <v>45486</v>
      </c>
      <c r="C1312" s="32" t="s">
        <v>25</v>
      </c>
      <c r="D1312" s="32" t="s">
        <v>134</v>
      </c>
      <c r="E1312" s="36">
        <f t="shared" si="103"/>
        <v>21876438.942339025</v>
      </c>
      <c r="F1312" s="36">
        <v>0</v>
      </c>
      <c r="G1312" s="58">
        <v>-6152</v>
      </c>
      <c r="H1312" s="35">
        <f t="shared" si="104"/>
        <v>-6152</v>
      </c>
      <c r="I1312" s="35">
        <f t="shared" si="101"/>
        <v>0</v>
      </c>
      <c r="J1312" s="35">
        <f t="shared" si="102"/>
        <v>1186.911558411261</v>
      </c>
      <c r="K1312" s="45">
        <f t="shared" si="100"/>
        <v>21869100.030780613</v>
      </c>
    </row>
    <row r="1313" spans="2:11">
      <c r="B1313" s="43">
        <v>45487</v>
      </c>
      <c r="C1313" s="32" t="s">
        <v>25</v>
      </c>
      <c r="D1313" s="32" t="s">
        <v>132</v>
      </c>
      <c r="E1313" s="36">
        <f t="shared" si="103"/>
        <v>21869100.030780613</v>
      </c>
      <c r="F1313" s="36">
        <v>13680.81</v>
      </c>
      <c r="G1313" s="58">
        <v>0</v>
      </c>
      <c r="H1313" s="35">
        <f t="shared" si="104"/>
        <v>13680.81</v>
      </c>
      <c r="I1313" s="35">
        <f t="shared" si="101"/>
        <v>0</v>
      </c>
      <c r="J1313" s="35">
        <f t="shared" si="102"/>
        <v>2373.0267679306571</v>
      </c>
      <c r="K1313" s="45">
        <f t="shared" si="100"/>
        <v>21880407.81401268</v>
      </c>
    </row>
    <row r="1314" spans="2:11">
      <c r="B1314" s="43">
        <v>45487</v>
      </c>
      <c r="C1314" s="32" t="s">
        <v>29</v>
      </c>
      <c r="D1314" s="32" t="s">
        <v>132</v>
      </c>
      <c r="E1314" s="36">
        <f t="shared" si="103"/>
        <v>21880407.81401268</v>
      </c>
      <c r="F1314" s="36">
        <v>13623.35</v>
      </c>
      <c r="G1314" s="58">
        <v>0</v>
      </c>
      <c r="H1314" s="35">
        <f t="shared" si="104"/>
        <v>13623.35</v>
      </c>
      <c r="I1314" s="35">
        <f t="shared" si="101"/>
        <v>0</v>
      </c>
      <c r="J1314" s="35">
        <f t="shared" si="102"/>
        <v>1187.1268905169902</v>
      </c>
      <c r="K1314" s="45">
        <f t="shared" si="100"/>
        <v>21892844.037122164</v>
      </c>
    </row>
    <row r="1315" spans="2:11">
      <c r="B1315" s="43">
        <v>45487</v>
      </c>
      <c r="C1315" s="32" t="s">
        <v>29</v>
      </c>
      <c r="D1315" s="32" t="s">
        <v>134</v>
      </c>
      <c r="E1315" s="36">
        <f t="shared" si="103"/>
        <v>21892844.037122164</v>
      </c>
      <c r="F1315" s="36">
        <v>0</v>
      </c>
      <c r="G1315" s="58">
        <v>-7719</v>
      </c>
      <c r="H1315" s="35">
        <f t="shared" si="104"/>
        <v>-7719</v>
      </c>
      <c r="I1315" s="35">
        <f t="shared" si="101"/>
        <v>0</v>
      </c>
      <c r="J1315" s="35">
        <f t="shared" si="102"/>
        <v>1187.8016208508682</v>
      </c>
      <c r="K1315" s="45">
        <f t="shared" si="100"/>
        <v>21883937.235501312</v>
      </c>
    </row>
    <row r="1316" spans="2:11">
      <c r="B1316" s="43">
        <v>45487</v>
      </c>
      <c r="C1316" s="32" t="s">
        <v>29</v>
      </c>
      <c r="D1316" s="32" t="s">
        <v>134</v>
      </c>
      <c r="E1316" s="36">
        <f t="shared" si="103"/>
        <v>21883937.235501312</v>
      </c>
      <c r="F1316" s="36">
        <v>0</v>
      </c>
      <c r="G1316" s="58">
        <v>-16761</v>
      </c>
      <c r="H1316" s="35">
        <f t="shared" si="104"/>
        <v>-16761</v>
      </c>
      <c r="I1316" s="35">
        <f t="shared" si="101"/>
        <v>0</v>
      </c>
      <c r="J1316" s="35">
        <f t="shared" si="102"/>
        <v>1187.318380145188</v>
      </c>
      <c r="K1316" s="45">
        <f t="shared" si="100"/>
        <v>21865988.917121168</v>
      </c>
    </row>
    <row r="1317" spans="2:11">
      <c r="B1317" s="43">
        <v>45487</v>
      </c>
      <c r="C1317" s="32" t="s">
        <v>27</v>
      </c>
      <c r="D1317" s="32" t="s">
        <v>134</v>
      </c>
      <c r="E1317" s="36">
        <f t="shared" si="103"/>
        <v>21865988.917121168</v>
      </c>
      <c r="F1317" s="36">
        <v>0</v>
      </c>
      <c r="G1317" s="58">
        <v>-14597</v>
      </c>
      <c r="H1317" s="35">
        <f t="shared" si="104"/>
        <v>-14597</v>
      </c>
      <c r="I1317" s="35">
        <f t="shared" si="101"/>
        <v>0</v>
      </c>
      <c r="J1317" s="35">
        <f t="shared" si="102"/>
        <v>1186.3445897309625</v>
      </c>
      <c r="K1317" s="45">
        <f t="shared" si="100"/>
        <v>21850205.572531436</v>
      </c>
    </row>
    <row r="1318" spans="2:11">
      <c r="B1318" s="43">
        <v>45488</v>
      </c>
      <c r="C1318" s="32" t="s">
        <v>25</v>
      </c>
      <c r="D1318" s="32" t="s">
        <v>132</v>
      </c>
      <c r="E1318" s="36">
        <f t="shared" si="103"/>
        <v>21850205.572531436</v>
      </c>
      <c r="F1318" s="36">
        <v>15779.65</v>
      </c>
      <c r="G1318" s="58">
        <v>0</v>
      </c>
      <c r="H1318" s="35">
        <f t="shared" si="104"/>
        <v>15779.65</v>
      </c>
      <c r="I1318" s="35">
        <f t="shared" si="101"/>
        <v>0</v>
      </c>
      <c r="J1318" s="35">
        <f t="shared" si="102"/>
        <v>2370.9765210010746</v>
      </c>
      <c r="K1318" s="45">
        <f t="shared" si="100"/>
        <v>21863614.246010434</v>
      </c>
    </row>
    <row r="1319" spans="2:11">
      <c r="B1319" s="43">
        <v>45488</v>
      </c>
      <c r="C1319" s="32" t="s">
        <v>27</v>
      </c>
      <c r="D1319" s="32" t="s">
        <v>132</v>
      </c>
      <c r="E1319" s="36">
        <f t="shared" si="103"/>
        <v>21863614.246010434</v>
      </c>
      <c r="F1319" s="36">
        <v>15360.89</v>
      </c>
      <c r="G1319" s="58">
        <v>0</v>
      </c>
      <c r="H1319" s="35">
        <f t="shared" si="104"/>
        <v>15360.89</v>
      </c>
      <c r="I1319" s="35">
        <f t="shared" si="101"/>
        <v>0</v>
      </c>
      <c r="J1319" s="35">
        <f t="shared" si="102"/>
        <v>1186.2157513676354</v>
      </c>
      <c r="K1319" s="45">
        <f t="shared" si="100"/>
        <v>21877788.920259066</v>
      </c>
    </row>
    <row r="1320" spans="2:11">
      <c r="B1320" s="43">
        <v>45488</v>
      </c>
      <c r="C1320" s="32" t="s">
        <v>27</v>
      </c>
      <c r="D1320" s="32" t="s">
        <v>132</v>
      </c>
      <c r="E1320" s="36">
        <f t="shared" si="103"/>
        <v>21877788.920259066</v>
      </c>
      <c r="F1320" s="36">
        <v>15768.09</v>
      </c>
      <c r="G1320" s="58">
        <v>0</v>
      </c>
      <c r="H1320" s="35">
        <f t="shared" si="104"/>
        <v>15768.09</v>
      </c>
      <c r="I1320" s="35">
        <f t="shared" si="101"/>
        <v>0</v>
      </c>
      <c r="J1320" s="35">
        <f t="shared" si="102"/>
        <v>1186.9848017942959</v>
      </c>
      <c r="K1320" s="45">
        <f t="shared" si="100"/>
        <v>21892370.02545727</v>
      </c>
    </row>
    <row r="1321" spans="2:11">
      <c r="B1321" s="43">
        <v>45488</v>
      </c>
      <c r="C1321" s="32" t="s">
        <v>29</v>
      </c>
      <c r="D1321" s="32" t="s">
        <v>132</v>
      </c>
      <c r="E1321" s="36">
        <f t="shared" si="103"/>
        <v>21892370.02545727</v>
      </c>
      <c r="F1321" s="36">
        <v>21225.78</v>
      </c>
      <c r="G1321" s="58">
        <v>0</v>
      </c>
      <c r="H1321" s="35">
        <f t="shared" si="104"/>
        <v>21225.78</v>
      </c>
      <c r="I1321" s="35">
        <f t="shared" si="101"/>
        <v>0</v>
      </c>
      <c r="J1321" s="35">
        <f t="shared" si="102"/>
        <v>1187.7759032317729</v>
      </c>
      <c r="K1321" s="45">
        <f t="shared" si="100"/>
        <v>21912408.029554039</v>
      </c>
    </row>
    <row r="1322" spans="2:11">
      <c r="B1322" s="43">
        <v>45488</v>
      </c>
      <c r="C1322" s="32" t="s">
        <v>29</v>
      </c>
      <c r="D1322" s="32" t="s">
        <v>134</v>
      </c>
      <c r="E1322" s="36">
        <f t="shared" si="103"/>
        <v>21912408.029554039</v>
      </c>
      <c r="F1322" s="36">
        <v>0</v>
      </c>
      <c r="G1322" s="58">
        <v>-10563.37</v>
      </c>
      <c r="H1322" s="35">
        <f t="shared" si="104"/>
        <v>-10563.37</v>
      </c>
      <c r="I1322" s="35">
        <f t="shared" si="101"/>
        <v>0</v>
      </c>
      <c r="J1322" s="35">
        <f t="shared" si="102"/>
        <v>1188.863070056896</v>
      </c>
      <c r="K1322" s="45">
        <f t="shared" si="100"/>
        <v>21900655.796483982</v>
      </c>
    </row>
    <row r="1323" spans="2:11">
      <c r="B1323" s="43">
        <v>45488</v>
      </c>
      <c r="C1323" s="32" t="s">
        <v>27</v>
      </c>
      <c r="D1323" s="32" t="s">
        <v>134</v>
      </c>
      <c r="E1323" s="36">
        <f t="shared" si="103"/>
        <v>21900655.796483982</v>
      </c>
      <c r="F1323" s="36">
        <v>0</v>
      </c>
      <c r="G1323" s="58">
        <v>-21456</v>
      </c>
      <c r="H1323" s="35">
        <f t="shared" si="104"/>
        <v>-21456</v>
      </c>
      <c r="I1323" s="35">
        <f t="shared" si="101"/>
        <v>0</v>
      </c>
      <c r="J1323" s="35">
        <f t="shared" si="102"/>
        <v>1188.2254497703057</v>
      </c>
      <c r="K1323" s="45">
        <f t="shared" si="100"/>
        <v>21878011.571034212</v>
      </c>
    </row>
    <row r="1324" spans="2:11">
      <c r="B1324" s="43">
        <v>45488</v>
      </c>
      <c r="C1324" s="32" t="s">
        <v>27</v>
      </c>
      <c r="D1324" s="32" t="s">
        <v>134</v>
      </c>
      <c r="E1324" s="36">
        <f t="shared" si="103"/>
        <v>21878011.571034212</v>
      </c>
      <c r="F1324" s="36">
        <v>0</v>
      </c>
      <c r="G1324" s="58">
        <v>-10013</v>
      </c>
      <c r="H1324" s="35">
        <f t="shared" si="104"/>
        <v>-10013</v>
      </c>
      <c r="I1324" s="35">
        <f t="shared" si="101"/>
        <v>0</v>
      </c>
      <c r="J1324" s="35">
        <f t="shared" si="102"/>
        <v>1186.9968817666902</v>
      </c>
      <c r="K1324" s="45">
        <f t="shared" si="100"/>
        <v>21866811.574152444</v>
      </c>
    </row>
    <row r="1325" spans="2:11">
      <c r="B1325" s="43">
        <v>45488</v>
      </c>
      <c r="C1325" s="32" t="s">
        <v>27</v>
      </c>
      <c r="D1325" s="32" t="s">
        <v>134</v>
      </c>
      <c r="E1325" s="36">
        <f t="shared" si="103"/>
        <v>21866811.574152444</v>
      </c>
      <c r="F1325" s="36">
        <v>0</v>
      </c>
      <c r="G1325" s="58">
        <v>-12380</v>
      </c>
      <c r="H1325" s="35">
        <f t="shared" si="104"/>
        <v>-12380</v>
      </c>
      <c r="I1325" s="35">
        <f t="shared" si="101"/>
        <v>0</v>
      </c>
      <c r="J1325" s="35">
        <f t="shared" si="102"/>
        <v>1186.3892231898908</v>
      </c>
      <c r="K1325" s="45">
        <f t="shared" si="100"/>
        <v>21853245.184929255</v>
      </c>
    </row>
    <row r="1326" spans="2:11">
      <c r="B1326" s="43">
        <v>45488</v>
      </c>
      <c r="C1326" s="32" t="s">
        <v>25</v>
      </c>
      <c r="D1326" s="32" t="s">
        <v>134</v>
      </c>
      <c r="E1326" s="36">
        <f t="shared" si="103"/>
        <v>21853245.184929255</v>
      </c>
      <c r="F1326" s="36">
        <v>0</v>
      </c>
      <c r="G1326" s="58">
        <v>-2881</v>
      </c>
      <c r="H1326" s="35">
        <f t="shared" si="104"/>
        <v>-2881</v>
      </c>
      <c r="I1326" s="35">
        <f t="shared" si="101"/>
        <v>0</v>
      </c>
      <c r="J1326" s="35">
        <f t="shared" si="102"/>
        <v>1185.6531754164232</v>
      </c>
      <c r="K1326" s="45">
        <f t="shared" si="100"/>
        <v>21849178.531753838</v>
      </c>
    </row>
    <row r="1327" spans="2:11">
      <c r="B1327" s="43">
        <v>45488</v>
      </c>
      <c r="C1327" s="32" t="s">
        <v>25</v>
      </c>
      <c r="D1327" s="32" t="s">
        <v>134</v>
      </c>
      <c r="E1327" s="36">
        <f t="shared" si="103"/>
        <v>21849178.531753838</v>
      </c>
      <c r="F1327" s="36">
        <v>0</v>
      </c>
      <c r="G1327" s="58">
        <v>-20904</v>
      </c>
      <c r="H1327" s="35">
        <f t="shared" si="104"/>
        <v>-20904</v>
      </c>
      <c r="I1327" s="35">
        <f t="shared" si="101"/>
        <v>0</v>
      </c>
      <c r="J1327" s="35">
        <f t="shared" si="102"/>
        <v>1185.4325381513422</v>
      </c>
      <c r="K1327" s="45">
        <f t="shared" si="100"/>
        <v>21827089.099215686</v>
      </c>
    </row>
    <row r="1328" spans="2:11">
      <c r="B1328" s="43">
        <v>45488</v>
      </c>
      <c r="C1328" s="32" t="s">
        <v>27</v>
      </c>
      <c r="D1328" s="32" t="s">
        <v>134</v>
      </c>
      <c r="E1328" s="36">
        <f t="shared" si="103"/>
        <v>21827089.099215686</v>
      </c>
      <c r="F1328" s="36">
        <v>0</v>
      </c>
      <c r="G1328" s="58">
        <v>-5429</v>
      </c>
      <c r="H1328" s="35">
        <f t="shared" si="104"/>
        <v>-5429</v>
      </c>
      <c r="I1328" s="35">
        <f t="shared" si="101"/>
        <v>0</v>
      </c>
      <c r="J1328" s="35">
        <f t="shared" si="102"/>
        <v>1184.234070573169</v>
      </c>
      <c r="K1328" s="45">
        <f t="shared" si="100"/>
        <v>21820475.865145113</v>
      </c>
    </row>
    <row r="1329" spans="2:11">
      <c r="B1329" s="43">
        <v>45488</v>
      </c>
      <c r="C1329" s="32" t="s">
        <v>29</v>
      </c>
      <c r="D1329" s="32" t="s">
        <v>134</v>
      </c>
      <c r="E1329" s="36">
        <f t="shared" si="103"/>
        <v>21820475.865145113</v>
      </c>
      <c r="F1329" s="36">
        <v>0</v>
      </c>
      <c r="G1329" s="58">
        <v>-13117</v>
      </c>
      <c r="H1329" s="35">
        <f t="shared" si="104"/>
        <v>-13117</v>
      </c>
      <c r="I1329" s="35">
        <f t="shared" si="101"/>
        <v>0</v>
      </c>
      <c r="J1329" s="35">
        <f t="shared" si="102"/>
        <v>1183.8752679372587</v>
      </c>
      <c r="K1329" s="45">
        <f t="shared" si="100"/>
        <v>21806174.989877176</v>
      </c>
    </row>
    <row r="1330" spans="2:11">
      <c r="B1330" s="43">
        <v>45489</v>
      </c>
      <c r="C1330" s="32" t="s">
        <v>27</v>
      </c>
      <c r="D1330" s="32" t="s">
        <v>132</v>
      </c>
      <c r="E1330" s="36">
        <f t="shared" si="103"/>
        <v>21806174.989877176</v>
      </c>
      <c r="F1330" s="36">
        <v>16545.14</v>
      </c>
      <c r="G1330" s="58">
        <v>0</v>
      </c>
      <c r="H1330" s="35">
        <f t="shared" si="104"/>
        <v>16545.14</v>
      </c>
      <c r="I1330" s="35">
        <f t="shared" si="101"/>
        <v>0</v>
      </c>
      <c r="J1330" s="35">
        <f t="shared" si="102"/>
        <v>2366.1987408867085</v>
      </c>
      <c r="K1330" s="45">
        <f t="shared" si="100"/>
        <v>21820353.931136288</v>
      </c>
    </row>
    <row r="1331" spans="2:11">
      <c r="B1331" s="43">
        <v>45489</v>
      </c>
      <c r="C1331" s="32" t="s">
        <v>25</v>
      </c>
      <c r="D1331" s="32" t="s">
        <v>132</v>
      </c>
      <c r="E1331" s="36">
        <f t="shared" si="103"/>
        <v>21820353.931136288</v>
      </c>
      <c r="F1331" s="36">
        <v>12408.03</v>
      </c>
      <c r="G1331" s="58">
        <v>0</v>
      </c>
      <c r="H1331" s="35">
        <f t="shared" si="104"/>
        <v>12408.03</v>
      </c>
      <c r="I1331" s="35">
        <f t="shared" si="101"/>
        <v>0</v>
      </c>
      <c r="J1331" s="35">
        <f t="shared" si="102"/>
        <v>1183.8686523777144</v>
      </c>
      <c r="K1331" s="45">
        <f t="shared" si="100"/>
        <v>21831578.092483912</v>
      </c>
    </row>
    <row r="1332" spans="2:11">
      <c r="B1332" s="43">
        <v>45489</v>
      </c>
      <c r="C1332" s="32" t="s">
        <v>29</v>
      </c>
      <c r="D1332" s="32" t="s">
        <v>132</v>
      </c>
      <c r="E1332" s="36">
        <f t="shared" si="103"/>
        <v>21831578.092483912</v>
      </c>
      <c r="F1332" s="36">
        <v>13905.14</v>
      </c>
      <c r="G1332" s="58">
        <v>0</v>
      </c>
      <c r="H1332" s="35">
        <f t="shared" si="104"/>
        <v>13905.14</v>
      </c>
      <c r="I1332" s="35">
        <f t="shared" si="101"/>
        <v>0</v>
      </c>
      <c r="J1332" s="35">
        <f t="shared" si="102"/>
        <v>1184.4776220035335</v>
      </c>
      <c r="K1332" s="45">
        <f t="shared" si="100"/>
        <v>21844298.75486191</v>
      </c>
    </row>
    <row r="1333" spans="2:11">
      <c r="B1333" s="43">
        <v>45489</v>
      </c>
      <c r="C1333" s="32" t="s">
        <v>29</v>
      </c>
      <c r="D1333" s="32" t="s">
        <v>134</v>
      </c>
      <c r="E1333" s="36">
        <f t="shared" si="103"/>
        <v>21844298.75486191</v>
      </c>
      <c r="F1333" s="36">
        <v>0</v>
      </c>
      <c r="G1333" s="58">
        <v>-12214.57</v>
      </c>
      <c r="H1333" s="35">
        <f t="shared" si="104"/>
        <v>-12214.57</v>
      </c>
      <c r="I1333" s="35">
        <f t="shared" si="101"/>
        <v>0</v>
      </c>
      <c r="J1333" s="35">
        <f t="shared" si="102"/>
        <v>1185.1677846596626</v>
      </c>
      <c r="K1333" s="45">
        <f t="shared" si="100"/>
        <v>21830899.017077249</v>
      </c>
    </row>
    <row r="1334" spans="2:11">
      <c r="B1334" s="43">
        <v>45489</v>
      </c>
      <c r="C1334" s="32" t="s">
        <v>29</v>
      </c>
      <c r="D1334" s="32" t="s">
        <v>134</v>
      </c>
      <c r="E1334" s="36">
        <f t="shared" si="103"/>
        <v>21830899.017077249</v>
      </c>
      <c r="F1334" s="36">
        <v>0</v>
      </c>
      <c r="G1334" s="58">
        <v>-10372.41</v>
      </c>
      <c r="H1334" s="35">
        <f t="shared" si="104"/>
        <v>-10372.41</v>
      </c>
      <c r="I1334" s="35">
        <f t="shared" si="101"/>
        <v>0</v>
      </c>
      <c r="J1334" s="35">
        <f t="shared" si="102"/>
        <v>1184.4407786008514</v>
      </c>
      <c r="K1334" s="45">
        <f t="shared" si="100"/>
        <v>21819342.166298646</v>
      </c>
    </row>
    <row r="1335" spans="2:11">
      <c r="B1335" s="43">
        <v>45489</v>
      </c>
      <c r="C1335" s="32" t="s">
        <v>29</v>
      </c>
      <c r="D1335" s="32" t="s">
        <v>134</v>
      </c>
      <c r="E1335" s="36">
        <f t="shared" si="103"/>
        <v>21819342.166298646</v>
      </c>
      <c r="F1335" s="36">
        <v>0</v>
      </c>
      <c r="G1335" s="58">
        <v>-11481</v>
      </c>
      <c r="H1335" s="35">
        <f t="shared" si="104"/>
        <v>-11481</v>
      </c>
      <c r="I1335" s="35">
        <f t="shared" si="101"/>
        <v>0</v>
      </c>
      <c r="J1335" s="35">
        <f t="shared" si="102"/>
        <v>1183.8137588283869</v>
      </c>
      <c r="K1335" s="45">
        <f t="shared" si="100"/>
        <v>21806677.352539819</v>
      </c>
    </row>
    <row r="1336" spans="2:11">
      <c r="B1336" s="43">
        <v>45489</v>
      </c>
      <c r="C1336" s="32" t="s">
        <v>25</v>
      </c>
      <c r="D1336" s="32" t="s">
        <v>134</v>
      </c>
      <c r="E1336" s="36">
        <f t="shared" si="103"/>
        <v>21806677.352539819</v>
      </c>
      <c r="F1336" s="36">
        <v>0</v>
      </c>
      <c r="G1336" s="58">
        <v>-5539</v>
      </c>
      <c r="H1336" s="35">
        <f t="shared" si="104"/>
        <v>-5539</v>
      </c>
      <c r="I1336" s="35">
        <f t="shared" si="101"/>
        <v>0</v>
      </c>
      <c r="J1336" s="35">
        <f t="shared" si="102"/>
        <v>1183.1266262527836</v>
      </c>
      <c r="K1336" s="45">
        <f t="shared" si="100"/>
        <v>21799955.225913566</v>
      </c>
    </row>
    <row r="1337" spans="2:11">
      <c r="B1337" s="43">
        <v>45490</v>
      </c>
      <c r="C1337" s="32" t="s">
        <v>27</v>
      </c>
      <c r="D1337" s="32" t="s">
        <v>132</v>
      </c>
      <c r="E1337" s="36">
        <f t="shared" si="103"/>
        <v>21799955.225913566</v>
      </c>
      <c r="F1337" s="36">
        <v>9889.85</v>
      </c>
      <c r="G1337" s="58">
        <v>0</v>
      </c>
      <c r="H1337" s="35">
        <f t="shared" si="104"/>
        <v>9889.85</v>
      </c>
      <c r="I1337" s="35">
        <f t="shared" si="101"/>
        <v>0</v>
      </c>
      <c r="J1337" s="35">
        <f t="shared" si="102"/>
        <v>2365.5238312491338</v>
      </c>
      <c r="K1337" s="45">
        <f t="shared" si="100"/>
        <v>21807479.552082319</v>
      </c>
    </row>
    <row r="1338" spans="2:11">
      <c r="B1338" s="43">
        <v>45490</v>
      </c>
      <c r="C1338" s="32" t="s">
        <v>25</v>
      </c>
      <c r="D1338" s="32" t="s">
        <v>132</v>
      </c>
      <c r="E1338" s="36">
        <f t="shared" si="103"/>
        <v>21807479.552082319</v>
      </c>
      <c r="F1338" s="36">
        <v>16175.41</v>
      </c>
      <c r="G1338" s="58">
        <v>0</v>
      </c>
      <c r="H1338" s="35">
        <f t="shared" si="104"/>
        <v>16175.41</v>
      </c>
      <c r="I1338" s="35">
        <f t="shared" si="101"/>
        <v>0</v>
      </c>
      <c r="J1338" s="35">
        <f t="shared" si="102"/>
        <v>1183.1701497856427</v>
      </c>
      <c r="K1338" s="45">
        <f t="shared" si="100"/>
        <v>21822471.791932534</v>
      </c>
    </row>
    <row r="1339" spans="2:11">
      <c r="B1339" s="43">
        <v>45490</v>
      </c>
      <c r="C1339" s="32" t="s">
        <v>27</v>
      </c>
      <c r="D1339" s="32" t="s">
        <v>134</v>
      </c>
      <c r="E1339" s="36">
        <f t="shared" si="103"/>
        <v>21822471.791932534</v>
      </c>
      <c r="F1339" s="36">
        <v>0</v>
      </c>
      <c r="G1339" s="58">
        <v>-8867</v>
      </c>
      <c r="H1339" s="35">
        <f t="shared" si="104"/>
        <v>-8867</v>
      </c>
      <c r="I1339" s="35">
        <f t="shared" si="101"/>
        <v>0</v>
      </c>
      <c r="J1339" s="35">
        <f t="shared" si="102"/>
        <v>1183.9835574344652</v>
      </c>
      <c r="K1339" s="45">
        <f t="shared" si="100"/>
        <v>21812420.808375102</v>
      </c>
    </row>
    <row r="1340" spans="2:11">
      <c r="B1340" s="43">
        <v>45490</v>
      </c>
      <c r="C1340" s="32" t="s">
        <v>25</v>
      </c>
      <c r="D1340" s="32" t="s">
        <v>134</v>
      </c>
      <c r="E1340" s="36">
        <f t="shared" si="103"/>
        <v>21812420.808375102</v>
      </c>
      <c r="F1340" s="36">
        <v>0</v>
      </c>
      <c r="G1340" s="58">
        <v>-21233</v>
      </c>
      <c r="H1340" s="35">
        <f t="shared" si="104"/>
        <v>-21233</v>
      </c>
      <c r="I1340" s="35">
        <f t="shared" si="101"/>
        <v>0</v>
      </c>
      <c r="J1340" s="35">
        <f t="shared" si="102"/>
        <v>1183.438238857289</v>
      </c>
      <c r="K1340" s="45">
        <f t="shared" si="100"/>
        <v>21790004.370136246</v>
      </c>
    </row>
    <row r="1341" spans="2:11">
      <c r="B1341" s="43">
        <v>45490</v>
      </c>
      <c r="C1341" s="32" t="s">
        <v>27</v>
      </c>
      <c r="D1341" s="32" t="s">
        <v>134</v>
      </c>
      <c r="E1341" s="36">
        <f t="shared" si="103"/>
        <v>21790004.370136246</v>
      </c>
      <c r="F1341" s="36">
        <v>0</v>
      </c>
      <c r="G1341" s="58">
        <v>-13332</v>
      </c>
      <c r="H1341" s="35">
        <f t="shared" si="104"/>
        <v>-13332</v>
      </c>
      <c r="I1341" s="35">
        <f t="shared" si="101"/>
        <v>0</v>
      </c>
      <c r="J1341" s="35">
        <f t="shared" si="102"/>
        <v>1182.2220295046498</v>
      </c>
      <c r="K1341" s="45">
        <f t="shared" si="100"/>
        <v>21775490.148106743</v>
      </c>
    </row>
    <row r="1342" spans="2:11">
      <c r="B1342" s="43">
        <v>45490</v>
      </c>
      <c r="C1342" s="32" t="s">
        <v>27</v>
      </c>
      <c r="D1342" s="32" t="s">
        <v>134</v>
      </c>
      <c r="E1342" s="36">
        <f t="shared" si="103"/>
        <v>21775490.148106743</v>
      </c>
      <c r="F1342" s="36">
        <v>0</v>
      </c>
      <c r="G1342" s="58">
        <v>-20789</v>
      </c>
      <c r="H1342" s="35">
        <f t="shared" si="104"/>
        <v>-20789</v>
      </c>
      <c r="I1342" s="35">
        <f t="shared" si="101"/>
        <v>0</v>
      </c>
      <c r="J1342" s="35">
        <f t="shared" si="102"/>
        <v>1181.4345568298891</v>
      </c>
      <c r="K1342" s="45">
        <f t="shared" si="100"/>
        <v>21753519.713549912</v>
      </c>
    </row>
    <row r="1343" spans="2:11">
      <c r="B1343" s="43">
        <v>45491</v>
      </c>
      <c r="C1343" s="32" t="s">
        <v>27</v>
      </c>
      <c r="D1343" s="32" t="s">
        <v>132</v>
      </c>
      <c r="E1343" s="36">
        <f t="shared" si="103"/>
        <v>21753519.713549912</v>
      </c>
      <c r="F1343" s="36">
        <v>15319.29</v>
      </c>
      <c r="G1343" s="58">
        <v>0</v>
      </c>
      <c r="H1343" s="35">
        <f t="shared" si="104"/>
        <v>15319.29</v>
      </c>
      <c r="I1343" s="35">
        <f t="shared" si="101"/>
        <v>0</v>
      </c>
      <c r="J1343" s="35">
        <f t="shared" si="102"/>
        <v>2360.4850910327359</v>
      </c>
      <c r="K1343" s="45">
        <f t="shared" si="100"/>
        <v>21766478.518458877</v>
      </c>
    </row>
    <row r="1344" spans="2:11">
      <c r="B1344" s="43">
        <v>45491</v>
      </c>
      <c r="C1344" s="32" t="s">
        <v>27</v>
      </c>
      <c r="D1344" s="32" t="s">
        <v>132</v>
      </c>
      <c r="E1344" s="36">
        <f t="shared" si="103"/>
        <v>21766478.518458877</v>
      </c>
      <c r="F1344" s="36">
        <v>19152.82</v>
      </c>
      <c r="G1344" s="58">
        <v>0</v>
      </c>
      <c r="H1344" s="35">
        <f t="shared" si="104"/>
        <v>19152.82</v>
      </c>
      <c r="I1344" s="35">
        <f t="shared" si="101"/>
        <v>0</v>
      </c>
      <c r="J1344" s="35">
        <f t="shared" si="102"/>
        <v>1180.9456286539018</v>
      </c>
      <c r="K1344" s="45">
        <f t="shared" si="100"/>
        <v>21784450.392830223</v>
      </c>
    </row>
    <row r="1345" spans="2:11">
      <c r="B1345" s="43">
        <v>45491</v>
      </c>
      <c r="C1345" s="32" t="s">
        <v>25</v>
      </c>
      <c r="D1345" s="32" t="s">
        <v>134</v>
      </c>
      <c r="E1345" s="36">
        <f t="shared" si="103"/>
        <v>21784450.392830223</v>
      </c>
      <c r="F1345" s="36">
        <v>0</v>
      </c>
      <c r="G1345" s="58">
        <v>-7713.59</v>
      </c>
      <c r="H1345" s="35">
        <f t="shared" si="104"/>
        <v>-7713.59</v>
      </c>
      <c r="I1345" s="35">
        <f t="shared" si="101"/>
        <v>0</v>
      </c>
      <c r="J1345" s="35">
        <f t="shared" si="102"/>
        <v>1181.9206971042054</v>
      </c>
      <c r="K1345" s="45">
        <f t="shared" si="100"/>
        <v>21775554.882133119</v>
      </c>
    </row>
    <row r="1346" spans="2:11">
      <c r="B1346" s="43">
        <v>45491</v>
      </c>
      <c r="C1346" s="32" t="s">
        <v>27</v>
      </c>
      <c r="D1346" s="32" t="s">
        <v>134</v>
      </c>
      <c r="E1346" s="36">
        <f t="shared" si="103"/>
        <v>21775554.882133119</v>
      </c>
      <c r="F1346" s="36">
        <v>0</v>
      </c>
      <c r="G1346" s="58">
        <v>-2878.78</v>
      </c>
      <c r="H1346" s="35">
        <f t="shared" si="104"/>
        <v>-2878.78</v>
      </c>
      <c r="I1346" s="35">
        <f t="shared" si="101"/>
        <v>0</v>
      </c>
      <c r="J1346" s="35">
        <f t="shared" si="102"/>
        <v>1181.4380689903614</v>
      </c>
      <c r="K1346" s="45">
        <f t="shared" si="100"/>
        <v>21771494.664064128</v>
      </c>
    </row>
    <row r="1347" spans="2:11">
      <c r="B1347" s="43">
        <v>45491</v>
      </c>
      <c r="C1347" s="32" t="s">
        <v>25</v>
      </c>
      <c r="D1347" s="32" t="s">
        <v>134</v>
      </c>
      <c r="E1347" s="36">
        <f t="shared" si="103"/>
        <v>21771494.664064128</v>
      </c>
      <c r="F1347" s="36">
        <v>0</v>
      </c>
      <c r="G1347" s="58">
        <v>-7413</v>
      </c>
      <c r="H1347" s="35">
        <f t="shared" si="104"/>
        <v>-7413</v>
      </c>
      <c r="I1347" s="35">
        <f t="shared" si="101"/>
        <v>0</v>
      </c>
      <c r="J1347" s="35">
        <f t="shared" si="102"/>
        <v>1181.217780863557</v>
      </c>
      <c r="K1347" s="45">
        <f t="shared" si="100"/>
        <v>21762900.446283266</v>
      </c>
    </row>
    <row r="1348" spans="2:11">
      <c r="B1348" s="43">
        <v>45491</v>
      </c>
      <c r="C1348" s="32" t="s">
        <v>25</v>
      </c>
      <c r="D1348" s="32" t="s">
        <v>134</v>
      </c>
      <c r="E1348" s="36">
        <f t="shared" si="103"/>
        <v>21762900.446283266</v>
      </c>
      <c r="F1348" s="36">
        <v>0</v>
      </c>
      <c r="G1348" s="58">
        <v>-9890</v>
      </c>
      <c r="H1348" s="35">
        <f t="shared" si="104"/>
        <v>-9890</v>
      </c>
      <c r="I1348" s="35">
        <f t="shared" si="101"/>
        <v>0</v>
      </c>
      <c r="J1348" s="35">
        <f t="shared" si="102"/>
        <v>1180.751499470754</v>
      </c>
      <c r="K1348" s="45">
        <f t="shared" si="100"/>
        <v>21751829.694783796</v>
      </c>
    </row>
    <row r="1349" spans="2:11">
      <c r="B1349" s="43">
        <v>45491</v>
      </c>
      <c r="C1349" s="32" t="s">
        <v>27</v>
      </c>
      <c r="D1349" s="32" t="s">
        <v>134</v>
      </c>
      <c r="E1349" s="36">
        <f t="shared" si="103"/>
        <v>21751829.694783796</v>
      </c>
      <c r="F1349" s="36">
        <v>0</v>
      </c>
      <c r="G1349" s="58">
        <v>-12128</v>
      </c>
      <c r="H1349" s="35">
        <f t="shared" si="104"/>
        <v>-12128</v>
      </c>
      <c r="I1349" s="35">
        <f t="shared" si="101"/>
        <v>0</v>
      </c>
      <c r="J1349" s="35">
        <f t="shared" si="102"/>
        <v>1180.1508531338591</v>
      </c>
      <c r="K1349" s="45">
        <f t="shared" si="100"/>
        <v>21738521.543930661</v>
      </c>
    </row>
    <row r="1350" spans="2:11">
      <c r="B1350" s="43">
        <v>45491</v>
      </c>
      <c r="C1350" s="32" t="s">
        <v>25</v>
      </c>
      <c r="D1350" s="32" t="s">
        <v>134</v>
      </c>
      <c r="E1350" s="36">
        <f t="shared" si="103"/>
        <v>21738521.543930661</v>
      </c>
      <c r="F1350" s="36">
        <v>0</v>
      </c>
      <c r="G1350" s="58">
        <v>-2322</v>
      </c>
      <c r="H1350" s="35">
        <f t="shared" si="104"/>
        <v>-2322</v>
      </c>
      <c r="I1350" s="35">
        <f t="shared" si="101"/>
        <v>0</v>
      </c>
      <c r="J1350" s="35">
        <f t="shared" si="102"/>
        <v>1179.4288161464726</v>
      </c>
      <c r="K1350" s="45">
        <f t="shared" si="100"/>
        <v>21735020.115114514</v>
      </c>
    </row>
    <row r="1351" spans="2:11">
      <c r="B1351" s="43">
        <v>45492</v>
      </c>
      <c r="C1351" s="32" t="s">
        <v>29</v>
      </c>
      <c r="D1351" s="32" t="s">
        <v>132</v>
      </c>
      <c r="E1351" s="36">
        <f t="shared" si="103"/>
        <v>21735020.115114514</v>
      </c>
      <c r="F1351" s="36">
        <v>8882.2999999999993</v>
      </c>
      <c r="G1351" s="58">
        <v>0</v>
      </c>
      <c r="H1351" s="35">
        <f t="shared" si="104"/>
        <v>8882.2999999999993</v>
      </c>
      <c r="I1351" s="35">
        <f t="shared" si="101"/>
        <v>0</v>
      </c>
      <c r="J1351" s="35">
        <f t="shared" si="102"/>
        <v>2358.4776905351673</v>
      </c>
      <c r="K1351" s="45">
        <f t="shared" si="100"/>
        <v>21741543.937423978</v>
      </c>
    </row>
    <row r="1352" spans="2:11">
      <c r="B1352" s="43">
        <v>45492</v>
      </c>
      <c r="C1352" s="32" t="s">
        <v>27</v>
      </c>
      <c r="D1352" s="32" t="s">
        <v>132</v>
      </c>
      <c r="E1352" s="36">
        <f t="shared" si="103"/>
        <v>21741543.937423978</v>
      </c>
      <c r="F1352" s="36">
        <v>16842.5</v>
      </c>
      <c r="G1352" s="58">
        <v>0</v>
      </c>
      <c r="H1352" s="35">
        <f t="shared" si="104"/>
        <v>16842.5</v>
      </c>
      <c r="I1352" s="35">
        <f t="shared" si="101"/>
        <v>0</v>
      </c>
      <c r="J1352" s="35">
        <f t="shared" si="102"/>
        <v>1179.5927968464732</v>
      </c>
      <c r="K1352" s="45">
        <f t="shared" ref="K1352:K1415" si="105">E1352+H1352+I1352-J1352</f>
        <v>21757206.844627131</v>
      </c>
    </row>
    <row r="1353" spans="2:11">
      <c r="B1353" s="43">
        <v>45492</v>
      </c>
      <c r="C1353" s="32" t="s">
        <v>25</v>
      </c>
      <c r="D1353" s="32" t="s">
        <v>132</v>
      </c>
      <c r="E1353" s="36">
        <f t="shared" si="103"/>
        <v>21757206.844627131</v>
      </c>
      <c r="F1353" s="36">
        <v>10310.43</v>
      </c>
      <c r="G1353" s="58">
        <v>0</v>
      </c>
      <c r="H1353" s="35">
        <f t="shared" si="104"/>
        <v>10310.43</v>
      </c>
      <c r="I1353" s="35">
        <f t="shared" si="101"/>
        <v>0</v>
      </c>
      <c r="J1353" s="35">
        <f t="shared" si="102"/>
        <v>1180.4425917169615</v>
      </c>
      <c r="K1353" s="45">
        <f t="shared" si="105"/>
        <v>21766336.832035415</v>
      </c>
    </row>
    <row r="1354" spans="2:11">
      <c r="B1354" s="43">
        <v>45492</v>
      </c>
      <c r="C1354" s="32" t="s">
        <v>25</v>
      </c>
      <c r="D1354" s="32" t="s">
        <v>134</v>
      </c>
      <c r="E1354" s="36">
        <f t="shared" si="103"/>
        <v>21766336.832035415</v>
      </c>
      <c r="F1354" s="36">
        <v>0</v>
      </c>
      <c r="G1354" s="58">
        <v>-10524</v>
      </c>
      <c r="H1354" s="35">
        <f t="shared" si="104"/>
        <v>-10524</v>
      </c>
      <c r="I1354" s="35">
        <f t="shared" si="101"/>
        <v>0</v>
      </c>
      <c r="J1354" s="35">
        <f t="shared" si="102"/>
        <v>1180.9379414222587</v>
      </c>
      <c r="K1354" s="45">
        <f t="shared" si="105"/>
        <v>21754631.894093994</v>
      </c>
    </row>
    <row r="1355" spans="2:11">
      <c r="B1355" s="43">
        <v>45492</v>
      </c>
      <c r="C1355" s="32" t="s">
        <v>25</v>
      </c>
      <c r="D1355" s="32" t="s">
        <v>134</v>
      </c>
      <c r="E1355" s="36">
        <f t="shared" si="103"/>
        <v>21754631.894093994</v>
      </c>
      <c r="F1355" s="36">
        <v>0</v>
      </c>
      <c r="G1355" s="58">
        <v>-8735</v>
      </c>
      <c r="H1355" s="35">
        <f t="shared" si="104"/>
        <v>-8735</v>
      </c>
      <c r="I1355" s="35">
        <f t="shared" si="101"/>
        <v>0</v>
      </c>
      <c r="J1355" s="35">
        <f t="shared" si="102"/>
        <v>1180.3028871444681</v>
      </c>
      <c r="K1355" s="45">
        <f t="shared" si="105"/>
        <v>21744716.591206849</v>
      </c>
    </row>
    <row r="1356" spans="2:11">
      <c r="B1356" s="43">
        <v>45493</v>
      </c>
      <c r="C1356" s="32" t="s">
        <v>29</v>
      </c>
      <c r="D1356" s="32" t="s">
        <v>132</v>
      </c>
      <c r="E1356" s="36">
        <f t="shared" si="103"/>
        <v>21744716.591206849</v>
      </c>
      <c r="F1356" s="36">
        <v>15523.73</v>
      </c>
      <c r="G1356" s="58">
        <v>0</v>
      </c>
      <c r="H1356" s="35">
        <f t="shared" si="104"/>
        <v>15523.73</v>
      </c>
      <c r="I1356" s="35">
        <f t="shared" si="101"/>
        <v>0</v>
      </c>
      <c r="J1356" s="35">
        <f t="shared" si="102"/>
        <v>2359.5298599106482</v>
      </c>
      <c r="K1356" s="45">
        <f t="shared" si="105"/>
        <v>21757880.791346937</v>
      </c>
    </row>
    <row r="1357" spans="2:11">
      <c r="B1357" s="43">
        <v>45493</v>
      </c>
      <c r="C1357" s="32" t="s">
        <v>25</v>
      </c>
      <c r="D1357" s="32" t="s">
        <v>132</v>
      </c>
      <c r="E1357" s="36">
        <f t="shared" si="103"/>
        <v>21757880.791346937</v>
      </c>
      <c r="F1357" s="36">
        <v>15102.25</v>
      </c>
      <c r="G1357" s="58">
        <v>0</v>
      </c>
      <c r="H1357" s="35">
        <f t="shared" si="104"/>
        <v>15102.25</v>
      </c>
      <c r="I1357" s="35">
        <f t="shared" si="101"/>
        <v>0</v>
      </c>
      <c r="J1357" s="35">
        <f t="shared" si="102"/>
        <v>1180.4791568614805</v>
      </c>
      <c r="K1357" s="45">
        <f t="shared" si="105"/>
        <v>21771802.562190074</v>
      </c>
    </row>
    <row r="1358" spans="2:11">
      <c r="B1358" s="43">
        <v>45493</v>
      </c>
      <c r="C1358" s="32" t="s">
        <v>25</v>
      </c>
      <c r="D1358" s="32" t="s">
        <v>132</v>
      </c>
      <c r="E1358" s="36">
        <f t="shared" si="103"/>
        <v>21771802.562190074</v>
      </c>
      <c r="F1358" s="36">
        <v>15062.38</v>
      </c>
      <c r="G1358" s="58">
        <v>0</v>
      </c>
      <c r="H1358" s="35">
        <f t="shared" si="104"/>
        <v>15062.38</v>
      </c>
      <c r="I1358" s="35">
        <f t="shared" si="101"/>
        <v>0</v>
      </c>
      <c r="J1358" s="35">
        <f t="shared" si="102"/>
        <v>1181.2344859518698</v>
      </c>
      <c r="K1358" s="45">
        <f t="shared" si="105"/>
        <v>21785683.707704123</v>
      </c>
    </row>
    <row r="1359" spans="2:11">
      <c r="B1359" s="43">
        <v>45493</v>
      </c>
      <c r="C1359" s="32" t="s">
        <v>29</v>
      </c>
      <c r="D1359" s="32" t="s">
        <v>134</v>
      </c>
      <c r="E1359" s="36">
        <f t="shared" si="103"/>
        <v>21785683.707704123</v>
      </c>
      <c r="F1359" s="36">
        <v>0</v>
      </c>
      <c r="G1359" s="58">
        <v>-2512.4</v>
      </c>
      <c r="H1359" s="35">
        <f t="shared" si="104"/>
        <v>-2512.4</v>
      </c>
      <c r="I1359" s="35">
        <f t="shared" si="101"/>
        <v>0</v>
      </c>
      <c r="J1359" s="35">
        <f t="shared" si="102"/>
        <v>1181.987610905069</v>
      </c>
      <c r="K1359" s="45">
        <f t="shared" si="105"/>
        <v>21781989.320093218</v>
      </c>
    </row>
    <row r="1360" spans="2:11">
      <c r="B1360" s="43">
        <v>45493</v>
      </c>
      <c r="C1360" s="32" t="s">
        <v>25</v>
      </c>
      <c r="D1360" s="32" t="s">
        <v>134</v>
      </c>
      <c r="E1360" s="36">
        <f t="shared" si="103"/>
        <v>21781989.320093218</v>
      </c>
      <c r="F1360" s="36">
        <v>0</v>
      </c>
      <c r="G1360" s="58">
        <v>-3081</v>
      </c>
      <c r="H1360" s="35">
        <f t="shared" si="104"/>
        <v>-3081</v>
      </c>
      <c r="I1360" s="35">
        <f t="shared" si="101"/>
        <v>0</v>
      </c>
      <c r="J1360" s="35">
        <f t="shared" si="102"/>
        <v>1181.7871709994613</v>
      </c>
      <c r="K1360" s="45">
        <f t="shared" si="105"/>
        <v>21777726.532922219</v>
      </c>
    </row>
    <row r="1361" spans="2:11">
      <c r="B1361" s="43">
        <v>45493</v>
      </c>
      <c r="C1361" s="32" t="s">
        <v>29</v>
      </c>
      <c r="D1361" s="32" t="s">
        <v>134</v>
      </c>
      <c r="E1361" s="36">
        <f t="shared" si="103"/>
        <v>21777726.532922219</v>
      </c>
      <c r="F1361" s="36">
        <v>0</v>
      </c>
      <c r="G1361" s="58">
        <v>-2147</v>
      </c>
      <c r="H1361" s="35">
        <f t="shared" si="104"/>
        <v>-2147</v>
      </c>
      <c r="I1361" s="35">
        <f t="shared" si="101"/>
        <v>0</v>
      </c>
      <c r="J1361" s="35">
        <f t="shared" si="102"/>
        <v>1181.5558924363622</v>
      </c>
      <c r="K1361" s="45">
        <f t="shared" si="105"/>
        <v>21774397.977029782</v>
      </c>
    </row>
    <row r="1362" spans="2:11">
      <c r="B1362" s="43">
        <v>45494</v>
      </c>
      <c r="C1362" s="32" t="s">
        <v>25</v>
      </c>
      <c r="D1362" s="32" t="s">
        <v>132</v>
      </c>
      <c r="E1362" s="36">
        <f t="shared" si="103"/>
        <v>21774397.977029782</v>
      </c>
      <c r="F1362" s="36">
        <v>12856.95</v>
      </c>
      <c r="G1362" s="58">
        <v>0</v>
      </c>
      <c r="H1362" s="35">
        <f t="shared" si="104"/>
        <v>12856.95</v>
      </c>
      <c r="I1362" s="35">
        <f t="shared" si="101"/>
        <v>0</v>
      </c>
      <c r="J1362" s="35">
        <f t="shared" si="102"/>
        <v>2362.7506016406669</v>
      </c>
      <c r="K1362" s="45">
        <f t="shared" si="105"/>
        <v>21784892.176428139</v>
      </c>
    </row>
    <row r="1363" spans="2:11">
      <c r="B1363" s="43">
        <v>45494</v>
      </c>
      <c r="C1363" s="32" t="s">
        <v>27</v>
      </c>
      <c r="D1363" s="32" t="s">
        <v>132</v>
      </c>
      <c r="E1363" s="36">
        <f t="shared" si="103"/>
        <v>21784892.176428139</v>
      </c>
      <c r="F1363" s="36">
        <v>17917.66</v>
      </c>
      <c r="G1363" s="58">
        <v>0</v>
      </c>
      <c r="H1363" s="35">
        <f t="shared" si="104"/>
        <v>17917.66</v>
      </c>
      <c r="I1363" s="35">
        <f t="shared" si="101"/>
        <v>0</v>
      </c>
      <c r="J1363" s="35">
        <f t="shared" si="102"/>
        <v>1181.9446661816253</v>
      </c>
      <c r="K1363" s="45">
        <f t="shared" si="105"/>
        <v>21801627.891761959</v>
      </c>
    </row>
    <row r="1364" spans="2:11">
      <c r="B1364" s="43">
        <v>45494</v>
      </c>
      <c r="C1364" s="32" t="s">
        <v>27</v>
      </c>
      <c r="D1364" s="32" t="s">
        <v>132</v>
      </c>
      <c r="E1364" s="36">
        <f t="shared" si="103"/>
        <v>21801627.891761959</v>
      </c>
      <c r="F1364" s="36">
        <v>20402.82</v>
      </c>
      <c r="G1364" s="58">
        <v>0</v>
      </c>
      <c r="H1364" s="35">
        <f t="shared" si="104"/>
        <v>20402.82</v>
      </c>
      <c r="I1364" s="35">
        <f t="shared" ref="I1364:I1427" si="106">(($E1364*Daily_Interest)*(_xlfn.DAYS(B1364,B1363)+1))+((IF(DAY($B1363)&gt;Monthly_Cut_off_Date,0,Daily_Interest*H1364))*(_xlfn.DAYS(B1364,B1363)+1))</f>
        <v>0</v>
      </c>
      <c r="J1364" s="35">
        <f t="shared" ref="J1364:J1427" si="107">(($I1364+E1364)*Daily_Fees_Rate)*((_xlfn.DAYS(B1364,B1363)+1))</f>
        <v>1182.8526665202703</v>
      </c>
      <c r="K1364" s="45">
        <f t="shared" si="105"/>
        <v>21820847.859095439</v>
      </c>
    </row>
    <row r="1365" spans="2:11">
      <c r="B1365" s="43">
        <v>45494</v>
      </c>
      <c r="C1365" s="32" t="s">
        <v>29</v>
      </c>
      <c r="D1365" s="32" t="s">
        <v>132</v>
      </c>
      <c r="E1365" s="36">
        <f t="shared" ref="E1365:E1428" si="108">K1364</f>
        <v>21820847.859095439</v>
      </c>
      <c r="F1365" s="36">
        <v>17632.09</v>
      </c>
      <c r="G1365" s="58">
        <v>0</v>
      </c>
      <c r="H1365" s="35">
        <f t="shared" ref="H1365:H1428" si="109">SUM(F1365:G1365)</f>
        <v>17632.09</v>
      </c>
      <c r="I1365" s="35">
        <f t="shared" si="106"/>
        <v>0</v>
      </c>
      <c r="J1365" s="35">
        <f t="shared" si="107"/>
        <v>1183.8954505602378</v>
      </c>
      <c r="K1365" s="45">
        <f t="shared" si="105"/>
        <v>21837296.053644881</v>
      </c>
    </row>
    <row r="1366" spans="2:11">
      <c r="B1366" s="43">
        <v>45494</v>
      </c>
      <c r="C1366" s="32" t="s">
        <v>29</v>
      </c>
      <c r="D1366" s="32" t="s">
        <v>132</v>
      </c>
      <c r="E1366" s="36">
        <f t="shared" si="108"/>
        <v>21837296.053644881</v>
      </c>
      <c r="F1366" s="36">
        <v>17204.63</v>
      </c>
      <c r="G1366" s="58">
        <v>0</v>
      </c>
      <c r="H1366" s="35">
        <f t="shared" si="109"/>
        <v>17204.63</v>
      </c>
      <c r="I1366" s="35">
        <f t="shared" si="106"/>
        <v>0</v>
      </c>
      <c r="J1366" s="35">
        <f t="shared" si="107"/>
        <v>1184.7878513882331</v>
      </c>
      <c r="K1366" s="45">
        <f t="shared" si="105"/>
        <v>21853315.89579349</v>
      </c>
    </row>
    <row r="1367" spans="2:11">
      <c r="B1367" s="43">
        <v>45494</v>
      </c>
      <c r="C1367" s="32" t="s">
        <v>27</v>
      </c>
      <c r="D1367" s="32" t="s">
        <v>132</v>
      </c>
      <c r="E1367" s="36">
        <f t="shared" si="108"/>
        <v>21853315.89579349</v>
      </c>
      <c r="F1367" s="36">
        <v>18680.8</v>
      </c>
      <c r="G1367" s="58">
        <v>0</v>
      </c>
      <c r="H1367" s="35">
        <f t="shared" si="109"/>
        <v>18680.8</v>
      </c>
      <c r="I1367" s="35">
        <f t="shared" si="106"/>
        <v>0</v>
      </c>
      <c r="J1367" s="35">
        <f t="shared" si="107"/>
        <v>1185.6570118516991</v>
      </c>
      <c r="K1367" s="45">
        <f t="shared" si="105"/>
        <v>21870811.038781639</v>
      </c>
    </row>
    <row r="1368" spans="2:11">
      <c r="B1368" s="43">
        <v>45494</v>
      </c>
      <c r="C1368" s="32" t="s">
        <v>25</v>
      </c>
      <c r="D1368" s="32" t="s">
        <v>134</v>
      </c>
      <c r="E1368" s="36">
        <f t="shared" si="108"/>
        <v>21870811.038781639</v>
      </c>
      <c r="F1368" s="36">
        <v>0</v>
      </c>
      <c r="G1368" s="58">
        <v>-13772</v>
      </c>
      <c r="H1368" s="35">
        <f t="shared" si="109"/>
        <v>-13772</v>
      </c>
      <c r="I1368" s="35">
        <f t="shared" si="106"/>
        <v>0</v>
      </c>
      <c r="J1368" s="35">
        <f t="shared" si="107"/>
        <v>1186.6062151239237</v>
      </c>
      <c r="K1368" s="45">
        <f t="shared" si="105"/>
        <v>21855852.432566516</v>
      </c>
    </row>
    <row r="1369" spans="2:11">
      <c r="B1369" s="43">
        <v>45494</v>
      </c>
      <c r="C1369" s="32" t="s">
        <v>29</v>
      </c>
      <c r="D1369" s="32" t="s">
        <v>134</v>
      </c>
      <c r="E1369" s="36">
        <f t="shared" si="108"/>
        <v>21855852.432566516</v>
      </c>
      <c r="F1369" s="36">
        <v>0</v>
      </c>
      <c r="G1369" s="58">
        <v>-15278</v>
      </c>
      <c r="H1369" s="35">
        <f t="shared" si="109"/>
        <v>-15278</v>
      </c>
      <c r="I1369" s="35">
        <f t="shared" si="106"/>
        <v>0</v>
      </c>
      <c r="J1369" s="35">
        <f t="shared" si="107"/>
        <v>1185.7946322762195</v>
      </c>
      <c r="K1369" s="45">
        <f t="shared" si="105"/>
        <v>21839388.637934241</v>
      </c>
    </row>
    <row r="1370" spans="2:11">
      <c r="B1370" s="43">
        <v>45494</v>
      </c>
      <c r="C1370" s="32" t="s">
        <v>27</v>
      </c>
      <c r="D1370" s="32" t="s">
        <v>134</v>
      </c>
      <c r="E1370" s="36">
        <f t="shared" si="108"/>
        <v>21839388.637934241</v>
      </c>
      <c r="F1370" s="36">
        <v>0</v>
      </c>
      <c r="G1370" s="58">
        <v>-1373</v>
      </c>
      <c r="H1370" s="35">
        <f t="shared" si="109"/>
        <v>-1373</v>
      </c>
      <c r="I1370" s="35">
        <f t="shared" si="106"/>
        <v>0</v>
      </c>
      <c r="J1370" s="35">
        <f t="shared" si="107"/>
        <v>1184.9013850619053</v>
      </c>
      <c r="K1370" s="45">
        <f t="shared" si="105"/>
        <v>21836830.73654918</v>
      </c>
    </row>
    <row r="1371" spans="2:11">
      <c r="B1371" s="43">
        <v>45495</v>
      </c>
      <c r="C1371" s="32" t="s">
        <v>27</v>
      </c>
      <c r="D1371" s="32" t="s">
        <v>132</v>
      </c>
      <c r="E1371" s="36">
        <f t="shared" si="108"/>
        <v>21836830.73654918</v>
      </c>
      <c r="F1371" s="36">
        <v>12650.24</v>
      </c>
      <c r="G1371" s="58">
        <v>0</v>
      </c>
      <c r="H1371" s="35">
        <f t="shared" si="109"/>
        <v>12650.24</v>
      </c>
      <c r="I1371" s="35">
        <f t="shared" si="106"/>
        <v>0</v>
      </c>
      <c r="J1371" s="35">
        <f t="shared" si="107"/>
        <v>2369.5252109902417</v>
      </c>
      <c r="K1371" s="45">
        <f t="shared" si="105"/>
        <v>21847111.451338187</v>
      </c>
    </row>
    <row r="1372" spans="2:11">
      <c r="B1372" s="43">
        <v>45495</v>
      </c>
      <c r="C1372" s="32" t="s">
        <v>27</v>
      </c>
      <c r="D1372" s="32" t="s">
        <v>132</v>
      </c>
      <c r="E1372" s="36">
        <f t="shared" si="108"/>
        <v>21847111.451338187</v>
      </c>
      <c r="F1372" s="36">
        <v>11406.37</v>
      </c>
      <c r="G1372" s="58">
        <v>0</v>
      </c>
      <c r="H1372" s="35">
        <f t="shared" si="109"/>
        <v>11406.37</v>
      </c>
      <c r="I1372" s="35">
        <f t="shared" si="106"/>
        <v>0</v>
      </c>
      <c r="J1372" s="35">
        <f t="shared" si="107"/>
        <v>1185.3203881965908</v>
      </c>
      <c r="K1372" s="45">
        <f t="shared" si="105"/>
        <v>21857332.50094999</v>
      </c>
    </row>
    <row r="1373" spans="2:11">
      <c r="B1373" s="43">
        <v>45495</v>
      </c>
      <c r="C1373" s="32" t="s">
        <v>25</v>
      </c>
      <c r="D1373" s="32" t="s">
        <v>132</v>
      </c>
      <c r="E1373" s="36">
        <f t="shared" si="108"/>
        <v>21857332.50094999</v>
      </c>
      <c r="F1373" s="36">
        <v>15259.77</v>
      </c>
      <c r="G1373" s="58">
        <v>0</v>
      </c>
      <c r="H1373" s="35">
        <f t="shared" si="109"/>
        <v>15259.77</v>
      </c>
      <c r="I1373" s="35">
        <f t="shared" si="106"/>
        <v>0</v>
      </c>
      <c r="J1373" s="35">
        <f t="shared" si="107"/>
        <v>1185.8749337492432</v>
      </c>
      <c r="K1373" s="45">
        <f t="shared" si="105"/>
        <v>21871406.39601624</v>
      </c>
    </row>
    <row r="1374" spans="2:11">
      <c r="B1374" s="43">
        <v>45495</v>
      </c>
      <c r="C1374" s="32" t="s">
        <v>27</v>
      </c>
      <c r="D1374" s="32" t="s">
        <v>132</v>
      </c>
      <c r="E1374" s="36">
        <f t="shared" si="108"/>
        <v>21871406.39601624</v>
      </c>
      <c r="F1374" s="36">
        <v>12696.61</v>
      </c>
      <c r="G1374" s="58">
        <v>0</v>
      </c>
      <c r="H1374" s="35">
        <f t="shared" si="109"/>
        <v>12696.61</v>
      </c>
      <c r="I1374" s="35">
        <f t="shared" si="106"/>
        <v>0</v>
      </c>
      <c r="J1374" s="35">
        <f t="shared" si="107"/>
        <v>1186.6385163766547</v>
      </c>
      <c r="K1374" s="45">
        <f t="shared" si="105"/>
        <v>21882916.367499862</v>
      </c>
    </row>
    <row r="1375" spans="2:11">
      <c r="B1375" s="43">
        <v>45495</v>
      </c>
      <c r="C1375" s="32" t="s">
        <v>29</v>
      </c>
      <c r="D1375" s="32" t="s">
        <v>134</v>
      </c>
      <c r="E1375" s="36">
        <f t="shared" si="108"/>
        <v>21882916.367499862</v>
      </c>
      <c r="F1375" s="36">
        <v>0</v>
      </c>
      <c r="G1375" s="58">
        <v>-11164.13</v>
      </c>
      <c r="H1375" s="35">
        <f t="shared" si="109"/>
        <v>-11164.13</v>
      </c>
      <c r="I1375" s="35">
        <f t="shared" si="106"/>
        <v>0</v>
      </c>
      <c r="J1375" s="35">
        <f t="shared" si="107"/>
        <v>1187.2629927014764</v>
      </c>
      <c r="K1375" s="45">
        <f t="shared" si="105"/>
        <v>21870564.97450716</v>
      </c>
    </row>
    <row r="1376" spans="2:11">
      <c r="B1376" s="43">
        <v>45495</v>
      </c>
      <c r="C1376" s="32" t="s">
        <v>29</v>
      </c>
      <c r="D1376" s="32" t="s">
        <v>134</v>
      </c>
      <c r="E1376" s="36">
        <f t="shared" si="108"/>
        <v>21870564.97450716</v>
      </c>
      <c r="F1376" s="36">
        <v>0</v>
      </c>
      <c r="G1376" s="58">
        <v>-10832.43</v>
      </c>
      <c r="H1376" s="35">
        <f t="shared" si="109"/>
        <v>-10832.43</v>
      </c>
      <c r="I1376" s="35">
        <f t="shared" si="106"/>
        <v>0</v>
      </c>
      <c r="J1376" s="35">
        <f t="shared" si="107"/>
        <v>1186.5928648463826</v>
      </c>
      <c r="K1376" s="45">
        <f t="shared" si="105"/>
        <v>21858545.951642316</v>
      </c>
    </row>
    <row r="1377" spans="2:11">
      <c r="B1377" s="43">
        <v>45495</v>
      </c>
      <c r="C1377" s="32" t="s">
        <v>27</v>
      </c>
      <c r="D1377" s="32" t="s">
        <v>134</v>
      </c>
      <c r="E1377" s="36">
        <f t="shared" si="108"/>
        <v>21858545.951642316</v>
      </c>
      <c r="F1377" s="36">
        <v>0</v>
      </c>
      <c r="G1377" s="58">
        <v>-3941</v>
      </c>
      <c r="H1377" s="35">
        <f t="shared" si="109"/>
        <v>-3941</v>
      </c>
      <c r="I1377" s="35">
        <f t="shared" si="106"/>
        <v>0</v>
      </c>
      <c r="J1377" s="35">
        <f t="shared" si="107"/>
        <v>1185.9407698140653</v>
      </c>
      <c r="K1377" s="45">
        <f t="shared" si="105"/>
        <v>21853419.010872502</v>
      </c>
    </row>
    <row r="1378" spans="2:11">
      <c r="B1378" s="43">
        <v>45495</v>
      </c>
      <c r="C1378" s="32" t="s">
        <v>29</v>
      </c>
      <c r="D1378" s="32" t="s">
        <v>134</v>
      </c>
      <c r="E1378" s="36">
        <f t="shared" si="108"/>
        <v>21853419.010872502</v>
      </c>
      <c r="F1378" s="36">
        <v>0</v>
      </c>
      <c r="G1378" s="58">
        <v>-21270</v>
      </c>
      <c r="H1378" s="35">
        <f t="shared" si="109"/>
        <v>-21270</v>
      </c>
      <c r="I1378" s="35">
        <f t="shared" si="106"/>
        <v>0</v>
      </c>
      <c r="J1378" s="35">
        <f t="shared" si="107"/>
        <v>1185.6626063855922</v>
      </c>
      <c r="K1378" s="45">
        <f t="shared" si="105"/>
        <v>21830963.348266117</v>
      </c>
    </row>
    <row r="1379" spans="2:11">
      <c r="B1379" s="43">
        <v>45495</v>
      </c>
      <c r="C1379" s="32" t="s">
        <v>27</v>
      </c>
      <c r="D1379" s="32" t="s">
        <v>134</v>
      </c>
      <c r="E1379" s="36">
        <f t="shared" si="108"/>
        <v>21830963.348266117</v>
      </c>
      <c r="F1379" s="36">
        <v>0</v>
      </c>
      <c r="G1379" s="58">
        <v>-15013</v>
      </c>
      <c r="H1379" s="35">
        <f t="shared" si="109"/>
        <v>-15013</v>
      </c>
      <c r="I1379" s="35">
        <f t="shared" si="106"/>
        <v>0</v>
      </c>
      <c r="J1379" s="35">
        <f t="shared" si="107"/>
        <v>1184.444268905276</v>
      </c>
      <c r="K1379" s="45">
        <f t="shared" si="105"/>
        <v>21814765.903997213</v>
      </c>
    </row>
    <row r="1380" spans="2:11">
      <c r="B1380" s="43">
        <v>45496</v>
      </c>
      <c r="C1380" s="32" t="s">
        <v>27</v>
      </c>
      <c r="D1380" s="32" t="s">
        <v>132</v>
      </c>
      <c r="E1380" s="36">
        <f t="shared" si="108"/>
        <v>21814765.903997213</v>
      </c>
      <c r="F1380" s="36">
        <v>15347.02</v>
      </c>
      <c r="G1380" s="58">
        <v>0</v>
      </c>
      <c r="H1380" s="35">
        <f t="shared" si="109"/>
        <v>15347.02</v>
      </c>
      <c r="I1380" s="35">
        <f t="shared" si="106"/>
        <v>0</v>
      </c>
      <c r="J1380" s="35">
        <f t="shared" si="107"/>
        <v>2367.130945190459</v>
      </c>
      <c r="K1380" s="45">
        <f t="shared" si="105"/>
        <v>21827745.793052021</v>
      </c>
    </row>
    <row r="1381" spans="2:11">
      <c r="B1381" s="43">
        <v>45496</v>
      </c>
      <c r="C1381" s="32" t="s">
        <v>27</v>
      </c>
      <c r="D1381" s="32" t="s">
        <v>132</v>
      </c>
      <c r="E1381" s="36">
        <f t="shared" si="108"/>
        <v>21827745.793052021</v>
      </c>
      <c r="F1381" s="36">
        <v>19360.150000000001</v>
      </c>
      <c r="G1381" s="58">
        <v>0</v>
      </c>
      <c r="H1381" s="35">
        <f t="shared" si="109"/>
        <v>19360.150000000001</v>
      </c>
      <c r="I1381" s="35">
        <f t="shared" si="106"/>
        <v>0</v>
      </c>
      <c r="J1381" s="35">
        <f t="shared" si="107"/>
        <v>1184.2696996582654</v>
      </c>
      <c r="K1381" s="45">
        <f t="shared" si="105"/>
        <v>21845921.673352361</v>
      </c>
    </row>
    <row r="1382" spans="2:11">
      <c r="B1382" s="43">
        <v>45496</v>
      </c>
      <c r="C1382" s="32" t="s">
        <v>29</v>
      </c>
      <c r="D1382" s="32" t="s">
        <v>132</v>
      </c>
      <c r="E1382" s="36">
        <f t="shared" si="108"/>
        <v>21845921.673352361</v>
      </c>
      <c r="F1382" s="36">
        <v>13286.46</v>
      </c>
      <c r="G1382" s="58">
        <v>0</v>
      </c>
      <c r="H1382" s="35">
        <f t="shared" si="109"/>
        <v>13286.46</v>
      </c>
      <c r="I1382" s="35">
        <f t="shared" si="106"/>
        <v>0</v>
      </c>
      <c r="J1382" s="35">
        <f t="shared" si="107"/>
        <v>1185.255836500264</v>
      </c>
      <c r="K1382" s="45">
        <f t="shared" si="105"/>
        <v>21858022.87751586</v>
      </c>
    </row>
    <row r="1383" spans="2:11">
      <c r="B1383" s="43">
        <v>45496</v>
      </c>
      <c r="C1383" s="32" t="s">
        <v>27</v>
      </c>
      <c r="D1383" s="32" t="s">
        <v>132</v>
      </c>
      <c r="E1383" s="36">
        <f t="shared" si="108"/>
        <v>21858022.87751586</v>
      </c>
      <c r="F1383" s="36">
        <v>16630.8</v>
      </c>
      <c r="G1383" s="58">
        <v>0</v>
      </c>
      <c r="H1383" s="35">
        <f t="shared" si="109"/>
        <v>16630.8</v>
      </c>
      <c r="I1383" s="35">
        <f t="shared" si="106"/>
        <v>0</v>
      </c>
      <c r="J1383" s="35">
        <f t="shared" si="107"/>
        <v>1185.9123902990887</v>
      </c>
      <c r="K1383" s="45">
        <f t="shared" si="105"/>
        <v>21873467.765125562</v>
      </c>
    </row>
    <row r="1384" spans="2:11">
      <c r="B1384" s="43">
        <v>45496</v>
      </c>
      <c r="C1384" s="32" t="s">
        <v>27</v>
      </c>
      <c r="D1384" s="32" t="s">
        <v>132</v>
      </c>
      <c r="E1384" s="36">
        <f t="shared" si="108"/>
        <v>21873467.765125562</v>
      </c>
      <c r="F1384" s="36">
        <v>12921.28</v>
      </c>
      <c r="G1384" s="58">
        <v>0</v>
      </c>
      <c r="H1384" s="35">
        <f t="shared" si="109"/>
        <v>12921.28</v>
      </c>
      <c r="I1384" s="35">
        <f t="shared" si="106"/>
        <v>0</v>
      </c>
      <c r="J1384" s="35">
        <f t="shared" si="107"/>
        <v>1186.7503564630808</v>
      </c>
      <c r="K1384" s="45">
        <f t="shared" si="105"/>
        <v>21885202.294769101</v>
      </c>
    </row>
    <row r="1385" spans="2:11">
      <c r="B1385" s="43">
        <v>45496</v>
      </c>
      <c r="C1385" s="32" t="s">
        <v>27</v>
      </c>
      <c r="D1385" s="32" t="s">
        <v>132</v>
      </c>
      <c r="E1385" s="36">
        <f t="shared" si="108"/>
        <v>21885202.294769101</v>
      </c>
      <c r="F1385" s="36">
        <v>18072.189999999999</v>
      </c>
      <c r="G1385" s="58">
        <v>0</v>
      </c>
      <c r="H1385" s="35">
        <f t="shared" si="109"/>
        <v>18072.189999999999</v>
      </c>
      <c r="I1385" s="35">
        <f t="shared" si="106"/>
        <v>0</v>
      </c>
      <c r="J1385" s="35">
        <f t="shared" si="107"/>
        <v>1187.387016245925</v>
      </c>
      <c r="K1385" s="45">
        <f t="shared" si="105"/>
        <v>21902087.097752858</v>
      </c>
    </row>
    <row r="1386" spans="2:11">
      <c r="B1386" s="43">
        <v>45496</v>
      </c>
      <c r="C1386" s="32" t="s">
        <v>29</v>
      </c>
      <c r="D1386" s="32" t="s">
        <v>134</v>
      </c>
      <c r="E1386" s="36">
        <f t="shared" si="108"/>
        <v>21902087.097752858</v>
      </c>
      <c r="F1386" s="36">
        <v>0</v>
      </c>
      <c r="G1386" s="58">
        <v>-10224.92</v>
      </c>
      <c r="H1386" s="35">
        <f t="shared" si="109"/>
        <v>-10224.92</v>
      </c>
      <c r="I1386" s="35">
        <f t="shared" si="106"/>
        <v>0</v>
      </c>
      <c r="J1386" s="35">
        <f t="shared" si="107"/>
        <v>1188.3031053715704</v>
      </c>
      <c r="K1386" s="45">
        <f t="shared" si="105"/>
        <v>21890673.874647483</v>
      </c>
    </row>
    <row r="1387" spans="2:11">
      <c r="B1387" s="43">
        <v>45496</v>
      </c>
      <c r="C1387" s="32" t="s">
        <v>27</v>
      </c>
      <c r="D1387" s="32" t="s">
        <v>134</v>
      </c>
      <c r="E1387" s="36">
        <f t="shared" si="108"/>
        <v>21890673.874647483</v>
      </c>
      <c r="F1387" s="36">
        <v>0</v>
      </c>
      <c r="G1387" s="58">
        <v>-16187</v>
      </c>
      <c r="H1387" s="35">
        <f t="shared" si="109"/>
        <v>-16187</v>
      </c>
      <c r="I1387" s="35">
        <f t="shared" si="106"/>
        <v>0</v>
      </c>
      <c r="J1387" s="35">
        <f t="shared" si="107"/>
        <v>1187.683878153731</v>
      </c>
      <c r="K1387" s="45">
        <f t="shared" si="105"/>
        <v>21873299.19076933</v>
      </c>
    </row>
    <row r="1388" spans="2:11">
      <c r="B1388" s="43">
        <v>45496</v>
      </c>
      <c r="C1388" s="32" t="s">
        <v>29</v>
      </c>
      <c r="D1388" s="32" t="s">
        <v>134</v>
      </c>
      <c r="E1388" s="36">
        <f t="shared" si="108"/>
        <v>21873299.19076933</v>
      </c>
      <c r="F1388" s="36">
        <v>0</v>
      </c>
      <c r="G1388" s="58">
        <v>-13319</v>
      </c>
      <c r="H1388" s="35">
        <f t="shared" si="109"/>
        <v>-13319</v>
      </c>
      <c r="I1388" s="35">
        <f t="shared" si="106"/>
        <v>0</v>
      </c>
      <c r="J1388" s="35">
        <f t="shared" si="107"/>
        <v>1186.741210420053</v>
      </c>
      <c r="K1388" s="45">
        <f t="shared" si="105"/>
        <v>21858793.44955891</v>
      </c>
    </row>
    <row r="1389" spans="2:11">
      <c r="B1389" s="43">
        <v>45496</v>
      </c>
      <c r="C1389" s="32" t="s">
        <v>25</v>
      </c>
      <c r="D1389" s="32" t="s">
        <v>134</v>
      </c>
      <c r="E1389" s="36">
        <f t="shared" si="108"/>
        <v>21858793.44955891</v>
      </c>
      <c r="F1389" s="36">
        <v>0</v>
      </c>
      <c r="G1389" s="58">
        <v>-20690</v>
      </c>
      <c r="H1389" s="35">
        <f t="shared" si="109"/>
        <v>-20690</v>
      </c>
      <c r="I1389" s="35">
        <f t="shared" si="106"/>
        <v>0</v>
      </c>
      <c r="J1389" s="35">
        <f t="shared" si="107"/>
        <v>1185.9541978742109</v>
      </c>
      <c r="K1389" s="45">
        <f t="shared" si="105"/>
        <v>21836917.495361038</v>
      </c>
    </row>
    <row r="1390" spans="2:11">
      <c r="B1390" s="43">
        <v>45496</v>
      </c>
      <c r="C1390" s="32" t="s">
        <v>27</v>
      </c>
      <c r="D1390" s="32" t="s">
        <v>134</v>
      </c>
      <c r="E1390" s="36">
        <f t="shared" si="108"/>
        <v>21836917.495361038</v>
      </c>
      <c r="F1390" s="36">
        <v>0</v>
      </c>
      <c r="G1390" s="58">
        <v>-4493</v>
      </c>
      <c r="H1390" s="35">
        <f t="shared" si="109"/>
        <v>-4493</v>
      </c>
      <c r="I1390" s="35">
        <f t="shared" si="106"/>
        <v>0</v>
      </c>
      <c r="J1390" s="35">
        <f t="shared" si="107"/>
        <v>1184.7673126157295</v>
      </c>
      <c r="K1390" s="45">
        <f t="shared" si="105"/>
        <v>21831239.728048421</v>
      </c>
    </row>
    <row r="1391" spans="2:11">
      <c r="B1391" s="43">
        <v>45497</v>
      </c>
      <c r="C1391" s="32" t="s">
        <v>29</v>
      </c>
      <c r="D1391" s="32" t="s">
        <v>132</v>
      </c>
      <c r="E1391" s="36">
        <f t="shared" si="108"/>
        <v>21831239.728048421</v>
      </c>
      <c r="F1391" s="36">
        <v>14976.08</v>
      </c>
      <c r="G1391" s="58">
        <v>0</v>
      </c>
      <c r="H1391" s="35">
        <f t="shared" si="109"/>
        <v>14976.08</v>
      </c>
      <c r="I1391" s="35">
        <f t="shared" si="106"/>
        <v>0</v>
      </c>
      <c r="J1391" s="35">
        <f t="shared" si="107"/>
        <v>2368.9185279162534</v>
      </c>
      <c r="K1391" s="45">
        <f t="shared" si="105"/>
        <v>21843846.889520504</v>
      </c>
    </row>
    <row r="1392" spans="2:11">
      <c r="B1392" s="43">
        <v>45497</v>
      </c>
      <c r="C1392" s="32" t="s">
        <v>29</v>
      </c>
      <c r="D1392" s="32" t="s">
        <v>132</v>
      </c>
      <c r="E1392" s="36">
        <f t="shared" si="108"/>
        <v>21843846.889520504</v>
      </c>
      <c r="F1392" s="36">
        <v>9869.49</v>
      </c>
      <c r="G1392" s="58">
        <v>0</v>
      </c>
      <c r="H1392" s="35">
        <f t="shared" si="109"/>
        <v>9869.49</v>
      </c>
      <c r="I1392" s="35">
        <f t="shared" si="106"/>
        <v>0</v>
      </c>
      <c r="J1392" s="35">
        <f t="shared" si="107"/>
        <v>1185.1432685947777</v>
      </c>
      <c r="K1392" s="45">
        <f t="shared" si="105"/>
        <v>21852531.236251906</v>
      </c>
    </row>
    <row r="1393" spans="2:11">
      <c r="B1393" s="43">
        <v>45497</v>
      </c>
      <c r="C1393" s="32" t="s">
        <v>29</v>
      </c>
      <c r="D1393" s="32" t="s">
        <v>132</v>
      </c>
      <c r="E1393" s="36">
        <f t="shared" si="108"/>
        <v>21852531.236251906</v>
      </c>
      <c r="F1393" s="36">
        <v>15078.27</v>
      </c>
      <c r="G1393" s="58">
        <v>0</v>
      </c>
      <c r="H1393" s="35">
        <f t="shared" si="109"/>
        <v>15078.27</v>
      </c>
      <c r="I1393" s="35">
        <f t="shared" si="106"/>
        <v>0</v>
      </c>
      <c r="J1393" s="35">
        <f t="shared" si="107"/>
        <v>1185.61443995589</v>
      </c>
      <c r="K1393" s="45">
        <f t="shared" si="105"/>
        <v>21866423.891811948</v>
      </c>
    </row>
    <row r="1394" spans="2:11">
      <c r="B1394" s="43">
        <v>45497</v>
      </c>
      <c r="C1394" s="32" t="s">
        <v>27</v>
      </c>
      <c r="D1394" s="32" t="s">
        <v>132</v>
      </c>
      <c r="E1394" s="36">
        <f t="shared" si="108"/>
        <v>21866423.891811948</v>
      </c>
      <c r="F1394" s="36">
        <v>12894.02</v>
      </c>
      <c r="G1394" s="58">
        <v>0</v>
      </c>
      <c r="H1394" s="35">
        <f t="shared" si="109"/>
        <v>12894.02</v>
      </c>
      <c r="I1394" s="35">
        <f t="shared" si="106"/>
        <v>0</v>
      </c>
      <c r="J1394" s="35">
        <f t="shared" si="107"/>
        <v>1186.3681893894566</v>
      </c>
      <c r="K1394" s="45">
        <f t="shared" si="105"/>
        <v>21878131.543622557</v>
      </c>
    </row>
    <row r="1395" spans="2:11">
      <c r="B1395" s="43">
        <v>45497</v>
      </c>
      <c r="C1395" s="32" t="s">
        <v>27</v>
      </c>
      <c r="D1395" s="32" t="s">
        <v>134</v>
      </c>
      <c r="E1395" s="36">
        <f t="shared" si="108"/>
        <v>21878131.543622557</v>
      </c>
      <c r="F1395" s="36">
        <v>0</v>
      </c>
      <c r="G1395" s="58">
        <v>-5650</v>
      </c>
      <c r="H1395" s="35">
        <f t="shared" si="109"/>
        <v>-5650</v>
      </c>
      <c r="I1395" s="35">
        <f t="shared" si="106"/>
        <v>0</v>
      </c>
      <c r="J1395" s="35">
        <f t="shared" si="107"/>
        <v>1187.0033909088854</v>
      </c>
      <c r="K1395" s="45">
        <f t="shared" si="105"/>
        <v>21871294.540231649</v>
      </c>
    </row>
    <row r="1396" spans="2:11">
      <c r="B1396" s="43">
        <v>45497</v>
      </c>
      <c r="C1396" s="32" t="s">
        <v>27</v>
      </c>
      <c r="D1396" s="32" t="s">
        <v>134</v>
      </c>
      <c r="E1396" s="36">
        <f t="shared" si="108"/>
        <v>21871294.540231649</v>
      </c>
      <c r="F1396" s="36">
        <v>0</v>
      </c>
      <c r="G1396" s="58">
        <v>-19540</v>
      </c>
      <c r="H1396" s="35">
        <f t="shared" si="109"/>
        <v>-19540</v>
      </c>
      <c r="I1396" s="35">
        <f t="shared" si="106"/>
        <v>0</v>
      </c>
      <c r="J1396" s="35">
        <f t="shared" si="107"/>
        <v>1186.6324476136374</v>
      </c>
      <c r="K1396" s="45">
        <f t="shared" si="105"/>
        <v>21850567.907784034</v>
      </c>
    </row>
    <row r="1397" spans="2:11">
      <c r="B1397" s="43">
        <v>45498</v>
      </c>
      <c r="C1397" s="32" t="s">
        <v>29</v>
      </c>
      <c r="D1397" s="32" t="s">
        <v>132</v>
      </c>
      <c r="E1397" s="36">
        <f t="shared" si="108"/>
        <v>21850567.907784034</v>
      </c>
      <c r="F1397" s="36">
        <v>11357.43</v>
      </c>
      <c r="G1397" s="58">
        <v>0</v>
      </c>
      <c r="H1397" s="35">
        <f t="shared" si="109"/>
        <v>11357.43</v>
      </c>
      <c r="I1397" s="35">
        <f t="shared" si="106"/>
        <v>0</v>
      </c>
      <c r="J1397" s="35">
        <f t="shared" si="107"/>
        <v>2371.0158381770061</v>
      </c>
      <c r="K1397" s="45">
        <f t="shared" si="105"/>
        <v>21859554.321945857</v>
      </c>
    </row>
    <row r="1398" spans="2:11">
      <c r="B1398" s="43">
        <v>45498</v>
      </c>
      <c r="C1398" s="32" t="s">
        <v>29</v>
      </c>
      <c r="D1398" s="32" t="s">
        <v>132</v>
      </c>
      <c r="E1398" s="36">
        <f t="shared" si="108"/>
        <v>21859554.321945857</v>
      </c>
      <c r="F1398" s="36">
        <v>14884.47</v>
      </c>
      <c r="G1398" s="58">
        <v>0</v>
      </c>
      <c r="H1398" s="35">
        <f t="shared" si="109"/>
        <v>14884.47</v>
      </c>
      <c r="I1398" s="35">
        <f t="shared" si="106"/>
        <v>0</v>
      </c>
      <c r="J1398" s="35">
        <f t="shared" si="107"/>
        <v>1185.995479192113</v>
      </c>
      <c r="K1398" s="45">
        <f t="shared" si="105"/>
        <v>21873252.796466663</v>
      </c>
    </row>
    <row r="1399" spans="2:11">
      <c r="B1399" s="43">
        <v>45498</v>
      </c>
      <c r="C1399" s="32" t="s">
        <v>25</v>
      </c>
      <c r="D1399" s="32" t="s">
        <v>132</v>
      </c>
      <c r="E1399" s="36">
        <f t="shared" si="108"/>
        <v>21873252.796466663</v>
      </c>
      <c r="F1399" s="36">
        <v>11109.5</v>
      </c>
      <c r="G1399" s="58">
        <v>0</v>
      </c>
      <c r="H1399" s="35">
        <f t="shared" si="109"/>
        <v>11109.5</v>
      </c>
      <c r="I1399" s="35">
        <f t="shared" si="106"/>
        <v>0</v>
      </c>
      <c r="J1399" s="35">
        <f t="shared" si="107"/>
        <v>1186.7386932857869</v>
      </c>
      <c r="K1399" s="45">
        <f t="shared" si="105"/>
        <v>21883175.557773378</v>
      </c>
    </row>
    <row r="1400" spans="2:11">
      <c r="B1400" s="43">
        <v>45498</v>
      </c>
      <c r="C1400" s="32" t="s">
        <v>25</v>
      </c>
      <c r="D1400" s="32" t="s">
        <v>132</v>
      </c>
      <c r="E1400" s="36">
        <f t="shared" si="108"/>
        <v>21883175.557773378</v>
      </c>
      <c r="F1400" s="36">
        <v>13533.45</v>
      </c>
      <c r="G1400" s="58">
        <v>0</v>
      </c>
      <c r="H1400" s="35">
        <f t="shared" si="109"/>
        <v>13533.45</v>
      </c>
      <c r="I1400" s="35">
        <f t="shared" si="106"/>
        <v>0</v>
      </c>
      <c r="J1400" s="35">
        <f t="shared" si="107"/>
        <v>1187.2770551333133</v>
      </c>
      <c r="K1400" s="45">
        <f t="shared" si="105"/>
        <v>21895521.730718244</v>
      </c>
    </row>
    <row r="1401" spans="2:11">
      <c r="B1401" s="43">
        <v>45498</v>
      </c>
      <c r="C1401" s="32" t="s">
        <v>25</v>
      </c>
      <c r="D1401" s="32" t="s">
        <v>132</v>
      </c>
      <c r="E1401" s="36">
        <f t="shared" si="108"/>
        <v>21895521.730718244</v>
      </c>
      <c r="F1401" s="36">
        <v>15969.24</v>
      </c>
      <c r="G1401" s="58">
        <v>0</v>
      </c>
      <c r="H1401" s="35">
        <f t="shared" si="109"/>
        <v>15969.24</v>
      </c>
      <c r="I1401" s="35">
        <f t="shared" si="106"/>
        <v>0</v>
      </c>
      <c r="J1401" s="35">
        <f t="shared" si="107"/>
        <v>1187.9468997734318</v>
      </c>
      <c r="K1401" s="45">
        <f t="shared" si="105"/>
        <v>21910303.023818471</v>
      </c>
    </row>
    <row r="1402" spans="2:11">
      <c r="B1402" s="43">
        <v>45498</v>
      </c>
      <c r="C1402" s="32" t="s">
        <v>25</v>
      </c>
      <c r="D1402" s="32" t="s">
        <v>134</v>
      </c>
      <c r="E1402" s="36">
        <f t="shared" si="108"/>
        <v>21910303.023818471</v>
      </c>
      <c r="F1402" s="36">
        <v>0</v>
      </c>
      <c r="G1402" s="58">
        <v>-11365</v>
      </c>
      <c r="H1402" s="35">
        <f t="shared" si="109"/>
        <v>-11365</v>
      </c>
      <c r="I1402" s="35">
        <f t="shared" si="106"/>
        <v>0</v>
      </c>
      <c r="J1402" s="35">
        <f t="shared" si="107"/>
        <v>1188.7488624546143</v>
      </c>
      <c r="K1402" s="45">
        <f t="shared" si="105"/>
        <v>21897749.274956018</v>
      </c>
    </row>
    <row r="1403" spans="2:11">
      <c r="B1403" s="43">
        <v>45498</v>
      </c>
      <c r="C1403" s="32" t="s">
        <v>27</v>
      </c>
      <c r="D1403" s="32" t="s">
        <v>134</v>
      </c>
      <c r="E1403" s="36">
        <f t="shared" si="108"/>
        <v>21897749.274956018</v>
      </c>
      <c r="F1403" s="36">
        <v>0</v>
      </c>
      <c r="G1403" s="58">
        <v>-19021</v>
      </c>
      <c r="H1403" s="35">
        <f t="shared" si="109"/>
        <v>-19021</v>
      </c>
      <c r="I1403" s="35">
        <f t="shared" si="106"/>
        <v>0</v>
      </c>
      <c r="J1403" s="35">
        <f t="shared" si="107"/>
        <v>1188.0677557321944</v>
      </c>
      <c r="K1403" s="45">
        <f t="shared" si="105"/>
        <v>21877540.207200285</v>
      </c>
    </row>
    <row r="1404" spans="2:11">
      <c r="B1404" s="43">
        <v>45498</v>
      </c>
      <c r="C1404" s="32" t="s">
        <v>27</v>
      </c>
      <c r="D1404" s="32" t="s">
        <v>134</v>
      </c>
      <c r="E1404" s="36">
        <f t="shared" si="108"/>
        <v>21877540.207200285</v>
      </c>
      <c r="F1404" s="36">
        <v>0</v>
      </c>
      <c r="G1404" s="58">
        <v>-15839</v>
      </c>
      <c r="H1404" s="35">
        <f t="shared" si="109"/>
        <v>-15839</v>
      </c>
      <c r="I1404" s="35">
        <f t="shared" si="106"/>
        <v>0</v>
      </c>
      <c r="J1404" s="35">
        <f t="shared" si="107"/>
        <v>1186.971307806313</v>
      </c>
      <c r="K1404" s="45">
        <f t="shared" si="105"/>
        <v>21860514.235892478</v>
      </c>
    </row>
    <row r="1405" spans="2:11">
      <c r="B1405" s="43">
        <v>45499</v>
      </c>
      <c r="C1405" s="32" t="s">
        <v>27</v>
      </c>
      <c r="D1405" s="32" t="s">
        <v>132</v>
      </c>
      <c r="E1405" s="36">
        <f t="shared" si="108"/>
        <v>21860514.235892478</v>
      </c>
      <c r="F1405" s="36">
        <v>10161.85</v>
      </c>
      <c r="G1405" s="58">
        <v>0</v>
      </c>
      <c r="H1405" s="35">
        <f t="shared" si="109"/>
        <v>10161.85</v>
      </c>
      <c r="I1405" s="35">
        <f t="shared" si="106"/>
        <v>0</v>
      </c>
      <c r="J1405" s="35">
        <f t="shared" si="107"/>
        <v>2372.0951191172708</v>
      </c>
      <c r="K1405" s="45">
        <f t="shared" si="105"/>
        <v>21868303.990773361</v>
      </c>
    </row>
    <row r="1406" spans="2:11">
      <c r="B1406" s="43">
        <v>45499</v>
      </c>
      <c r="C1406" s="32" t="s">
        <v>27</v>
      </c>
      <c r="D1406" s="32" t="s">
        <v>132</v>
      </c>
      <c r="E1406" s="36">
        <f t="shared" si="108"/>
        <v>21868303.990773361</v>
      </c>
      <c r="F1406" s="36">
        <v>13040.01</v>
      </c>
      <c r="G1406" s="58">
        <v>0</v>
      </c>
      <c r="H1406" s="35">
        <f t="shared" si="109"/>
        <v>13040.01</v>
      </c>
      <c r="I1406" s="35">
        <f t="shared" si="106"/>
        <v>0</v>
      </c>
      <c r="J1406" s="35">
        <f t="shared" si="107"/>
        <v>1186.4701946195646</v>
      </c>
      <c r="K1406" s="45">
        <f t="shared" si="105"/>
        <v>21880157.530578744</v>
      </c>
    </row>
    <row r="1407" spans="2:11">
      <c r="B1407" s="43">
        <v>45499</v>
      </c>
      <c r="C1407" s="32" t="s">
        <v>25</v>
      </c>
      <c r="D1407" s="32" t="s">
        <v>132</v>
      </c>
      <c r="E1407" s="36">
        <f t="shared" si="108"/>
        <v>21880157.530578744</v>
      </c>
      <c r="F1407" s="36">
        <v>17613.37</v>
      </c>
      <c r="G1407" s="58">
        <v>0</v>
      </c>
      <c r="H1407" s="35">
        <f t="shared" si="109"/>
        <v>17613.37</v>
      </c>
      <c r="I1407" s="35">
        <f t="shared" si="106"/>
        <v>0</v>
      </c>
      <c r="J1407" s="35">
        <f t="shared" si="107"/>
        <v>1187.1133113279184</v>
      </c>
      <c r="K1407" s="45">
        <f t="shared" si="105"/>
        <v>21896583.787267417</v>
      </c>
    </row>
    <row r="1408" spans="2:11">
      <c r="B1408" s="43">
        <v>45499</v>
      </c>
      <c r="C1408" s="32" t="s">
        <v>29</v>
      </c>
      <c r="D1408" s="32" t="s">
        <v>132</v>
      </c>
      <c r="E1408" s="36">
        <f t="shared" si="108"/>
        <v>21896583.787267417</v>
      </c>
      <c r="F1408" s="36">
        <v>12954.05</v>
      </c>
      <c r="G1408" s="58">
        <v>0</v>
      </c>
      <c r="H1408" s="35">
        <f t="shared" si="109"/>
        <v>12954.05</v>
      </c>
      <c r="I1408" s="35">
        <f t="shared" si="106"/>
        <v>0</v>
      </c>
      <c r="J1408" s="35">
        <f t="shared" si="107"/>
        <v>1188.0045219118988</v>
      </c>
      <c r="K1408" s="45">
        <f t="shared" si="105"/>
        <v>21908349.832745507</v>
      </c>
    </row>
    <row r="1409" spans="2:11">
      <c r="B1409" s="43">
        <v>45499</v>
      </c>
      <c r="C1409" s="32" t="s">
        <v>25</v>
      </c>
      <c r="D1409" s="32" t="s">
        <v>132</v>
      </c>
      <c r="E1409" s="36">
        <f t="shared" si="108"/>
        <v>21908349.832745507</v>
      </c>
      <c r="F1409" s="36">
        <v>15964.07</v>
      </c>
      <c r="G1409" s="58">
        <v>0</v>
      </c>
      <c r="H1409" s="35">
        <f t="shared" si="109"/>
        <v>15964.07</v>
      </c>
      <c r="I1409" s="35">
        <f t="shared" si="106"/>
        <v>0</v>
      </c>
      <c r="J1409" s="35">
        <f t="shared" si="107"/>
        <v>1188.6428915940737</v>
      </c>
      <c r="K1409" s="45">
        <f t="shared" si="105"/>
        <v>21923125.259853914</v>
      </c>
    </row>
    <row r="1410" spans="2:11">
      <c r="B1410" s="43">
        <v>45499</v>
      </c>
      <c r="C1410" s="32" t="s">
        <v>25</v>
      </c>
      <c r="D1410" s="32" t="s">
        <v>132</v>
      </c>
      <c r="E1410" s="36">
        <f t="shared" si="108"/>
        <v>21923125.259853914</v>
      </c>
      <c r="F1410" s="36">
        <v>12732.76</v>
      </c>
      <c r="G1410" s="58">
        <v>0</v>
      </c>
      <c r="H1410" s="35">
        <f t="shared" si="109"/>
        <v>12732.76</v>
      </c>
      <c r="I1410" s="35">
        <f t="shared" si="106"/>
        <v>0</v>
      </c>
      <c r="J1410" s="35">
        <f t="shared" si="107"/>
        <v>1189.4445360144318</v>
      </c>
      <c r="K1410" s="45">
        <f t="shared" si="105"/>
        <v>21934668.575317901</v>
      </c>
    </row>
    <row r="1411" spans="2:11">
      <c r="B1411" s="43">
        <v>45499</v>
      </c>
      <c r="C1411" s="32" t="s">
        <v>29</v>
      </c>
      <c r="D1411" s="32" t="s">
        <v>134</v>
      </c>
      <c r="E1411" s="36">
        <f t="shared" si="108"/>
        <v>21934668.575317901</v>
      </c>
      <c r="F1411" s="36">
        <v>0</v>
      </c>
      <c r="G1411" s="58">
        <v>-6250</v>
      </c>
      <c r="H1411" s="35">
        <f t="shared" si="109"/>
        <v>-6250</v>
      </c>
      <c r="I1411" s="35">
        <f t="shared" si="106"/>
        <v>0</v>
      </c>
      <c r="J1411" s="35">
        <f t="shared" si="107"/>
        <v>1190.0708214250831</v>
      </c>
      <c r="K1411" s="45">
        <f t="shared" si="105"/>
        <v>21927228.504496474</v>
      </c>
    </row>
    <row r="1412" spans="2:11">
      <c r="B1412" s="43">
        <v>45499</v>
      </c>
      <c r="C1412" s="32" t="s">
        <v>27</v>
      </c>
      <c r="D1412" s="32" t="s">
        <v>134</v>
      </c>
      <c r="E1412" s="36">
        <f t="shared" si="108"/>
        <v>21927228.504496474</v>
      </c>
      <c r="F1412" s="36">
        <v>0</v>
      </c>
      <c r="G1412" s="58">
        <v>-12370</v>
      </c>
      <c r="H1412" s="35">
        <f t="shared" si="109"/>
        <v>-12370</v>
      </c>
      <c r="I1412" s="35">
        <f t="shared" si="106"/>
        <v>0</v>
      </c>
      <c r="J1412" s="35">
        <f t="shared" si="107"/>
        <v>1189.6671585585341</v>
      </c>
      <c r="K1412" s="45">
        <f t="shared" si="105"/>
        <v>21913668.837337915</v>
      </c>
    </row>
    <row r="1413" spans="2:11">
      <c r="B1413" s="43">
        <v>45499</v>
      </c>
      <c r="C1413" s="32" t="s">
        <v>27</v>
      </c>
      <c r="D1413" s="32" t="s">
        <v>134</v>
      </c>
      <c r="E1413" s="36">
        <f t="shared" si="108"/>
        <v>21913668.837337915</v>
      </c>
      <c r="F1413" s="36">
        <v>0</v>
      </c>
      <c r="G1413" s="58">
        <v>-19650</v>
      </c>
      <c r="H1413" s="35">
        <f t="shared" si="109"/>
        <v>-19650</v>
      </c>
      <c r="I1413" s="35">
        <f t="shared" si="106"/>
        <v>0</v>
      </c>
      <c r="J1413" s="35">
        <f t="shared" si="107"/>
        <v>1188.9314754923312</v>
      </c>
      <c r="K1413" s="45">
        <f t="shared" si="105"/>
        <v>21892829.905862421</v>
      </c>
    </row>
    <row r="1414" spans="2:11">
      <c r="B1414" s="43">
        <v>45499</v>
      </c>
      <c r="C1414" s="32" t="s">
        <v>29</v>
      </c>
      <c r="D1414" s="32" t="s">
        <v>134</v>
      </c>
      <c r="E1414" s="36">
        <f t="shared" si="108"/>
        <v>21892829.905862421</v>
      </c>
      <c r="F1414" s="36">
        <v>0</v>
      </c>
      <c r="G1414" s="58">
        <v>-17856</v>
      </c>
      <c r="H1414" s="35">
        <f t="shared" si="109"/>
        <v>-17856</v>
      </c>
      <c r="I1414" s="35">
        <f t="shared" si="106"/>
        <v>0</v>
      </c>
      <c r="J1414" s="35">
        <f t="shared" si="107"/>
        <v>1187.8008541559063</v>
      </c>
      <c r="K1414" s="45">
        <f t="shared" si="105"/>
        <v>21873786.105008263</v>
      </c>
    </row>
    <row r="1415" spans="2:11">
      <c r="B1415" s="43">
        <v>45499</v>
      </c>
      <c r="C1415" s="32" t="s">
        <v>29</v>
      </c>
      <c r="D1415" s="32" t="s">
        <v>134</v>
      </c>
      <c r="E1415" s="36">
        <f t="shared" si="108"/>
        <v>21873786.105008263</v>
      </c>
      <c r="F1415" s="36">
        <v>0</v>
      </c>
      <c r="G1415" s="58">
        <v>-3046</v>
      </c>
      <c r="H1415" s="35">
        <f t="shared" si="109"/>
        <v>-3046</v>
      </c>
      <c r="I1415" s="35">
        <f t="shared" si="106"/>
        <v>0</v>
      </c>
      <c r="J1415" s="35">
        <f t="shared" si="107"/>
        <v>1186.7676280714663</v>
      </c>
      <c r="K1415" s="45">
        <f t="shared" si="105"/>
        <v>21869553.337380193</v>
      </c>
    </row>
    <row r="1416" spans="2:11">
      <c r="B1416" s="43">
        <v>45499</v>
      </c>
      <c r="C1416" s="32" t="s">
        <v>29</v>
      </c>
      <c r="D1416" s="32" t="s">
        <v>134</v>
      </c>
      <c r="E1416" s="36">
        <f t="shared" si="108"/>
        <v>21869553.337380193</v>
      </c>
      <c r="F1416" s="36">
        <v>0</v>
      </c>
      <c r="G1416" s="58">
        <v>-13725</v>
      </c>
      <c r="H1416" s="35">
        <f t="shared" si="109"/>
        <v>-13725</v>
      </c>
      <c r="I1416" s="35">
        <f t="shared" si="106"/>
        <v>0</v>
      </c>
      <c r="J1416" s="35">
        <f t="shared" si="107"/>
        <v>1186.5379782260291</v>
      </c>
      <c r="K1416" s="45">
        <f t="shared" ref="K1416:K1479" si="110">E1416+H1416+I1416-J1416</f>
        <v>21854641.799401969</v>
      </c>
    </row>
    <row r="1417" spans="2:11">
      <c r="B1417" s="43">
        <v>45500</v>
      </c>
      <c r="C1417" s="32" t="s">
        <v>29</v>
      </c>
      <c r="D1417" s="32" t="s">
        <v>132</v>
      </c>
      <c r="E1417" s="36">
        <f t="shared" si="108"/>
        <v>21854641.799401969</v>
      </c>
      <c r="F1417" s="36">
        <v>16898.349999999999</v>
      </c>
      <c r="G1417" s="58">
        <v>0</v>
      </c>
      <c r="H1417" s="35">
        <f t="shared" si="109"/>
        <v>16898.349999999999</v>
      </c>
      <c r="I1417" s="35">
        <f t="shared" si="106"/>
        <v>0</v>
      </c>
      <c r="J1417" s="35">
        <f t="shared" si="107"/>
        <v>2371.4578981541154</v>
      </c>
      <c r="K1417" s="45">
        <f t="shared" si="110"/>
        <v>21869168.691503815</v>
      </c>
    </row>
    <row r="1418" spans="2:11">
      <c r="B1418" s="43">
        <v>45500</v>
      </c>
      <c r="C1418" s="32" t="s">
        <v>29</v>
      </c>
      <c r="D1418" s="32" t="s">
        <v>132</v>
      </c>
      <c r="E1418" s="36">
        <f t="shared" si="108"/>
        <v>21869168.691503815</v>
      </c>
      <c r="F1418" s="36">
        <v>11245.38</v>
      </c>
      <c r="G1418" s="58">
        <v>0</v>
      </c>
      <c r="H1418" s="35">
        <f t="shared" si="109"/>
        <v>11245.38</v>
      </c>
      <c r="I1418" s="35">
        <f t="shared" si="106"/>
        <v>0</v>
      </c>
      <c r="J1418" s="35">
        <f t="shared" si="107"/>
        <v>1186.5171091697</v>
      </c>
      <c r="K1418" s="45">
        <f t="shared" si="110"/>
        <v>21879227.554394644</v>
      </c>
    </row>
    <row r="1419" spans="2:11">
      <c r="B1419" s="43">
        <v>45500</v>
      </c>
      <c r="C1419" s="32" t="s">
        <v>29</v>
      </c>
      <c r="D1419" s="32" t="s">
        <v>132</v>
      </c>
      <c r="E1419" s="36">
        <f t="shared" si="108"/>
        <v>21879227.554394644</v>
      </c>
      <c r="F1419" s="36">
        <v>16956.97</v>
      </c>
      <c r="G1419" s="58">
        <v>0</v>
      </c>
      <c r="H1419" s="35">
        <f t="shared" si="109"/>
        <v>16956.97</v>
      </c>
      <c r="I1419" s="35">
        <f t="shared" si="106"/>
        <v>0</v>
      </c>
      <c r="J1419" s="35">
        <f t="shared" si="107"/>
        <v>1187.0628552420415</v>
      </c>
      <c r="K1419" s="45">
        <f t="shared" si="110"/>
        <v>21894997.461539399</v>
      </c>
    </row>
    <row r="1420" spans="2:11">
      <c r="B1420" s="43">
        <v>45500</v>
      </c>
      <c r="C1420" s="32" t="s">
        <v>25</v>
      </c>
      <c r="D1420" s="32" t="s">
        <v>132</v>
      </c>
      <c r="E1420" s="36">
        <f t="shared" si="108"/>
        <v>21894997.461539399</v>
      </c>
      <c r="F1420" s="36">
        <v>11955.73</v>
      </c>
      <c r="G1420" s="58">
        <v>0</v>
      </c>
      <c r="H1420" s="35">
        <f t="shared" si="109"/>
        <v>11955.73</v>
      </c>
      <c r="I1420" s="35">
        <f t="shared" si="106"/>
        <v>0</v>
      </c>
      <c r="J1420" s="35">
        <f t="shared" si="107"/>
        <v>1187.9184554205949</v>
      </c>
      <c r="K1420" s="45">
        <f t="shared" si="110"/>
        <v>21905765.273083977</v>
      </c>
    </row>
    <row r="1421" spans="2:11">
      <c r="B1421" s="43">
        <v>45500</v>
      </c>
      <c r="C1421" s="32" t="s">
        <v>29</v>
      </c>
      <c r="D1421" s="32" t="s">
        <v>132</v>
      </c>
      <c r="E1421" s="36">
        <f t="shared" si="108"/>
        <v>21905765.273083977</v>
      </c>
      <c r="F1421" s="36">
        <v>16367.66</v>
      </c>
      <c r="G1421" s="58">
        <v>0</v>
      </c>
      <c r="H1421" s="35">
        <f t="shared" si="109"/>
        <v>16367.66</v>
      </c>
      <c r="I1421" s="35">
        <f t="shared" si="106"/>
        <v>0</v>
      </c>
      <c r="J1421" s="35">
        <f t="shared" si="107"/>
        <v>1188.5026656759633</v>
      </c>
      <c r="K1421" s="45">
        <f t="shared" si="110"/>
        <v>21920944.430418301</v>
      </c>
    </row>
    <row r="1422" spans="2:11">
      <c r="B1422" s="43">
        <v>45500</v>
      </c>
      <c r="C1422" s="32" t="s">
        <v>25</v>
      </c>
      <c r="D1422" s="32" t="s">
        <v>134</v>
      </c>
      <c r="E1422" s="36">
        <f t="shared" si="108"/>
        <v>21920944.430418301</v>
      </c>
      <c r="F1422" s="36">
        <v>0</v>
      </c>
      <c r="G1422" s="58">
        <v>-13067.64</v>
      </c>
      <c r="H1422" s="35">
        <f t="shared" si="109"/>
        <v>-13067.64</v>
      </c>
      <c r="I1422" s="35">
        <f t="shared" si="106"/>
        <v>0</v>
      </c>
      <c r="J1422" s="35">
        <f t="shared" si="107"/>
        <v>1189.3262145787139</v>
      </c>
      <c r="K1422" s="45">
        <f t="shared" si="110"/>
        <v>21906687.464203723</v>
      </c>
    </row>
    <row r="1423" spans="2:11">
      <c r="B1423" s="43">
        <v>45500</v>
      </c>
      <c r="C1423" s="32" t="s">
        <v>25</v>
      </c>
      <c r="D1423" s="32" t="s">
        <v>134</v>
      </c>
      <c r="E1423" s="36">
        <f t="shared" si="108"/>
        <v>21906687.464203723</v>
      </c>
      <c r="F1423" s="36">
        <v>0</v>
      </c>
      <c r="G1423" s="58">
        <v>-6641</v>
      </c>
      <c r="H1423" s="35">
        <f t="shared" si="109"/>
        <v>-6641</v>
      </c>
      <c r="I1423" s="35">
        <f t="shared" si="106"/>
        <v>0</v>
      </c>
      <c r="J1423" s="35">
        <f t="shared" si="107"/>
        <v>1188.552699381265</v>
      </c>
      <c r="K1423" s="45">
        <f t="shared" si="110"/>
        <v>21898857.911504343</v>
      </c>
    </row>
    <row r="1424" spans="2:11">
      <c r="B1424" s="43">
        <v>45500</v>
      </c>
      <c r="C1424" s="32" t="s">
        <v>25</v>
      </c>
      <c r="D1424" s="32" t="s">
        <v>134</v>
      </c>
      <c r="E1424" s="36">
        <f t="shared" si="108"/>
        <v>21898857.911504343</v>
      </c>
      <c r="F1424" s="36">
        <v>0</v>
      </c>
      <c r="G1424" s="58">
        <v>-11542</v>
      </c>
      <c r="H1424" s="35">
        <f t="shared" si="109"/>
        <v>-11542</v>
      </c>
      <c r="I1424" s="35">
        <f t="shared" si="106"/>
        <v>0</v>
      </c>
      <c r="J1424" s="35">
        <f t="shared" si="107"/>
        <v>1188.1279050799358</v>
      </c>
      <c r="K1424" s="45">
        <f t="shared" si="110"/>
        <v>21886127.783599265</v>
      </c>
    </row>
    <row r="1425" spans="2:11">
      <c r="B1425" s="43">
        <v>45501</v>
      </c>
      <c r="C1425" s="32" t="s">
        <v>29</v>
      </c>
      <c r="D1425" s="32" t="s">
        <v>132</v>
      </c>
      <c r="E1425" s="36">
        <f t="shared" si="108"/>
        <v>21886127.783599265</v>
      </c>
      <c r="F1425" s="36">
        <v>14920.46</v>
      </c>
      <c r="G1425" s="58">
        <v>0</v>
      </c>
      <c r="H1425" s="35">
        <f t="shared" si="109"/>
        <v>14920.46</v>
      </c>
      <c r="I1425" s="35">
        <f t="shared" si="106"/>
        <v>0</v>
      </c>
      <c r="J1425" s="35">
        <f t="shared" si="107"/>
        <v>2374.8744577386278</v>
      </c>
      <c r="K1425" s="45">
        <f t="shared" si="110"/>
        <v>21898673.369141527</v>
      </c>
    </row>
    <row r="1426" spans="2:11">
      <c r="B1426" s="43">
        <v>45501</v>
      </c>
      <c r="C1426" s="32" t="s">
        <v>29</v>
      </c>
      <c r="D1426" s="32" t="s">
        <v>132</v>
      </c>
      <c r="E1426" s="36">
        <f t="shared" si="108"/>
        <v>21898673.369141527</v>
      </c>
      <c r="F1426" s="36">
        <v>14584.63</v>
      </c>
      <c r="G1426" s="58">
        <v>0</v>
      </c>
      <c r="H1426" s="35">
        <f t="shared" si="109"/>
        <v>14584.63</v>
      </c>
      <c r="I1426" s="35">
        <f t="shared" si="106"/>
        <v>0</v>
      </c>
      <c r="J1426" s="35">
        <f t="shared" si="107"/>
        <v>1188.1178926887956</v>
      </c>
      <c r="K1426" s="45">
        <f t="shared" si="110"/>
        <v>21912069.881248835</v>
      </c>
    </row>
    <row r="1427" spans="2:11">
      <c r="B1427" s="43">
        <v>45501</v>
      </c>
      <c r="C1427" s="32" t="s">
        <v>27</v>
      </c>
      <c r="D1427" s="32" t="s">
        <v>134</v>
      </c>
      <c r="E1427" s="36">
        <f t="shared" si="108"/>
        <v>21912069.881248835</v>
      </c>
      <c r="F1427" s="36">
        <v>0</v>
      </c>
      <c r="G1427" s="58">
        <v>-9021</v>
      </c>
      <c r="H1427" s="35">
        <f t="shared" si="109"/>
        <v>-9021</v>
      </c>
      <c r="I1427" s="35">
        <f t="shared" si="106"/>
        <v>0</v>
      </c>
      <c r="J1427" s="35">
        <f t="shared" si="107"/>
        <v>1188.8447237376913</v>
      </c>
      <c r="K1427" s="45">
        <f t="shared" si="110"/>
        <v>21901860.036525097</v>
      </c>
    </row>
    <row r="1428" spans="2:11">
      <c r="B1428" s="43">
        <v>45501</v>
      </c>
      <c r="C1428" s="32" t="s">
        <v>29</v>
      </c>
      <c r="D1428" s="32" t="s">
        <v>134</v>
      </c>
      <c r="E1428" s="36">
        <f t="shared" si="108"/>
        <v>21901860.036525097</v>
      </c>
      <c r="F1428" s="36">
        <v>0</v>
      </c>
      <c r="G1428" s="58">
        <v>-7357</v>
      </c>
      <c r="H1428" s="35">
        <f t="shared" si="109"/>
        <v>-7357</v>
      </c>
      <c r="I1428" s="35">
        <f t="shared" ref="I1428:I1491" si="111">(($E1428*Daily_Interest)*(_xlfn.DAYS(B1428,B1427)+1))+((IF(DAY($B1427)&gt;Monthly_Cut_off_Date,0,Daily_Interest*H1428))*(_xlfn.DAYS(B1428,B1427)+1))</f>
        <v>0</v>
      </c>
      <c r="J1428" s="35">
        <f t="shared" ref="J1428:J1491" si="112">(($I1428+E1428)*Daily_Fees_Rate)*((_xlfn.DAYS(B1428,B1427)+1))</f>
        <v>1188.290786108988</v>
      </c>
      <c r="K1428" s="45">
        <f t="shared" si="110"/>
        <v>21893314.745738987</v>
      </c>
    </row>
    <row r="1429" spans="2:11">
      <c r="B1429" s="43">
        <v>45501</v>
      </c>
      <c r="C1429" s="32" t="s">
        <v>29</v>
      </c>
      <c r="D1429" s="32" t="s">
        <v>134</v>
      </c>
      <c r="E1429" s="36">
        <f t="shared" ref="E1429:E1492" si="113">K1428</f>
        <v>21893314.745738987</v>
      </c>
      <c r="F1429" s="36">
        <v>0</v>
      </c>
      <c r="G1429" s="58">
        <v>-2626</v>
      </c>
      <c r="H1429" s="35">
        <f t="shared" ref="H1429:H1492" si="114">SUM(F1429:G1429)</f>
        <v>-2626</v>
      </c>
      <c r="I1429" s="35">
        <f t="shared" si="111"/>
        <v>0</v>
      </c>
      <c r="J1429" s="35">
        <f t="shared" si="112"/>
        <v>1187.8271592622807</v>
      </c>
      <c r="K1429" s="45">
        <f t="shared" si="110"/>
        <v>21889500.918579724</v>
      </c>
    </row>
    <row r="1430" spans="2:11">
      <c r="B1430" s="43">
        <v>45502</v>
      </c>
      <c r="C1430" s="32" t="s">
        <v>25</v>
      </c>
      <c r="D1430" s="32" t="s">
        <v>132</v>
      </c>
      <c r="E1430" s="36">
        <f t="shared" si="113"/>
        <v>21889500.918579724</v>
      </c>
      <c r="F1430" s="36">
        <v>14102.98</v>
      </c>
      <c r="G1430" s="58">
        <v>0</v>
      </c>
      <c r="H1430" s="35">
        <f t="shared" si="114"/>
        <v>14102.98</v>
      </c>
      <c r="I1430" s="35">
        <f t="shared" si="111"/>
        <v>0</v>
      </c>
      <c r="J1430" s="35">
        <f t="shared" si="112"/>
        <v>2375.2404782693861</v>
      </c>
      <c r="K1430" s="45">
        <f t="shared" si="110"/>
        <v>21901228.658101454</v>
      </c>
    </row>
    <row r="1431" spans="2:11">
      <c r="B1431" s="43">
        <v>45502</v>
      </c>
      <c r="C1431" s="32" t="s">
        <v>25</v>
      </c>
      <c r="D1431" s="32" t="s">
        <v>132</v>
      </c>
      <c r="E1431" s="36">
        <f t="shared" si="113"/>
        <v>21901228.658101454</v>
      </c>
      <c r="F1431" s="36">
        <v>15751.48</v>
      </c>
      <c r="G1431" s="58">
        <v>0</v>
      </c>
      <c r="H1431" s="35">
        <f t="shared" si="114"/>
        <v>15751.48</v>
      </c>
      <c r="I1431" s="35">
        <f t="shared" si="111"/>
        <v>0</v>
      </c>
      <c r="J1431" s="35">
        <f t="shared" si="112"/>
        <v>1188.2565305178139</v>
      </c>
      <c r="K1431" s="45">
        <f t="shared" si="110"/>
        <v>21915791.881570935</v>
      </c>
    </row>
    <row r="1432" spans="2:11">
      <c r="B1432" s="43">
        <v>45502</v>
      </c>
      <c r="C1432" s="32" t="s">
        <v>25</v>
      </c>
      <c r="D1432" s="32" t="s">
        <v>132</v>
      </c>
      <c r="E1432" s="36">
        <f t="shared" si="113"/>
        <v>21915791.881570935</v>
      </c>
      <c r="F1432" s="36">
        <v>13451.87</v>
      </c>
      <c r="G1432" s="58">
        <v>0</v>
      </c>
      <c r="H1432" s="35">
        <f t="shared" si="114"/>
        <v>13451.87</v>
      </c>
      <c r="I1432" s="35">
        <f t="shared" si="111"/>
        <v>0</v>
      </c>
      <c r="J1432" s="35">
        <f t="shared" si="112"/>
        <v>1189.0466617777147</v>
      </c>
      <c r="K1432" s="45">
        <f t="shared" si="110"/>
        <v>21928054.704909157</v>
      </c>
    </row>
    <row r="1433" spans="2:11">
      <c r="B1433" s="43">
        <v>45502</v>
      </c>
      <c r="C1433" s="32" t="s">
        <v>27</v>
      </c>
      <c r="D1433" s="32" t="s">
        <v>132</v>
      </c>
      <c r="E1433" s="36">
        <f t="shared" si="113"/>
        <v>21928054.704909157</v>
      </c>
      <c r="F1433" s="36">
        <v>20643.47</v>
      </c>
      <c r="G1433" s="58">
        <v>0</v>
      </c>
      <c r="H1433" s="35">
        <f t="shared" si="114"/>
        <v>20643.47</v>
      </c>
      <c r="I1433" s="35">
        <f t="shared" si="111"/>
        <v>0</v>
      </c>
      <c r="J1433" s="35">
        <f t="shared" si="112"/>
        <v>1189.7119842644895</v>
      </c>
      <c r="K1433" s="45">
        <f t="shared" si="110"/>
        <v>21947508.46292489</v>
      </c>
    </row>
    <row r="1434" spans="2:11">
      <c r="B1434" s="43">
        <v>45502</v>
      </c>
      <c r="C1434" s="32" t="s">
        <v>25</v>
      </c>
      <c r="D1434" s="32" t="s">
        <v>132</v>
      </c>
      <c r="E1434" s="36">
        <f t="shared" si="113"/>
        <v>21947508.46292489</v>
      </c>
      <c r="F1434" s="36">
        <v>12815.99</v>
      </c>
      <c r="G1434" s="58">
        <v>0</v>
      </c>
      <c r="H1434" s="35">
        <f t="shared" si="114"/>
        <v>12815.99</v>
      </c>
      <c r="I1434" s="35">
        <f t="shared" si="111"/>
        <v>0</v>
      </c>
      <c r="J1434" s="35">
        <f t="shared" si="112"/>
        <v>1190.7674526752426</v>
      </c>
      <c r="K1434" s="45">
        <f t="shared" si="110"/>
        <v>21959133.685472213</v>
      </c>
    </row>
    <row r="1435" spans="2:11">
      <c r="B1435" s="43">
        <v>45502</v>
      </c>
      <c r="C1435" s="32" t="s">
        <v>29</v>
      </c>
      <c r="D1435" s="32" t="s">
        <v>134</v>
      </c>
      <c r="E1435" s="36">
        <f t="shared" si="113"/>
        <v>21959133.685472213</v>
      </c>
      <c r="F1435" s="36">
        <v>0</v>
      </c>
      <c r="G1435" s="58">
        <v>-13682.02</v>
      </c>
      <c r="H1435" s="35">
        <f t="shared" si="114"/>
        <v>-13682.02</v>
      </c>
      <c r="I1435" s="35">
        <f t="shared" si="111"/>
        <v>0</v>
      </c>
      <c r="J1435" s="35">
        <f t="shared" si="112"/>
        <v>1191.3981819747821</v>
      </c>
      <c r="K1435" s="45">
        <f t="shared" si="110"/>
        <v>21944260.267290238</v>
      </c>
    </row>
    <row r="1436" spans="2:11">
      <c r="B1436" s="43">
        <v>45502</v>
      </c>
      <c r="C1436" s="32" t="s">
        <v>25</v>
      </c>
      <c r="D1436" s="32" t="s">
        <v>134</v>
      </c>
      <c r="E1436" s="36">
        <f t="shared" si="113"/>
        <v>21944260.267290238</v>
      </c>
      <c r="F1436" s="36">
        <v>0</v>
      </c>
      <c r="G1436" s="58">
        <v>-11127.29</v>
      </c>
      <c r="H1436" s="35">
        <f t="shared" si="114"/>
        <v>-11127.29</v>
      </c>
      <c r="I1436" s="35">
        <f t="shared" si="111"/>
        <v>0</v>
      </c>
      <c r="J1436" s="35">
        <f t="shared" si="112"/>
        <v>1190.5912210247025</v>
      </c>
      <c r="K1436" s="45">
        <f t="shared" si="110"/>
        <v>21931942.386069216</v>
      </c>
    </row>
    <row r="1437" spans="2:11">
      <c r="B1437" s="43">
        <v>45502</v>
      </c>
      <c r="C1437" s="32" t="s">
        <v>27</v>
      </c>
      <c r="D1437" s="32" t="s">
        <v>134</v>
      </c>
      <c r="E1437" s="36">
        <f t="shared" si="113"/>
        <v>21931942.386069216</v>
      </c>
      <c r="F1437" s="36">
        <v>0</v>
      </c>
      <c r="G1437" s="58">
        <v>-12529</v>
      </c>
      <c r="H1437" s="35">
        <f t="shared" si="114"/>
        <v>-12529</v>
      </c>
      <c r="I1437" s="35">
        <f t="shared" si="111"/>
        <v>0</v>
      </c>
      <c r="J1437" s="35">
        <f t="shared" si="112"/>
        <v>1189.9229113589975</v>
      </c>
      <c r="K1437" s="45">
        <f t="shared" si="110"/>
        <v>21918223.463157855</v>
      </c>
    </row>
    <row r="1438" spans="2:11">
      <c r="B1438" s="43">
        <v>45502</v>
      </c>
      <c r="C1438" s="32" t="s">
        <v>25</v>
      </c>
      <c r="D1438" s="32" t="s">
        <v>134</v>
      </c>
      <c r="E1438" s="36">
        <f t="shared" si="113"/>
        <v>21918223.463157855</v>
      </c>
      <c r="F1438" s="36">
        <v>0</v>
      </c>
      <c r="G1438" s="58">
        <v>-3694</v>
      </c>
      <c r="H1438" s="35">
        <f t="shared" si="114"/>
        <v>-3694</v>
      </c>
      <c r="I1438" s="35">
        <f t="shared" si="111"/>
        <v>0</v>
      </c>
      <c r="J1438" s="35">
        <f t="shared" si="112"/>
        <v>1189.1785878328803</v>
      </c>
      <c r="K1438" s="45">
        <f t="shared" si="110"/>
        <v>21913340.284570023</v>
      </c>
    </row>
    <row r="1439" spans="2:11">
      <c r="B1439" s="43">
        <v>45502</v>
      </c>
      <c r="C1439" s="32" t="s">
        <v>25</v>
      </c>
      <c r="D1439" s="32" t="s">
        <v>134</v>
      </c>
      <c r="E1439" s="36">
        <f t="shared" si="113"/>
        <v>21913340.284570023</v>
      </c>
      <c r="F1439" s="36">
        <v>0</v>
      </c>
      <c r="G1439" s="58">
        <v>-6554</v>
      </c>
      <c r="H1439" s="35">
        <f t="shared" si="114"/>
        <v>-6554</v>
      </c>
      <c r="I1439" s="35">
        <f t="shared" si="111"/>
        <v>0</v>
      </c>
      <c r="J1439" s="35">
        <f t="shared" si="112"/>
        <v>1188.9136497813556</v>
      </c>
      <c r="K1439" s="45">
        <f t="shared" si="110"/>
        <v>21905597.370920241</v>
      </c>
    </row>
    <row r="1440" spans="2:11">
      <c r="B1440" s="43">
        <v>45502</v>
      </c>
      <c r="C1440" s="32" t="s">
        <v>29</v>
      </c>
      <c r="D1440" s="32" t="s">
        <v>134</v>
      </c>
      <c r="E1440" s="36">
        <f t="shared" si="113"/>
        <v>21905597.370920241</v>
      </c>
      <c r="F1440" s="36">
        <v>0</v>
      </c>
      <c r="G1440" s="58">
        <v>-6266</v>
      </c>
      <c r="H1440" s="35">
        <f t="shared" si="114"/>
        <v>-6266</v>
      </c>
      <c r="I1440" s="35">
        <f t="shared" si="111"/>
        <v>0</v>
      </c>
      <c r="J1440" s="35">
        <f t="shared" si="112"/>
        <v>1188.4935561029042</v>
      </c>
      <c r="K1440" s="45">
        <f t="shared" si="110"/>
        <v>21898142.877364136</v>
      </c>
    </row>
    <row r="1441" spans="2:11">
      <c r="B1441" s="43">
        <v>45502</v>
      </c>
      <c r="C1441" s="32" t="s">
        <v>29</v>
      </c>
      <c r="D1441" s="32" t="s">
        <v>134</v>
      </c>
      <c r="E1441" s="36">
        <f t="shared" si="113"/>
        <v>21898142.877364136</v>
      </c>
      <c r="F1441" s="36">
        <v>0</v>
      </c>
      <c r="G1441" s="58">
        <v>-3088</v>
      </c>
      <c r="H1441" s="35">
        <f t="shared" si="114"/>
        <v>-3088</v>
      </c>
      <c r="I1441" s="35">
        <f t="shared" si="111"/>
        <v>0</v>
      </c>
      <c r="J1441" s="35">
        <f t="shared" si="112"/>
        <v>1188.089110727349</v>
      </c>
      <c r="K1441" s="45">
        <f t="shared" si="110"/>
        <v>21893866.788253408</v>
      </c>
    </row>
    <row r="1442" spans="2:11">
      <c r="B1442" s="43">
        <v>45503</v>
      </c>
      <c r="C1442" s="32" t="s">
        <v>25</v>
      </c>
      <c r="D1442" s="32" t="s">
        <v>132</v>
      </c>
      <c r="E1442" s="36">
        <f t="shared" si="113"/>
        <v>21893866.788253408</v>
      </c>
      <c r="F1442" s="36">
        <v>16888.89</v>
      </c>
      <c r="G1442" s="58">
        <v>0</v>
      </c>
      <c r="H1442" s="35">
        <f t="shared" si="114"/>
        <v>16888.89</v>
      </c>
      <c r="I1442" s="35">
        <f t="shared" si="111"/>
        <v>0</v>
      </c>
      <c r="J1442" s="35">
        <f t="shared" si="112"/>
        <v>2375.7142209284975</v>
      </c>
      <c r="K1442" s="45">
        <f t="shared" si="110"/>
        <v>21908379.964032479</v>
      </c>
    </row>
    <row r="1443" spans="2:11">
      <c r="B1443" s="43">
        <v>45503</v>
      </c>
      <c r="C1443" s="32" t="s">
        <v>25</v>
      </c>
      <c r="D1443" s="32" t="s">
        <v>132</v>
      </c>
      <c r="E1443" s="36">
        <f t="shared" si="113"/>
        <v>21908379.964032479</v>
      </c>
      <c r="F1443" s="36">
        <v>14124.57</v>
      </c>
      <c r="G1443" s="58">
        <v>0</v>
      </c>
      <c r="H1443" s="35">
        <f t="shared" si="114"/>
        <v>14124.57</v>
      </c>
      <c r="I1443" s="35">
        <f t="shared" si="111"/>
        <v>0</v>
      </c>
      <c r="J1443" s="35">
        <f t="shared" si="112"/>
        <v>1188.6445263744358</v>
      </c>
      <c r="K1443" s="45">
        <f t="shared" si="110"/>
        <v>21921315.889506105</v>
      </c>
    </row>
    <row r="1444" spans="2:11">
      <c r="B1444" s="43">
        <v>45503</v>
      </c>
      <c r="C1444" s="32" t="s">
        <v>27</v>
      </c>
      <c r="D1444" s="32" t="s">
        <v>134</v>
      </c>
      <c r="E1444" s="36">
        <f t="shared" si="113"/>
        <v>21921315.889506105</v>
      </c>
      <c r="F1444" s="36">
        <v>0</v>
      </c>
      <c r="G1444" s="58">
        <v>-13050.34</v>
      </c>
      <c r="H1444" s="35">
        <f t="shared" si="114"/>
        <v>-13050.34</v>
      </c>
      <c r="I1444" s="35">
        <f t="shared" si="111"/>
        <v>0</v>
      </c>
      <c r="J1444" s="35">
        <f t="shared" si="112"/>
        <v>1189.3463681825958</v>
      </c>
      <c r="K1444" s="45">
        <f t="shared" si="110"/>
        <v>21907076.203137923</v>
      </c>
    </row>
    <row r="1445" spans="2:11">
      <c r="B1445" s="43">
        <v>45503</v>
      </c>
      <c r="C1445" s="32" t="s">
        <v>25</v>
      </c>
      <c r="D1445" s="32" t="s">
        <v>134</v>
      </c>
      <c r="E1445" s="36">
        <f t="shared" si="113"/>
        <v>21907076.203137923</v>
      </c>
      <c r="F1445" s="36">
        <v>0</v>
      </c>
      <c r="G1445" s="58">
        <v>-2411</v>
      </c>
      <c r="H1445" s="35">
        <f t="shared" si="114"/>
        <v>-2411</v>
      </c>
      <c r="I1445" s="35">
        <f t="shared" si="111"/>
        <v>0</v>
      </c>
      <c r="J1445" s="35">
        <f t="shared" si="112"/>
        <v>1188.5737905074498</v>
      </c>
      <c r="K1445" s="45">
        <f t="shared" si="110"/>
        <v>21903476.629347414</v>
      </c>
    </row>
    <row r="1446" spans="2:11">
      <c r="B1446" s="43">
        <v>45503</v>
      </c>
      <c r="C1446" s="32" t="s">
        <v>27</v>
      </c>
      <c r="D1446" s="32" t="s">
        <v>134</v>
      </c>
      <c r="E1446" s="36">
        <f t="shared" si="113"/>
        <v>21903476.629347414</v>
      </c>
      <c r="F1446" s="36">
        <v>0</v>
      </c>
      <c r="G1446" s="58">
        <v>-14074</v>
      </c>
      <c r="H1446" s="35">
        <f t="shared" si="114"/>
        <v>-14074</v>
      </c>
      <c r="I1446" s="35">
        <f t="shared" si="111"/>
        <v>0</v>
      </c>
      <c r="J1446" s="35">
        <f t="shared" si="112"/>
        <v>1188.3784947489139</v>
      </c>
      <c r="K1446" s="45">
        <f t="shared" si="110"/>
        <v>21888214.250852663</v>
      </c>
    </row>
    <row r="1447" spans="2:11">
      <c r="B1447" s="43">
        <v>45504</v>
      </c>
      <c r="C1447" s="32" t="s">
        <v>25</v>
      </c>
      <c r="D1447" s="32" t="s">
        <v>132</v>
      </c>
      <c r="E1447" s="36">
        <f t="shared" si="113"/>
        <v>21888214.250852663</v>
      </c>
      <c r="F1447" s="36">
        <v>17466.18</v>
      </c>
      <c r="G1447" s="58">
        <v>0</v>
      </c>
      <c r="H1447" s="35">
        <f t="shared" si="114"/>
        <v>17466.18</v>
      </c>
      <c r="I1447" s="35">
        <f t="shared" si="111"/>
        <v>0</v>
      </c>
      <c r="J1447" s="35">
        <f t="shared" si="112"/>
        <v>2375.1008613234007</v>
      </c>
      <c r="K1447" s="45">
        <f t="shared" si="110"/>
        <v>21903305.329991341</v>
      </c>
    </row>
    <row r="1448" spans="2:11">
      <c r="B1448" s="43">
        <v>45504</v>
      </c>
      <c r="C1448" s="32" t="s">
        <v>25</v>
      </c>
      <c r="D1448" s="32" t="s">
        <v>132</v>
      </c>
      <c r="E1448" s="36">
        <f t="shared" si="113"/>
        <v>21903305.329991341</v>
      </c>
      <c r="F1448" s="36">
        <v>18161.41</v>
      </c>
      <c r="G1448" s="58">
        <v>0</v>
      </c>
      <c r="H1448" s="35">
        <f t="shared" si="114"/>
        <v>18161.41</v>
      </c>
      <c r="I1448" s="35">
        <f t="shared" si="111"/>
        <v>0</v>
      </c>
      <c r="J1448" s="35">
        <f t="shared" si="112"/>
        <v>1188.3692008603514</v>
      </c>
      <c r="K1448" s="45">
        <f t="shared" si="110"/>
        <v>21920278.370790482</v>
      </c>
    </row>
    <row r="1449" spans="2:11">
      <c r="B1449" s="43">
        <v>45504</v>
      </c>
      <c r="C1449" s="32" t="s">
        <v>25</v>
      </c>
      <c r="D1449" s="32" t="s">
        <v>132</v>
      </c>
      <c r="E1449" s="36">
        <f t="shared" si="113"/>
        <v>21920278.370790482</v>
      </c>
      <c r="F1449" s="36">
        <v>13319.46</v>
      </c>
      <c r="G1449" s="58">
        <v>0</v>
      </c>
      <c r="H1449" s="35">
        <f t="shared" si="114"/>
        <v>13319.46</v>
      </c>
      <c r="I1449" s="35">
        <f t="shared" si="111"/>
        <v>0</v>
      </c>
      <c r="J1449" s="35">
        <f t="shared" si="112"/>
        <v>1189.2900773503043</v>
      </c>
      <c r="K1449" s="45">
        <f t="shared" si="110"/>
        <v>21932408.540713131</v>
      </c>
    </row>
    <row r="1450" spans="2:11">
      <c r="B1450" s="43">
        <v>45504</v>
      </c>
      <c r="C1450" s="32" t="s">
        <v>25</v>
      </c>
      <c r="D1450" s="32" t="s">
        <v>132</v>
      </c>
      <c r="E1450" s="36">
        <f t="shared" si="113"/>
        <v>21932408.540713131</v>
      </c>
      <c r="F1450" s="36">
        <v>17254.16</v>
      </c>
      <c r="G1450" s="58">
        <v>0</v>
      </c>
      <c r="H1450" s="35">
        <f t="shared" si="114"/>
        <v>17254.16</v>
      </c>
      <c r="I1450" s="35">
        <f t="shared" si="111"/>
        <v>0</v>
      </c>
      <c r="J1450" s="35">
        <f t="shared" si="112"/>
        <v>1189.9482026934934</v>
      </c>
      <c r="K1450" s="45">
        <f t="shared" si="110"/>
        <v>21948472.75251044</v>
      </c>
    </row>
    <row r="1451" spans="2:11">
      <c r="B1451" s="43">
        <v>45504</v>
      </c>
      <c r="C1451" s="32" t="s">
        <v>29</v>
      </c>
      <c r="D1451" s="32" t="s">
        <v>132</v>
      </c>
      <c r="E1451" s="36">
        <f t="shared" si="113"/>
        <v>21948472.75251044</v>
      </c>
      <c r="F1451" s="36">
        <v>13165.45</v>
      </c>
      <c r="G1451" s="58">
        <v>0</v>
      </c>
      <c r="H1451" s="35">
        <f t="shared" si="114"/>
        <v>13165.45</v>
      </c>
      <c r="I1451" s="35">
        <f t="shared" si="111"/>
        <v>0</v>
      </c>
      <c r="J1451" s="35">
        <f t="shared" si="112"/>
        <v>1190.8197704431279</v>
      </c>
      <c r="K1451" s="45">
        <f t="shared" si="110"/>
        <v>21960447.382739995</v>
      </c>
    </row>
    <row r="1452" spans="2:11">
      <c r="B1452" s="43">
        <v>45504</v>
      </c>
      <c r="C1452" s="32" t="s">
        <v>25</v>
      </c>
      <c r="D1452" s="32" t="s">
        <v>132</v>
      </c>
      <c r="E1452" s="36">
        <f t="shared" si="113"/>
        <v>21960447.382739995</v>
      </c>
      <c r="F1452" s="36">
        <v>16180.46</v>
      </c>
      <c r="G1452" s="58">
        <v>0</v>
      </c>
      <c r="H1452" s="35">
        <f t="shared" si="114"/>
        <v>16180.46</v>
      </c>
      <c r="I1452" s="35">
        <f t="shared" si="111"/>
        <v>0</v>
      </c>
      <c r="J1452" s="35">
        <f t="shared" si="112"/>
        <v>1191.4694569421335</v>
      </c>
      <c r="K1452" s="45">
        <f t="shared" si="110"/>
        <v>21975436.373283055</v>
      </c>
    </row>
    <row r="1453" spans="2:11">
      <c r="B1453" s="43">
        <v>45504</v>
      </c>
      <c r="C1453" s="32" t="s">
        <v>29</v>
      </c>
      <c r="D1453" s="32" t="s">
        <v>132</v>
      </c>
      <c r="E1453" s="36">
        <f t="shared" si="113"/>
        <v>21975436.373283055</v>
      </c>
      <c r="F1453" s="36">
        <v>21168.62</v>
      </c>
      <c r="G1453" s="58">
        <v>0</v>
      </c>
      <c r="H1453" s="35">
        <f t="shared" si="114"/>
        <v>21168.62</v>
      </c>
      <c r="I1453" s="35">
        <f t="shared" si="111"/>
        <v>0</v>
      </c>
      <c r="J1453" s="35">
        <f t="shared" si="112"/>
        <v>1192.2826882989996</v>
      </c>
      <c r="K1453" s="45">
        <f t="shared" si="110"/>
        <v>21995412.710594758</v>
      </c>
    </row>
    <row r="1454" spans="2:11">
      <c r="B1454" s="43">
        <v>45504</v>
      </c>
      <c r="C1454" s="32" t="s">
        <v>25</v>
      </c>
      <c r="D1454" s="32" t="s">
        <v>134</v>
      </c>
      <c r="E1454" s="36">
        <f t="shared" si="113"/>
        <v>21995412.710594758</v>
      </c>
      <c r="F1454" s="36">
        <v>0</v>
      </c>
      <c r="G1454" s="58">
        <v>-16243</v>
      </c>
      <c r="H1454" s="35">
        <f t="shared" si="114"/>
        <v>-16243</v>
      </c>
      <c r="I1454" s="35">
        <f t="shared" si="111"/>
        <v>0</v>
      </c>
      <c r="J1454" s="35">
        <f t="shared" si="112"/>
        <v>1193.3665093775801</v>
      </c>
      <c r="K1454" s="45">
        <f t="shared" si="110"/>
        <v>21977976.34408538</v>
      </c>
    </row>
    <row r="1455" spans="2:11">
      <c r="B1455" s="43">
        <v>45504</v>
      </c>
      <c r="C1455" s="32" t="s">
        <v>27</v>
      </c>
      <c r="D1455" s="32" t="s">
        <v>134</v>
      </c>
      <c r="E1455" s="36">
        <f t="shared" si="113"/>
        <v>21977976.34408538</v>
      </c>
      <c r="F1455" s="36">
        <v>0</v>
      </c>
      <c r="G1455" s="58">
        <v>-9741</v>
      </c>
      <c r="H1455" s="35">
        <f t="shared" si="114"/>
        <v>-9741</v>
      </c>
      <c r="I1455" s="35">
        <f t="shared" si="111"/>
        <v>0</v>
      </c>
      <c r="J1455" s="35">
        <f t="shared" si="112"/>
        <v>1192.4204950376218</v>
      </c>
      <c r="K1455" s="45">
        <f t="shared" si="110"/>
        <v>21967042.923590343</v>
      </c>
    </row>
    <row r="1456" spans="2:11">
      <c r="B1456" s="43">
        <v>45504</v>
      </c>
      <c r="C1456" s="32" t="s">
        <v>27</v>
      </c>
      <c r="D1456" s="32" t="s">
        <v>134</v>
      </c>
      <c r="E1456" s="36">
        <f t="shared" si="113"/>
        <v>21967042.923590343</v>
      </c>
      <c r="F1456" s="36">
        <v>0</v>
      </c>
      <c r="G1456" s="58">
        <v>-12732</v>
      </c>
      <c r="H1456" s="35">
        <f t="shared" si="114"/>
        <v>-12732</v>
      </c>
      <c r="I1456" s="35">
        <f t="shared" si="111"/>
        <v>0</v>
      </c>
      <c r="J1456" s="35">
        <f t="shared" si="112"/>
        <v>1191.8272996280427</v>
      </c>
      <c r="K1456" s="45">
        <f t="shared" si="110"/>
        <v>21953119.096290715</v>
      </c>
    </row>
    <row r="1457" spans="2:11">
      <c r="B1457" s="43">
        <v>45504</v>
      </c>
      <c r="C1457" s="32" t="s">
        <v>25</v>
      </c>
      <c r="D1457" s="32" t="s">
        <v>134</v>
      </c>
      <c r="E1457" s="36">
        <f t="shared" si="113"/>
        <v>21953119.096290715</v>
      </c>
      <c r="F1457" s="36">
        <v>0</v>
      </c>
      <c r="G1457" s="58">
        <v>-1510</v>
      </c>
      <c r="H1457" s="35">
        <f t="shared" si="114"/>
        <v>-1510</v>
      </c>
      <c r="I1457" s="35">
        <f t="shared" si="111"/>
        <v>0</v>
      </c>
      <c r="J1457" s="35">
        <f t="shared" si="112"/>
        <v>1191.0718589641024</v>
      </c>
      <c r="K1457" s="45">
        <f t="shared" si="110"/>
        <v>21950418.02443175</v>
      </c>
    </row>
    <row r="1458" spans="2:11">
      <c r="B1458" s="43">
        <v>45505</v>
      </c>
      <c r="C1458" s="32" t="s">
        <v>25</v>
      </c>
      <c r="D1458" s="32" t="s">
        <v>132</v>
      </c>
      <c r="E1458" s="36">
        <f t="shared" si="113"/>
        <v>21950418.02443175</v>
      </c>
      <c r="F1458" s="36">
        <v>11926.84</v>
      </c>
      <c r="G1458" s="58">
        <v>0</v>
      </c>
      <c r="H1458" s="35">
        <f t="shared" si="114"/>
        <v>11926.84</v>
      </c>
      <c r="I1458" s="35">
        <f t="shared" si="111"/>
        <v>0</v>
      </c>
      <c r="J1458" s="35">
        <f t="shared" si="112"/>
        <v>2381.8506232963082</v>
      </c>
      <c r="K1458" s="45">
        <f t="shared" si="110"/>
        <v>21959963.013808455</v>
      </c>
    </row>
    <row r="1459" spans="2:11">
      <c r="B1459" s="43">
        <v>45505</v>
      </c>
      <c r="C1459" s="32" t="s">
        <v>29</v>
      </c>
      <c r="D1459" s="32" t="s">
        <v>132</v>
      </c>
      <c r="E1459" s="36">
        <f t="shared" si="113"/>
        <v>21959963.013808455</v>
      </c>
      <c r="F1459" s="36">
        <v>20393.060000000001</v>
      </c>
      <c r="G1459" s="58">
        <v>0</v>
      </c>
      <c r="H1459" s="35">
        <f t="shared" si="114"/>
        <v>20393.060000000001</v>
      </c>
      <c r="I1459" s="35">
        <f t="shared" si="111"/>
        <v>0</v>
      </c>
      <c r="J1459" s="35">
        <f t="shared" si="112"/>
        <v>1191.4431773869969</v>
      </c>
      <c r="K1459" s="45">
        <f t="shared" si="110"/>
        <v>21979164.630631067</v>
      </c>
    </row>
    <row r="1460" spans="2:11">
      <c r="B1460" s="43">
        <v>45505</v>
      </c>
      <c r="C1460" s="32" t="s">
        <v>25</v>
      </c>
      <c r="D1460" s="32" t="s">
        <v>132</v>
      </c>
      <c r="E1460" s="36">
        <f t="shared" si="113"/>
        <v>21979164.630631067</v>
      </c>
      <c r="F1460" s="36">
        <v>9073.6</v>
      </c>
      <c r="G1460" s="58">
        <v>0</v>
      </c>
      <c r="H1460" s="35">
        <f t="shared" si="114"/>
        <v>9073.6</v>
      </c>
      <c r="I1460" s="35">
        <f t="shared" si="111"/>
        <v>0</v>
      </c>
      <c r="J1460" s="35">
        <f t="shared" si="112"/>
        <v>1192.4849658154981</v>
      </c>
      <c r="K1460" s="45">
        <f t="shared" si="110"/>
        <v>21987045.745665252</v>
      </c>
    </row>
    <row r="1461" spans="2:11">
      <c r="B1461" s="43">
        <v>45506</v>
      </c>
      <c r="C1461" s="32" t="s">
        <v>29</v>
      </c>
      <c r="D1461" s="32" t="s">
        <v>132</v>
      </c>
      <c r="E1461" s="36">
        <f t="shared" si="113"/>
        <v>21987045.745665252</v>
      </c>
      <c r="F1461" s="36">
        <v>10216.719999999999</v>
      </c>
      <c r="G1461" s="58">
        <v>0</v>
      </c>
      <c r="H1461" s="35">
        <f t="shared" si="114"/>
        <v>10216.719999999999</v>
      </c>
      <c r="I1461" s="35">
        <f t="shared" si="111"/>
        <v>0</v>
      </c>
      <c r="J1461" s="35">
        <f t="shared" si="112"/>
        <v>2385.8251152878884</v>
      </c>
      <c r="K1461" s="45">
        <f t="shared" si="110"/>
        <v>21994876.640549961</v>
      </c>
    </row>
    <row r="1462" spans="2:11">
      <c r="B1462" s="43">
        <v>45506</v>
      </c>
      <c r="C1462" s="32" t="s">
        <v>29</v>
      </c>
      <c r="D1462" s="32" t="s">
        <v>132</v>
      </c>
      <c r="E1462" s="36">
        <f t="shared" si="113"/>
        <v>21994876.640549961</v>
      </c>
      <c r="F1462" s="36">
        <v>18431.259999999998</v>
      </c>
      <c r="G1462" s="58">
        <v>0</v>
      </c>
      <c r="H1462" s="35">
        <f t="shared" si="114"/>
        <v>18431.259999999998</v>
      </c>
      <c r="I1462" s="35">
        <f t="shared" si="111"/>
        <v>0</v>
      </c>
      <c r="J1462" s="35">
        <f t="shared" si="112"/>
        <v>1193.3374247658676</v>
      </c>
      <c r="K1462" s="45">
        <f t="shared" si="110"/>
        <v>22012114.563125197</v>
      </c>
    </row>
    <row r="1463" spans="2:11">
      <c r="B1463" s="43">
        <v>45506</v>
      </c>
      <c r="C1463" s="32" t="s">
        <v>25</v>
      </c>
      <c r="D1463" s="32" t="s">
        <v>132</v>
      </c>
      <c r="E1463" s="36">
        <f t="shared" si="113"/>
        <v>22012114.563125197</v>
      </c>
      <c r="F1463" s="36">
        <v>18447.82</v>
      </c>
      <c r="G1463" s="58">
        <v>0</v>
      </c>
      <c r="H1463" s="35">
        <f t="shared" si="114"/>
        <v>18447.82</v>
      </c>
      <c r="I1463" s="35">
        <f t="shared" si="111"/>
        <v>0</v>
      </c>
      <c r="J1463" s="35">
        <f t="shared" si="112"/>
        <v>1194.2726724815252</v>
      </c>
      <c r="K1463" s="45">
        <f t="shared" si="110"/>
        <v>22029368.110452715</v>
      </c>
    </row>
    <row r="1464" spans="2:11">
      <c r="B1464" s="43">
        <v>45506</v>
      </c>
      <c r="C1464" s="32" t="s">
        <v>25</v>
      </c>
      <c r="D1464" s="32" t="s">
        <v>132</v>
      </c>
      <c r="E1464" s="36">
        <f t="shared" si="113"/>
        <v>22029368.110452715</v>
      </c>
      <c r="F1464" s="36">
        <v>21230.240000000002</v>
      </c>
      <c r="G1464" s="58">
        <v>0</v>
      </c>
      <c r="H1464" s="35">
        <f t="shared" si="114"/>
        <v>21230.240000000002</v>
      </c>
      <c r="I1464" s="35">
        <f t="shared" si="111"/>
        <v>0</v>
      </c>
      <c r="J1464" s="35">
        <f t="shared" si="112"/>
        <v>1195.2087679219487</v>
      </c>
      <c r="K1464" s="45">
        <f t="shared" si="110"/>
        <v>22049403.141684793</v>
      </c>
    </row>
    <row r="1465" spans="2:11">
      <c r="B1465" s="43">
        <v>45506</v>
      </c>
      <c r="C1465" s="32" t="s">
        <v>25</v>
      </c>
      <c r="D1465" s="32" t="s">
        <v>134</v>
      </c>
      <c r="E1465" s="36">
        <f t="shared" si="113"/>
        <v>22049403.141684793</v>
      </c>
      <c r="F1465" s="36">
        <v>0</v>
      </c>
      <c r="G1465" s="58">
        <v>-10792.89</v>
      </c>
      <c r="H1465" s="35">
        <f t="shared" si="114"/>
        <v>-10792.89</v>
      </c>
      <c r="I1465" s="35">
        <f t="shared" si="111"/>
        <v>0</v>
      </c>
      <c r="J1465" s="35">
        <f t="shared" si="112"/>
        <v>1196.2957734535694</v>
      </c>
      <c r="K1465" s="45">
        <f t="shared" si="110"/>
        <v>22037413.955911338</v>
      </c>
    </row>
    <row r="1466" spans="2:11">
      <c r="B1466" s="43">
        <v>45506</v>
      </c>
      <c r="C1466" s="32" t="s">
        <v>27</v>
      </c>
      <c r="D1466" s="32" t="s">
        <v>134</v>
      </c>
      <c r="E1466" s="36">
        <f t="shared" si="113"/>
        <v>22037413.955911338</v>
      </c>
      <c r="F1466" s="36">
        <v>0</v>
      </c>
      <c r="G1466" s="58">
        <v>-20039</v>
      </c>
      <c r="H1466" s="35">
        <f t="shared" si="114"/>
        <v>-20039</v>
      </c>
      <c r="I1466" s="35">
        <f t="shared" si="111"/>
        <v>0</v>
      </c>
      <c r="J1466" s="35">
        <f t="shared" si="112"/>
        <v>1195.6452972399607</v>
      </c>
      <c r="K1466" s="45">
        <f t="shared" si="110"/>
        <v>22016179.310614098</v>
      </c>
    </row>
    <row r="1467" spans="2:11">
      <c r="B1467" s="43">
        <v>45506</v>
      </c>
      <c r="C1467" s="32" t="s">
        <v>29</v>
      </c>
      <c r="D1467" s="32" t="s">
        <v>134</v>
      </c>
      <c r="E1467" s="36">
        <f t="shared" si="113"/>
        <v>22016179.310614098</v>
      </c>
      <c r="F1467" s="36">
        <v>0</v>
      </c>
      <c r="G1467" s="58">
        <v>-8199</v>
      </c>
      <c r="H1467" s="35">
        <f t="shared" si="114"/>
        <v>-8199</v>
      </c>
      <c r="I1467" s="35">
        <f t="shared" si="111"/>
        <v>0</v>
      </c>
      <c r="J1467" s="35">
        <f t="shared" si="112"/>
        <v>1194.4932063531173</v>
      </c>
      <c r="K1467" s="45">
        <f t="shared" si="110"/>
        <v>22006785.817407746</v>
      </c>
    </row>
    <row r="1468" spans="2:11">
      <c r="B1468" s="43">
        <v>45507</v>
      </c>
      <c r="C1468" s="32" t="s">
        <v>27</v>
      </c>
      <c r="D1468" s="32" t="s">
        <v>132</v>
      </c>
      <c r="E1468" s="36">
        <f t="shared" si="113"/>
        <v>22006785.817407746</v>
      </c>
      <c r="F1468" s="36">
        <v>15015.34</v>
      </c>
      <c r="G1468" s="58">
        <v>0</v>
      </c>
      <c r="H1468" s="35">
        <f t="shared" si="114"/>
        <v>15015.34</v>
      </c>
      <c r="I1468" s="35">
        <f t="shared" si="111"/>
        <v>0</v>
      </c>
      <c r="J1468" s="35">
        <f t="shared" si="112"/>
        <v>2387.9671201522806</v>
      </c>
      <c r="K1468" s="45">
        <f t="shared" si="110"/>
        <v>22019413.190287594</v>
      </c>
    </row>
    <row r="1469" spans="2:11">
      <c r="B1469" s="43">
        <v>45507</v>
      </c>
      <c r="C1469" s="32" t="s">
        <v>29</v>
      </c>
      <c r="D1469" s="32" t="s">
        <v>132</v>
      </c>
      <c r="E1469" s="36">
        <f t="shared" si="113"/>
        <v>22019413.190287594</v>
      </c>
      <c r="F1469" s="36">
        <v>20562.28</v>
      </c>
      <c r="G1469" s="58">
        <v>0</v>
      </c>
      <c r="H1469" s="35">
        <f t="shared" si="114"/>
        <v>20562.28</v>
      </c>
      <c r="I1469" s="35">
        <f t="shared" si="111"/>
        <v>0</v>
      </c>
      <c r="J1469" s="35">
        <f t="shared" si="112"/>
        <v>1194.6686612876749</v>
      </c>
      <c r="K1469" s="45">
        <f t="shared" si="110"/>
        <v>22038780.801626306</v>
      </c>
    </row>
    <row r="1470" spans="2:11">
      <c r="B1470" s="43">
        <v>45507</v>
      </c>
      <c r="C1470" s="32" t="s">
        <v>27</v>
      </c>
      <c r="D1470" s="32" t="s">
        <v>134</v>
      </c>
      <c r="E1470" s="36">
        <f t="shared" si="113"/>
        <v>22038780.801626306</v>
      </c>
      <c r="F1470" s="36">
        <v>0</v>
      </c>
      <c r="G1470" s="58">
        <v>-10379.02</v>
      </c>
      <c r="H1470" s="35">
        <f t="shared" si="114"/>
        <v>-10379.02</v>
      </c>
      <c r="I1470" s="35">
        <f t="shared" si="111"/>
        <v>0</v>
      </c>
      <c r="J1470" s="35">
        <f t="shared" si="112"/>
        <v>1195.7194557893451</v>
      </c>
      <c r="K1470" s="45">
        <f t="shared" si="110"/>
        <v>22027206.062170517</v>
      </c>
    </row>
    <row r="1471" spans="2:11">
      <c r="B1471" s="43">
        <v>45507</v>
      </c>
      <c r="C1471" s="32" t="s">
        <v>25</v>
      </c>
      <c r="D1471" s="32" t="s">
        <v>134</v>
      </c>
      <c r="E1471" s="36">
        <f t="shared" si="113"/>
        <v>22027206.062170517</v>
      </c>
      <c r="F1471" s="36">
        <v>0</v>
      </c>
      <c r="G1471" s="58">
        <v>-6412</v>
      </c>
      <c r="H1471" s="35">
        <f t="shared" si="114"/>
        <v>-6412</v>
      </c>
      <c r="I1471" s="35">
        <f t="shared" si="111"/>
        <v>0</v>
      </c>
      <c r="J1471" s="35">
        <f t="shared" si="112"/>
        <v>1195.0914654623141</v>
      </c>
      <c r="K1471" s="45">
        <f t="shared" si="110"/>
        <v>22019598.970705055</v>
      </c>
    </row>
    <row r="1472" spans="2:11">
      <c r="B1472" s="43">
        <v>45507</v>
      </c>
      <c r="C1472" s="32" t="s">
        <v>25</v>
      </c>
      <c r="D1472" s="32" t="s">
        <v>134</v>
      </c>
      <c r="E1472" s="36">
        <f t="shared" si="113"/>
        <v>22019598.970705055</v>
      </c>
      <c r="F1472" s="36">
        <v>0</v>
      </c>
      <c r="G1472" s="58">
        <v>-20324</v>
      </c>
      <c r="H1472" s="35">
        <f t="shared" si="114"/>
        <v>-20324</v>
      </c>
      <c r="I1472" s="35">
        <f t="shared" si="111"/>
        <v>0</v>
      </c>
      <c r="J1472" s="35">
        <f t="shared" si="112"/>
        <v>1194.6787408497732</v>
      </c>
      <c r="K1472" s="45">
        <f t="shared" si="110"/>
        <v>21998080.291964203</v>
      </c>
    </row>
    <row r="1473" spans="2:11">
      <c r="B1473" s="43">
        <v>45508</v>
      </c>
      <c r="C1473" s="32" t="s">
        <v>25</v>
      </c>
      <c r="D1473" s="32" t="s">
        <v>132</v>
      </c>
      <c r="E1473" s="36">
        <f t="shared" si="113"/>
        <v>21998080.291964203</v>
      </c>
      <c r="F1473" s="36">
        <v>19433.68</v>
      </c>
      <c r="G1473" s="58">
        <v>0</v>
      </c>
      <c r="H1473" s="35">
        <f t="shared" si="114"/>
        <v>19433.68</v>
      </c>
      <c r="I1473" s="35">
        <f t="shared" si="111"/>
        <v>0</v>
      </c>
      <c r="J1473" s="35">
        <f t="shared" si="112"/>
        <v>2387.0224793176167</v>
      </c>
      <c r="K1473" s="45">
        <f t="shared" si="110"/>
        <v>22015126.949484885</v>
      </c>
    </row>
    <row r="1474" spans="2:11">
      <c r="B1474" s="43">
        <v>45508</v>
      </c>
      <c r="C1474" s="32" t="s">
        <v>29</v>
      </c>
      <c r="D1474" s="32" t="s">
        <v>132</v>
      </c>
      <c r="E1474" s="36">
        <f t="shared" si="113"/>
        <v>22015126.949484885</v>
      </c>
      <c r="F1474" s="36">
        <v>9860.6</v>
      </c>
      <c r="G1474" s="58">
        <v>0</v>
      </c>
      <c r="H1474" s="35">
        <f t="shared" si="114"/>
        <v>9860.6</v>
      </c>
      <c r="I1474" s="35">
        <f t="shared" si="111"/>
        <v>0</v>
      </c>
      <c r="J1474" s="35">
        <f t="shared" si="112"/>
        <v>1194.4361102420373</v>
      </c>
      <c r="K1474" s="45">
        <f t="shared" si="110"/>
        <v>22023793.113374643</v>
      </c>
    </row>
    <row r="1475" spans="2:11">
      <c r="B1475" s="43">
        <v>45508</v>
      </c>
      <c r="C1475" s="32" t="s">
        <v>25</v>
      </c>
      <c r="D1475" s="32" t="s">
        <v>132</v>
      </c>
      <c r="E1475" s="36">
        <f t="shared" si="113"/>
        <v>22023793.113374643</v>
      </c>
      <c r="F1475" s="36">
        <v>19036.259999999998</v>
      </c>
      <c r="G1475" s="58">
        <v>0</v>
      </c>
      <c r="H1475" s="35">
        <f t="shared" si="114"/>
        <v>19036.259999999998</v>
      </c>
      <c r="I1475" s="35">
        <f t="shared" si="111"/>
        <v>0</v>
      </c>
      <c r="J1475" s="35">
        <f t="shared" si="112"/>
        <v>1194.9062950886182</v>
      </c>
      <c r="K1475" s="45">
        <f t="shared" si="110"/>
        <v>22041634.467079557</v>
      </c>
    </row>
    <row r="1476" spans="2:11">
      <c r="B1476" s="43">
        <v>45508</v>
      </c>
      <c r="C1476" s="32" t="s">
        <v>29</v>
      </c>
      <c r="D1476" s="32" t="s">
        <v>132</v>
      </c>
      <c r="E1476" s="36">
        <f t="shared" si="113"/>
        <v>22041634.467079557</v>
      </c>
      <c r="F1476" s="36">
        <v>17807.04</v>
      </c>
      <c r="G1476" s="58">
        <v>0</v>
      </c>
      <c r="H1476" s="35">
        <f t="shared" si="114"/>
        <v>17807.04</v>
      </c>
      <c r="I1476" s="35">
        <f t="shared" si="111"/>
        <v>0</v>
      </c>
      <c r="J1476" s="35">
        <f t="shared" si="112"/>
        <v>1195.8742821081637</v>
      </c>
      <c r="K1476" s="45">
        <f t="shared" si="110"/>
        <v>22058245.63279745</v>
      </c>
    </row>
    <row r="1477" spans="2:11">
      <c r="B1477" s="43">
        <v>45508</v>
      </c>
      <c r="C1477" s="32" t="s">
        <v>27</v>
      </c>
      <c r="D1477" s="32" t="s">
        <v>132</v>
      </c>
      <c r="E1477" s="36">
        <f t="shared" si="113"/>
        <v>22058245.63279745</v>
      </c>
      <c r="F1477" s="36">
        <v>16431.12</v>
      </c>
      <c r="G1477" s="58">
        <v>0</v>
      </c>
      <c r="H1477" s="35">
        <f t="shared" si="114"/>
        <v>16431.12</v>
      </c>
      <c r="I1477" s="35">
        <f t="shared" si="111"/>
        <v>0</v>
      </c>
      <c r="J1477" s="35">
        <f t="shared" si="112"/>
        <v>1196.77552497686</v>
      </c>
      <c r="K1477" s="45">
        <f t="shared" si="110"/>
        <v>22073479.977272473</v>
      </c>
    </row>
    <row r="1478" spans="2:11">
      <c r="B1478" s="43">
        <v>45508</v>
      </c>
      <c r="C1478" s="32" t="s">
        <v>29</v>
      </c>
      <c r="D1478" s="32" t="s">
        <v>132</v>
      </c>
      <c r="E1478" s="36">
        <f t="shared" si="113"/>
        <v>22073479.977272473</v>
      </c>
      <c r="F1478" s="36">
        <v>14157.97</v>
      </c>
      <c r="G1478" s="58">
        <v>0</v>
      </c>
      <c r="H1478" s="35">
        <f t="shared" si="114"/>
        <v>14157.97</v>
      </c>
      <c r="I1478" s="35">
        <f t="shared" si="111"/>
        <v>0</v>
      </c>
      <c r="J1478" s="35">
        <f t="shared" si="112"/>
        <v>1197.6020680714598</v>
      </c>
      <c r="K1478" s="45">
        <f t="shared" si="110"/>
        <v>22086440.345204402</v>
      </c>
    </row>
    <row r="1479" spans="2:11">
      <c r="B1479" s="43">
        <v>45508</v>
      </c>
      <c r="C1479" s="32" t="s">
        <v>27</v>
      </c>
      <c r="D1479" s="32" t="s">
        <v>132</v>
      </c>
      <c r="E1479" s="36">
        <f t="shared" si="113"/>
        <v>22086440.345204402</v>
      </c>
      <c r="F1479" s="36">
        <v>21435.45</v>
      </c>
      <c r="G1479" s="58">
        <v>0</v>
      </c>
      <c r="H1479" s="35">
        <f t="shared" si="114"/>
        <v>21435.45</v>
      </c>
      <c r="I1479" s="35">
        <f t="shared" si="111"/>
        <v>0</v>
      </c>
      <c r="J1479" s="35">
        <f t="shared" si="112"/>
        <v>1198.3052360111878</v>
      </c>
      <c r="K1479" s="45">
        <f t="shared" si="110"/>
        <v>22106677.489968389</v>
      </c>
    </row>
    <row r="1480" spans="2:11">
      <c r="B1480" s="43">
        <v>45508</v>
      </c>
      <c r="C1480" s="32" t="s">
        <v>25</v>
      </c>
      <c r="D1480" s="32" t="s">
        <v>134</v>
      </c>
      <c r="E1480" s="36">
        <f t="shared" si="113"/>
        <v>22106677.489968389</v>
      </c>
      <c r="F1480" s="36">
        <v>0</v>
      </c>
      <c r="G1480" s="58">
        <v>-16053.55</v>
      </c>
      <c r="H1480" s="35">
        <f t="shared" si="114"/>
        <v>-16053.55</v>
      </c>
      <c r="I1480" s="35">
        <f t="shared" si="111"/>
        <v>0</v>
      </c>
      <c r="J1480" s="35">
        <f t="shared" si="112"/>
        <v>1199.4032072620357</v>
      </c>
      <c r="K1480" s="45">
        <f t="shared" ref="K1480:K1543" si="115">E1480+H1480+I1480-J1480</f>
        <v>22089424.536761127</v>
      </c>
    </row>
    <row r="1481" spans="2:11">
      <c r="B1481" s="43">
        <v>45508</v>
      </c>
      <c r="C1481" s="32" t="s">
        <v>27</v>
      </c>
      <c r="D1481" s="32" t="s">
        <v>134</v>
      </c>
      <c r="E1481" s="36">
        <f t="shared" si="113"/>
        <v>22089424.536761127</v>
      </c>
      <c r="F1481" s="36">
        <v>0</v>
      </c>
      <c r="G1481" s="58">
        <v>-3012</v>
      </c>
      <c r="H1481" s="35">
        <f t="shared" si="114"/>
        <v>-3012</v>
      </c>
      <c r="I1481" s="35">
        <f t="shared" si="111"/>
        <v>0</v>
      </c>
      <c r="J1481" s="35">
        <f t="shared" si="112"/>
        <v>1198.4671440557524</v>
      </c>
      <c r="K1481" s="45">
        <f t="shared" si="115"/>
        <v>22085214.06961707</v>
      </c>
    </row>
    <row r="1482" spans="2:11">
      <c r="B1482" s="43">
        <v>45508</v>
      </c>
      <c r="C1482" s="32" t="s">
        <v>29</v>
      </c>
      <c r="D1482" s="32" t="s">
        <v>134</v>
      </c>
      <c r="E1482" s="36">
        <f t="shared" si="113"/>
        <v>22085214.06961707</v>
      </c>
      <c r="F1482" s="36">
        <v>0</v>
      </c>
      <c r="G1482" s="58">
        <v>-4196</v>
      </c>
      <c r="H1482" s="35">
        <f t="shared" si="114"/>
        <v>-4196</v>
      </c>
      <c r="I1482" s="35">
        <f t="shared" si="111"/>
        <v>0</v>
      </c>
      <c r="J1482" s="35">
        <f t="shared" si="112"/>
        <v>1198.2387041285428</v>
      </c>
      <c r="K1482" s="45">
        <f t="shared" si="115"/>
        <v>22079819.83091294</v>
      </c>
    </row>
    <row r="1483" spans="2:11">
      <c r="B1483" s="43">
        <v>45509</v>
      </c>
      <c r="C1483" s="32" t="s">
        <v>25</v>
      </c>
      <c r="D1483" s="32" t="s">
        <v>132</v>
      </c>
      <c r="E1483" s="36">
        <f t="shared" si="113"/>
        <v>22079819.83091294</v>
      </c>
      <c r="F1483" s="36">
        <v>12075.95</v>
      </c>
      <c r="G1483" s="58">
        <v>0</v>
      </c>
      <c r="H1483" s="35">
        <f t="shared" si="114"/>
        <v>12075.95</v>
      </c>
      <c r="I1483" s="35">
        <f t="shared" si="111"/>
        <v>0</v>
      </c>
      <c r="J1483" s="35">
        <f t="shared" si="112"/>
        <v>2395.8920767702161</v>
      </c>
      <c r="K1483" s="45">
        <f t="shared" si="115"/>
        <v>22089499.888836168</v>
      </c>
    </row>
    <row r="1484" spans="2:11">
      <c r="B1484" s="43">
        <v>45509</v>
      </c>
      <c r="C1484" s="32" t="s">
        <v>25</v>
      </c>
      <c r="D1484" s="32" t="s">
        <v>132</v>
      </c>
      <c r="E1484" s="36">
        <f t="shared" si="113"/>
        <v>22089499.888836168</v>
      </c>
      <c r="F1484" s="36">
        <v>16023.46</v>
      </c>
      <c r="G1484" s="58">
        <v>0</v>
      </c>
      <c r="H1484" s="35">
        <f t="shared" si="114"/>
        <v>16023.46</v>
      </c>
      <c r="I1484" s="35">
        <f t="shared" si="111"/>
        <v>0</v>
      </c>
      <c r="J1484" s="35">
        <f t="shared" si="112"/>
        <v>1198.4712323010583</v>
      </c>
      <c r="K1484" s="45">
        <f t="shared" si="115"/>
        <v>22104324.877603866</v>
      </c>
    </row>
    <row r="1485" spans="2:11">
      <c r="B1485" s="43">
        <v>45509</v>
      </c>
      <c r="C1485" s="32" t="s">
        <v>25</v>
      </c>
      <c r="D1485" s="32" t="s">
        <v>132</v>
      </c>
      <c r="E1485" s="36">
        <f t="shared" si="113"/>
        <v>22104324.877603866</v>
      </c>
      <c r="F1485" s="36">
        <v>16986.39</v>
      </c>
      <c r="G1485" s="58">
        <v>0</v>
      </c>
      <c r="H1485" s="35">
        <f t="shared" si="114"/>
        <v>16986.39</v>
      </c>
      <c r="I1485" s="35">
        <f t="shared" si="111"/>
        <v>0</v>
      </c>
      <c r="J1485" s="35">
        <f t="shared" si="112"/>
        <v>1199.2755657013927</v>
      </c>
      <c r="K1485" s="45">
        <f t="shared" si="115"/>
        <v>22120111.992038164</v>
      </c>
    </row>
    <row r="1486" spans="2:11">
      <c r="B1486" s="43">
        <v>45509</v>
      </c>
      <c r="C1486" s="32" t="s">
        <v>25</v>
      </c>
      <c r="D1486" s="32" t="s">
        <v>132</v>
      </c>
      <c r="E1486" s="36">
        <f t="shared" si="113"/>
        <v>22120111.992038164</v>
      </c>
      <c r="F1486" s="36">
        <v>17548.810000000001</v>
      </c>
      <c r="G1486" s="58">
        <v>0</v>
      </c>
      <c r="H1486" s="35">
        <f t="shared" si="114"/>
        <v>17548.810000000001</v>
      </c>
      <c r="I1486" s="35">
        <f t="shared" si="111"/>
        <v>0</v>
      </c>
      <c r="J1486" s="35">
        <f t="shared" si="112"/>
        <v>1200.1320994656592</v>
      </c>
      <c r="K1486" s="45">
        <f t="shared" si="115"/>
        <v>22136460.669938698</v>
      </c>
    </row>
    <row r="1487" spans="2:11">
      <c r="B1487" s="43">
        <v>45509</v>
      </c>
      <c r="C1487" s="32" t="s">
        <v>29</v>
      </c>
      <c r="D1487" s="32" t="s">
        <v>132</v>
      </c>
      <c r="E1487" s="36">
        <f t="shared" si="113"/>
        <v>22136460.669938698</v>
      </c>
      <c r="F1487" s="36">
        <v>19569.37</v>
      </c>
      <c r="G1487" s="58">
        <v>0</v>
      </c>
      <c r="H1487" s="35">
        <f t="shared" si="114"/>
        <v>19569.37</v>
      </c>
      <c r="I1487" s="35">
        <f t="shared" si="111"/>
        <v>0</v>
      </c>
      <c r="J1487" s="35">
        <f t="shared" si="112"/>
        <v>1201.0191009934688</v>
      </c>
      <c r="K1487" s="45">
        <f t="shared" si="115"/>
        <v>22154829.020837706</v>
      </c>
    </row>
    <row r="1488" spans="2:11">
      <c r="B1488" s="43">
        <v>45509</v>
      </c>
      <c r="C1488" s="32" t="s">
        <v>27</v>
      </c>
      <c r="D1488" s="32" t="s">
        <v>132</v>
      </c>
      <c r="E1488" s="36">
        <f t="shared" si="113"/>
        <v>22154829.020837706</v>
      </c>
      <c r="F1488" s="36">
        <v>22720.080000000002</v>
      </c>
      <c r="G1488" s="58">
        <v>0</v>
      </c>
      <c r="H1488" s="35">
        <f t="shared" si="114"/>
        <v>22720.080000000002</v>
      </c>
      <c r="I1488" s="35">
        <f t="shared" si="111"/>
        <v>0</v>
      </c>
      <c r="J1488" s="35">
        <f t="shared" si="112"/>
        <v>1202.0156803749874</v>
      </c>
      <c r="K1488" s="45">
        <f t="shared" si="115"/>
        <v>22176347.085157327</v>
      </c>
    </row>
    <row r="1489" spans="2:11">
      <c r="B1489" s="43">
        <v>45509</v>
      </c>
      <c r="C1489" s="32" t="s">
        <v>25</v>
      </c>
      <c r="D1489" s="32" t="s">
        <v>134</v>
      </c>
      <c r="E1489" s="36">
        <f t="shared" si="113"/>
        <v>22176347.085157327</v>
      </c>
      <c r="F1489" s="36">
        <v>0</v>
      </c>
      <c r="G1489" s="58">
        <v>-9431.15</v>
      </c>
      <c r="H1489" s="35">
        <f t="shared" si="114"/>
        <v>-9431.15</v>
      </c>
      <c r="I1489" s="35">
        <f t="shared" si="111"/>
        <v>0</v>
      </c>
      <c r="J1489" s="35">
        <f t="shared" si="112"/>
        <v>1203.1831482303778</v>
      </c>
      <c r="K1489" s="45">
        <f t="shared" si="115"/>
        <v>22165712.752009097</v>
      </c>
    </row>
    <row r="1490" spans="2:11">
      <c r="B1490" s="43">
        <v>45509</v>
      </c>
      <c r="C1490" s="32" t="s">
        <v>29</v>
      </c>
      <c r="D1490" s="32" t="s">
        <v>134</v>
      </c>
      <c r="E1490" s="36">
        <f t="shared" si="113"/>
        <v>22165712.752009097</v>
      </c>
      <c r="F1490" s="36">
        <v>0</v>
      </c>
      <c r="G1490" s="58">
        <v>-3573.9</v>
      </c>
      <c r="H1490" s="35">
        <f t="shared" si="114"/>
        <v>-3573.9</v>
      </c>
      <c r="I1490" s="35">
        <f t="shared" si="111"/>
        <v>0</v>
      </c>
      <c r="J1490" s="35">
        <f t="shared" si="112"/>
        <v>1202.6061798781293</v>
      </c>
      <c r="K1490" s="45">
        <f t="shared" si="115"/>
        <v>22160936.245829221</v>
      </c>
    </row>
    <row r="1491" spans="2:11">
      <c r="B1491" s="43">
        <v>45509</v>
      </c>
      <c r="C1491" s="32" t="s">
        <v>29</v>
      </c>
      <c r="D1491" s="32" t="s">
        <v>134</v>
      </c>
      <c r="E1491" s="36">
        <f t="shared" si="113"/>
        <v>22160936.245829221</v>
      </c>
      <c r="F1491" s="36">
        <v>0</v>
      </c>
      <c r="G1491" s="58">
        <v>-13840</v>
      </c>
      <c r="H1491" s="35">
        <f t="shared" si="114"/>
        <v>-13840</v>
      </c>
      <c r="I1491" s="35">
        <f t="shared" si="111"/>
        <v>0</v>
      </c>
      <c r="J1491" s="35">
        <f t="shared" si="112"/>
        <v>1202.3470293642517</v>
      </c>
      <c r="K1491" s="45">
        <f t="shared" si="115"/>
        <v>22145893.898799855</v>
      </c>
    </row>
    <row r="1492" spans="2:11">
      <c r="B1492" s="43">
        <v>45509</v>
      </c>
      <c r="C1492" s="32" t="s">
        <v>25</v>
      </c>
      <c r="D1492" s="32" t="s">
        <v>134</v>
      </c>
      <c r="E1492" s="36">
        <f t="shared" si="113"/>
        <v>22145893.898799855</v>
      </c>
      <c r="F1492" s="36">
        <v>0</v>
      </c>
      <c r="G1492" s="58">
        <v>-6670</v>
      </c>
      <c r="H1492" s="35">
        <f t="shared" si="114"/>
        <v>-6670</v>
      </c>
      <c r="I1492" s="35">
        <f t="shared" ref="I1492:I1555" si="116">(($E1492*Daily_Interest)*(_xlfn.DAYS(B1492,B1491)+1))+((IF(DAY($B1491)&gt;Monthly_Cut_off_Date,0,Daily_Interest*H1492))*(_xlfn.DAYS(B1492,B1491)+1))</f>
        <v>0</v>
      </c>
      <c r="J1492" s="35">
        <f t="shared" ref="J1492:J1555" si="117">(($I1492+E1492)*Daily_Fees_Rate)*((_xlfn.DAYS(B1492,B1491)+1))</f>
        <v>1201.5309031381394</v>
      </c>
      <c r="K1492" s="45">
        <f t="shared" si="115"/>
        <v>22138022.367896717</v>
      </c>
    </row>
    <row r="1493" spans="2:11">
      <c r="B1493" s="43">
        <v>45509</v>
      </c>
      <c r="C1493" s="32" t="s">
        <v>29</v>
      </c>
      <c r="D1493" s="32" t="s">
        <v>134</v>
      </c>
      <c r="E1493" s="36">
        <f t="shared" ref="E1493:E1556" si="118">K1492</f>
        <v>22138022.367896717</v>
      </c>
      <c r="F1493" s="36">
        <v>0</v>
      </c>
      <c r="G1493" s="58">
        <v>-19851</v>
      </c>
      <c r="H1493" s="35">
        <f t="shared" ref="H1493:H1556" si="119">SUM(F1493:G1493)</f>
        <v>-19851</v>
      </c>
      <c r="I1493" s="35">
        <f t="shared" si="116"/>
        <v>0</v>
      </c>
      <c r="J1493" s="35">
        <f t="shared" si="117"/>
        <v>1201.1038312990731</v>
      </c>
      <c r="K1493" s="45">
        <f t="shared" si="115"/>
        <v>22116970.264065418</v>
      </c>
    </row>
    <row r="1494" spans="2:11">
      <c r="B1494" s="43">
        <v>45510</v>
      </c>
      <c r="C1494" s="32" t="s">
        <v>27</v>
      </c>
      <c r="D1494" s="32" t="s">
        <v>132</v>
      </c>
      <c r="E1494" s="36">
        <f t="shared" si="118"/>
        <v>22116970.264065418</v>
      </c>
      <c r="F1494" s="36">
        <v>13279.01</v>
      </c>
      <c r="G1494" s="58">
        <v>0</v>
      </c>
      <c r="H1494" s="35">
        <f t="shared" si="119"/>
        <v>13279.01</v>
      </c>
      <c r="I1494" s="35">
        <f t="shared" si="116"/>
        <v>0</v>
      </c>
      <c r="J1494" s="35">
        <f t="shared" si="117"/>
        <v>2399.9232884884382</v>
      </c>
      <c r="K1494" s="45">
        <f t="shared" si="115"/>
        <v>22127849.350776933</v>
      </c>
    </row>
    <row r="1495" spans="2:11">
      <c r="B1495" s="43">
        <v>45510</v>
      </c>
      <c r="C1495" s="32" t="s">
        <v>25</v>
      </c>
      <c r="D1495" s="32" t="s">
        <v>132</v>
      </c>
      <c r="E1495" s="36">
        <f t="shared" si="118"/>
        <v>22127849.350776933</v>
      </c>
      <c r="F1495" s="36">
        <v>12737.17</v>
      </c>
      <c r="G1495" s="58">
        <v>0</v>
      </c>
      <c r="H1495" s="35">
        <f t="shared" si="119"/>
        <v>12737.17</v>
      </c>
      <c r="I1495" s="35">
        <f t="shared" si="116"/>
        <v>0</v>
      </c>
      <c r="J1495" s="35">
        <f t="shared" si="117"/>
        <v>1200.5518917610516</v>
      </c>
      <c r="K1495" s="45">
        <f t="shared" si="115"/>
        <v>22139385.968885172</v>
      </c>
    </row>
    <row r="1496" spans="2:11">
      <c r="B1496" s="43">
        <v>45510</v>
      </c>
      <c r="C1496" s="32" t="s">
        <v>25</v>
      </c>
      <c r="D1496" s="32" t="s">
        <v>132</v>
      </c>
      <c r="E1496" s="36">
        <f t="shared" si="118"/>
        <v>22139385.968885172</v>
      </c>
      <c r="F1496" s="36">
        <v>22479</v>
      </c>
      <c r="G1496" s="58">
        <v>0</v>
      </c>
      <c r="H1496" s="35">
        <f t="shared" si="119"/>
        <v>22479</v>
      </c>
      <c r="I1496" s="35">
        <f t="shared" si="116"/>
        <v>0</v>
      </c>
      <c r="J1496" s="35">
        <f t="shared" si="117"/>
        <v>1201.1778138050249</v>
      </c>
      <c r="K1496" s="45">
        <f t="shared" si="115"/>
        <v>22160663.791071367</v>
      </c>
    </row>
    <row r="1497" spans="2:11">
      <c r="B1497" s="43">
        <v>45510</v>
      </c>
      <c r="C1497" s="32" t="s">
        <v>29</v>
      </c>
      <c r="D1497" s="32" t="s">
        <v>134</v>
      </c>
      <c r="E1497" s="36">
        <f t="shared" si="118"/>
        <v>22160663.791071367</v>
      </c>
      <c r="F1497" s="36">
        <v>0</v>
      </c>
      <c r="G1497" s="58">
        <v>-3675.75</v>
      </c>
      <c r="H1497" s="35">
        <f t="shared" si="119"/>
        <v>-3675.75</v>
      </c>
      <c r="I1497" s="35">
        <f t="shared" si="116"/>
        <v>0</v>
      </c>
      <c r="J1497" s="35">
        <f t="shared" si="117"/>
        <v>1202.3322472645648</v>
      </c>
      <c r="K1497" s="45">
        <f t="shared" si="115"/>
        <v>22155785.708824102</v>
      </c>
    </row>
    <row r="1498" spans="2:11">
      <c r="B1498" s="43">
        <v>45510</v>
      </c>
      <c r="C1498" s="32" t="s">
        <v>29</v>
      </c>
      <c r="D1498" s="32" t="s">
        <v>134</v>
      </c>
      <c r="E1498" s="36">
        <f t="shared" si="118"/>
        <v>22155785.708824102</v>
      </c>
      <c r="F1498" s="36">
        <v>0</v>
      </c>
      <c r="G1498" s="58">
        <v>-8722</v>
      </c>
      <c r="H1498" s="35">
        <f t="shared" si="119"/>
        <v>-8722</v>
      </c>
      <c r="I1498" s="35">
        <f t="shared" si="116"/>
        <v>0</v>
      </c>
      <c r="J1498" s="35">
        <f t="shared" si="117"/>
        <v>1202.0675857162469</v>
      </c>
      <c r="K1498" s="45">
        <f t="shared" si="115"/>
        <v>22145861.641238384</v>
      </c>
    </row>
    <row r="1499" spans="2:11">
      <c r="B1499" s="43">
        <v>45510</v>
      </c>
      <c r="C1499" s="32" t="s">
        <v>27</v>
      </c>
      <c r="D1499" s="32" t="s">
        <v>134</v>
      </c>
      <c r="E1499" s="36">
        <f t="shared" si="118"/>
        <v>22145861.641238384</v>
      </c>
      <c r="F1499" s="36">
        <v>0</v>
      </c>
      <c r="G1499" s="58">
        <v>-11723</v>
      </c>
      <c r="H1499" s="35">
        <f t="shared" si="119"/>
        <v>-11723</v>
      </c>
      <c r="I1499" s="35">
        <f t="shared" si="116"/>
        <v>0</v>
      </c>
      <c r="J1499" s="35">
        <f t="shared" si="117"/>
        <v>1201.5291529962328</v>
      </c>
      <c r="K1499" s="45">
        <f t="shared" si="115"/>
        <v>22132937.112085387</v>
      </c>
    </row>
    <row r="1500" spans="2:11">
      <c r="B1500" s="43">
        <v>45510</v>
      </c>
      <c r="C1500" s="32" t="s">
        <v>27</v>
      </c>
      <c r="D1500" s="32" t="s">
        <v>134</v>
      </c>
      <c r="E1500" s="36">
        <f t="shared" si="118"/>
        <v>22132937.112085387</v>
      </c>
      <c r="F1500" s="36">
        <v>0</v>
      </c>
      <c r="G1500" s="58">
        <v>-8956</v>
      </c>
      <c r="H1500" s="35">
        <f t="shared" si="119"/>
        <v>-8956</v>
      </c>
      <c r="I1500" s="35">
        <f t="shared" si="116"/>
        <v>0</v>
      </c>
      <c r="J1500" s="35">
        <f t="shared" si="117"/>
        <v>1200.8279294982428</v>
      </c>
      <c r="K1500" s="45">
        <f t="shared" si="115"/>
        <v>22122780.28415589</v>
      </c>
    </row>
    <row r="1501" spans="2:11">
      <c r="B1501" s="43">
        <v>45511</v>
      </c>
      <c r="C1501" s="32" t="s">
        <v>29</v>
      </c>
      <c r="D1501" s="32" t="s">
        <v>132</v>
      </c>
      <c r="E1501" s="36">
        <f t="shared" si="118"/>
        <v>22122780.28415589</v>
      </c>
      <c r="F1501" s="36">
        <v>11114.76</v>
      </c>
      <c r="G1501" s="58">
        <v>0</v>
      </c>
      <c r="H1501" s="35">
        <f t="shared" si="119"/>
        <v>11114.76</v>
      </c>
      <c r="I1501" s="35">
        <f t="shared" si="116"/>
        <v>0</v>
      </c>
      <c r="J1501" s="35">
        <f t="shared" si="117"/>
        <v>2400.5537366174194</v>
      </c>
      <c r="K1501" s="45">
        <f t="shared" si="115"/>
        <v>22131494.490419276</v>
      </c>
    </row>
    <row r="1502" spans="2:11">
      <c r="B1502" s="43">
        <v>45511</v>
      </c>
      <c r="C1502" s="32" t="s">
        <v>29</v>
      </c>
      <c r="D1502" s="32" t="s">
        <v>132</v>
      </c>
      <c r="E1502" s="36">
        <f t="shared" si="118"/>
        <v>22131494.490419276</v>
      </c>
      <c r="F1502" s="36">
        <v>12932.44</v>
      </c>
      <c r="G1502" s="58">
        <v>0</v>
      </c>
      <c r="H1502" s="35">
        <f t="shared" si="119"/>
        <v>12932.44</v>
      </c>
      <c r="I1502" s="35">
        <f t="shared" si="116"/>
        <v>0</v>
      </c>
      <c r="J1502" s="35">
        <f t="shared" si="117"/>
        <v>1200.7496597060506</v>
      </c>
      <c r="K1502" s="45">
        <f t="shared" si="115"/>
        <v>22143226.180759571</v>
      </c>
    </row>
    <row r="1503" spans="2:11">
      <c r="B1503" s="43">
        <v>45511</v>
      </c>
      <c r="C1503" s="32" t="s">
        <v>27</v>
      </c>
      <c r="D1503" s="32" t="s">
        <v>132</v>
      </c>
      <c r="E1503" s="36">
        <f t="shared" si="118"/>
        <v>22143226.180759571</v>
      </c>
      <c r="F1503" s="36">
        <v>17988.14</v>
      </c>
      <c r="G1503" s="58">
        <v>0</v>
      </c>
      <c r="H1503" s="35">
        <f t="shared" si="119"/>
        <v>17988.14</v>
      </c>
      <c r="I1503" s="35">
        <f t="shared" si="116"/>
        <v>0</v>
      </c>
      <c r="J1503" s="35">
        <f t="shared" si="117"/>
        <v>1201.3861654418013</v>
      </c>
      <c r="K1503" s="45">
        <f t="shared" si="115"/>
        <v>22160012.934594132</v>
      </c>
    </row>
    <row r="1504" spans="2:11">
      <c r="B1504" s="43">
        <v>45511</v>
      </c>
      <c r="C1504" s="32" t="s">
        <v>25</v>
      </c>
      <c r="D1504" s="32" t="s">
        <v>134</v>
      </c>
      <c r="E1504" s="36">
        <f t="shared" si="118"/>
        <v>22160012.934594132</v>
      </c>
      <c r="F1504" s="36">
        <v>0</v>
      </c>
      <c r="G1504" s="58">
        <v>-8888.5400000000009</v>
      </c>
      <c r="H1504" s="35">
        <f t="shared" si="119"/>
        <v>-8888.5400000000009</v>
      </c>
      <c r="I1504" s="35">
        <f t="shared" si="116"/>
        <v>0</v>
      </c>
      <c r="J1504" s="35">
        <f t="shared" si="117"/>
        <v>1202.2969348868173</v>
      </c>
      <c r="K1504" s="45">
        <f t="shared" si="115"/>
        <v>22149922.097659245</v>
      </c>
    </row>
    <row r="1505" spans="2:11">
      <c r="B1505" s="43">
        <v>45511</v>
      </c>
      <c r="C1505" s="32" t="s">
        <v>27</v>
      </c>
      <c r="D1505" s="32" t="s">
        <v>134</v>
      </c>
      <c r="E1505" s="36">
        <f t="shared" si="118"/>
        <v>22149922.097659245</v>
      </c>
      <c r="F1505" s="36">
        <v>0</v>
      </c>
      <c r="G1505" s="58">
        <v>-1189.67</v>
      </c>
      <c r="H1505" s="35">
        <f t="shared" si="119"/>
        <v>-1189.67</v>
      </c>
      <c r="I1505" s="35">
        <f t="shared" si="116"/>
        <v>0</v>
      </c>
      <c r="J1505" s="35">
        <f t="shared" si="117"/>
        <v>1201.7494540548764</v>
      </c>
      <c r="K1505" s="45">
        <f t="shared" si="115"/>
        <v>22147530.678205188</v>
      </c>
    </row>
    <row r="1506" spans="2:11">
      <c r="B1506" s="43">
        <v>45511</v>
      </c>
      <c r="C1506" s="32" t="s">
        <v>27</v>
      </c>
      <c r="D1506" s="32" t="s">
        <v>134</v>
      </c>
      <c r="E1506" s="36">
        <f t="shared" si="118"/>
        <v>22147530.678205188</v>
      </c>
      <c r="F1506" s="36">
        <v>0</v>
      </c>
      <c r="G1506" s="58">
        <v>-20497</v>
      </c>
      <c r="H1506" s="35">
        <f t="shared" si="119"/>
        <v>-20497</v>
      </c>
      <c r="I1506" s="35">
        <f t="shared" si="116"/>
        <v>0</v>
      </c>
      <c r="J1506" s="35">
        <f t="shared" si="117"/>
        <v>1201.6197070060759</v>
      </c>
      <c r="K1506" s="45">
        <f t="shared" si="115"/>
        <v>22125832.058498181</v>
      </c>
    </row>
    <row r="1507" spans="2:11">
      <c r="B1507" s="43">
        <v>45511</v>
      </c>
      <c r="C1507" s="32" t="s">
        <v>25</v>
      </c>
      <c r="D1507" s="32" t="s">
        <v>134</v>
      </c>
      <c r="E1507" s="36">
        <f t="shared" si="118"/>
        <v>22125832.058498181</v>
      </c>
      <c r="F1507" s="36">
        <v>0</v>
      </c>
      <c r="G1507" s="58">
        <v>-13974</v>
      </c>
      <c r="H1507" s="35">
        <f t="shared" si="119"/>
        <v>-13974</v>
      </c>
      <c r="I1507" s="35">
        <f t="shared" si="116"/>
        <v>0</v>
      </c>
      <c r="J1507" s="35">
        <f t="shared" si="117"/>
        <v>1200.4424430738748</v>
      </c>
      <c r="K1507" s="45">
        <f t="shared" si="115"/>
        <v>22110657.616055109</v>
      </c>
    </row>
    <row r="1508" spans="2:11">
      <c r="B1508" s="43">
        <v>45512</v>
      </c>
      <c r="C1508" s="32" t="s">
        <v>25</v>
      </c>
      <c r="D1508" s="32" t="s">
        <v>132</v>
      </c>
      <c r="E1508" s="36">
        <f t="shared" si="118"/>
        <v>22110657.616055109</v>
      </c>
      <c r="F1508" s="36">
        <v>13563.75</v>
      </c>
      <c r="G1508" s="58">
        <v>0</v>
      </c>
      <c r="H1508" s="35">
        <f t="shared" si="119"/>
        <v>13563.75</v>
      </c>
      <c r="I1508" s="35">
        <f t="shared" si="116"/>
        <v>0</v>
      </c>
      <c r="J1508" s="35">
        <f t="shared" si="117"/>
        <v>2399.2382999574102</v>
      </c>
      <c r="K1508" s="45">
        <f t="shared" si="115"/>
        <v>22121822.12775515</v>
      </c>
    </row>
    <row r="1509" spans="2:11">
      <c r="B1509" s="43">
        <v>45512</v>
      </c>
      <c r="C1509" s="32" t="s">
        <v>25</v>
      </c>
      <c r="D1509" s="32" t="s">
        <v>132</v>
      </c>
      <c r="E1509" s="36">
        <f t="shared" si="118"/>
        <v>22121822.12775515</v>
      </c>
      <c r="F1509" s="36">
        <v>11064.49</v>
      </c>
      <c r="G1509" s="58">
        <v>0</v>
      </c>
      <c r="H1509" s="35">
        <f t="shared" si="119"/>
        <v>11064.49</v>
      </c>
      <c r="I1509" s="35">
        <f t="shared" si="116"/>
        <v>0</v>
      </c>
      <c r="J1509" s="35">
        <f t="shared" si="117"/>
        <v>1200.2248832982698</v>
      </c>
      <c r="K1509" s="45">
        <f t="shared" si="115"/>
        <v>22131686.392871849</v>
      </c>
    </row>
    <row r="1510" spans="2:11">
      <c r="B1510" s="43">
        <v>45512</v>
      </c>
      <c r="C1510" s="32" t="s">
        <v>27</v>
      </c>
      <c r="D1510" s="32" t="s">
        <v>134</v>
      </c>
      <c r="E1510" s="36">
        <f t="shared" si="118"/>
        <v>22131686.392871849</v>
      </c>
      <c r="F1510" s="36">
        <v>0</v>
      </c>
      <c r="G1510" s="58">
        <v>-5812.56</v>
      </c>
      <c r="H1510" s="35">
        <f t="shared" si="119"/>
        <v>-5812.56</v>
      </c>
      <c r="I1510" s="35">
        <f t="shared" si="116"/>
        <v>0</v>
      </c>
      <c r="J1510" s="35">
        <f t="shared" si="117"/>
        <v>1200.7600714206649</v>
      </c>
      <c r="K1510" s="45">
        <f t="shared" si="115"/>
        <v>22124673.072800431</v>
      </c>
    </row>
    <row r="1511" spans="2:11">
      <c r="B1511" s="43">
        <v>45512</v>
      </c>
      <c r="C1511" s="32" t="s">
        <v>25</v>
      </c>
      <c r="D1511" s="32" t="s">
        <v>134</v>
      </c>
      <c r="E1511" s="36">
        <f t="shared" si="118"/>
        <v>22124673.072800431</v>
      </c>
      <c r="F1511" s="36">
        <v>0</v>
      </c>
      <c r="G1511" s="58">
        <v>-21469</v>
      </c>
      <c r="H1511" s="35">
        <f t="shared" si="119"/>
        <v>-21469</v>
      </c>
      <c r="I1511" s="35">
        <f t="shared" si="116"/>
        <v>0</v>
      </c>
      <c r="J1511" s="35">
        <f t="shared" si="117"/>
        <v>1200.379562020687</v>
      </c>
      <c r="K1511" s="45">
        <f t="shared" si="115"/>
        <v>22102003.693238411</v>
      </c>
    </row>
    <row r="1512" spans="2:11">
      <c r="B1512" s="43">
        <v>45512</v>
      </c>
      <c r="C1512" s="32" t="s">
        <v>27</v>
      </c>
      <c r="D1512" s="32" t="s">
        <v>134</v>
      </c>
      <c r="E1512" s="36">
        <f t="shared" si="118"/>
        <v>22102003.693238411</v>
      </c>
      <c r="F1512" s="36">
        <v>0</v>
      </c>
      <c r="G1512" s="58">
        <v>-9911</v>
      </c>
      <c r="H1512" s="35">
        <f t="shared" si="119"/>
        <v>-9911</v>
      </c>
      <c r="I1512" s="35">
        <f t="shared" si="116"/>
        <v>0</v>
      </c>
      <c r="J1512" s="35">
        <f t="shared" si="117"/>
        <v>1199.1496292745444</v>
      </c>
      <c r="K1512" s="45">
        <f t="shared" si="115"/>
        <v>22090893.543609135</v>
      </c>
    </row>
    <row r="1513" spans="2:11">
      <c r="B1513" s="43">
        <v>45513</v>
      </c>
      <c r="C1513" s="32" t="s">
        <v>27</v>
      </c>
      <c r="D1513" s="32" t="s">
        <v>132</v>
      </c>
      <c r="E1513" s="36">
        <f t="shared" si="118"/>
        <v>22090893.543609135</v>
      </c>
      <c r="F1513" s="36">
        <v>10753.89</v>
      </c>
      <c r="G1513" s="58">
        <v>0</v>
      </c>
      <c r="H1513" s="35">
        <f t="shared" si="119"/>
        <v>10753.89</v>
      </c>
      <c r="I1513" s="35">
        <f t="shared" si="116"/>
        <v>0</v>
      </c>
      <c r="J1513" s="35">
        <f t="shared" si="117"/>
        <v>2397.0936907649148</v>
      </c>
      <c r="K1513" s="45">
        <f t="shared" si="115"/>
        <v>22099250.339918371</v>
      </c>
    </row>
    <row r="1514" spans="2:11">
      <c r="B1514" s="43">
        <v>45513</v>
      </c>
      <c r="C1514" s="32" t="s">
        <v>25</v>
      </c>
      <c r="D1514" s="32" t="s">
        <v>132</v>
      </c>
      <c r="E1514" s="36">
        <f t="shared" si="118"/>
        <v>22099250.339918371</v>
      </c>
      <c r="F1514" s="36">
        <v>20029.310000000001</v>
      </c>
      <c r="G1514" s="58">
        <v>0</v>
      </c>
      <c r="H1514" s="35">
        <f t="shared" si="119"/>
        <v>20029.310000000001</v>
      </c>
      <c r="I1514" s="35">
        <f t="shared" si="116"/>
        <v>0</v>
      </c>
      <c r="J1514" s="35">
        <f t="shared" si="117"/>
        <v>1199.0002454151072</v>
      </c>
      <c r="K1514" s="45">
        <f t="shared" si="115"/>
        <v>22118080.649672955</v>
      </c>
    </row>
    <row r="1515" spans="2:11">
      <c r="B1515" s="43">
        <v>45513</v>
      </c>
      <c r="C1515" s="32" t="s">
        <v>29</v>
      </c>
      <c r="D1515" s="32" t="s">
        <v>134</v>
      </c>
      <c r="E1515" s="36">
        <f t="shared" si="118"/>
        <v>22118080.649672955</v>
      </c>
      <c r="F1515" s="36">
        <v>0</v>
      </c>
      <c r="G1515" s="58">
        <v>-10424.040000000001</v>
      </c>
      <c r="H1515" s="35">
        <f t="shared" si="119"/>
        <v>-10424.040000000001</v>
      </c>
      <c r="I1515" s="35">
        <f t="shared" si="116"/>
        <v>0</v>
      </c>
      <c r="J1515" s="35">
        <f t="shared" si="117"/>
        <v>1200.0218884875967</v>
      </c>
      <c r="K1515" s="45">
        <f t="shared" si="115"/>
        <v>22106456.587784469</v>
      </c>
    </row>
    <row r="1516" spans="2:11">
      <c r="B1516" s="43">
        <v>45513</v>
      </c>
      <c r="C1516" s="32" t="s">
        <v>25</v>
      </c>
      <c r="D1516" s="32" t="s">
        <v>134</v>
      </c>
      <c r="E1516" s="36">
        <f t="shared" si="118"/>
        <v>22106456.587784469</v>
      </c>
      <c r="F1516" s="36">
        <v>0</v>
      </c>
      <c r="G1516" s="58">
        <v>-9718.4699999999993</v>
      </c>
      <c r="H1516" s="35">
        <f t="shared" si="119"/>
        <v>-9718.4699999999993</v>
      </c>
      <c r="I1516" s="35">
        <f t="shared" si="116"/>
        <v>0</v>
      </c>
      <c r="J1516" s="35">
        <f t="shared" si="117"/>
        <v>1199.3912221598871</v>
      </c>
      <c r="K1516" s="45">
        <f t="shared" si="115"/>
        <v>22095538.72656231</v>
      </c>
    </row>
    <row r="1517" spans="2:11">
      <c r="B1517" s="43">
        <v>45513</v>
      </c>
      <c r="C1517" s="32" t="s">
        <v>25</v>
      </c>
      <c r="D1517" s="32" t="s">
        <v>134</v>
      </c>
      <c r="E1517" s="36">
        <f t="shared" si="118"/>
        <v>22095538.72656231</v>
      </c>
      <c r="F1517" s="36">
        <v>0</v>
      </c>
      <c r="G1517" s="58">
        <v>-4004</v>
      </c>
      <c r="H1517" s="35">
        <f t="shared" si="119"/>
        <v>-4004</v>
      </c>
      <c r="I1517" s="35">
        <f t="shared" si="116"/>
        <v>0</v>
      </c>
      <c r="J1517" s="35">
        <f t="shared" si="117"/>
        <v>1198.7988709224728</v>
      </c>
      <c r="K1517" s="45">
        <f t="shared" si="115"/>
        <v>22090335.927691389</v>
      </c>
    </row>
    <row r="1518" spans="2:11">
      <c r="B1518" s="43">
        <v>45514</v>
      </c>
      <c r="C1518" s="32" t="s">
        <v>29</v>
      </c>
      <c r="D1518" s="32" t="s">
        <v>132</v>
      </c>
      <c r="E1518" s="36">
        <f t="shared" si="118"/>
        <v>22090335.927691389</v>
      </c>
      <c r="F1518" s="36">
        <v>16558.04</v>
      </c>
      <c r="G1518" s="58">
        <v>0</v>
      </c>
      <c r="H1518" s="35">
        <f t="shared" si="119"/>
        <v>16558.04</v>
      </c>
      <c r="I1518" s="35">
        <f t="shared" si="116"/>
        <v>0</v>
      </c>
      <c r="J1518" s="35">
        <f t="shared" si="117"/>
        <v>2397.0331835882512</v>
      </c>
      <c r="K1518" s="45">
        <f t="shared" si="115"/>
        <v>22104496.934507798</v>
      </c>
    </row>
    <row r="1519" spans="2:11">
      <c r="B1519" s="43">
        <v>45514</v>
      </c>
      <c r="C1519" s="32" t="s">
        <v>29</v>
      </c>
      <c r="D1519" s="32" t="s">
        <v>132</v>
      </c>
      <c r="E1519" s="36">
        <f t="shared" si="118"/>
        <v>22104496.934507798</v>
      </c>
      <c r="F1519" s="36">
        <v>17644.919999999998</v>
      </c>
      <c r="G1519" s="58">
        <v>0</v>
      </c>
      <c r="H1519" s="35">
        <f t="shared" si="119"/>
        <v>17644.919999999998</v>
      </c>
      <c r="I1519" s="35">
        <f t="shared" si="116"/>
        <v>0</v>
      </c>
      <c r="J1519" s="35">
        <f t="shared" si="117"/>
        <v>1199.2849006908998</v>
      </c>
      <c r="K1519" s="45">
        <f t="shared" si="115"/>
        <v>22120942.569607109</v>
      </c>
    </row>
    <row r="1520" spans="2:11">
      <c r="B1520" s="43">
        <v>45514</v>
      </c>
      <c r="C1520" s="32" t="s">
        <v>29</v>
      </c>
      <c r="D1520" s="32" t="s">
        <v>132</v>
      </c>
      <c r="E1520" s="36">
        <f t="shared" si="118"/>
        <v>22120942.569607109</v>
      </c>
      <c r="F1520" s="36">
        <v>20546.87</v>
      </c>
      <c r="G1520" s="58">
        <v>0</v>
      </c>
      <c r="H1520" s="35">
        <f t="shared" si="119"/>
        <v>20546.87</v>
      </c>
      <c r="I1520" s="35">
        <f t="shared" si="116"/>
        <v>0</v>
      </c>
      <c r="J1520" s="35">
        <f t="shared" si="117"/>
        <v>1200.1771626553007</v>
      </c>
      <c r="K1520" s="45">
        <f t="shared" si="115"/>
        <v>22140289.262444455</v>
      </c>
    </row>
    <row r="1521" spans="2:11">
      <c r="B1521" s="43">
        <v>45514</v>
      </c>
      <c r="C1521" s="32" t="s">
        <v>29</v>
      </c>
      <c r="D1521" s="32" t="s">
        <v>132</v>
      </c>
      <c r="E1521" s="36">
        <f t="shared" si="118"/>
        <v>22140289.262444455</v>
      </c>
      <c r="F1521" s="36">
        <v>15554.51</v>
      </c>
      <c r="G1521" s="58">
        <v>0</v>
      </c>
      <c r="H1521" s="35">
        <f t="shared" si="119"/>
        <v>15554.51</v>
      </c>
      <c r="I1521" s="35">
        <f t="shared" si="116"/>
        <v>0</v>
      </c>
      <c r="J1521" s="35">
        <f t="shared" si="117"/>
        <v>1201.2268222185505</v>
      </c>
      <c r="K1521" s="45">
        <f t="shared" si="115"/>
        <v>22154642.545622237</v>
      </c>
    </row>
    <row r="1522" spans="2:11">
      <c r="B1522" s="43">
        <v>45514</v>
      </c>
      <c r="C1522" s="32" t="s">
        <v>27</v>
      </c>
      <c r="D1522" s="32" t="s">
        <v>132</v>
      </c>
      <c r="E1522" s="36">
        <f t="shared" si="118"/>
        <v>22154642.545622237</v>
      </c>
      <c r="F1522" s="36">
        <v>13307.76</v>
      </c>
      <c r="G1522" s="58">
        <v>0</v>
      </c>
      <c r="H1522" s="35">
        <f t="shared" si="119"/>
        <v>13307.76</v>
      </c>
      <c r="I1522" s="35">
        <f t="shared" si="116"/>
        <v>0</v>
      </c>
      <c r="J1522" s="35">
        <f t="shared" si="117"/>
        <v>1202.0055631164525</v>
      </c>
      <c r="K1522" s="45">
        <f t="shared" si="115"/>
        <v>22166748.300059121</v>
      </c>
    </row>
    <row r="1523" spans="2:11">
      <c r="B1523" s="43">
        <v>45514</v>
      </c>
      <c r="C1523" s="32" t="s">
        <v>29</v>
      </c>
      <c r="D1523" s="32" t="s">
        <v>132</v>
      </c>
      <c r="E1523" s="36">
        <f t="shared" si="118"/>
        <v>22166748.300059121</v>
      </c>
      <c r="F1523" s="36">
        <v>16746.29</v>
      </c>
      <c r="G1523" s="58">
        <v>0</v>
      </c>
      <c r="H1523" s="35">
        <f t="shared" si="119"/>
        <v>16746.29</v>
      </c>
      <c r="I1523" s="35">
        <f t="shared" si="116"/>
        <v>0</v>
      </c>
      <c r="J1523" s="35">
        <f t="shared" si="117"/>
        <v>1202.6623637914756</v>
      </c>
      <c r="K1523" s="45">
        <f t="shared" si="115"/>
        <v>22182291.92769533</v>
      </c>
    </row>
    <row r="1524" spans="2:11">
      <c r="B1524" s="43">
        <v>45514</v>
      </c>
      <c r="C1524" s="32" t="s">
        <v>27</v>
      </c>
      <c r="D1524" s="32" t="s">
        <v>134</v>
      </c>
      <c r="E1524" s="36">
        <f t="shared" si="118"/>
        <v>22182291.92769533</v>
      </c>
      <c r="F1524" s="36">
        <v>0</v>
      </c>
      <c r="G1524" s="58">
        <v>-10209.959999999999</v>
      </c>
      <c r="H1524" s="35">
        <f t="shared" si="119"/>
        <v>-10209.959999999999</v>
      </c>
      <c r="I1524" s="35">
        <f t="shared" si="116"/>
        <v>0</v>
      </c>
      <c r="J1524" s="35">
        <f t="shared" si="117"/>
        <v>1203.5056871198146</v>
      </c>
      <c r="K1524" s="45">
        <f t="shared" si="115"/>
        <v>22170878.462008208</v>
      </c>
    </row>
    <row r="1525" spans="2:11">
      <c r="B1525" s="43">
        <v>45514</v>
      </c>
      <c r="C1525" s="32" t="s">
        <v>25</v>
      </c>
      <c r="D1525" s="32" t="s">
        <v>134</v>
      </c>
      <c r="E1525" s="36">
        <f t="shared" si="118"/>
        <v>22170878.462008208</v>
      </c>
      <c r="F1525" s="36">
        <v>0</v>
      </c>
      <c r="G1525" s="58">
        <v>-9323.52</v>
      </c>
      <c r="H1525" s="35">
        <f t="shared" si="119"/>
        <v>-9323.52</v>
      </c>
      <c r="I1525" s="35">
        <f t="shared" si="116"/>
        <v>0</v>
      </c>
      <c r="J1525" s="35">
        <f t="shared" si="117"/>
        <v>1202.8864467406431</v>
      </c>
      <c r="K1525" s="45">
        <f t="shared" si="115"/>
        <v>22160352.055561468</v>
      </c>
    </row>
    <row r="1526" spans="2:11">
      <c r="B1526" s="43">
        <v>45514</v>
      </c>
      <c r="C1526" s="32" t="s">
        <v>25</v>
      </c>
      <c r="D1526" s="32" t="s">
        <v>134</v>
      </c>
      <c r="E1526" s="36">
        <f t="shared" si="118"/>
        <v>22160352.055561468</v>
      </c>
      <c r="F1526" s="36">
        <v>0</v>
      </c>
      <c r="G1526" s="58">
        <v>-2699</v>
      </c>
      <c r="H1526" s="35">
        <f t="shared" si="119"/>
        <v>-2699</v>
      </c>
      <c r="I1526" s="35">
        <f t="shared" si="116"/>
        <v>0</v>
      </c>
      <c r="J1526" s="35">
        <f t="shared" si="117"/>
        <v>1202.3153339780449</v>
      </c>
      <c r="K1526" s="45">
        <f t="shared" si="115"/>
        <v>22156450.740227491</v>
      </c>
    </row>
    <row r="1527" spans="2:11">
      <c r="B1527" s="43">
        <v>45514</v>
      </c>
      <c r="C1527" s="32" t="s">
        <v>27</v>
      </c>
      <c r="D1527" s="32" t="s">
        <v>134</v>
      </c>
      <c r="E1527" s="36">
        <f t="shared" si="118"/>
        <v>22156450.740227491</v>
      </c>
      <c r="F1527" s="36">
        <v>0</v>
      </c>
      <c r="G1527" s="58">
        <v>-12524</v>
      </c>
      <c r="H1527" s="35">
        <f t="shared" si="119"/>
        <v>-12524</v>
      </c>
      <c r="I1527" s="35">
        <f t="shared" si="116"/>
        <v>0</v>
      </c>
      <c r="J1527" s="35">
        <f t="shared" si="117"/>
        <v>1202.103667158088</v>
      </c>
      <c r="K1527" s="45">
        <f t="shared" si="115"/>
        <v>22142724.636560332</v>
      </c>
    </row>
    <row r="1528" spans="2:11">
      <c r="B1528" s="43">
        <v>45514</v>
      </c>
      <c r="C1528" s="32" t="s">
        <v>27</v>
      </c>
      <c r="D1528" s="32" t="s">
        <v>134</v>
      </c>
      <c r="E1528" s="36">
        <f t="shared" si="118"/>
        <v>22142724.636560332</v>
      </c>
      <c r="F1528" s="36">
        <v>0</v>
      </c>
      <c r="G1528" s="58">
        <v>-20683</v>
      </c>
      <c r="H1528" s="35">
        <f t="shared" si="119"/>
        <v>-20683</v>
      </c>
      <c r="I1528" s="35">
        <f t="shared" si="116"/>
        <v>0</v>
      </c>
      <c r="J1528" s="35">
        <f t="shared" si="117"/>
        <v>1201.3589540383045</v>
      </c>
      <c r="K1528" s="45">
        <f t="shared" si="115"/>
        <v>22120840.277606294</v>
      </c>
    </row>
    <row r="1529" spans="2:11">
      <c r="B1529" s="43">
        <v>45514</v>
      </c>
      <c r="C1529" s="32" t="s">
        <v>27</v>
      </c>
      <c r="D1529" s="32" t="s">
        <v>134</v>
      </c>
      <c r="E1529" s="36">
        <f t="shared" si="118"/>
        <v>22120840.277606294</v>
      </c>
      <c r="F1529" s="36">
        <v>0</v>
      </c>
      <c r="G1529" s="58">
        <v>-18730</v>
      </c>
      <c r="H1529" s="35">
        <f t="shared" si="119"/>
        <v>-18730</v>
      </c>
      <c r="I1529" s="35">
        <f t="shared" si="116"/>
        <v>0</v>
      </c>
      <c r="J1529" s="35">
        <f t="shared" si="117"/>
        <v>1200.1716127777167</v>
      </c>
      <c r="K1529" s="45">
        <f t="shared" si="115"/>
        <v>22100910.105993517</v>
      </c>
    </row>
    <row r="1530" spans="2:11">
      <c r="B1530" s="43">
        <v>45515</v>
      </c>
      <c r="C1530" s="32" t="s">
        <v>25</v>
      </c>
      <c r="D1530" s="32" t="s">
        <v>132</v>
      </c>
      <c r="E1530" s="36">
        <f t="shared" si="118"/>
        <v>22100910.105993517</v>
      </c>
      <c r="F1530" s="36">
        <v>15553.9</v>
      </c>
      <c r="G1530" s="58">
        <v>0</v>
      </c>
      <c r="H1530" s="35">
        <f t="shared" si="119"/>
        <v>15553.9</v>
      </c>
      <c r="I1530" s="35">
        <f t="shared" si="116"/>
        <v>0</v>
      </c>
      <c r="J1530" s="35">
        <f t="shared" si="117"/>
        <v>2398.1805928609006</v>
      </c>
      <c r="K1530" s="45">
        <f t="shared" si="115"/>
        <v>22114065.825400654</v>
      </c>
    </row>
    <row r="1531" spans="2:11">
      <c r="B1531" s="43">
        <v>45515</v>
      </c>
      <c r="C1531" s="32" t="s">
        <v>27</v>
      </c>
      <c r="D1531" s="32" t="s">
        <v>132</v>
      </c>
      <c r="E1531" s="36">
        <f t="shared" si="118"/>
        <v>22114065.825400654</v>
      </c>
      <c r="F1531" s="36">
        <v>16901.330000000002</v>
      </c>
      <c r="G1531" s="58">
        <v>0</v>
      </c>
      <c r="H1531" s="35">
        <f t="shared" si="119"/>
        <v>16901.330000000002</v>
      </c>
      <c r="I1531" s="35">
        <f t="shared" si="116"/>
        <v>0</v>
      </c>
      <c r="J1531" s="35">
        <f t="shared" si="117"/>
        <v>1199.8040632123614</v>
      </c>
      <c r="K1531" s="45">
        <f t="shared" si="115"/>
        <v>22129767.35133744</v>
      </c>
    </row>
    <row r="1532" spans="2:11">
      <c r="B1532" s="43">
        <v>45515</v>
      </c>
      <c r="C1532" s="32" t="s">
        <v>25</v>
      </c>
      <c r="D1532" s="32" t="s">
        <v>132</v>
      </c>
      <c r="E1532" s="36">
        <f t="shared" si="118"/>
        <v>22129767.35133744</v>
      </c>
      <c r="F1532" s="36">
        <v>17500.59</v>
      </c>
      <c r="G1532" s="58">
        <v>0</v>
      </c>
      <c r="H1532" s="35">
        <f t="shared" si="119"/>
        <v>17500.59</v>
      </c>
      <c r="I1532" s="35">
        <f t="shared" si="116"/>
        <v>0</v>
      </c>
      <c r="J1532" s="35">
        <f t="shared" si="117"/>
        <v>1200.6559533517111</v>
      </c>
      <c r="K1532" s="45">
        <f t="shared" si="115"/>
        <v>22146067.285384089</v>
      </c>
    </row>
    <row r="1533" spans="2:11">
      <c r="B1533" s="43">
        <v>45515</v>
      </c>
      <c r="C1533" s="32" t="s">
        <v>25</v>
      </c>
      <c r="D1533" s="32" t="s">
        <v>132</v>
      </c>
      <c r="E1533" s="36">
        <f t="shared" si="118"/>
        <v>22146067.285384089</v>
      </c>
      <c r="F1533" s="36">
        <v>14359.67</v>
      </c>
      <c r="G1533" s="58">
        <v>0</v>
      </c>
      <c r="H1533" s="35">
        <f t="shared" si="119"/>
        <v>14359.67</v>
      </c>
      <c r="I1533" s="35">
        <f t="shared" si="116"/>
        <v>0</v>
      </c>
      <c r="J1533" s="35">
        <f t="shared" si="117"/>
        <v>1201.5403102697774</v>
      </c>
      <c r="K1533" s="45">
        <f t="shared" si="115"/>
        <v>22159225.415073819</v>
      </c>
    </row>
    <row r="1534" spans="2:11">
      <c r="B1534" s="43">
        <v>45515</v>
      </c>
      <c r="C1534" s="32" t="s">
        <v>25</v>
      </c>
      <c r="D1534" s="32" t="s">
        <v>134</v>
      </c>
      <c r="E1534" s="36">
        <f t="shared" si="118"/>
        <v>22159225.415073819</v>
      </c>
      <c r="F1534" s="36">
        <v>0</v>
      </c>
      <c r="G1534" s="58">
        <v>-7129.28</v>
      </c>
      <c r="H1534" s="35">
        <f t="shared" si="119"/>
        <v>-7129.28</v>
      </c>
      <c r="I1534" s="35">
        <f t="shared" si="116"/>
        <v>0</v>
      </c>
      <c r="J1534" s="35">
        <f t="shared" si="117"/>
        <v>1202.2542078221613</v>
      </c>
      <c r="K1534" s="45">
        <f t="shared" si="115"/>
        <v>22150893.880865995</v>
      </c>
    </row>
    <row r="1535" spans="2:11">
      <c r="B1535" s="43">
        <v>45515</v>
      </c>
      <c r="C1535" s="32" t="s">
        <v>25</v>
      </c>
      <c r="D1535" s="32" t="s">
        <v>134</v>
      </c>
      <c r="E1535" s="36">
        <f t="shared" si="118"/>
        <v>22150893.880865995</v>
      </c>
      <c r="F1535" s="36">
        <v>0</v>
      </c>
      <c r="G1535" s="58">
        <v>-12244</v>
      </c>
      <c r="H1535" s="35">
        <f t="shared" si="119"/>
        <v>-12244</v>
      </c>
      <c r="I1535" s="35">
        <f t="shared" si="116"/>
        <v>0</v>
      </c>
      <c r="J1535" s="35">
        <f t="shared" si="117"/>
        <v>1201.8021783910172</v>
      </c>
      <c r="K1535" s="45">
        <f t="shared" si="115"/>
        <v>22137448.078687605</v>
      </c>
    </row>
    <row r="1536" spans="2:11">
      <c r="B1536" s="43">
        <v>45515</v>
      </c>
      <c r="C1536" s="32" t="s">
        <v>27</v>
      </c>
      <c r="D1536" s="32" t="s">
        <v>134</v>
      </c>
      <c r="E1536" s="36">
        <f t="shared" si="118"/>
        <v>22137448.078687605</v>
      </c>
      <c r="F1536" s="36">
        <v>0</v>
      </c>
      <c r="G1536" s="58">
        <v>-13738</v>
      </c>
      <c r="H1536" s="35">
        <f t="shared" si="119"/>
        <v>-13738</v>
      </c>
      <c r="I1536" s="35">
        <f t="shared" si="116"/>
        <v>0</v>
      </c>
      <c r="J1536" s="35">
        <f t="shared" si="117"/>
        <v>1201.0726730972303</v>
      </c>
      <c r="K1536" s="45">
        <f t="shared" si="115"/>
        <v>22122509.006014507</v>
      </c>
    </row>
    <row r="1537" spans="2:11">
      <c r="B1537" s="43">
        <v>45515</v>
      </c>
      <c r="C1537" s="32" t="s">
        <v>29</v>
      </c>
      <c r="D1537" s="32" t="s">
        <v>134</v>
      </c>
      <c r="E1537" s="36">
        <f t="shared" si="118"/>
        <v>22122509.006014507</v>
      </c>
      <c r="F1537" s="36">
        <v>0</v>
      </c>
      <c r="G1537" s="58">
        <v>-11019</v>
      </c>
      <c r="H1537" s="35">
        <f t="shared" si="119"/>
        <v>-11019</v>
      </c>
      <c r="I1537" s="35">
        <f t="shared" si="116"/>
        <v>0</v>
      </c>
      <c r="J1537" s="35">
        <f t="shared" si="117"/>
        <v>1200.2621500466378</v>
      </c>
      <c r="K1537" s="45">
        <f t="shared" si="115"/>
        <v>22110289.743864462</v>
      </c>
    </row>
    <row r="1538" spans="2:11">
      <c r="B1538" s="43">
        <v>45515</v>
      </c>
      <c r="C1538" s="32" t="s">
        <v>29</v>
      </c>
      <c r="D1538" s="32" t="s">
        <v>134</v>
      </c>
      <c r="E1538" s="36">
        <f t="shared" si="118"/>
        <v>22110289.743864462</v>
      </c>
      <c r="F1538" s="36">
        <v>0</v>
      </c>
      <c r="G1538" s="58">
        <v>-9387</v>
      </c>
      <c r="H1538" s="35">
        <f t="shared" si="119"/>
        <v>-9387</v>
      </c>
      <c r="I1538" s="35">
        <f t="shared" si="116"/>
        <v>0</v>
      </c>
      <c r="J1538" s="35">
        <f t="shared" si="117"/>
        <v>1199.5991909828078</v>
      </c>
      <c r="K1538" s="45">
        <f t="shared" si="115"/>
        <v>22099703.144673478</v>
      </c>
    </row>
    <row r="1539" spans="2:11">
      <c r="B1539" s="43">
        <v>45516</v>
      </c>
      <c r="C1539" s="32" t="s">
        <v>29</v>
      </c>
      <c r="D1539" s="32" t="s">
        <v>132</v>
      </c>
      <c r="E1539" s="36">
        <f t="shared" si="118"/>
        <v>22099703.144673478</v>
      </c>
      <c r="F1539" s="36">
        <v>13123.31</v>
      </c>
      <c r="G1539" s="58">
        <v>0</v>
      </c>
      <c r="H1539" s="35">
        <f t="shared" si="119"/>
        <v>13123.31</v>
      </c>
      <c r="I1539" s="35">
        <f t="shared" si="116"/>
        <v>0</v>
      </c>
      <c r="J1539" s="35">
        <f t="shared" si="117"/>
        <v>2398.0496248962254</v>
      </c>
      <c r="K1539" s="45">
        <f t="shared" si="115"/>
        <v>22110428.405048579</v>
      </c>
    </row>
    <row r="1540" spans="2:11">
      <c r="B1540" s="43">
        <v>45516</v>
      </c>
      <c r="C1540" s="32" t="s">
        <v>27</v>
      </c>
      <c r="D1540" s="32" t="s">
        <v>132</v>
      </c>
      <c r="E1540" s="36">
        <f t="shared" si="118"/>
        <v>22110428.405048579</v>
      </c>
      <c r="F1540" s="36">
        <v>17684.77</v>
      </c>
      <c r="G1540" s="58">
        <v>0</v>
      </c>
      <c r="H1540" s="35">
        <f t="shared" si="119"/>
        <v>17684.77</v>
      </c>
      <c r="I1540" s="35">
        <f t="shared" si="116"/>
        <v>0</v>
      </c>
      <c r="J1540" s="35">
        <f t="shared" si="117"/>
        <v>1199.6067140793486</v>
      </c>
      <c r="K1540" s="45">
        <f t="shared" si="115"/>
        <v>22126913.568334498</v>
      </c>
    </row>
    <row r="1541" spans="2:11">
      <c r="B1541" s="43">
        <v>45516</v>
      </c>
      <c r="C1541" s="32" t="s">
        <v>27</v>
      </c>
      <c r="D1541" s="32" t="s">
        <v>132</v>
      </c>
      <c r="E1541" s="36">
        <f t="shared" si="118"/>
        <v>22126913.568334498</v>
      </c>
      <c r="F1541" s="36">
        <v>17335.080000000002</v>
      </c>
      <c r="G1541" s="58">
        <v>0</v>
      </c>
      <c r="H1541" s="35">
        <f t="shared" si="119"/>
        <v>17335.080000000002</v>
      </c>
      <c r="I1541" s="35">
        <f t="shared" si="116"/>
        <v>0</v>
      </c>
      <c r="J1541" s="35">
        <f t="shared" si="117"/>
        <v>1200.5011206552053</v>
      </c>
      <c r="K1541" s="45">
        <f t="shared" si="115"/>
        <v>22143048.147213839</v>
      </c>
    </row>
    <row r="1542" spans="2:11">
      <c r="B1542" s="43">
        <v>45516</v>
      </c>
      <c r="C1542" s="32" t="s">
        <v>27</v>
      </c>
      <c r="D1542" s="32" t="s">
        <v>132</v>
      </c>
      <c r="E1542" s="36">
        <f t="shared" si="118"/>
        <v>22143048.147213839</v>
      </c>
      <c r="F1542" s="36">
        <v>11237.13</v>
      </c>
      <c r="G1542" s="58">
        <v>0</v>
      </c>
      <c r="H1542" s="35">
        <f t="shared" si="119"/>
        <v>11237.13</v>
      </c>
      <c r="I1542" s="35">
        <f t="shared" si="116"/>
        <v>0</v>
      </c>
      <c r="J1542" s="35">
        <f t="shared" si="117"/>
        <v>1201.3765061881279</v>
      </c>
      <c r="K1542" s="45">
        <f t="shared" si="115"/>
        <v>22153083.900707651</v>
      </c>
    </row>
    <row r="1543" spans="2:11">
      <c r="B1543" s="43">
        <v>45516</v>
      </c>
      <c r="C1543" s="32" t="s">
        <v>27</v>
      </c>
      <c r="D1543" s="32" t="s">
        <v>134</v>
      </c>
      <c r="E1543" s="36">
        <f t="shared" si="118"/>
        <v>22153083.900707651</v>
      </c>
      <c r="F1543" s="36">
        <v>0</v>
      </c>
      <c r="G1543" s="58">
        <v>-14710.8</v>
      </c>
      <c r="H1543" s="35">
        <f t="shared" si="119"/>
        <v>-14710.8</v>
      </c>
      <c r="I1543" s="35">
        <f t="shared" si="116"/>
        <v>0</v>
      </c>
      <c r="J1543" s="35">
        <f t="shared" si="117"/>
        <v>1201.9209984544682</v>
      </c>
      <c r="K1543" s="45">
        <f t="shared" si="115"/>
        <v>22137171.179709196</v>
      </c>
    </row>
    <row r="1544" spans="2:11">
      <c r="B1544" s="43">
        <v>45516</v>
      </c>
      <c r="C1544" s="32" t="s">
        <v>29</v>
      </c>
      <c r="D1544" s="32" t="s">
        <v>134</v>
      </c>
      <c r="E1544" s="36">
        <f t="shared" si="118"/>
        <v>22137171.179709196</v>
      </c>
      <c r="F1544" s="36">
        <v>0</v>
      </c>
      <c r="G1544" s="58">
        <v>-13520.37</v>
      </c>
      <c r="H1544" s="35">
        <f t="shared" si="119"/>
        <v>-13520.37</v>
      </c>
      <c r="I1544" s="35">
        <f t="shared" si="116"/>
        <v>0</v>
      </c>
      <c r="J1544" s="35">
        <f t="shared" si="117"/>
        <v>1201.0576498752675</v>
      </c>
      <c r="K1544" s="45">
        <f t="shared" ref="K1544:K1607" si="120">E1544+H1544+I1544-J1544</f>
        <v>22122449.752059318</v>
      </c>
    </row>
    <row r="1545" spans="2:11">
      <c r="B1545" s="43">
        <v>45516</v>
      </c>
      <c r="C1545" s="32" t="s">
        <v>27</v>
      </c>
      <c r="D1545" s="32" t="s">
        <v>134</v>
      </c>
      <c r="E1545" s="36">
        <f t="shared" si="118"/>
        <v>22122449.752059318</v>
      </c>
      <c r="F1545" s="36">
        <v>0</v>
      </c>
      <c r="G1545" s="58">
        <v>-11254.07</v>
      </c>
      <c r="H1545" s="35">
        <f t="shared" si="119"/>
        <v>-11254.07</v>
      </c>
      <c r="I1545" s="35">
        <f t="shared" si="116"/>
        <v>0</v>
      </c>
      <c r="J1545" s="35">
        <f t="shared" si="117"/>
        <v>1200.2589352087714</v>
      </c>
      <c r="K1545" s="45">
        <f t="shared" si="120"/>
        <v>22109995.423124108</v>
      </c>
    </row>
    <row r="1546" spans="2:11">
      <c r="B1546" s="43">
        <v>45516</v>
      </c>
      <c r="C1546" s="32" t="s">
        <v>27</v>
      </c>
      <c r="D1546" s="32" t="s">
        <v>134</v>
      </c>
      <c r="E1546" s="36">
        <f t="shared" si="118"/>
        <v>22109995.423124108</v>
      </c>
      <c r="F1546" s="36">
        <v>0</v>
      </c>
      <c r="G1546" s="58">
        <v>-8307.2900000000009</v>
      </c>
      <c r="H1546" s="35">
        <f t="shared" si="119"/>
        <v>-8307.2900000000009</v>
      </c>
      <c r="I1546" s="35">
        <f t="shared" si="116"/>
        <v>0</v>
      </c>
      <c r="J1546" s="35">
        <f t="shared" si="117"/>
        <v>1199.5832225388795</v>
      </c>
      <c r="K1546" s="45">
        <f t="shared" si="120"/>
        <v>22100488.549901571</v>
      </c>
    </row>
    <row r="1547" spans="2:11">
      <c r="B1547" s="43">
        <v>45516</v>
      </c>
      <c r="C1547" s="32" t="s">
        <v>27</v>
      </c>
      <c r="D1547" s="32" t="s">
        <v>134</v>
      </c>
      <c r="E1547" s="36">
        <f t="shared" si="118"/>
        <v>22100488.549901571</v>
      </c>
      <c r="F1547" s="36">
        <v>0</v>
      </c>
      <c r="G1547" s="58">
        <v>-13206</v>
      </c>
      <c r="H1547" s="35">
        <f t="shared" si="119"/>
        <v>-13206</v>
      </c>
      <c r="I1547" s="35">
        <f t="shared" si="116"/>
        <v>0</v>
      </c>
      <c r="J1547" s="35">
        <f t="shared" si="117"/>
        <v>1199.0674248013261</v>
      </c>
      <c r="K1547" s="45">
        <f t="shared" si="120"/>
        <v>22086083.482476771</v>
      </c>
    </row>
    <row r="1548" spans="2:11">
      <c r="B1548" s="43">
        <v>45516</v>
      </c>
      <c r="C1548" s="32" t="s">
        <v>29</v>
      </c>
      <c r="D1548" s="32" t="s">
        <v>134</v>
      </c>
      <c r="E1548" s="36">
        <f t="shared" si="118"/>
        <v>22086083.482476771</v>
      </c>
      <c r="F1548" s="36">
        <v>0</v>
      </c>
      <c r="G1548" s="58">
        <v>-8512</v>
      </c>
      <c r="H1548" s="35">
        <f t="shared" si="119"/>
        <v>-8512</v>
      </c>
      <c r="I1548" s="35">
        <f t="shared" si="116"/>
        <v>0</v>
      </c>
      <c r="J1548" s="35">
        <f t="shared" si="117"/>
        <v>1198.2858743364056</v>
      </c>
      <c r="K1548" s="45">
        <f t="shared" si="120"/>
        <v>22076373.196602434</v>
      </c>
    </row>
    <row r="1549" spans="2:11">
      <c r="B1549" s="43">
        <v>45516</v>
      </c>
      <c r="C1549" s="32" t="s">
        <v>25</v>
      </c>
      <c r="D1549" s="32" t="s">
        <v>134</v>
      </c>
      <c r="E1549" s="36">
        <f t="shared" si="118"/>
        <v>22076373.196602434</v>
      </c>
      <c r="F1549" s="36">
        <v>0</v>
      </c>
      <c r="G1549" s="58">
        <v>-4545</v>
      </c>
      <c r="H1549" s="35">
        <f t="shared" si="119"/>
        <v>-4545</v>
      </c>
      <c r="I1549" s="35">
        <f t="shared" si="116"/>
        <v>0</v>
      </c>
      <c r="J1549" s="35">
        <f t="shared" si="117"/>
        <v>1197.7590403955569</v>
      </c>
      <c r="K1549" s="45">
        <f t="shared" si="120"/>
        <v>22070630.437562037</v>
      </c>
    </row>
    <row r="1550" spans="2:11">
      <c r="B1550" s="43">
        <v>45517</v>
      </c>
      <c r="C1550" s="32" t="s">
        <v>29</v>
      </c>
      <c r="D1550" s="32" t="s">
        <v>132</v>
      </c>
      <c r="E1550" s="36">
        <f t="shared" si="118"/>
        <v>22070630.437562037</v>
      </c>
      <c r="F1550" s="36">
        <v>22389.73</v>
      </c>
      <c r="G1550" s="58">
        <v>0</v>
      </c>
      <c r="H1550" s="35">
        <f t="shared" si="119"/>
        <v>22389.73</v>
      </c>
      <c r="I1550" s="35">
        <f t="shared" si="116"/>
        <v>0</v>
      </c>
      <c r="J1550" s="35">
        <f t="shared" si="117"/>
        <v>2394.8949311916581</v>
      </c>
      <c r="K1550" s="45">
        <f t="shared" si="120"/>
        <v>22090625.272630844</v>
      </c>
    </row>
    <row r="1551" spans="2:11">
      <c r="B1551" s="43">
        <v>45517</v>
      </c>
      <c r="C1551" s="32" t="s">
        <v>29</v>
      </c>
      <c r="D1551" s="32" t="s">
        <v>132</v>
      </c>
      <c r="E1551" s="36">
        <f t="shared" si="118"/>
        <v>22090625.272630844</v>
      </c>
      <c r="F1551" s="36">
        <v>11030.73</v>
      </c>
      <c r="G1551" s="58">
        <v>0</v>
      </c>
      <c r="H1551" s="35">
        <f t="shared" si="119"/>
        <v>11030.73</v>
      </c>
      <c r="I1551" s="35">
        <f t="shared" si="116"/>
        <v>0</v>
      </c>
      <c r="J1551" s="35">
        <f t="shared" si="117"/>
        <v>1198.5322902747564</v>
      </c>
      <c r="K1551" s="45">
        <f t="shared" si="120"/>
        <v>22100457.470340569</v>
      </c>
    </row>
    <row r="1552" spans="2:11">
      <c r="B1552" s="43">
        <v>45517</v>
      </c>
      <c r="C1552" s="32" t="s">
        <v>25</v>
      </c>
      <c r="D1552" s="32" t="s">
        <v>132</v>
      </c>
      <c r="E1552" s="36">
        <f t="shared" si="118"/>
        <v>22100457.470340569</v>
      </c>
      <c r="F1552" s="36">
        <v>15358.74</v>
      </c>
      <c r="G1552" s="58">
        <v>0</v>
      </c>
      <c r="H1552" s="35">
        <f t="shared" si="119"/>
        <v>15358.74</v>
      </c>
      <c r="I1552" s="35">
        <f t="shared" si="116"/>
        <v>0</v>
      </c>
      <c r="J1552" s="35">
        <f t="shared" si="117"/>
        <v>1199.065738572124</v>
      </c>
      <c r="K1552" s="45">
        <f t="shared" si="120"/>
        <v>22114617.144601993</v>
      </c>
    </row>
    <row r="1553" spans="2:11">
      <c r="B1553" s="43">
        <v>45517</v>
      </c>
      <c r="C1553" s="32" t="s">
        <v>29</v>
      </c>
      <c r="D1553" s="32" t="s">
        <v>134</v>
      </c>
      <c r="E1553" s="36">
        <f t="shared" si="118"/>
        <v>22114617.144601993</v>
      </c>
      <c r="F1553" s="36">
        <v>0</v>
      </c>
      <c r="G1553" s="58">
        <v>-8586.85</v>
      </c>
      <c r="H1553" s="35">
        <f t="shared" si="119"/>
        <v>-8586.85</v>
      </c>
      <c r="I1553" s="35">
        <f t="shared" si="116"/>
        <v>0</v>
      </c>
      <c r="J1553" s="35">
        <f t="shared" si="117"/>
        <v>1199.8339751708008</v>
      </c>
      <c r="K1553" s="45">
        <f t="shared" si="120"/>
        <v>22104830.460626822</v>
      </c>
    </row>
    <row r="1554" spans="2:11">
      <c r="B1554" s="43">
        <v>45517</v>
      </c>
      <c r="C1554" s="32" t="s">
        <v>29</v>
      </c>
      <c r="D1554" s="32" t="s">
        <v>134</v>
      </c>
      <c r="E1554" s="36">
        <f t="shared" si="118"/>
        <v>22104830.460626822</v>
      </c>
      <c r="F1554" s="36">
        <v>0</v>
      </c>
      <c r="G1554" s="58">
        <v>-4162.24</v>
      </c>
      <c r="H1554" s="35">
        <f t="shared" si="119"/>
        <v>-4162.24</v>
      </c>
      <c r="I1554" s="35">
        <f t="shared" si="116"/>
        <v>0</v>
      </c>
      <c r="J1554" s="35">
        <f t="shared" si="117"/>
        <v>1199.3029962322603</v>
      </c>
      <c r="K1554" s="45">
        <f t="shared" si="120"/>
        <v>22099468.91763059</v>
      </c>
    </row>
    <row r="1555" spans="2:11">
      <c r="B1555" s="43">
        <v>45517</v>
      </c>
      <c r="C1555" s="32" t="s">
        <v>25</v>
      </c>
      <c r="D1555" s="32" t="s">
        <v>134</v>
      </c>
      <c r="E1555" s="36">
        <f t="shared" si="118"/>
        <v>22099468.91763059</v>
      </c>
      <c r="F1555" s="36">
        <v>0</v>
      </c>
      <c r="G1555" s="58">
        <v>-4578</v>
      </c>
      <c r="H1555" s="35">
        <f t="shared" si="119"/>
        <v>-4578</v>
      </c>
      <c r="I1555" s="35">
        <f t="shared" si="116"/>
        <v>0</v>
      </c>
      <c r="J1555" s="35">
        <f t="shared" si="117"/>
        <v>1199.0121044024738</v>
      </c>
      <c r="K1555" s="45">
        <f t="shared" si="120"/>
        <v>22093691.905526187</v>
      </c>
    </row>
    <row r="1556" spans="2:11">
      <c r="B1556" s="43">
        <v>45517</v>
      </c>
      <c r="C1556" s="32" t="s">
        <v>27</v>
      </c>
      <c r="D1556" s="32" t="s">
        <v>134</v>
      </c>
      <c r="E1556" s="36">
        <f t="shared" si="118"/>
        <v>22093691.905526187</v>
      </c>
      <c r="F1556" s="36">
        <v>0</v>
      </c>
      <c r="G1556" s="58">
        <v>-2047</v>
      </c>
      <c r="H1556" s="35">
        <f t="shared" si="119"/>
        <v>-2047</v>
      </c>
      <c r="I1556" s="35">
        <f t="shared" ref="I1556:I1619" si="121">(($E1556*Daily_Interest)*(_xlfn.DAYS(B1556,B1555)+1))+((IF(DAY($B1555)&gt;Monthly_Cut_off_Date,0,Daily_Interest*H1556))*(_xlfn.DAYS(B1556,B1555)+1))</f>
        <v>0</v>
      </c>
      <c r="J1556" s="35">
        <f t="shared" ref="J1556:J1619" si="122">(($I1556+E1556)*Daily_Fees_Rate)*((_xlfn.DAYS(B1556,B1555)+1))</f>
        <v>1198.6986711943603</v>
      </c>
      <c r="K1556" s="45">
        <f t="shared" si="120"/>
        <v>22090446.206854992</v>
      </c>
    </row>
    <row r="1557" spans="2:11">
      <c r="B1557" s="43">
        <v>45518</v>
      </c>
      <c r="C1557" s="32" t="s">
        <v>27</v>
      </c>
      <c r="D1557" s="32" t="s">
        <v>132</v>
      </c>
      <c r="E1557" s="36">
        <f t="shared" ref="E1557:E1620" si="123">K1556</f>
        <v>22090446.206854992</v>
      </c>
      <c r="F1557" s="36">
        <v>15533.1</v>
      </c>
      <c r="G1557" s="58">
        <v>0</v>
      </c>
      <c r="H1557" s="35">
        <f t="shared" ref="H1557:H1620" si="124">SUM(F1557:G1557)</f>
        <v>15533.1</v>
      </c>
      <c r="I1557" s="35">
        <f t="shared" si="121"/>
        <v>0</v>
      </c>
      <c r="J1557" s="35">
        <f t="shared" si="122"/>
        <v>2397.0451500343693</v>
      </c>
      <c r="K1557" s="45">
        <f t="shared" si="120"/>
        <v>22103582.261704959</v>
      </c>
    </row>
    <row r="1558" spans="2:11">
      <c r="B1558" s="43">
        <v>45518</v>
      </c>
      <c r="C1558" s="32" t="s">
        <v>25</v>
      </c>
      <c r="D1558" s="32" t="s">
        <v>132</v>
      </c>
      <c r="E1558" s="36">
        <f t="shared" si="123"/>
        <v>22103582.261704959</v>
      </c>
      <c r="F1558" s="36">
        <v>14072.48</v>
      </c>
      <c r="G1558" s="58">
        <v>0</v>
      </c>
      <c r="H1558" s="35">
        <f t="shared" si="124"/>
        <v>14072.48</v>
      </c>
      <c r="I1558" s="35">
        <f t="shared" si="121"/>
        <v>0</v>
      </c>
      <c r="J1558" s="35">
        <f t="shared" si="122"/>
        <v>1199.2352748937251</v>
      </c>
      <c r="K1558" s="45">
        <f t="shared" si="120"/>
        <v>22116455.506430067</v>
      </c>
    </row>
    <row r="1559" spans="2:11">
      <c r="B1559" s="43">
        <v>45518</v>
      </c>
      <c r="C1559" s="32" t="s">
        <v>25</v>
      </c>
      <c r="D1559" s="32" t="s">
        <v>134</v>
      </c>
      <c r="E1559" s="36">
        <f t="shared" si="123"/>
        <v>22116455.506430067</v>
      </c>
      <c r="F1559" s="36">
        <v>0</v>
      </c>
      <c r="G1559" s="58">
        <v>-16853</v>
      </c>
      <c r="H1559" s="35">
        <f t="shared" si="124"/>
        <v>-16853</v>
      </c>
      <c r="I1559" s="35">
        <f t="shared" si="121"/>
        <v>0</v>
      </c>
      <c r="J1559" s="35">
        <f t="shared" si="122"/>
        <v>1199.9337159425065</v>
      </c>
      <c r="K1559" s="45">
        <f t="shared" si="120"/>
        <v>22098402.572714124</v>
      </c>
    </row>
    <row r="1560" spans="2:11">
      <c r="B1560" s="43">
        <v>45518</v>
      </c>
      <c r="C1560" s="32" t="s">
        <v>29</v>
      </c>
      <c r="D1560" s="32" t="s">
        <v>134</v>
      </c>
      <c r="E1560" s="36">
        <f t="shared" si="123"/>
        <v>22098402.572714124</v>
      </c>
      <c r="F1560" s="36">
        <v>0</v>
      </c>
      <c r="G1560" s="58">
        <v>-13297</v>
      </c>
      <c r="H1560" s="35">
        <f t="shared" si="124"/>
        <v>-13297</v>
      </c>
      <c r="I1560" s="35">
        <f t="shared" si="121"/>
        <v>0</v>
      </c>
      <c r="J1560" s="35">
        <f t="shared" si="122"/>
        <v>1198.9542495975879</v>
      </c>
      <c r="K1560" s="45">
        <f t="shared" si="120"/>
        <v>22083906.618464526</v>
      </c>
    </row>
    <row r="1561" spans="2:11">
      <c r="B1561" s="43">
        <v>45518</v>
      </c>
      <c r="C1561" s="32" t="s">
        <v>27</v>
      </c>
      <c r="D1561" s="32" t="s">
        <v>134</v>
      </c>
      <c r="E1561" s="36">
        <f t="shared" si="123"/>
        <v>22083906.618464526</v>
      </c>
      <c r="F1561" s="36">
        <v>0</v>
      </c>
      <c r="G1561" s="58">
        <v>-11222</v>
      </c>
      <c r="H1561" s="35">
        <f t="shared" si="124"/>
        <v>-11222</v>
      </c>
      <c r="I1561" s="35">
        <f t="shared" si="121"/>
        <v>0</v>
      </c>
      <c r="J1561" s="35">
        <f t="shared" si="122"/>
        <v>1198.1677680457049</v>
      </c>
      <c r="K1561" s="45">
        <f t="shared" si="120"/>
        <v>22071486.45069648</v>
      </c>
    </row>
    <row r="1562" spans="2:11">
      <c r="B1562" s="43">
        <v>45519</v>
      </c>
      <c r="C1562" s="32" t="s">
        <v>25</v>
      </c>
      <c r="D1562" s="32" t="s">
        <v>132</v>
      </c>
      <c r="E1562" s="36">
        <f t="shared" si="123"/>
        <v>22071486.45069648</v>
      </c>
      <c r="F1562" s="36">
        <v>10455.459999999999</v>
      </c>
      <c r="G1562" s="58">
        <v>0</v>
      </c>
      <c r="H1562" s="35">
        <f t="shared" si="124"/>
        <v>10455.459999999999</v>
      </c>
      <c r="I1562" s="35">
        <f t="shared" si="121"/>
        <v>0</v>
      </c>
      <c r="J1562" s="35">
        <f t="shared" si="122"/>
        <v>2394.9878175966255</v>
      </c>
      <c r="K1562" s="45">
        <f t="shared" si="120"/>
        <v>22079546.922878884</v>
      </c>
    </row>
    <row r="1563" spans="2:11">
      <c r="B1563" s="43">
        <v>45519</v>
      </c>
      <c r="C1563" s="32" t="s">
        <v>29</v>
      </c>
      <c r="D1563" s="32" t="s">
        <v>132</v>
      </c>
      <c r="E1563" s="36">
        <f t="shared" si="123"/>
        <v>22079546.922878884</v>
      </c>
      <c r="F1563" s="36">
        <v>12416.15</v>
      </c>
      <c r="G1563" s="58">
        <v>0</v>
      </c>
      <c r="H1563" s="35">
        <f t="shared" si="124"/>
        <v>12416.15</v>
      </c>
      <c r="I1563" s="35">
        <f t="shared" si="121"/>
        <v>0</v>
      </c>
      <c r="J1563" s="35">
        <f t="shared" si="122"/>
        <v>1197.9312316928097</v>
      </c>
      <c r="K1563" s="45">
        <f t="shared" si="120"/>
        <v>22090765.14164719</v>
      </c>
    </row>
    <row r="1564" spans="2:11">
      <c r="B1564" s="43">
        <v>45519</v>
      </c>
      <c r="C1564" s="32" t="s">
        <v>25</v>
      </c>
      <c r="D1564" s="32" t="s">
        <v>132</v>
      </c>
      <c r="E1564" s="36">
        <f t="shared" si="123"/>
        <v>22090765.14164719</v>
      </c>
      <c r="F1564" s="36">
        <v>14451.31</v>
      </c>
      <c r="G1564" s="58">
        <v>0</v>
      </c>
      <c r="H1564" s="35">
        <f t="shared" si="124"/>
        <v>14451.31</v>
      </c>
      <c r="I1564" s="35">
        <f t="shared" si="121"/>
        <v>0</v>
      </c>
      <c r="J1564" s="35">
        <f t="shared" si="122"/>
        <v>1198.5398789025307</v>
      </c>
      <c r="K1564" s="45">
        <f t="shared" si="120"/>
        <v>22104017.911768287</v>
      </c>
    </row>
    <row r="1565" spans="2:11">
      <c r="B1565" s="43">
        <v>45519</v>
      </c>
      <c r="C1565" s="32" t="s">
        <v>25</v>
      </c>
      <c r="D1565" s="32" t="s">
        <v>134</v>
      </c>
      <c r="E1565" s="36">
        <f t="shared" si="123"/>
        <v>22104017.911768287</v>
      </c>
      <c r="F1565" s="36">
        <v>0</v>
      </c>
      <c r="G1565" s="58">
        <v>-14513.59</v>
      </c>
      <c r="H1565" s="35">
        <f t="shared" si="124"/>
        <v>-14513.59</v>
      </c>
      <c r="I1565" s="35">
        <f t="shared" si="121"/>
        <v>0</v>
      </c>
      <c r="J1565" s="35">
        <f t="shared" si="122"/>
        <v>1199.2589111947223</v>
      </c>
      <c r="K1565" s="45">
        <f t="shared" si="120"/>
        <v>22088305.062857091</v>
      </c>
    </row>
    <row r="1566" spans="2:11">
      <c r="B1566" s="43">
        <v>45519</v>
      </c>
      <c r="C1566" s="32" t="s">
        <v>25</v>
      </c>
      <c r="D1566" s="32" t="s">
        <v>134</v>
      </c>
      <c r="E1566" s="36">
        <f t="shared" si="123"/>
        <v>22088305.062857091</v>
      </c>
      <c r="F1566" s="36">
        <v>0</v>
      </c>
      <c r="G1566" s="58">
        <v>-13091</v>
      </c>
      <c r="H1566" s="35">
        <f t="shared" si="124"/>
        <v>-13091</v>
      </c>
      <c r="I1566" s="35">
        <f t="shared" si="121"/>
        <v>0</v>
      </c>
      <c r="J1566" s="35">
        <f t="shared" si="122"/>
        <v>1198.40640672462</v>
      </c>
      <c r="K1566" s="45">
        <f t="shared" si="120"/>
        <v>22074015.656450368</v>
      </c>
    </row>
    <row r="1567" spans="2:11">
      <c r="B1567" s="43">
        <v>45520</v>
      </c>
      <c r="C1567" s="32" t="s">
        <v>27</v>
      </c>
      <c r="D1567" s="32" t="s">
        <v>132</v>
      </c>
      <c r="E1567" s="36">
        <f t="shared" si="123"/>
        <v>22074015.656450368</v>
      </c>
      <c r="F1567" s="36">
        <v>16039.51</v>
      </c>
      <c r="G1567" s="58">
        <v>0</v>
      </c>
      <c r="H1567" s="35">
        <f t="shared" si="124"/>
        <v>16039.51</v>
      </c>
      <c r="I1567" s="35">
        <f t="shared" si="121"/>
        <v>0</v>
      </c>
      <c r="J1567" s="35">
        <f t="shared" si="122"/>
        <v>2395.2622629531852</v>
      </c>
      <c r="K1567" s="45">
        <f t="shared" si="120"/>
        <v>22087659.904187419</v>
      </c>
    </row>
    <row r="1568" spans="2:11">
      <c r="B1568" s="43">
        <v>45520</v>
      </c>
      <c r="C1568" s="32" t="s">
        <v>29</v>
      </c>
      <c r="D1568" s="32" t="s">
        <v>134</v>
      </c>
      <c r="E1568" s="36">
        <f t="shared" si="123"/>
        <v>22087659.904187419</v>
      </c>
      <c r="F1568" s="36">
        <v>0</v>
      </c>
      <c r="G1568" s="58">
        <v>-20075</v>
      </c>
      <c r="H1568" s="35">
        <f t="shared" si="124"/>
        <v>-20075</v>
      </c>
      <c r="I1568" s="35">
        <f t="shared" si="121"/>
        <v>0</v>
      </c>
      <c r="J1568" s="35">
        <f t="shared" si="122"/>
        <v>1198.3714034828188</v>
      </c>
      <c r="K1568" s="45">
        <f t="shared" si="120"/>
        <v>22066386.532783937</v>
      </c>
    </row>
    <row r="1569" spans="2:11">
      <c r="B1569" s="43">
        <v>45520</v>
      </c>
      <c r="C1569" s="32" t="s">
        <v>25</v>
      </c>
      <c r="D1569" s="32" t="s">
        <v>134</v>
      </c>
      <c r="E1569" s="36">
        <f t="shared" si="123"/>
        <v>22066386.532783937</v>
      </c>
      <c r="F1569" s="36">
        <v>0</v>
      </c>
      <c r="G1569" s="58">
        <v>-19982</v>
      </c>
      <c r="H1569" s="35">
        <f t="shared" si="124"/>
        <v>-19982</v>
      </c>
      <c r="I1569" s="35">
        <f t="shared" si="121"/>
        <v>0</v>
      </c>
      <c r="J1569" s="35">
        <f t="shared" si="122"/>
        <v>1197.2172115015865</v>
      </c>
      <c r="K1569" s="45">
        <f t="shared" si="120"/>
        <v>22045207.315572437</v>
      </c>
    </row>
    <row r="1570" spans="2:11">
      <c r="B1570" s="43">
        <v>45521</v>
      </c>
      <c r="C1570" s="32" t="s">
        <v>29</v>
      </c>
      <c r="D1570" s="32" t="s">
        <v>132</v>
      </c>
      <c r="E1570" s="36">
        <f t="shared" si="123"/>
        <v>22045207.315572437</v>
      </c>
      <c r="F1570" s="36">
        <v>14616.25</v>
      </c>
      <c r="G1570" s="58">
        <v>0</v>
      </c>
      <c r="H1570" s="35">
        <f t="shared" si="124"/>
        <v>14616.25</v>
      </c>
      <c r="I1570" s="35">
        <f t="shared" si="121"/>
        <v>0</v>
      </c>
      <c r="J1570" s="35">
        <f t="shared" si="122"/>
        <v>2392.1362557582488</v>
      </c>
      <c r="K1570" s="45">
        <f t="shared" si="120"/>
        <v>22057431.429316677</v>
      </c>
    </row>
    <row r="1571" spans="2:11">
      <c r="B1571" s="43">
        <v>45521</v>
      </c>
      <c r="C1571" s="32" t="s">
        <v>25</v>
      </c>
      <c r="D1571" s="32" t="s">
        <v>132</v>
      </c>
      <c r="E1571" s="36">
        <f t="shared" si="123"/>
        <v>22057431.429316677</v>
      </c>
      <c r="F1571" s="36">
        <v>10017.120000000001</v>
      </c>
      <c r="G1571" s="58">
        <v>0</v>
      </c>
      <c r="H1571" s="35">
        <f t="shared" si="124"/>
        <v>10017.120000000001</v>
      </c>
      <c r="I1571" s="35">
        <f t="shared" si="121"/>
        <v>0</v>
      </c>
      <c r="J1571" s="35">
        <f t="shared" si="122"/>
        <v>1196.7313501673868</v>
      </c>
      <c r="K1571" s="45">
        <f t="shared" si="120"/>
        <v>22066251.81796651</v>
      </c>
    </row>
    <row r="1572" spans="2:11">
      <c r="B1572" s="43">
        <v>45521</v>
      </c>
      <c r="C1572" s="32" t="s">
        <v>29</v>
      </c>
      <c r="D1572" s="32" t="s">
        <v>132</v>
      </c>
      <c r="E1572" s="36">
        <f t="shared" si="123"/>
        <v>22066251.81796651</v>
      </c>
      <c r="F1572" s="36">
        <v>18141.29</v>
      </c>
      <c r="G1572" s="58">
        <v>0</v>
      </c>
      <c r="H1572" s="35">
        <f t="shared" si="124"/>
        <v>18141.29</v>
      </c>
      <c r="I1572" s="35">
        <f t="shared" si="121"/>
        <v>0</v>
      </c>
      <c r="J1572" s="35">
        <f t="shared" si="122"/>
        <v>1197.2099025161381</v>
      </c>
      <c r="K1572" s="45">
        <f t="shared" si="120"/>
        <v>22083195.898063991</v>
      </c>
    </row>
    <row r="1573" spans="2:11">
      <c r="B1573" s="43">
        <v>45521</v>
      </c>
      <c r="C1573" s="32" t="s">
        <v>29</v>
      </c>
      <c r="D1573" s="32" t="s">
        <v>132</v>
      </c>
      <c r="E1573" s="36">
        <f t="shared" si="123"/>
        <v>22083195.898063991</v>
      </c>
      <c r="F1573" s="36">
        <v>10159.32</v>
      </c>
      <c r="G1573" s="58">
        <v>0</v>
      </c>
      <c r="H1573" s="35">
        <f t="shared" si="124"/>
        <v>10159.32</v>
      </c>
      <c r="I1573" s="35">
        <f t="shared" si="121"/>
        <v>0</v>
      </c>
      <c r="J1573" s="35">
        <f t="shared" si="122"/>
        <v>1198.1292077361218</v>
      </c>
      <c r="K1573" s="45">
        <f t="shared" si="120"/>
        <v>22092157.088856254</v>
      </c>
    </row>
    <row r="1574" spans="2:11">
      <c r="B1574" s="43">
        <v>45521</v>
      </c>
      <c r="C1574" s="32" t="s">
        <v>27</v>
      </c>
      <c r="D1574" s="32" t="s">
        <v>132</v>
      </c>
      <c r="E1574" s="36">
        <f t="shared" si="123"/>
        <v>22092157.088856254</v>
      </c>
      <c r="F1574" s="36">
        <v>15905.38</v>
      </c>
      <c r="G1574" s="58">
        <v>0</v>
      </c>
      <c r="H1574" s="35">
        <f t="shared" si="124"/>
        <v>15905.38</v>
      </c>
      <c r="I1574" s="35">
        <f t="shared" si="121"/>
        <v>0</v>
      </c>
      <c r="J1574" s="35">
        <f t="shared" si="122"/>
        <v>1198.6153993396317</v>
      </c>
      <c r="K1574" s="45">
        <f t="shared" si="120"/>
        <v>22106863.853456914</v>
      </c>
    </row>
    <row r="1575" spans="2:11">
      <c r="B1575" s="43">
        <v>45521</v>
      </c>
      <c r="C1575" s="32" t="s">
        <v>29</v>
      </c>
      <c r="D1575" s="32" t="s">
        <v>134</v>
      </c>
      <c r="E1575" s="36">
        <f t="shared" si="123"/>
        <v>22106863.853456914</v>
      </c>
      <c r="F1575" s="36">
        <v>0</v>
      </c>
      <c r="G1575" s="58">
        <v>-2958</v>
      </c>
      <c r="H1575" s="35">
        <f t="shared" si="124"/>
        <v>-2958</v>
      </c>
      <c r="I1575" s="35">
        <f t="shared" si="121"/>
        <v>0</v>
      </c>
      <c r="J1575" s="35">
        <f t="shared" si="122"/>
        <v>1199.4133184587977</v>
      </c>
      <c r="K1575" s="45">
        <f t="shared" si="120"/>
        <v>22102706.440138455</v>
      </c>
    </row>
    <row r="1576" spans="2:11">
      <c r="B1576" s="43">
        <v>45521</v>
      </c>
      <c r="C1576" s="32" t="s">
        <v>29</v>
      </c>
      <c r="D1576" s="32" t="s">
        <v>134</v>
      </c>
      <c r="E1576" s="36">
        <f t="shared" si="123"/>
        <v>22102706.440138455</v>
      </c>
      <c r="F1576" s="36">
        <v>0</v>
      </c>
      <c r="G1576" s="58">
        <v>-8616</v>
      </c>
      <c r="H1576" s="35">
        <f t="shared" si="124"/>
        <v>-8616</v>
      </c>
      <c r="I1576" s="35">
        <f t="shared" si="121"/>
        <v>0</v>
      </c>
      <c r="J1576" s="35">
        <f t="shared" si="122"/>
        <v>1199.1877569799035</v>
      </c>
      <c r="K1576" s="45">
        <f t="shared" si="120"/>
        <v>22092891.252381474</v>
      </c>
    </row>
    <row r="1577" spans="2:11">
      <c r="B1577" s="43">
        <v>45521</v>
      </c>
      <c r="C1577" s="32" t="s">
        <v>29</v>
      </c>
      <c r="D1577" s="32" t="s">
        <v>134</v>
      </c>
      <c r="E1577" s="36">
        <f t="shared" si="123"/>
        <v>22092891.252381474</v>
      </c>
      <c r="F1577" s="36">
        <v>0</v>
      </c>
      <c r="G1577" s="58">
        <v>-13539</v>
      </c>
      <c r="H1577" s="35">
        <f t="shared" si="124"/>
        <v>-13539</v>
      </c>
      <c r="I1577" s="35">
        <f t="shared" si="121"/>
        <v>0</v>
      </c>
      <c r="J1577" s="35">
        <f t="shared" si="122"/>
        <v>1198.6552315616923</v>
      </c>
      <c r="K1577" s="45">
        <f t="shared" si="120"/>
        <v>22078153.597149912</v>
      </c>
    </row>
    <row r="1578" spans="2:11">
      <c r="B1578" s="43">
        <v>45522</v>
      </c>
      <c r="C1578" s="32" t="s">
        <v>25</v>
      </c>
      <c r="D1578" s="32" t="s">
        <v>132</v>
      </c>
      <c r="E1578" s="36">
        <f t="shared" si="123"/>
        <v>22078153.597149912</v>
      </c>
      <c r="F1578" s="36">
        <v>10866.99</v>
      </c>
      <c r="G1578" s="58">
        <v>0</v>
      </c>
      <c r="H1578" s="35">
        <f t="shared" si="124"/>
        <v>10866.99</v>
      </c>
      <c r="I1578" s="35">
        <f t="shared" si="121"/>
        <v>0</v>
      </c>
      <c r="J1578" s="35">
        <f t="shared" si="122"/>
        <v>2395.7112729275464</v>
      </c>
      <c r="K1578" s="45">
        <f t="shared" si="120"/>
        <v>22086624.875876982</v>
      </c>
    </row>
    <row r="1579" spans="2:11">
      <c r="B1579" s="43">
        <v>45522</v>
      </c>
      <c r="C1579" s="32" t="s">
        <v>25</v>
      </c>
      <c r="D1579" s="32" t="s">
        <v>132</v>
      </c>
      <c r="E1579" s="36">
        <f t="shared" si="123"/>
        <v>22086624.875876982</v>
      </c>
      <c r="F1579" s="36">
        <v>12956.85</v>
      </c>
      <c r="G1579" s="58">
        <v>0</v>
      </c>
      <c r="H1579" s="35">
        <f t="shared" si="124"/>
        <v>12956.85</v>
      </c>
      <c r="I1579" s="35">
        <f t="shared" si="121"/>
        <v>0</v>
      </c>
      <c r="J1579" s="35">
        <f t="shared" si="122"/>
        <v>1198.3152477680712</v>
      </c>
      <c r="K1579" s="45">
        <f t="shared" si="120"/>
        <v>22098383.410629217</v>
      </c>
    </row>
    <row r="1580" spans="2:11">
      <c r="B1580" s="43">
        <v>45522</v>
      </c>
      <c r="C1580" s="32" t="s">
        <v>27</v>
      </c>
      <c r="D1580" s="32" t="s">
        <v>134</v>
      </c>
      <c r="E1580" s="36">
        <f t="shared" si="123"/>
        <v>22098383.410629217</v>
      </c>
      <c r="F1580" s="36">
        <v>0</v>
      </c>
      <c r="G1580" s="58">
        <v>-4113.54</v>
      </c>
      <c r="H1580" s="35">
        <f t="shared" si="124"/>
        <v>-4113.54</v>
      </c>
      <c r="I1580" s="35">
        <f t="shared" si="121"/>
        <v>0</v>
      </c>
      <c r="J1580" s="35">
        <f t="shared" si="122"/>
        <v>1198.9532099539733</v>
      </c>
      <c r="K1580" s="45">
        <f t="shared" si="120"/>
        <v>22093070.917419262</v>
      </c>
    </row>
    <row r="1581" spans="2:11">
      <c r="B1581" s="43">
        <v>45522</v>
      </c>
      <c r="C1581" s="32" t="s">
        <v>25</v>
      </c>
      <c r="D1581" s="32" t="s">
        <v>134</v>
      </c>
      <c r="E1581" s="36">
        <f t="shared" si="123"/>
        <v>22093070.917419262</v>
      </c>
      <c r="F1581" s="36">
        <v>0</v>
      </c>
      <c r="G1581" s="58">
        <v>-8924</v>
      </c>
      <c r="H1581" s="35">
        <f t="shared" si="124"/>
        <v>-8924</v>
      </c>
      <c r="I1581" s="35">
        <f t="shared" si="121"/>
        <v>0</v>
      </c>
      <c r="J1581" s="35">
        <f t="shared" si="122"/>
        <v>1198.6649793323672</v>
      </c>
      <c r="K1581" s="45">
        <f t="shared" si="120"/>
        <v>22082948.252439931</v>
      </c>
    </row>
    <row r="1582" spans="2:11">
      <c r="B1582" s="43">
        <v>45522</v>
      </c>
      <c r="C1582" s="32" t="s">
        <v>27</v>
      </c>
      <c r="D1582" s="32" t="s">
        <v>134</v>
      </c>
      <c r="E1582" s="36">
        <f t="shared" si="123"/>
        <v>22082948.252439931</v>
      </c>
      <c r="F1582" s="36">
        <v>0</v>
      </c>
      <c r="G1582" s="58">
        <v>-5306</v>
      </c>
      <c r="H1582" s="35">
        <f t="shared" si="124"/>
        <v>-5306</v>
      </c>
      <c r="I1582" s="35">
        <f t="shared" si="121"/>
        <v>0</v>
      </c>
      <c r="J1582" s="35">
        <f t="shared" si="122"/>
        <v>1198.1157716620714</v>
      </c>
      <c r="K1582" s="45">
        <f t="shared" si="120"/>
        <v>22076444.136668269</v>
      </c>
    </row>
    <row r="1583" spans="2:11">
      <c r="B1583" s="43">
        <v>45523</v>
      </c>
      <c r="C1583" s="32" t="s">
        <v>27</v>
      </c>
      <c r="D1583" s="32" t="s">
        <v>132</v>
      </c>
      <c r="E1583" s="36">
        <f t="shared" si="123"/>
        <v>22076444.136668269</v>
      </c>
      <c r="F1583" s="36">
        <v>16514.96</v>
      </c>
      <c r="G1583" s="58">
        <v>0</v>
      </c>
      <c r="H1583" s="35">
        <f t="shared" si="124"/>
        <v>16514.96</v>
      </c>
      <c r="I1583" s="35">
        <f t="shared" si="121"/>
        <v>0</v>
      </c>
      <c r="J1583" s="35">
        <f t="shared" si="122"/>
        <v>2395.5257785324434</v>
      </c>
      <c r="K1583" s="45">
        <f t="shared" si="120"/>
        <v>22090563.570889737</v>
      </c>
    </row>
    <row r="1584" spans="2:11">
      <c r="B1584" s="43">
        <v>45523</v>
      </c>
      <c r="C1584" s="32" t="s">
        <v>25</v>
      </c>
      <c r="D1584" s="32" t="s">
        <v>132</v>
      </c>
      <c r="E1584" s="36">
        <f t="shared" si="123"/>
        <v>22090563.570889737</v>
      </c>
      <c r="F1584" s="36">
        <v>15167.17</v>
      </c>
      <c r="G1584" s="58">
        <v>0</v>
      </c>
      <c r="H1584" s="35">
        <f t="shared" si="124"/>
        <v>15167.17</v>
      </c>
      <c r="I1584" s="35">
        <f t="shared" si="121"/>
        <v>0</v>
      </c>
      <c r="J1584" s="35">
        <f t="shared" si="122"/>
        <v>1198.5289426316647</v>
      </c>
      <c r="K1584" s="45">
        <f t="shared" si="120"/>
        <v>22104532.211947106</v>
      </c>
    </row>
    <row r="1585" spans="2:11">
      <c r="B1585" s="43">
        <v>45523</v>
      </c>
      <c r="C1585" s="32" t="s">
        <v>25</v>
      </c>
      <c r="D1585" s="32" t="s">
        <v>132</v>
      </c>
      <c r="E1585" s="36">
        <f t="shared" si="123"/>
        <v>22104532.211947106</v>
      </c>
      <c r="F1585" s="36">
        <v>16792.2</v>
      </c>
      <c r="G1585" s="58">
        <v>0</v>
      </c>
      <c r="H1585" s="35">
        <f t="shared" si="124"/>
        <v>16792.2</v>
      </c>
      <c r="I1585" s="35">
        <f t="shared" si="121"/>
        <v>0</v>
      </c>
      <c r="J1585" s="35">
        <f t="shared" si="122"/>
        <v>1199.2868146770186</v>
      </c>
      <c r="K1585" s="45">
        <f t="shared" si="120"/>
        <v>22120125.125132427</v>
      </c>
    </row>
    <row r="1586" spans="2:11">
      <c r="B1586" s="43">
        <v>45523</v>
      </c>
      <c r="C1586" s="32" t="s">
        <v>27</v>
      </c>
      <c r="D1586" s="32" t="s">
        <v>132</v>
      </c>
      <c r="E1586" s="36">
        <f t="shared" si="123"/>
        <v>22120125.125132427</v>
      </c>
      <c r="F1586" s="36">
        <v>13344.43</v>
      </c>
      <c r="G1586" s="58">
        <v>0</v>
      </c>
      <c r="H1586" s="35">
        <f t="shared" si="124"/>
        <v>13344.43</v>
      </c>
      <c r="I1586" s="35">
        <f t="shared" si="121"/>
        <v>0</v>
      </c>
      <c r="J1586" s="35">
        <f t="shared" si="122"/>
        <v>1200.1328120049084</v>
      </c>
      <c r="K1586" s="45">
        <f t="shared" si="120"/>
        <v>22132269.422320422</v>
      </c>
    </row>
    <row r="1587" spans="2:11">
      <c r="B1587" s="43">
        <v>45523</v>
      </c>
      <c r="C1587" s="32" t="s">
        <v>27</v>
      </c>
      <c r="D1587" s="32" t="s">
        <v>132</v>
      </c>
      <c r="E1587" s="36">
        <f t="shared" si="123"/>
        <v>22132269.422320422</v>
      </c>
      <c r="F1587" s="36">
        <v>21018.28</v>
      </c>
      <c r="G1587" s="58">
        <v>0</v>
      </c>
      <c r="H1587" s="35">
        <f t="shared" si="124"/>
        <v>21018.28</v>
      </c>
      <c r="I1587" s="35">
        <f t="shared" si="121"/>
        <v>0</v>
      </c>
      <c r="J1587" s="35">
        <f t="shared" si="122"/>
        <v>1200.7917038263424</v>
      </c>
      <c r="K1587" s="45">
        <f t="shared" si="120"/>
        <v>22152086.910616595</v>
      </c>
    </row>
    <row r="1588" spans="2:11">
      <c r="B1588" s="43">
        <v>45523</v>
      </c>
      <c r="C1588" s="32" t="s">
        <v>27</v>
      </c>
      <c r="D1588" s="32" t="s">
        <v>134</v>
      </c>
      <c r="E1588" s="36">
        <f t="shared" si="123"/>
        <v>22152086.910616595</v>
      </c>
      <c r="F1588" s="36">
        <v>0</v>
      </c>
      <c r="G1588" s="58">
        <v>-15061.82</v>
      </c>
      <c r="H1588" s="35">
        <f t="shared" si="124"/>
        <v>-15061.82</v>
      </c>
      <c r="I1588" s="35">
        <f t="shared" si="121"/>
        <v>0</v>
      </c>
      <c r="J1588" s="35">
        <f t="shared" si="122"/>
        <v>1201.8669065126392</v>
      </c>
      <c r="K1588" s="45">
        <f t="shared" si="120"/>
        <v>22135823.223710082</v>
      </c>
    </row>
    <row r="1589" spans="2:11">
      <c r="B1589" s="43">
        <v>45523</v>
      </c>
      <c r="C1589" s="32" t="s">
        <v>27</v>
      </c>
      <c r="D1589" s="32" t="s">
        <v>134</v>
      </c>
      <c r="E1589" s="36">
        <f t="shared" si="123"/>
        <v>22135823.223710082</v>
      </c>
      <c r="F1589" s="36">
        <v>0</v>
      </c>
      <c r="G1589" s="58">
        <v>-1927</v>
      </c>
      <c r="H1589" s="35">
        <f t="shared" si="124"/>
        <v>-1927</v>
      </c>
      <c r="I1589" s="35">
        <f t="shared" si="121"/>
        <v>0</v>
      </c>
      <c r="J1589" s="35">
        <f t="shared" si="122"/>
        <v>1200.9845161920482</v>
      </c>
      <c r="K1589" s="45">
        <f t="shared" si="120"/>
        <v>22132695.23919389</v>
      </c>
    </row>
    <row r="1590" spans="2:11">
      <c r="B1590" s="43">
        <v>45523</v>
      </c>
      <c r="C1590" s="32" t="s">
        <v>27</v>
      </c>
      <c r="D1590" s="32" t="s">
        <v>134</v>
      </c>
      <c r="E1590" s="36">
        <f t="shared" si="123"/>
        <v>22132695.23919389</v>
      </c>
      <c r="F1590" s="36">
        <v>0</v>
      </c>
      <c r="G1590" s="58">
        <v>-8992</v>
      </c>
      <c r="H1590" s="35">
        <f t="shared" si="124"/>
        <v>-8992</v>
      </c>
      <c r="I1590" s="35">
        <f t="shared" si="121"/>
        <v>0</v>
      </c>
      <c r="J1590" s="35">
        <f t="shared" si="122"/>
        <v>1200.8148066252129</v>
      </c>
      <c r="K1590" s="45">
        <f t="shared" si="120"/>
        <v>22122502.424387265</v>
      </c>
    </row>
    <row r="1591" spans="2:11">
      <c r="B1591" s="43">
        <v>45524</v>
      </c>
      <c r="C1591" s="32" t="s">
        <v>29</v>
      </c>
      <c r="D1591" s="32" t="s">
        <v>132</v>
      </c>
      <c r="E1591" s="36">
        <f t="shared" si="123"/>
        <v>22122502.424387265</v>
      </c>
      <c r="F1591" s="36">
        <v>19934.900000000001</v>
      </c>
      <c r="G1591" s="58">
        <v>0</v>
      </c>
      <c r="H1591" s="35">
        <f t="shared" si="124"/>
        <v>19934.900000000001</v>
      </c>
      <c r="I1591" s="35">
        <f t="shared" si="121"/>
        <v>0</v>
      </c>
      <c r="J1591" s="35">
        <f t="shared" si="122"/>
        <v>2400.5235859176764</v>
      </c>
      <c r="K1591" s="45">
        <f t="shared" si="120"/>
        <v>22140036.800801344</v>
      </c>
    </row>
    <row r="1592" spans="2:11">
      <c r="B1592" s="43">
        <v>45524</v>
      </c>
      <c r="C1592" s="32" t="s">
        <v>27</v>
      </c>
      <c r="D1592" s="32" t="s">
        <v>132</v>
      </c>
      <c r="E1592" s="36">
        <f t="shared" si="123"/>
        <v>22140036.800801344</v>
      </c>
      <c r="F1592" s="36">
        <v>16140.59</v>
      </c>
      <c r="G1592" s="58">
        <v>0</v>
      </c>
      <c r="H1592" s="35">
        <f t="shared" si="124"/>
        <v>16140.59</v>
      </c>
      <c r="I1592" s="35">
        <f t="shared" si="121"/>
        <v>0</v>
      </c>
      <c r="J1592" s="35">
        <f t="shared" si="122"/>
        <v>1201.2131248502058</v>
      </c>
      <c r="K1592" s="45">
        <f t="shared" si="120"/>
        <v>22154976.177676495</v>
      </c>
    </row>
    <row r="1593" spans="2:11">
      <c r="B1593" s="43">
        <v>45524</v>
      </c>
      <c r="C1593" s="32" t="s">
        <v>25</v>
      </c>
      <c r="D1593" s="32" t="s">
        <v>132</v>
      </c>
      <c r="E1593" s="36">
        <f t="shared" si="123"/>
        <v>22154976.177676495</v>
      </c>
      <c r="F1593" s="36">
        <v>13661.45</v>
      </c>
      <c r="G1593" s="58">
        <v>0</v>
      </c>
      <c r="H1593" s="35">
        <f t="shared" si="124"/>
        <v>13661.45</v>
      </c>
      <c r="I1593" s="35">
        <f t="shared" si="121"/>
        <v>0</v>
      </c>
      <c r="J1593" s="35">
        <f t="shared" si="122"/>
        <v>1202.0236644053552</v>
      </c>
      <c r="K1593" s="45">
        <f t="shared" si="120"/>
        <v>22167435.604012091</v>
      </c>
    </row>
    <row r="1594" spans="2:11">
      <c r="B1594" s="43">
        <v>45524</v>
      </c>
      <c r="C1594" s="32" t="s">
        <v>25</v>
      </c>
      <c r="D1594" s="32" t="s">
        <v>132</v>
      </c>
      <c r="E1594" s="36">
        <f t="shared" si="123"/>
        <v>22167435.604012091</v>
      </c>
      <c r="F1594" s="36">
        <v>12237.98</v>
      </c>
      <c r="G1594" s="58">
        <v>0</v>
      </c>
      <c r="H1594" s="35">
        <f t="shared" si="124"/>
        <v>12237.98</v>
      </c>
      <c r="I1594" s="35">
        <f t="shared" si="121"/>
        <v>0</v>
      </c>
      <c r="J1594" s="35">
        <f t="shared" si="122"/>
        <v>1202.699653635955</v>
      </c>
      <c r="K1594" s="45">
        <f t="shared" si="120"/>
        <v>22178470.884358454</v>
      </c>
    </row>
    <row r="1595" spans="2:11">
      <c r="B1595" s="43">
        <v>45524</v>
      </c>
      <c r="C1595" s="32" t="s">
        <v>27</v>
      </c>
      <c r="D1595" s="32" t="s">
        <v>134</v>
      </c>
      <c r="E1595" s="36">
        <f t="shared" si="123"/>
        <v>22178470.884358454</v>
      </c>
      <c r="F1595" s="36">
        <v>0</v>
      </c>
      <c r="G1595" s="58">
        <v>-4692.4799999999996</v>
      </c>
      <c r="H1595" s="35">
        <f t="shared" si="124"/>
        <v>-4692.4799999999996</v>
      </c>
      <c r="I1595" s="35">
        <f t="shared" si="121"/>
        <v>0</v>
      </c>
      <c r="J1595" s="35">
        <f t="shared" si="122"/>
        <v>1203.2983754767413</v>
      </c>
      <c r="K1595" s="45">
        <f t="shared" si="120"/>
        <v>22172575.105982978</v>
      </c>
    </row>
    <row r="1596" spans="2:11">
      <c r="B1596" s="43">
        <v>45524</v>
      </c>
      <c r="C1596" s="32" t="s">
        <v>27</v>
      </c>
      <c r="D1596" s="32" t="s">
        <v>134</v>
      </c>
      <c r="E1596" s="36">
        <f t="shared" si="123"/>
        <v>22172575.105982978</v>
      </c>
      <c r="F1596" s="36">
        <v>0</v>
      </c>
      <c r="G1596" s="58">
        <v>-18813</v>
      </c>
      <c r="H1596" s="35">
        <f t="shared" si="124"/>
        <v>-18813</v>
      </c>
      <c r="I1596" s="35">
        <f t="shared" si="121"/>
        <v>0</v>
      </c>
      <c r="J1596" s="35">
        <f t="shared" si="122"/>
        <v>1202.9784985754718</v>
      </c>
      <c r="K1596" s="45">
        <f t="shared" si="120"/>
        <v>22152559.127484404</v>
      </c>
    </row>
    <row r="1597" spans="2:11">
      <c r="B1597" s="43">
        <v>45525</v>
      </c>
      <c r="C1597" s="32" t="s">
        <v>27</v>
      </c>
      <c r="D1597" s="32" t="s">
        <v>132</v>
      </c>
      <c r="E1597" s="36">
        <f t="shared" si="123"/>
        <v>22152559.127484404</v>
      </c>
      <c r="F1597" s="36">
        <v>11115.96</v>
      </c>
      <c r="G1597" s="58">
        <v>0</v>
      </c>
      <c r="H1597" s="35">
        <f t="shared" si="124"/>
        <v>11115.96</v>
      </c>
      <c r="I1597" s="35">
        <f t="shared" si="121"/>
        <v>0</v>
      </c>
      <c r="J1597" s="35">
        <f t="shared" si="122"/>
        <v>2403.7850535091575</v>
      </c>
      <c r="K1597" s="45">
        <f t="shared" si="120"/>
        <v>22161271.302430894</v>
      </c>
    </row>
    <row r="1598" spans="2:11">
      <c r="B1598" s="43">
        <v>45525</v>
      </c>
      <c r="C1598" s="32" t="s">
        <v>29</v>
      </c>
      <c r="D1598" s="32" t="s">
        <v>132</v>
      </c>
      <c r="E1598" s="36">
        <f t="shared" si="123"/>
        <v>22161271.302430894</v>
      </c>
      <c r="F1598" s="36">
        <v>17581.419999999998</v>
      </c>
      <c r="G1598" s="58">
        <v>0</v>
      </c>
      <c r="H1598" s="35">
        <f t="shared" si="124"/>
        <v>17581.419999999998</v>
      </c>
      <c r="I1598" s="35">
        <f t="shared" si="121"/>
        <v>0</v>
      </c>
      <c r="J1598" s="35">
        <f t="shared" si="122"/>
        <v>1202.3652079423234</v>
      </c>
      <c r="K1598" s="45">
        <f t="shared" si="120"/>
        <v>22177650.357222952</v>
      </c>
    </row>
    <row r="1599" spans="2:11">
      <c r="B1599" s="43">
        <v>45525</v>
      </c>
      <c r="C1599" s="32" t="s">
        <v>27</v>
      </c>
      <c r="D1599" s="32" t="s">
        <v>134</v>
      </c>
      <c r="E1599" s="36">
        <f t="shared" si="123"/>
        <v>22177650.357222952</v>
      </c>
      <c r="F1599" s="36">
        <v>0</v>
      </c>
      <c r="G1599" s="58">
        <v>-11730.36</v>
      </c>
      <c r="H1599" s="35">
        <f t="shared" si="124"/>
        <v>-11730.36</v>
      </c>
      <c r="I1599" s="35">
        <f t="shared" si="121"/>
        <v>0</v>
      </c>
      <c r="J1599" s="35">
        <f t="shared" si="122"/>
        <v>1203.2538575758304</v>
      </c>
      <c r="K1599" s="45">
        <f t="shared" si="120"/>
        <v>22164716.743365377</v>
      </c>
    </row>
    <row r="1600" spans="2:11">
      <c r="B1600" s="43">
        <v>45525</v>
      </c>
      <c r="C1600" s="32" t="s">
        <v>27</v>
      </c>
      <c r="D1600" s="32" t="s">
        <v>134</v>
      </c>
      <c r="E1600" s="36">
        <f t="shared" si="123"/>
        <v>22164716.743365377</v>
      </c>
      <c r="F1600" s="36">
        <v>0</v>
      </c>
      <c r="G1600" s="58">
        <v>-21052</v>
      </c>
      <c r="H1600" s="35">
        <f t="shared" si="124"/>
        <v>-21052</v>
      </c>
      <c r="I1600" s="35">
        <f t="shared" si="121"/>
        <v>0</v>
      </c>
      <c r="J1600" s="35">
        <f t="shared" si="122"/>
        <v>1202.5521411849659</v>
      </c>
      <c r="K1600" s="45">
        <f t="shared" si="120"/>
        <v>22142462.191224191</v>
      </c>
    </row>
    <row r="1601" spans="2:11">
      <c r="B1601" s="43">
        <v>45525</v>
      </c>
      <c r="C1601" s="32" t="s">
        <v>25</v>
      </c>
      <c r="D1601" s="32" t="s">
        <v>134</v>
      </c>
      <c r="E1601" s="36">
        <f t="shared" si="123"/>
        <v>22142462.191224191</v>
      </c>
      <c r="F1601" s="36">
        <v>0</v>
      </c>
      <c r="G1601" s="58">
        <v>-7261</v>
      </c>
      <c r="H1601" s="35">
        <f t="shared" si="124"/>
        <v>-7261</v>
      </c>
      <c r="I1601" s="35">
        <f t="shared" si="121"/>
        <v>0</v>
      </c>
      <c r="J1601" s="35">
        <f t="shared" si="122"/>
        <v>1201.3447150022466</v>
      </c>
      <c r="K1601" s="45">
        <f t="shared" si="120"/>
        <v>22133999.846509188</v>
      </c>
    </row>
    <row r="1602" spans="2:11">
      <c r="B1602" s="43">
        <v>45525</v>
      </c>
      <c r="C1602" s="32" t="s">
        <v>27</v>
      </c>
      <c r="D1602" s="32" t="s">
        <v>134</v>
      </c>
      <c r="E1602" s="36">
        <f t="shared" si="123"/>
        <v>22133999.846509188</v>
      </c>
      <c r="F1602" s="36">
        <v>0</v>
      </c>
      <c r="G1602" s="58">
        <v>-9430</v>
      </c>
      <c r="H1602" s="35">
        <f t="shared" si="124"/>
        <v>-9430</v>
      </c>
      <c r="I1602" s="35">
        <f t="shared" si="121"/>
        <v>0</v>
      </c>
      <c r="J1602" s="35">
        <f t="shared" si="122"/>
        <v>1200.8855884149639</v>
      </c>
      <c r="K1602" s="45">
        <f t="shared" si="120"/>
        <v>22123368.960920773</v>
      </c>
    </row>
    <row r="1603" spans="2:11">
      <c r="B1603" s="43">
        <v>45525</v>
      </c>
      <c r="C1603" s="32" t="s">
        <v>25</v>
      </c>
      <c r="D1603" s="32" t="s">
        <v>134</v>
      </c>
      <c r="E1603" s="36">
        <f t="shared" si="123"/>
        <v>22123368.960920773</v>
      </c>
      <c r="F1603" s="36">
        <v>0</v>
      </c>
      <c r="G1603" s="58">
        <v>-18550</v>
      </c>
      <c r="H1603" s="35">
        <f t="shared" si="124"/>
        <v>-18550</v>
      </c>
      <c r="I1603" s="35">
        <f t="shared" si="121"/>
        <v>0</v>
      </c>
      <c r="J1603" s="35">
        <f t="shared" si="122"/>
        <v>1200.3088071109182</v>
      </c>
      <c r="K1603" s="45">
        <f t="shared" si="120"/>
        <v>22103618.652113661</v>
      </c>
    </row>
    <row r="1604" spans="2:11">
      <c r="B1604" s="43">
        <v>45525</v>
      </c>
      <c r="C1604" s="32" t="s">
        <v>27</v>
      </c>
      <c r="D1604" s="32" t="s">
        <v>134</v>
      </c>
      <c r="E1604" s="36">
        <f t="shared" si="123"/>
        <v>22103618.652113661</v>
      </c>
      <c r="F1604" s="36">
        <v>0</v>
      </c>
      <c r="G1604" s="58">
        <v>-1422</v>
      </c>
      <c r="H1604" s="35">
        <f t="shared" si="124"/>
        <v>-1422</v>
      </c>
      <c r="I1604" s="35">
        <f t="shared" si="121"/>
        <v>0</v>
      </c>
      <c r="J1604" s="35">
        <f t="shared" si="122"/>
        <v>1199.2372492642714</v>
      </c>
      <c r="K1604" s="45">
        <f t="shared" si="120"/>
        <v>22100997.414864399</v>
      </c>
    </row>
    <row r="1605" spans="2:11">
      <c r="B1605" s="43">
        <v>45526</v>
      </c>
      <c r="C1605" s="32" t="s">
        <v>25</v>
      </c>
      <c r="D1605" s="32" t="s">
        <v>132</v>
      </c>
      <c r="E1605" s="36">
        <f t="shared" si="123"/>
        <v>22100997.414864399</v>
      </c>
      <c r="F1605" s="36">
        <v>16969.66</v>
      </c>
      <c r="G1605" s="58">
        <v>0</v>
      </c>
      <c r="H1605" s="35">
        <f t="shared" si="124"/>
        <v>16969.66</v>
      </c>
      <c r="I1605" s="35">
        <f t="shared" si="121"/>
        <v>0</v>
      </c>
      <c r="J1605" s="35">
        <f t="shared" si="122"/>
        <v>2398.1900667892924</v>
      </c>
      <c r="K1605" s="45">
        <f t="shared" si="120"/>
        <v>22115568.88479761</v>
      </c>
    </row>
    <row r="1606" spans="2:11">
      <c r="B1606" s="43">
        <v>45526</v>
      </c>
      <c r="C1606" s="32" t="s">
        <v>29</v>
      </c>
      <c r="D1606" s="32" t="s">
        <v>132</v>
      </c>
      <c r="E1606" s="36">
        <f t="shared" si="123"/>
        <v>22115568.88479761</v>
      </c>
      <c r="F1606" s="36">
        <v>10454.43</v>
      </c>
      <c r="G1606" s="58">
        <v>0</v>
      </c>
      <c r="H1606" s="35">
        <f t="shared" si="124"/>
        <v>10454.43</v>
      </c>
      <c r="I1606" s="35">
        <f t="shared" si="121"/>
        <v>0</v>
      </c>
      <c r="J1606" s="35">
        <f t="shared" si="122"/>
        <v>1199.8856120684586</v>
      </c>
      <c r="K1606" s="45">
        <f t="shared" si="120"/>
        <v>22124823.429185543</v>
      </c>
    </row>
    <row r="1607" spans="2:11">
      <c r="B1607" s="43">
        <v>45526</v>
      </c>
      <c r="C1607" s="32" t="s">
        <v>27</v>
      </c>
      <c r="D1607" s="32" t="s">
        <v>132</v>
      </c>
      <c r="E1607" s="36">
        <f t="shared" si="123"/>
        <v>22124823.429185543</v>
      </c>
      <c r="F1607" s="36">
        <v>17315.099999999999</v>
      </c>
      <c r="G1607" s="58">
        <v>0</v>
      </c>
      <c r="H1607" s="35">
        <f t="shared" si="124"/>
        <v>17315.099999999999</v>
      </c>
      <c r="I1607" s="35">
        <f t="shared" si="121"/>
        <v>0</v>
      </c>
      <c r="J1607" s="35">
        <f t="shared" si="122"/>
        <v>1200.3877196432252</v>
      </c>
      <c r="K1607" s="45">
        <f t="shared" si="120"/>
        <v>22140938.141465902</v>
      </c>
    </row>
    <row r="1608" spans="2:11">
      <c r="B1608" s="43">
        <v>45526</v>
      </c>
      <c r="C1608" s="32" t="s">
        <v>25</v>
      </c>
      <c r="D1608" s="32" t="s">
        <v>132</v>
      </c>
      <c r="E1608" s="36">
        <f t="shared" si="123"/>
        <v>22140938.141465902</v>
      </c>
      <c r="F1608" s="36">
        <v>18561.09</v>
      </c>
      <c r="G1608" s="58">
        <v>0</v>
      </c>
      <c r="H1608" s="35">
        <f t="shared" si="124"/>
        <v>18561.09</v>
      </c>
      <c r="I1608" s="35">
        <f t="shared" si="121"/>
        <v>0</v>
      </c>
      <c r="J1608" s="35">
        <f t="shared" si="122"/>
        <v>1201.2620273089492</v>
      </c>
      <c r="K1608" s="45">
        <f t="shared" ref="K1608:K1671" si="125">E1608+H1608+I1608-J1608</f>
        <v>22158297.969438594</v>
      </c>
    </row>
    <row r="1609" spans="2:11">
      <c r="B1609" s="43">
        <v>45526</v>
      </c>
      <c r="C1609" s="32" t="s">
        <v>27</v>
      </c>
      <c r="D1609" s="32" t="s">
        <v>132</v>
      </c>
      <c r="E1609" s="36">
        <f t="shared" si="123"/>
        <v>22158297.969438594</v>
      </c>
      <c r="F1609" s="36">
        <v>19092.419999999998</v>
      </c>
      <c r="G1609" s="58">
        <v>0</v>
      </c>
      <c r="H1609" s="35">
        <f t="shared" si="124"/>
        <v>19092.419999999998</v>
      </c>
      <c r="I1609" s="35">
        <f t="shared" si="121"/>
        <v>0</v>
      </c>
      <c r="J1609" s="35">
        <f t="shared" si="122"/>
        <v>1202.203889031834</v>
      </c>
      <c r="K1609" s="45">
        <f t="shared" si="125"/>
        <v>22176188.185549565</v>
      </c>
    </row>
    <row r="1610" spans="2:11">
      <c r="B1610" s="43">
        <v>45526</v>
      </c>
      <c r="C1610" s="32" t="s">
        <v>25</v>
      </c>
      <c r="D1610" s="32" t="s">
        <v>132</v>
      </c>
      <c r="E1610" s="36">
        <f t="shared" si="123"/>
        <v>22176188.185549565</v>
      </c>
      <c r="F1610" s="36">
        <v>13414.15</v>
      </c>
      <c r="G1610" s="58">
        <v>0</v>
      </c>
      <c r="H1610" s="35">
        <f t="shared" si="124"/>
        <v>13414.15</v>
      </c>
      <c r="I1610" s="35">
        <f t="shared" si="121"/>
        <v>0</v>
      </c>
      <c r="J1610" s="35">
        <f t="shared" si="122"/>
        <v>1203.1745270932001</v>
      </c>
      <c r="K1610" s="45">
        <f t="shared" si="125"/>
        <v>22188399.161022469</v>
      </c>
    </row>
    <row r="1611" spans="2:11">
      <c r="B1611" s="43">
        <v>45526</v>
      </c>
      <c r="C1611" s="32" t="s">
        <v>25</v>
      </c>
      <c r="D1611" s="32" t="s">
        <v>132</v>
      </c>
      <c r="E1611" s="36">
        <f t="shared" si="123"/>
        <v>22188399.161022469</v>
      </c>
      <c r="F1611" s="36">
        <v>13062.11</v>
      </c>
      <c r="G1611" s="58">
        <v>0</v>
      </c>
      <c r="H1611" s="35">
        <f t="shared" si="124"/>
        <v>13062.11</v>
      </c>
      <c r="I1611" s="35">
        <f t="shared" si="121"/>
        <v>0</v>
      </c>
      <c r="J1611" s="35">
        <f t="shared" si="122"/>
        <v>1203.8370365613303</v>
      </c>
      <c r="K1611" s="45">
        <f t="shared" si="125"/>
        <v>22200257.433985908</v>
      </c>
    </row>
    <row r="1612" spans="2:11">
      <c r="B1612" s="43">
        <v>45526</v>
      </c>
      <c r="C1612" s="32" t="s">
        <v>29</v>
      </c>
      <c r="D1612" s="32" t="s">
        <v>134</v>
      </c>
      <c r="E1612" s="36">
        <f t="shared" si="123"/>
        <v>22200257.433985908</v>
      </c>
      <c r="F1612" s="36">
        <v>0</v>
      </c>
      <c r="G1612" s="58">
        <v>-2683</v>
      </c>
      <c r="H1612" s="35">
        <f t="shared" si="124"/>
        <v>-2683</v>
      </c>
      <c r="I1612" s="35">
        <f t="shared" si="121"/>
        <v>0</v>
      </c>
      <c r="J1612" s="35">
        <f t="shared" si="122"/>
        <v>1204.4804100683345</v>
      </c>
      <c r="K1612" s="45">
        <f t="shared" si="125"/>
        <v>22196369.953575838</v>
      </c>
    </row>
    <row r="1613" spans="2:11">
      <c r="B1613" s="43">
        <v>45526</v>
      </c>
      <c r="C1613" s="32" t="s">
        <v>29</v>
      </c>
      <c r="D1613" s="32" t="s">
        <v>134</v>
      </c>
      <c r="E1613" s="36">
        <f t="shared" si="123"/>
        <v>22196369.953575838</v>
      </c>
      <c r="F1613" s="36">
        <v>0</v>
      </c>
      <c r="G1613" s="58">
        <v>-1804</v>
      </c>
      <c r="H1613" s="35">
        <f t="shared" si="124"/>
        <v>-1804</v>
      </c>
      <c r="I1613" s="35">
        <f t="shared" si="121"/>
        <v>0</v>
      </c>
      <c r="J1613" s="35">
        <f t="shared" si="122"/>
        <v>1204.2694938655663</v>
      </c>
      <c r="K1613" s="45">
        <f t="shared" si="125"/>
        <v>22193361.684081972</v>
      </c>
    </row>
    <row r="1614" spans="2:11">
      <c r="B1614" s="43">
        <v>45527</v>
      </c>
      <c r="C1614" s="32" t="s">
        <v>27</v>
      </c>
      <c r="D1614" s="32" t="s">
        <v>132</v>
      </c>
      <c r="E1614" s="36">
        <f t="shared" si="123"/>
        <v>22193361.684081972</v>
      </c>
      <c r="F1614" s="36">
        <v>15594.25</v>
      </c>
      <c r="G1614" s="58">
        <v>0</v>
      </c>
      <c r="H1614" s="35">
        <f t="shared" si="124"/>
        <v>15594.25</v>
      </c>
      <c r="I1614" s="35">
        <f t="shared" si="121"/>
        <v>0</v>
      </c>
      <c r="J1614" s="35">
        <f t="shared" si="122"/>
        <v>2408.2125589332377</v>
      </c>
      <c r="K1614" s="45">
        <f t="shared" si="125"/>
        <v>22206547.721523039</v>
      </c>
    </row>
    <row r="1615" spans="2:11">
      <c r="B1615" s="43">
        <v>45527</v>
      </c>
      <c r="C1615" s="32" t="s">
        <v>25</v>
      </c>
      <c r="D1615" s="32" t="s">
        <v>132</v>
      </c>
      <c r="E1615" s="36">
        <f t="shared" si="123"/>
        <v>22206547.721523039</v>
      </c>
      <c r="F1615" s="36">
        <v>14895.03</v>
      </c>
      <c r="G1615" s="58">
        <v>0</v>
      </c>
      <c r="H1615" s="35">
        <f t="shared" si="124"/>
        <v>14895.03</v>
      </c>
      <c r="I1615" s="35">
        <f t="shared" si="121"/>
        <v>0</v>
      </c>
      <c r="J1615" s="35">
        <f t="shared" si="122"/>
        <v>1204.821691160894</v>
      </c>
      <c r="K1615" s="45">
        <f t="shared" si="125"/>
        <v>22220237.929831881</v>
      </c>
    </row>
    <row r="1616" spans="2:11">
      <c r="B1616" s="43">
        <v>45527</v>
      </c>
      <c r="C1616" s="32" t="s">
        <v>27</v>
      </c>
      <c r="D1616" s="32" t="s">
        <v>132</v>
      </c>
      <c r="E1616" s="36">
        <f t="shared" si="123"/>
        <v>22220237.929831881</v>
      </c>
      <c r="F1616" s="36">
        <v>18029.45</v>
      </c>
      <c r="G1616" s="58">
        <v>0</v>
      </c>
      <c r="H1616" s="35">
        <f t="shared" si="124"/>
        <v>18029.45</v>
      </c>
      <c r="I1616" s="35">
        <f t="shared" si="121"/>
        <v>0</v>
      </c>
      <c r="J1616" s="35">
        <f t="shared" si="122"/>
        <v>1205.5644567692113</v>
      </c>
      <c r="K1616" s="45">
        <f t="shared" si="125"/>
        <v>22237061.815375112</v>
      </c>
    </row>
    <row r="1617" spans="2:11">
      <c r="B1617" s="43">
        <v>45527</v>
      </c>
      <c r="C1617" s="32" t="s">
        <v>25</v>
      </c>
      <c r="D1617" s="32" t="s">
        <v>132</v>
      </c>
      <c r="E1617" s="36">
        <f t="shared" si="123"/>
        <v>22237061.815375112</v>
      </c>
      <c r="F1617" s="36">
        <v>17711.8</v>
      </c>
      <c r="G1617" s="58">
        <v>0</v>
      </c>
      <c r="H1617" s="35">
        <f t="shared" si="124"/>
        <v>17711.8</v>
      </c>
      <c r="I1617" s="35">
        <f t="shared" si="121"/>
        <v>0</v>
      </c>
      <c r="J1617" s="35">
        <f t="shared" si="122"/>
        <v>1206.4772408041854</v>
      </c>
      <c r="K1617" s="45">
        <f t="shared" si="125"/>
        <v>22253567.138134308</v>
      </c>
    </row>
    <row r="1618" spans="2:11">
      <c r="B1618" s="43">
        <v>45527</v>
      </c>
      <c r="C1618" s="32" t="s">
        <v>25</v>
      </c>
      <c r="D1618" s="32" t="s">
        <v>134</v>
      </c>
      <c r="E1618" s="36">
        <f t="shared" si="123"/>
        <v>22253567.138134308</v>
      </c>
      <c r="F1618" s="36">
        <v>0</v>
      </c>
      <c r="G1618" s="58">
        <v>-8173</v>
      </c>
      <c r="H1618" s="35">
        <f t="shared" si="124"/>
        <v>-8173</v>
      </c>
      <c r="I1618" s="35">
        <f t="shared" si="121"/>
        <v>0</v>
      </c>
      <c r="J1618" s="35">
        <f t="shared" si="122"/>
        <v>1207.3727411372072</v>
      </c>
      <c r="K1618" s="45">
        <f t="shared" si="125"/>
        <v>22244186.765393171</v>
      </c>
    </row>
    <row r="1619" spans="2:11">
      <c r="B1619" s="43">
        <v>45527</v>
      </c>
      <c r="C1619" s="32" t="s">
        <v>25</v>
      </c>
      <c r="D1619" s="32" t="s">
        <v>134</v>
      </c>
      <c r="E1619" s="36">
        <f t="shared" si="123"/>
        <v>22244186.765393171</v>
      </c>
      <c r="F1619" s="36">
        <v>0</v>
      </c>
      <c r="G1619" s="58">
        <v>-16824</v>
      </c>
      <c r="H1619" s="35">
        <f t="shared" si="124"/>
        <v>-16824</v>
      </c>
      <c r="I1619" s="35">
        <f t="shared" si="121"/>
        <v>0</v>
      </c>
      <c r="J1619" s="35">
        <f t="shared" si="122"/>
        <v>1206.8638067142874</v>
      </c>
      <c r="K1619" s="45">
        <f t="shared" si="125"/>
        <v>22226155.901586458</v>
      </c>
    </row>
    <row r="1620" spans="2:11">
      <c r="B1620" s="43">
        <v>45527</v>
      </c>
      <c r="C1620" s="32" t="s">
        <v>29</v>
      </c>
      <c r="D1620" s="32" t="s">
        <v>134</v>
      </c>
      <c r="E1620" s="36">
        <f t="shared" si="123"/>
        <v>22226155.901586458</v>
      </c>
      <c r="F1620" s="36">
        <v>0</v>
      </c>
      <c r="G1620" s="58">
        <v>-8061</v>
      </c>
      <c r="H1620" s="35">
        <f t="shared" si="124"/>
        <v>-8061</v>
      </c>
      <c r="I1620" s="35">
        <f t="shared" ref="I1620:I1683" si="126">(($E1620*Daily_Interest)*(_xlfn.DAYS(B1620,B1619)+1))+((IF(DAY($B1619)&gt;Monthly_Cut_off_Date,0,Daily_Interest*H1620))*(_xlfn.DAYS(B1620,B1619)+1))</f>
        <v>0</v>
      </c>
      <c r="J1620" s="35">
        <f t="shared" ref="J1620:J1683" si="127">(($I1620+E1620)*Daily_Fees_Rate)*((_xlfn.DAYS(B1620,B1619)+1))</f>
        <v>1205.8855377777052</v>
      </c>
      <c r="K1620" s="45">
        <f t="shared" si="125"/>
        <v>22216889.016048681</v>
      </c>
    </row>
    <row r="1621" spans="2:11">
      <c r="B1621" s="43">
        <v>45528</v>
      </c>
      <c r="C1621" s="32" t="s">
        <v>27</v>
      </c>
      <c r="D1621" s="32" t="s">
        <v>132</v>
      </c>
      <c r="E1621" s="36">
        <f t="shared" ref="E1621:E1684" si="128">K1620</f>
        <v>22216889.016048681</v>
      </c>
      <c r="F1621" s="36">
        <v>16831.759999999998</v>
      </c>
      <c r="G1621" s="58">
        <v>0</v>
      </c>
      <c r="H1621" s="35">
        <f t="shared" ref="H1621:H1684" si="129">SUM(F1621:G1621)</f>
        <v>16831.759999999998</v>
      </c>
      <c r="I1621" s="35">
        <f t="shared" si="126"/>
        <v>0</v>
      </c>
      <c r="J1621" s="35">
        <f t="shared" si="127"/>
        <v>2410.765521261656</v>
      </c>
      <c r="K1621" s="45">
        <f t="shared" si="125"/>
        <v>22231310.010527421</v>
      </c>
    </row>
    <row r="1622" spans="2:11">
      <c r="B1622" s="43">
        <v>45528</v>
      </c>
      <c r="C1622" s="32" t="s">
        <v>27</v>
      </c>
      <c r="D1622" s="32" t="s">
        <v>132</v>
      </c>
      <c r="E1622" s="36">
        <f t="shared" si="128"/>
        <v>22231310.010527421</v>
      </c>
      <c r="F1622" s="36">
        <v>16609.96</v>
      </c>
      <c r="G1622" s="58">
        <v>0</v>
      </c>
      <c r="H1622" s="35">
        <f t="shared" si="129"/>
        <v>16609.96</v>
      </c>
      <c r="I1622" s="35">
        <f t="shared" si="126"/>
        <v>0</v>
      </c>
      <c r="J1622" s="35">
        <f t="shared" si="127"/>
        <v>1206.1651752219648</v>
      </c>
      <c r="K1622" s="45">
        <f t="shared" si="125"/>
        <v>22246713.8053522</v>
      </c>
    </row>
    <row r="1623" spans="2:11">
      <c r="B1623" s="43">
        <v>45528</v>
      </c>
      <c r="C1623" s="32" t="s">
        <v>27</v>
      </c>
      <c r="D1623" s="32" t="s">
        <v>134</v>
      </c>
      <c r="E1623" s="36">
        <f t="shared" si="128"/>
        <v>22246713.8053522</v>
      </c>
      <c r="F1623" s="36">
        <v>0</v>
      </c>
      <c r="G1623" s="58">
        <v>-5944.53</v>
      </c>
      <c r="H1623" s="35">
        <f t="shared" si="129"/>
        <v>-5944.53</v>
      </c>
      <c r="I1623" s="35">
        <f t="shared" si="126"/>
        <v>0</v>
      </c>
      <c r="J1623" s="35">
        <f t="shared" si="127"/>
        <v>1207.0009118868359</v>
      </c>
      <c r="K1623" s="45">
        <f t="shared" si="125"/>
        <v>22239562.274440311</v>
      </c>
    </row>
    <row r="1624" spans="2:11">
      <c r="B1624" s="43">
        <v>45528</v>
      </c>
      <c r="C1624" s="32" t="s">
        <v>27</v>
      </c>
      <c r="D1624" s="32" t="s">
        <v>134</v>
      </c>
      <c r="E1624" s="36">
        <f t="shared" si="128"/>
        <v>22239562.274440311</v>
      </c>
      <c r="F1624" s="36">
        <v>0</v>
      </c>
      <c r="G1624" s="58">
        <v>-17653</v>
      </c>
      <c r="H1624" s="35">
        <f t="shared" si="129"/>
        <v>-17653</v>
      </c>
      <c r="I1624" s="35">
        <f t="shared" si="126"/>
        <v>0</v>
      </c>
      <c r="J1624" s="35">
        <f t="shared" si="127"/>
        <v>1206.6129038238221</v>
      </c>
      <c r="K1624" s="45">
        <f t="shared" si="125"/>
        <v>22220702.661536489</v>
      </c>
    </row>
    <row r="1625" spans="2:11">
      <c r="B1625" s="43">
        <v>45529</v>
      </c>
      <c r="C1625" s="32" t="s">
        <v>25</v>
      </c>
      <c r="D1625" s="32" t="s">
        <v>132</v>
      </c>
      <c r="E1625" s="36">
        <f t="shared" si="128"/>
        <v>22220702.661536489</v>
      </c>
      <c r="F1625" s="36">
        <v>15351.98</v>
      </c>
      <c r="G1625" s="58">
        <v>0</v>
      </c>
      <c r="H1625" s="35">
        <f t="shared" si="129"/>
        <v>15351.98</v>
      </c>
      <c r="I1625" s="35">
        <f t="shared" si="126"/>
        <v>0</v>
      </c>
      <c r="J1625" s="35">
        <f t="shared" si="127"/>
        <v>2411.1793418035727</v>
      </c>
      <c r="K1625" s="45">
        <f t="shared" si="125"/>
        <v>22233643.462194685</v>
      </c>
    </row>
    <row r="1626" spans="2:11">
      <c r="B1626" s="43">
        <v>45529</v>
      </c>
      <c r="C1626" s="32" t="s">
        <v>25</v>
      </c>
      <c r="D1626" s="32" t="s">
        <v>132</v>
      </c>
      <c r="E1626" s="36">
        <f t="shared" si="128"/>
        <v>22233643.462194685</v>
      </c>
      <c r="F1626" s="36">
        <v>17814.849999999999</v>
      </c>
      <c r="G1626" s="58">
        <v>0</v>
      </c>
      <c r="H1626" s="35">
        <f t="shared" si="129"/>
        <v>17814.849999999999</v>
      </c>
      <c r="I1626" s="35">
        <f t="shared" si="126"/>
        <v>0</v>
      </c>
      <c r="J1626" s="35">
        <f t="shared" si="127"/>
        <v>1206.2917772142805</v>
      </c>
      <c r="K1626" s="45">
        <f t="shared" si="125"/>
        <v>22250252.02041747</v>
      </c>
    </row>
    <row r="1627" spans="2:11">
      <c r="B1627" s="43">
        <v>45529</v>
      </c>
      <c r="C1627" s="32" t="s">
        <v>27</v>
      </c>
      <c r="D1627" s="32" t="s">
        <v>132</v>
      </c>
      <c r="E1627" s="36">
        <f t="shared" si="128"/>
        <v>22250252.02041747</v>
      </c>
      <c r="F1627" s="36">
        <v>10890.59</v>
      </c>
      <c r="G1627" s="58">
        <v>0</v>
      </c>
      <c r="H1627" s="35">
        <f t="shared" si="129"/>
        <v>10890.59</v>
      </c>
      <c r="I1627" s="35">
        <f t="shared" si="126"/>
        <v>0</v>
      </c>
      <c r="J1627" s="35">
        <f t="shared" si="127"/>
        <v>1207.1928786126903</v>
      </c>
      <c r="K1627" s="45">
        <f t="shared" si="125"/>
        <v>22259935.417538859</v>
      </c>
    </row>
    <row r="1628" spans="2:11">
      <c r="B1628" s="43">
        <v>45529</v>
      </c>
      <c r="C1628" s="32" t="s">
        <v>29</v>
      </c>
      <c r="D1628" s="32" t="s">
        <v>132</v>
      </c>
      <c r="E1628" s="36">
        <f t="shared" si="128"/>
        <v>22259935.417538859</v>
      </c>
      <c r="F1628" s="36">
        <v>21957.99</v>
      </c>
      <c r="G1628" s="58">
        <v>0</v>
      </c>
      <c r="H1628" s="35">
        <f t="shared" si="129"/>
        <v>21957.99</v>
      </c>
      <c r="I1628" s="35">
        <f t="shared" si="126"/>
        <v>0</v>
      </c>
      <c r="J1628" s="35">
        <f t="shared" si="127"/>
        <v>1207.7182536976552</v>
      </c>
      <c r="K1628" s="45">
        <f t="shared" si="125"/>
        <v>22280685.689285159</v>
      </c>
    </row>
    <row r="1629" spans="2:11">
      <c r="B1629" s="43">
        <v>45529</v>
      </c>
      <c r="C1629" s="32" t="s">
        <v>27</v>
      </c>
      <c r="D1629" s="32" t="s">
        <v>134</v>
      </c>
      <c r="E1629" s="36">
        <f t="shared" si="128"/>
        <v>22280685.689285159</v>
      </c>
      <c r="F1629" s="36">
        <v>0</v>
      </c>
      <c r="G1629" s="58">
        <v>-18837</v>
      </c>
      <c r="H1629" s="35">
        <f t="shared" si="129"/>
        <v>-18837</v>
      </c>
      <c r="I1629" s="35">
        <f t="shared" si="126"/>
        <v>0</v>
      </c>
      <c r="J1629" s="35">
        <f t="shared" si="127"/>
        <v>1208.8440647787354</v>
      </c>
      <c r="K1629" s="45">
        <f t="shared" si="125"/>
        <v>22260639.84522038</v>
      </c>
    </row>
    <row r="1630" spans="2:11">
      <c r="B1630" s="43">
        <v>45529</v>
      </c>
      <c r="C1630" s="32" t="s">
        <v>25</v>
      </c>
      <c r="D1630" s="32" t="s">
        <v>134</v>
      </c>
      <c r="E1630" s="36">
        <f t="shared" si="128"/>
        <v>22260639.84522038</v>
      </c>
      <c r="F1630" s="36">
        <v>0</v>
      </c>
      <c r="G1630" s="58">
        <v>-11556</v>
      </c>
      <c r="H1630" s="35">
        <f t="shared" si="129"/>
        <v>-11556</v>
      </c>
      <c r="I1630" s="35">
        <f t="shared" si="126"/>
        <v>0</v>
      </c>
      <c r="J1630" s="35">
        <f t="shared" si="127"/>
        <v>1207.7564725942254</v>
      </c>
      <c r="K1630" s="45">
        <f t="shared" si="125"/>
        <v>22247876.088747784</v>
      </c>
    </row>
    <row r="1631" spans="2:11">
      <c r="B1631" s="43">
        <v>45529</v>
      </c>
      <c r="C1631" s="32" t="s">
        <v>25</v>
      </c>
      <c r="D1631" s="32" t="s">
        <v>134</v>
      </c>
      <c r="E1631" s="36">
        <f t="shared" si="128"/>
        <v>22247876.088747784</v>
      </c>
      <c r="F1631" s="36">
        <v>0</v>
      </c>
      <c r="G1631" s="58">
        <v>-10257</v>
      </c>
      <c r="H1631" s="35">
        <f t="shared" si="129"/>
        <v>-10257</v>
      </c>
      <c r="I1631" s="35">
        <f t="shared" si="126"/>
        <v>0</v>
      </c>
      <c r="J1631" s="35">
        <f t="shared" si="127"/>
        <v>1207.0639718574282</v>
      </c>
      <c r="K1631" s="45">
        <f t="shared" si="125"/>
        <v>22236412.024775926</v>
      </c>
    </row>
    <row r="1632" spans="2:11">
      <c r="B1632" s="43">
        <v>45530</v>
      </c>
      <c r="C1632" s="32" t="s">
        <v>25</v>
      </c>
      <c r="D1632" s="32" t="s">
        <v>132</v>
      </c>
      <c r="E1632" s="36">
        <f t="shared" si="128"/>
        <v>22236412.024775926</v>
      </c>
      <c r="F1632" s="36">
        <v>16565.82</v>
      </c>
      <c r="G1632" s="58">
        <v>0</v>
      </c>
      <c r="H1632" s="35">
        <f t="shared" si="129"/>
        <v>16565.82</v>
      </c>
      <c r="I1632" s="35">
        <f t="shared" si="126"/>
        <v>0</v>
      </c>
      <c r="J1632" s="35">
        <f t="shared" si="127"/>
        <v>2412.883972511826</v>
      </c>
      <c r="K1632" s="45">
        <f t="shared" si="125"/>
        <v>22250564.960803416</v>
      </c>
    </row>
    <row r="1633" spans="2:11">
      <c r="B1633" s="43">
        <v>45530</v>
      </c>
      <c r="C1633" s="32" t="s">
        <v>25</v>
      </c>
      <c r="D1633" s="32" t="s">
        <v>132</v>
      </c>
      <c r="E1633" s="36">
        <f t="shared" si="128"/>
        <v>22250564.960803416</v>
      </c>
      <c r="F1633" s="36">
        <v>17281.240000000002</v>
      </c>
      <c r="G1633" s="58">
        <v>0</v>
      </c>
      <c r="H1633" s="35">
        <f t="shared" si="129"/>
        <v>17281.240000000002</v>
      </c>
      <c r="I1633" s="35">
        <f t="shared" si="126"/>
        <v>0</v>
      </c>
      <c r="J1633" s="35">
        <f t="shared" si="127"/>
        <v>1207.2098572700554</v>
      </c>
      <c r="K1633" s="45">
        <f t="shared" si="125"/>
        <v>22266638.990946144</v>
      </c>
    </row>
    <row r="1634" spans="2:11">
      <c r="B1634" s="43">
        <v>45530</v>
      </c>
      <c r="C1634" s="32" t="s">
        <v>29</v>
      </c>
      <c r="D1634" s="32" t="s">
        <v>134</v>
      </c>
      <c r="E1634" s="36">
        <f t="shared" si="128"/>
        <v>22266638.990946144</v>
      </c>
      <c r="F1634" s="36">
        <v>0</v>
      </c>
      <c r="G1634" s="58">
        <v>-8353.6299999999992</v>
      </c>
      <c r="H1634" s="35">
        <f t="shared" si="129"/>
        <v>-8353.6299999999992</v>
      </c>
      <c r="I1634" s="35">
        <f t="shared" si="126"/>
        <v>0</v>
      </c>
      <c r="J1634" s="35">
        <f t="shared" si="127"/>
        <v>1208.081957716428</v>
      </c>
      <c r="K1634" s="45">
        <f t="shared" si="125"/>
        <v>22257077.278988428</v>
      </c>
    </row>
    <row r="1635" spans="2:11">
      <c r="B1635" s="43">
        <v>45530</v>
      </c>
      <c r="C1635" s="32" t="s">
        <v>25</v>
      </c>
      <c r="D1635" s="32" t="s">
        <v>134</v>
      </c>
      <c r="E1635" s="36">
        <f t="shared" si="128"/>
        <v>22257077.278988428</v>
      </c>
      <c r="F1635" s="36">
        <v>0</v>
      </c>
      <c r="G1635" s="58">
        <v>-19002</v>
      </c>
      <c r="H1635" s="35">
        <f t="shared" si="129"/>
        <v>-19002</v>
      </c>
      <c r="I1635" s="35">
        <f t="shared" si="126"/>
        <v>0</v>
      </c>
      <c r="J1635" s="35">
        <f t="shared" si="127"/>
        <v>1207.5631846898525</v>
      </c>
      <c r="K1635" s="45">
        <f t="shared" si="125"/>
        <v>22236867.715803739</v>
      </c>
    </row>
    <row r="1636" spans="2:11">
      <c r="B1636" s="43">
        <v>45530</v>
      </c>
      <c r="C1636" s="32" t="s">
        <v>25</v>
      </c>
      <c r="D1636" s="32" t="s">
        <v>134</v>
      </c>
      <c r="E1636" s="36">
        <f t="shared" si="128"/>
        <v>22236867.715803739</v>
      </c>
      <c r="F1636" s="36">
        <v>0</v>
      </c>
      <c r="G1636" s="58">
        <v>-12203</v>
      </c>
      <c r="H1636" s="35">
        <f t="shared" si="129"/>
        <v>-12203</v>
      </c>
      <c r="I1636" s="35">
        <f t="shared" si="126"/>
        <v>0</v>
      </c>
      <c r="J1636" s="35">
        <f t="shared" si="127"/>
        <v>1206.4667098843518</v>
      </c>
      <c r="K1636" s="45">
        <f t="shared" si="125"/>
        <v>22223458.249093853</v>
      </c>
    </row>
    <row r="1637" spans="2:11">
      <c r="B1637" s="43">
        <v>45530</v>
      </c>
      <c r="C1637" s="32" t="s">
        <v>25</v>
      </c>
      <c r="D1637" s="32" t="s">
        <v>134</v>
      </c>
      <c r="E1637" s="36">
        <f t="shared" si="128"/>
        <v>22223458.249093853</v>
      </c>
      <c r="F1637" s="36">
        <v>0</v>
      </c>
      <c r="G1637" s="58">
        <v>-14314</v>
      </c>
      <c r="H1637" s="35">
        <f t="shared" si="129"/>
        <v>-14314</v>
      </c>
      <c r="I1637" s="35">
        <f t="shared" si="126"/>
        <v>0</v>
      </c>
      <c r="J1637" s="35">
        <f t="shared" si="127"/>
        <v>1205.7391759803172</v>
      </c>
      <c r="K1637" s="45">
        <f t="shared" si="125"/>
        <v>22207938.509917874</v>
      </c>
    </row>
    <row r="1638" spans="2:11">
      <c r="B1638" s="43">
        <v>45530</v>
      </c>
      <c r="C1638" s="32" t="s">
        <v>29</v>
      </c>
      <c r="D1638" s="32" t="s">
        <v>134</v>
      </c>
      <c r="E1638" s="36">
        <f t="shared" si="128"/>
        <v>22207938.509917874</v>
      </c>
      <c r="F1638" s="36">
        <v>0</v>
      </c>
      <c r="G1638" s="58">
        <v>-12788</v>
      </c>
      <c r="H1638" s="35">
        <f t="shared" si="129"/>
        <v>-12788</v>
      </c>
      <c r="I1638" s="35">
        <f t="shared" si="126"/>
        <v>0</v>
      </c>
      <c r="J1638" s="35">
        <f t="shared" si="127"/>
        <v>1204.897148726245</v>
      </c>
      <c r="K1638" s="45">
        <f t="shared" si="125"/>
        <v>22193945.612769149</v>
      </c>
    </row>
    <row r="1639" spans="2:11">
      <c r="B1639" s="43">
        <v>45530</v>
      </c>
      <c r="C1639" s="32" t="s">
        <v>25</v>
      </c>
      <c r="D1639" s="32" t="s">
        <v>134</v>
      </c>
      <c r="E1639" s="36">
        <f t="shared" si="128"/>
        <v>22193945.612769149</v>
      </c>
      <c r="F1639" s="36">
        <v>0</v>
      </c>
      <c r="G1639" s="58">
        <v>-10501</v>
      </c>
      <c r="H1639" s="35">
        <f t="shared" si="129"/>
        <v>-10501</v>
      </c>
      <c r="I1639" s="35">
        <f t="shared" si="126"/>
        <v>0</v>
      </c>
      <c r="J1639" s="35">
        <f t="shared" si="127"/>
        <v>1204.1379606607074</v>
      </c>
      <c r="K1639" s="45">
        <f t="shared" si="125"/>
        <v>22182240.474808488</v>
      </c>
    </row>
    <row r="1640" spans="2:11">
      <c r="B1640" s="43">
        <v>45531</v>
      </c>
      <c r="C1640" s="32" t="s">
        <v>27</v>
      </c>
      <c r="D1640" s="32" t="s">
        <v>132</v>
      </c>
      <c r="E1640" s="36">
        <f t="shared" si="128"/>
        <v>22182240.474808488</v>
      </c>
      <c r="F1640" s="36">
        <v>12042.82</v>
      </c>
      <c r="G1640" s="58">
        <v>0</v>
      </c>
      <c r="H1640" s="35">
        <f t="shared" si="129"/>
        <v>12042.82</v>
      </c>
      <c r="I1640" s="35">
        <f t="shared" si="126"/>
        <v>0</v>
      </c>
      <c r="J1640" s="35">
        <f t="shared" si="127"/>
        <v>2407.0057910616479</v>
      </c>
      <c r="K1640" s="45">
        <f t="shared" si="125"/>
        <v>22191876.289017428</v>
      </c>
    </row>
    <row r="1641" spans="2:11">
      <c r="B1641" s="43">
        <v>45531</v>
      </c>
      <c r="C1641" s="32" t="s">
        <v>29</v>
      </c>
      <c r="D1641" s="32" t="s">
        <v>132</v>
      </c>
      <c r="E1641" s="36">
        <f t="shared" si="128"/>
        <v>22191876.289017428</v>
      </c>
      <c r="F1641" s="36">
        <v>17103.52</v>
      </c>
      <c r="G1641" s="58">
        <v>0</v>
      </c>
      <c r="H1641" s="35">
        <f t="shared" si="129"/>
        <v>17103.52</v>
      </c>
      <c r="I1641" s="35">
        <f t="shared" si="126"/>
        <v>0</v>
      </c>
      <c r="J1641" s="35">
        <f t="shared" si="127"/>
        <v>1204.0256889932077</v>
      </c>
      <c r="K1641" s="45">
        <f t="shared" si="125"/>
        <v>22207775.783328433</v>
      </c>
    </row>
    <row r="1642" spans="2:11">
      <c r="B1642" s="43">
        <v>45531</v>
      </c>
      <c r="C1642" s="32" t="s">
        <v>29</v>
      </c>
      <c r="D1642" s="32" t="s">
        <v>132</v>
      </c>
      <c r="E1642" s="36">
        <f t="shared" si="128"/>
        <v>22207775.783328433</v>
      </c>
      <c r="F1642" s="36">
        <v>12482.37</v>
      </c>
      <c r="G1642" s="58">
        <v>0</v>
      </c>
      <c r="H1642" s="35">
        <f t="shared" si="129"/>
        <v>12482.37</v>
      </c>
      <c r="I1642" s="35">
        <f t="shared" si="126"/>
        <v>0</v>
      </c>
      <c r="J1642" s="35">
        <f t="shared" si="127"/>
        <v>1204.8883199552379</v>
      </c>
      <c r="K1642" s="45">
        <f t="shared" si="125"/>
        <v>22219053.265008479</v>
      </c>
    </row>
    <row r="1643" spans="2:11">
      <c r="B1643" s="43">
        <v>45531</v>
      </c>
      <c r="C1643" s="32" t="s">
        <v>29</v>
      </c>
      <c r="D1643" s="32" t="s">
        <v>134</v>
      </c>
      <c r="E1643" s="36">
        <f t="shared" si="128"/>
        <v>22219053.265008479</v>
      </c>
      <c r="F1643" s="36">
        <v>0</v>
      </c>
      <c r="G1643" s="58">
        <v>-4727.12</v>
      </c>
      <c r="H1643" s="35">
        <f t="shared" si="129"/>
        <v>-4727.12</v>
      </c>
      <c r="I1643" s="35">
        <f t="shared" si="126"/>
        <v>0</v>
      </c>
      <c r="J1643" s="35">
        <f t="shared" si="127"/>
        <v>1205.5001824887654</v>
      </c>
      <c r="K1643" s="45">
        <f t="shared" si="125"/>
        <v>22213120.644825991</v>
      </c>
    </row>
    <row r="1644" spans="2:11">
      <c r="B1644" s="43">
        <v>45531</v>
      </c>
      <c r="C1644" s="32" t="s">
        <v>25</v>
      </c>
      <c r="D1644" s="32" t="s">
        <v>134</v>
      </c>
      <c r="E1644" s="36">
        <f t="shared" si="128"/>
        <v>22213120.644825991</v>
      </c>
      <c r="F1644" s="36">
        <v>0</v>
      </c>
      <c r="G1644" s="58">
        <v>-18537</v>
      </c>
      <c r="H1644" s="35">
        <f t="shared" si="129"/>
        <v>-18537</v>
      </c>
      <c r="I1644" s="35">
        <f t="shared" si="126"/>
        <v>0</v>
      </c>
      <c r="J1644" s="35">
        <f t="shared" si="127"/>
        <v>1205.1783067262238</v>
      </c>
      <c r="K1644" s="45">
        <f t="shared" si="125"/>
        <v>22193378.466519266</v>
      </c>
    </row>
    <row r="1645" spans="2:11">
      <c r="B1645" s="43">
        <v>45531</v>
      </c>
      <c r="C1645" s="32" t="s">
        <v>27</v>
      </c>
      <c r="D1645" s="32" t="s">
        <v>134</v>
      </c>
      <c r="E1645" s="36">
        <f t="shared" si="128"/>
        <v>22193378.466519266</v>
      </c>
      <c r="F1645" s="36">
        <v>0</v>
      </c>
      <c r="G1645" s="58">
        <v>-9012</v>
      </c>
      <c r="H1645" s="35">
        <f t="shared" si="129"/>
        <v>-9012</v>
      </c>
      <c r="I1645" s="35">
        <f t="shared" si="126"/>
        <v>0</v>
      </c>
      <c r="J1645" s="35">
        <f t="shared" si="127"/>
        <v>1204.107190001869</v>
      </c>
      <c r="K1645" s="45">
        <f t="shared" si="125"/>
        <v>22183162.359329265</v>
      </c>
    </row>
    <row r="1646" spans="2:11">
      <c r="B1646" s="43">
        <v>45531</v>
      </c>
      <c r="C1646" s="32" t="s">
        <v>27</v>
      </c>
      <c r="D1646" s="32" t="s">
        <v>134</v>
      </c>
      <c r="E1646" s="36">
        <f t="shared" si="128"/>
        <v>22183162.359329265</v>
      </c>
      <c r="F1646" s="36">
        <v>0</v>
      </c>
      <c r="G1646" s="58">
        <v>-1983</v>
      </c>
      <c r="H1646" s="35">
        <f t="shared" si="129"/>
        <v>-1983</v>
      </c>
      <c r="I1646" s="35">
        <f t="shared" si="126"/>
        <v>0</v>
      </c>
      <c r="J1646" s="35">
        <f t="shared" si="127"/>
        <v>1203.5529126015233</v>
      </c>
      <c r="K1646" s="45">
        <f t="shared" si="125"/>
        <v>22179975.806416664</v>
      </c>
    </row>
    <row r="1647" spans="2:11">
      <c r="B1647" s="43">
        <v>45532</v>
      </c>
      <c r="C1647" s="32" t="s">
        <v>27</v>
      </c>
      <c r="D1647" s="32" t="s">
        <v>132</v>
      </c>
      <c r="E1647" s="36">
        <f t="shared" si="128"/>
        <v>22179975.806416664</v>
      </c>
      <c r="F1647" s="36">
        <v>16443.03</v>
      </c>
      <c r="G1647" s="58">
        <v>0</v>
      </c>
      <c r="H1647" s="35">
        <f t="shared" si="129"/>
        <v>16443.03</v>
      </c>
      <c r="I1647" s="35">
        <f t="shared" si="126"/>
        <v>0</v>
      </c>
      <c r="J1647" s="35">
        <f t="shared" si="127"/>
        <v>2406.7600507839629</v>
      </c>
      <c r="K1647" s="45">
        <f t="shared" si="125"/>
        <v>22194012.076365881</v>
      </c>
    </row>
    <row r="1648" spans="2:11">
      <c r="B1648" s="43">
        <v>45532</v>
      </c>
      <c r="C1648" s="32" t="s">
        <v>27</v>
      </c>
      <c r="D1648" s="32" t="s">
        <v>132</v>
      </c>
      <c r="E1648" s="36">
        <f t="shared" si="128"/>
        <v>22194012.076365881</v>
      </c>
      <c r="F1648" s="36">
        <v>15398.91</v>
      </c>
      <c r="G1648" s="58">
        <v>0</v>
      </c>
      <c r="H1648" s="35">
        <f t="shared" si="129"/>
        <v>15398.91</v>
      </c>
      <c r="I1648" s="35">
        <f t="shared" si="126"/>
        <v>0</v>
      </c>
      <c r="J1648" s="35">
        <f t="shared" si="127"/>
        <v>1204.1415666594435</v>
      </c>
      <c r="K1648" s="45">
        <f t="shared" si="125"/>
        <v>22208206.844799221</v>
      </c>
    </row>
    <row r="1649" spans="2:11">
      <c r="B1649" s="43">
        <v>45532</v>
      </c>
      <c r="C1649" s="32" t="s">
        <v>29</v>
      </c>
      <c r="D1649" s="32" t="s">
        <v>132</v>
      </c>
      <c r="E1649" s="36">
        <f t="shared" si="128"/>
        <v>22208206.844799221</v>
      </c>
      <c r="F1649" s="36">
        <v>16056.17</v>
      </c>
      <c r="G1649" s="58">
        <v>0</v>
      </c>
      <c r="H1649" s="35">
        <f t="shared" si="129"/>
        <v>16056.17</v>
      </c>
      <c r="I1649" s="35">
        <f t="shared" si="126"/>
        <v>0</v>
      </c>
      <c r="J1649" s="35">
        <f t="shared" si="127"/>
        <v>1204.9117073010218</v>
      </c>
      <c r="K1649" s="45">
        <f t="shared" si="125"/>
        <v>22223058.103091922</v>
      </c>
    </row>
    <row r="1650" spans="2:11">
      <c r="B1650" s="43">
        <v>45532</v>
      </c>
      <c r="C1650" s="32" t="s">
        <v>29</v>
      </c>
      <c r="D1650" s="32" t="s">
        <v>132</v>
      </c>
      <c r="E1650" s="36">
        <f t="shared" si="128"/>
        <v>22223058.103091922</v>
      </c>
      <c r="F1650" s="36">
        <v>14753.55</v>
      </c>
      <c r="G1650" s="58">
        <v>0</v>
      </c>
      <c r="H1650" s="35">
        <f t="shared" si="129"/>
        <v>14753.55</v>
      </c>
      <c r="I1650" s="35">
        <f t="shared" si="126"/>
        <v>0</v>
      </c>
      <c r="J1650" s="35">
        <f t="shared" si="127"/>
        <v>1205.7174659608759</v>
      </c>
      <c r="K1650" s="45">
        <f t="shared" si="125"/>
        <v>22236605.935625963</v>
      </c>
    </row>
    <row r="1651" spans="2:11">
      <c r="B1651" s="43">
        <v>45532</v>
      </c>
      <c r="C1651" s="32" t="s">
        <v>25</v>
      </c>
      <c r="D1651" s="32" t="s">
        <v>132</v>
      </c>
      <c r="E1651" s="36">
        <f t="shared" si="128"/>
        <v>22236605.935625963</v>
      </c>
      <c r="F1651" s="36">
        <v>10707.67</v>
      </c>
      <c r="G1651" s="58">
        <v>0</v>
      </c>
      <c r="H1651" s="35">
        <f t="shared" si="129"/>
        <v>10707.67</v>
      </c>
      <c r="I1651" s="35">
        <f t="shared" si="126"/>
        <v>0</v>
      </c>
      <c r="J1651" s="35">
        <f t="shared" si="127"/>
        <v>1206.4525069366241</v>
      </c>
      <c r="K1651" s="45">
        <f t="shared" si="125"/>
        <v>22246107.153119028</v>
      </c>
    </row>
    <row r="1652" spans="2:11">
      <c r="B1652" s="43">
        <v>45532</v>
      </c>
      <c r="C1652" s="32" t="s">
        <v>25</v>
      </c>
      <c r="D1652" s="32" t="s">
        <v>132</v>
      </c>
      <c r="E1652" s="36">
        <f t="shared" si="128"/>
        <v>22246107.153119028</v>
      </c>
      <c r="F1652" s="36">
        <v>15368.01</v>
      </c>
      <c r="G1652" s="58">
        <v>0</v>
      </c>
      <c r="H1652" s="35">
        <f t="shared" si="129"/>
        <v>15368.01</v>
      </c>
      <c r="I1652" s="35">
        <f t="shared" si="126"/>
        <v>0</v>
      </c>
      <c r="J1652" s="35">
        <f t="shared" si="127"/>
        <v>1206.9679978211882</v>
      </c>
      <c r="K1652" s="45">
        <f t="shared" si="125"/>
        <v>22260268.195121206</v>
      </c>
    </row>
    <row r="1653" spans="2:11">
      <c r="B1653" s="43">
        <v>45532</v>
      </c>
      <c r="C1653" s="32" t="s">
        <v>25</v>
      </c>
      <c r="D1653" s="32" t="s">
        <v>134</v>
      </c>
      <c r="E1653" s="36">
        <f t="shared" si="128"/>
        <v>22260268.195121206</v>
      </c>
      <c r="F1653" s="36">
        <v>0</v>
      </c>
      <c r="G1653" s="58">
        <v>-16922</v>
      </c>
      <c r="H1653" s="35">
        <f t="shared" si="129"/>
        <v>-16922</v>
      </c>
      <c r="I1653" s="35">
        <f t="shared" si="126"/>
        <v>0</v>
      </c>
      <c r="J1653" s="35">
        <f t="shared" si="127"/>
        <v>1207.736308626975</v>
      </c>
      <c r="K1653" s="45">
        <f t="shared" si="125"/>
        <v>22242138.45881258</v>
      </c>
    </row>
    <row r="1654" spans="2:11">
      <c r="B1654" s="43">
        <v>45533</v>
      </c>
      <c r="C1654" s="32" t="s">
        <v>25</v>
      </c>
      <c r="D1654" s="32" t="s">
        <v>132</v>
      </c>
      <c r="E1654" s="36">
        <f t="shared" si="128"/>
        <v>22242138.45881258</v>
      </c>
      <c r="F1654" s="36">
        <v>17438.59</v>
      </c>
      <c r="G1654" s="58">
        <v>0</v>
      </c>
      <c r="H1654" s="35">
        <f t="shared" si="129"/>
        <v>17438.59</v>
      </c>
      <c r="I1654" s="35">
        <f t="shared" si="126"/>
        <v>0</v>
      </c>
      <c r="J1654" s="35">
        <f t="shared" si="127"/>
        <v>2413.5053506771201</v>
      </c>
      <c r="K1654" s="45">
        <f t="shared" si="125"/>
        <v>22257163.543461904</v>
      </c>
    </row>
    <row r="1655" spans="2:11">
      <c r="B1655" s="43">
        <v>45533</v>
      </c>
      <c r="C1655" s="32" t="s">
        <v>27</v>
      </c>
      <c r="D1655" s="32" t="s">
        <v>132</v>
      </c>
      <c r="E1655" s="36">
        <f t="shared" si="128"/>
        <v>22257163.543461904</v>
      </c>
      <c r="F1655" s="36">
        <v>19626.330000000002</v>
      </c>
      <c r="G1655" s="58">
        <v>0</v>
      </c>
      <c r="H1655" s="35">
        <f t="shared" si="129"/>
        <v>19626.330000000002</v>
      </c>
      <c r="I1655" s="35">
        <f t="shared" si="126"/>
        <v>0</v>
      </c>
      <c r="J1655" s="35">
        <f t="shared" si="127"/>
        <v>1207.567864990011</v>
      </c>
      <c r="K1655" s="45">
        <f t="shared" si="125"/>
        <v>22275582.30559691</v>
      </c>
    </row>
    <row r="1656" spans="2:11">
      <c r="B1656" s="43">
        <v>45533</v>
      </c>
      <c r="C1656" s="32" t="s">
        <v>25</v>
      </c>
      <c r="D1656" s="32" t="s">
        <v>132</v>
      </c>
      <c r="E1656" s="36">
        <f t="shared" si="128"/>
        <v>22275582.30559691</v>
      </c>
      <c r="F1656" s="36">
        <v>11783.58</v>
      </c>
      <c r="G1656" s="58">
        <v>0</v>
      </c>
      <c r="H1656" s="35">
        <f t="shared" si="129"/>
        <v>11783.58</v>
      </c>
      <c r="I1656" s="35">
        <f t="shared" si="126"/>
        <v>0</v>
      </c>
      <c r="J1656" s="35">
        <f t="shared" si="127"/>
        <v>1208.5671794454984</v>
      </c>
      <c r="K1656" s="45">
        <f t="shared" si="125"/>
        <v>22286157.318417463</v>
      </c>
    </row>
    <row r="1657" spans="2:11">
      <c r="B1657" s="43">
        <v>45533</v>
      </c>
      <c r="C1657" s="32" t="s">
        <v>29</v>
      </c>
      <c r="D1657" s="32" t="s">
        <v>134</v>
      </c>
      <c r="E1657" s="36">
        <f t="shared" si="128"/>
        <v>22286157.318417463</v>
      </c>
      <c r="F1657" s="36">
        <v>0</v>
      </c>
      <c r="G1657" s="58">
        <v>-3557.7</v>
      </c>
      <c r="H1657" s="35">
        <f t="shared" si="129"/>
        <v>-3557.7</v>
      </c>
      <c r="I1657" s="35">
        <f t="shared" si="126"/>
        <v>0</v>
      </c>
      <c r="J1657" s="35">
        <f t="shared" si="127"/>
        <v>1209.1409293588249</v>
      </c>
      <c r="K1657" s="45">
        <f t="shared" si="125"/>
        <v>22281390.477488104</v>
      </c>
    </row>
    <row r="1658" spans="2:11">
      <c r="B1658" s="43">
        <v>45533</v>
      </c>
      <c r="C1658" s="32" t="s">
        <v>29</v>
      </c>
      <c r="D1658" s="32" t="s">
        <v>134</v>
      </c>
      <c r="E1658" s="36">
        <f t="shared" si="128"/>
        <v>22281390.477488104</v>
      </c>
      <c r="F1658" s="36">
        <v>0</v>
      </c>
      <c r="G1658" s="58">
        <v>-18011</v>
      </c>
      <c r="H1658" s="35">
        <f t="shared" si="129"/>
        <v>-18011</v>
      </c>
      <c r="I1658" s="35">
        <f t="shared" si="126"/>
        <v>0</v>
      </c>
      <c r="J1658" s="35">
        <f t="shared" si="127"/>
        <v>1208.882303235484</v>
      </c>
      <c r="K1658" s="45">
        <f t="shared" si="125"/>
        <v>22262170.59518487</v>
      </c>
    </row>
    <row r="1659" spans="2:11">
      <c r="B1659" s="43">
        <v>45534</v>
      </c>
      <c r="C1659" s="32" t="s">
        <v>27</v>
      </c>
      <c r="D1659" s="32" t="s">
        <v>132</v>
      </c>
      <c r="E1659" s="36">
        <f t="shared" si="128"/>
        <v>22262170.59518487</v>
      </c>
      <c r="F1659" s="36">
        <v>14033.82</v>
      </c>
      <c r="G1659" s="58">
        <v>0</v>
      </c>
      <c r="H1659" s="35">
        <f t="shared" si="129"/>
        <v>14033.82</v>
      </c>
      <c r="I1659" s="35">
        <f t="shared" si="126"/>
        <v>0</v>
      </c>
      <c r="J1659" s="35">
        <f t="shared" si="127"/>
        <v>2415.6790476177066</v>
      </c>
      <c r="K1659" s="45">
        <f t="shared" si="125"/>
        <v>22273788.736137252</v>
      </c>
    </row>
    <row r="1660" spans="2:11">
      <c r="B1660" s="43">
        <v>45534</v>
      </c>
      <c r="C1660" s="32" t="s">
        <v>25</v>
      </c>
      <c r="D1660" s="32" t="s">
        <v>132</v>
      </c>
      <c r="E1660" s="36">
        <f t="shared" si="128"/>
        <v>22273788.736137252</v>
      </c>
      <c r="F1660" s="36">
        <v>13613.17</v>
      </c>
      <c r="G1660" s="58">
        <v>0</v>
      </c>
      <c r="H1660" s="35">
        <f t="shared" si="129"/>
        <v>13613.17</v>
      </c>
      <c r="I1660" s="35">
        <f t="shared" si="126"/>
        <v>0</v>
      </c>
      <c r="J1660" s="35">
        <f t="shared" si="127"/>
        <v>1208.469868894723</v>
      </c>
      <c r="K1660" s="45">
        <f t="shared" si="125"/>
        <v>22286193.436268359</v>
      </c>
    </row>
    <row r="1661" spans="2:11">
      <c r="B1661" s="43">
        <v>45534</v>
      </c>
      <c r="C1661" s="32" t="s">
        <v>29</v>
      </c>
      <c r="D1661" s="32" t="s">
        <v>132</v>
      </c>
      <c r="E1661" s="36">
        <f t="shared" si="128"/>
        <v>22286193.436268359</v>
      </c>
      <c r="F1661" s="36">
        <v>14372.03</v>
      </c>
      <c r="G1661" s="58">
        <v>0</v>
      </c>
      <c r="H1661" s="35">
        <f t="shared" si="129"/>
        <v>14372.03</v>
      </c>
      <c r="I1661" s="35">
        <f t="shared" si="126"/>
        <v>0</v>
      </c>
      <c r="J1661" s="35">
        <f t="shared" si="127"/>
        <v>1209.1428889416807</v>
      </c>
      <c r="K1661" s="45">
        <f t="shared" si="125"/>
        <v>22299356.32337942</v>
      </c>
    </row>
    <row r="1662" spans="2:11">
      <c r="B1662" s="43">
        <v>45534</v>
      </c>
      <c r="C1662" s="32" t="s">
        <v>27</v>
      </c>
      <c r="D1662" s="32" t="s">
        <v>134</v>
      </c>
      <c r="E1662" s="36">
        <f t="shared" si="128"/>
        <v>22299356.32337942</v>
      </c>
      <c r="F1662" s="36">
        <v>0</v>
      </c>
      <c r="G1662" s="58">
        <v>-14530</v>
      </c>
      <c r="H1662" s="35">
        <f t="shared" si="129"/>
        <v>-14530</v>
      </c>
      <c r="I1662" s="35">
        <f t="shared" si="126"/>
        <v>0</v>
      </c>
      <c r="J1662" s="35">
        <f t="shared" si="127"/>
        <v>1209.8570446091253</v>
      </c>
      <c r="K1662" s="45">
        <f t="shared" si="125"/>
        <v>22283616.466334812</v>
      </c>
    </row>
    <row r="1663" spans="2:11">
      <c r="B1663" s="43">
        <v>45534</v>
      </c>
      <c r="C1663" s="32" t="s">
        <v>29</v>
      </c>
      <c r="D1663" s="32" t="s">
        <v>134</v>
      </c>
      <c r="E1663" s="36">
        <f t="shared" si="128"/>
        <v>22283616.466334812</v>
      </c>
      <c r="F1663" s="36">
        <v>0</v>
      </c>
      <c r="G1663" s="58">
        <v>-8348</v>
      </c>
      <c r="H1663" s="35">
        <f t="shared" si="129"/>
        <v>-8348</v>
      </c>
      <c r="I1663" s="35">
        <f t="shared" si="126"/>
        <v>0</v>
      </c>
      <c r="J1663" s="35">
        <f t="shared" si="127"/>
        <v>1209.0030748061229</v>
      </c>
      <c r="K1663" s="45">
        <f t="shared" si="125"/>
        <v>22274059.463260006</v>
      </c>
    </row>
    <row r="1664" spans="2:11">
      <c r="B1664" s="43">
        <v>45534</v>
      </c>
      <c r="C1664" s="32" t="s">
        <v>29</v>
      </c>
      <c r="D1664" s="32" t="s">
        <v>134</v>
      </c>
      <c r="E1664" s="36">
        <f t="shared" si="128"/>
        <v>22274059.463260006</v>
      </c>
      <c r="F1664" s="36">
        <v>0</v>
      </c>
      <c r="G1664" s="58">
        <v>-12690</v>
      </c>
      <c r="H1664" s="35">
        <f t="shared" si="129"/>
        <v>-12690</v>
      </c>
      <c r="I1664" s="35">
        <f t="shared" si="126"/>
        <v>0</v>
      </c>
      <c r="J1664" s="35">
        <f t="shared" si="127"/>
        <v>1208.4845572611441</v>
      </c>
      <c r="K1664" s="45">
        <f t="shared" si="125"/>
        <v>22260160.978702746</v>
      </c>
    </row>
    <row r="1665" spans="2:11">
      <c r="B1665" s="43">
        <v>45534</v>
      </c>
      <c r="C1665" s="32" t="s">
        <v>25</v>
      </c>
      <c r="D1665" s="32" t="s">
        <v>134</v>
      </c>
      <c r="E1665" s="36">
        <f t="shared" si="128"/>
        <v>22260160.978702746</v>
      </c>
      <c r="F1665" s="36">
        <v>0</v>
      </c>
      <c r="G1665" s="58">
        <v>-18236</v>
      </c>
      <c r="H1665" s="35">
        <f t="shared" si="129"/>
        <v>-18236</v>
      </c>
      <c r="I1665" s="35">
        <f t="shared" si="126"/>
        <v>0</v>
      </c>
      <c r="J1665" s="35">
        <f t="shared" si="127"/>
        <v>1207.7304915739044</v>
      </c>
      <c r="K1665" s="45">
        <f t="shared" si="125"/>
        <v>22240717.248211171</v>
      </c>
    </row>
    <row r="1666" spans="2:11">
      <c r="B1666" s="43">
        <v>45534</v>
      </c>
      <c r="C1666" s="32" t="s">
        <v>25</v>
      </c>
      <c r="D1666" s="32" t="s">
        <v>134</v>
      </c>
      <c r="E1666" s="36">
        <f t="shared" si="128"/>
        <v>22240717.248211171</v>
      </c>
      <c r="F1666" s="36">
        <v>0</v>
      </c>
      <c r="G1666" s="58">
        <v>-4937</v>
      </c>
      <c r="H1666" s="35">
        <f t="shared" si="129"/>
        <v>-4937</v>
      </c>
      <c r="I1666" s="35">
        <f t="shared" si="126"/>
        <v>0</v>
      </c>
      <c r="J1666" s="35">
        <f t="shared" si="127"/>
        <v>1206.675567208933</v>
      </c>
      <c r="K1666" s="45">
        <f t="shared" si="125"/>
        <v>22234573.572643962</v>
      </c>
    </row>
    <row r="1667" spans="2:11">
      <c r="B1667" s="43">
        <v>45535</v>
      </c>
      <c r="C1667" s="32" t="s">
        <v>29</v>
      </c>
      <c r="D1667" s="32" t="s">
        <v>132</v>
      </c>
      <c r="E1667" s="36">
        <f t="shared" si="128"/>
        <v>22234573.572643962</v>
      </c>
      <c r="F1667" s="36">
        <v>15450.91</v>
      </c>
      <c r="G1667" s="58">
        <v>0</v>
      </c>
      <c r="H1667" s="35">
        <f t="shared" si="129"/>
        <v>15450.91</v>
      </c>
      <c r="I1667" s="35">
        <f t="shared" si="126"/>
        <v>0</v>
      </c>
      <c r="J1667" s="35">
        <f t="shared" si="127"/>
        <v>2412.684481169495</v>
      </c>
      <c r="K1667" s="45">
        <f t="shared" si="125"/>
        <v>22247611.798162792</v>
      </c>
    </row>
    <row r="1668" spans="2:11">
      <c r="B1668" s="43">
        <v>45535</v>
      </c>
      <c r="C1668" s="32" t="s">
        <v>27</v>
      </c>
      <c r="D1668" s="32" t="s">
        <v>134</v>
      </c>
      <c r="E1668" s="36">
        <f t="shared" si="128"/>
        <v>22247611.798162792</v>
      </c>
      <c r="F1668" s="36">
        <v>0</v>
      </c>
      <c r="G1668" s="58">
        <v>-5795.26</v>
      </c>
      <c r="H1668" s="35">
        <f t="shared" si="129"/>
        <v>-5795.26</v>
      </c>
      <c r="I1668" s="35">
        <f t="shared" si="126"/>
        <v>0</v>
      </c>
      <c r="J1668" s="35">
        <f t="shared" si="127"/>
        <v>1207.0496327069416</v>
      </c>
      <c r="K1668" s="45">
        <f t="shared" si="125"/>
        <v>22240609.488530084</v>
      </c>
    </row>
    <row r="1669" spans="2:11">
      <c r="B1669" s="43">
        <v>45535</v>
      </c>
      <c r="C1669" s="32" t="s">
        <v>29</v>
      </c>
      <c r="D1669" s="32" t="s">
        <v>134</v>
      </c>
      <c r="E1669" s="36">
        <f t="shared" si="128"/>
        <v>22240609.488530084</v>
      </c>
      <c r="F1669" s="36">
        <v>0</v>
      </c>
      <c r="G1669" s="58">
        <v>-7868</v>
      </c>
      <c r="H1669" s="35">
        <f t="shared" si="129"/>
        <v>-7868</v>
      </c>
      <c r="I1669" s="35">
        <f t="shared" si="126"/>
        <v>0</v>
      </c>
      <c r="J1669" s="35">
        <f t="shared" si="127"/>
        <v>1206.6697206810154</v>
      </c>
      <c r="K1669" s="45">
        <f t="shared" si="125"/>
        <v>22231534.818809405</v>
      </c>
    </row>
    <row r="1670" spans="2:11">
      <c r="B1670" s="43">
        <v>45535</v>
      </c>
      <c r="C1670" s="32" t="s">
        <v>25</v>
      </c>
      <c r="D1670" s="32" t="s">
        <v>134</v>
      </c>
      <c r="E1670" s="36">
        <f t="shared" si="128"/>
        <v>22231534.818809405</v>
      </c>
      <c r="F1670" s="36">
        <v>0</v>
      </c>
      <c r="G1670" s="58">
        <v>-11400</v>
      </c>
      <c r="H1670" s="35">
        <f t="shared" si="129"/>
        <v>-11400</v>
      </c>
      <c r="I1670" s="35">
        <f t="shared" si="126"/>
        <v>0</v>
      </c>
      <c r="J1670" s="35">
        <f t="shared" si="127"/>
        <v>1206.1773722504217</v>
      </c>
      <c r="K1670" s="45">
        <f t="shared" si="125"/>
        <v>22218928.641437154</v>
      </c>
    </row>
    <row r="1671" spans="2:11">
      <c r="B1671" s="43">
        <v>45535</v>
      </c>
      <c r="C1671" s="32" t="s">
        <v>29</v>
      </c>
      <c r="D1671" s="32" t="s">
        <v>134</v>
      </c>
      <c r="E1671" s="36">
        <f t="shared" si="128"/>
        <v>22218928.641437154</v>
      </c>
      <c r="F1671" s="36">
        <v>0</v>
      </c>
      <c r="G1671" s="58">
        <v>-5679</v>
      </c>
      <c r="H1671" s="35">
        <f t="shared" si="129"/>
        <v>-5679</v>
      </c>
      <c r="I1671" s="35">
        <f t="shared" si="126"/>
        <v>0</v>
      </c>
      <c r="J1671" s="35">
        <f t="shared" si="127"/>
        <v>1205.4934210063484</v>
      </c>
      <c r="K1671" s="45">
        <f t="shared" si="125"/>
        <v>22212044.148016147</v>
      </c>
    </row>
    <row r="1672" spans="2:11">
      <c r="B1672" s="43">
        <v>45536</v>
      </c>
      <c r="C1672" s="32" t="s">
        <v>27</v>
      </c>
      <c r="D1672" s="32" t="s">
        <v>132</v>
      </c>
      <c r="E1672" s="36">
        <f t="shared" si="128"/>
        <v>22212044.148016147</v>
      </c>
      <c r="F1672" s="36">
        <v>14025.51</v>
      </c>
      <c r="G1672" s="58">
        <v>0</v>
      </c>
      <c r="H1672" s="35">
        <f t="shared" si="129"/>
        <v>14025.51</v>
      </c>
      <c r="I1672" s="35">
        <f t="shared" si="126"/>
        <v>0</v>
      </c>
      <c r="J1672" s="35">
        <f t="shared" si="127"/>
        <v>2410.2398022557477</v>
      </c>
      <c r="K1672" s="45">
        <f t="shared" ref="K1672:K1735" si="130">E1672+H1672+I1672-J1672</f>
        <v>22223659.418213893</v>
      </c>
    </row>
    <row r="1673" spans="2:11">
      <c r="B1673" s="43">
        <v>45536</v>
      </c>
      <c r="C1673" s="32" t="s">
        <v>27</v>
      </c>
      <c r="D1673" s="32" t="s">
        <v>132</v>
      </c>
      <c r="E1673" s="36">
        <f t="shared" si="128"/>
        <v>22223659.418213893</v>
      </c>
      <c r="F1673" s="36">
        <v>12337.52</v>
      </c>
      <c r="G1673" s="58">
        <v>0</v>
      </c>
      <c r="H1673" s="35">
        <f t="shared" si="129"/>
        <v>12337.52</v>
      </c>
      <c r="I1673" s="35">
        <f t="shared" si="126"/>
        <v>0</v>
      </c>
      <c r="J1673" s="35">
        <f t="shared" si="127"/>
        <v>1205.7500904602468</v>
      </c>
      <c r="K1673" s="45">
        <f t="shared" si="130"/>
        <v>22234791.188123431</v>
      </c>
    </row>
    <row r="1674" spans="2:11">
      <c r="B1674" s="43">
        <v>45536</v>
      </c>
      <c r="C1674" s="32" t="s">
        <v>25</v>
      </c>
      <c r="D1674" s="32" t="s">
        <v>134</v>
      </c>
      <c r="E1674" s="36">
        <f t="shared" si="128"/>
        <v>22234791.188123431</v>
      </c>
      <c r="F1674" s="36">
        <v>0</v>
      </c>
      <c r="G1674" s="58">
        <v>-17274</v>
      </c>
      <c r="H1674" s="35">
        <f t="shared" si="129"/>
        <v>-17274</v>
      </c>
      <c r="I1674" s="35">
        <f t="shared" si="126"/>
        <v>0</v>
      </c>
      <c r="J1674" s="35">
        <f t="shared" si="127"/>
        <v>1206.3540473659402</v>
      </c>
      <c r="K1674" s="45">
        <f t="shared" si="130"/>
        <v>22216310.834076066</v>
      </c>
    </row>
    <row r="1675" spans="2:11">
      <c r="B1675" s="43">
        <v>45536</v>
      </c>
      <c r="C1675" s="32" t="s">
        <v>29</v>
      </c>
      <c r="D1675" s="32" t="s">
        <v>134</v>
      </c>
      <c r="E1675" s="36">
        <f t="shared" si="128"/>
        <v>22216310.834076066</v>
      </c>
      <c r="F1675" s="36">
        <v>0</v>
      </c>
      <c r="G1675" s="58">
        <v>-19777</v>
      </c>
      <c r="H1675" s="35">
        <f t="shared" si="129"/>
        <v>-19777</v>
      </c>
      <c r="I1675" s="35">
        <f t="shared" si="126"/>
        <v>0</v>
      </c>
      <c r="J1675" s="35">
        <f t="shared" si="127"/>
        <v>1205.3513912261469</v>
      </c>
      <c r="K1675" s="45">
        <f t="shared" si="130"/>
        <v>22195328.48268484</v>
      </c>
    </row>
    <row r="1676" spans="2:11">
      <c r="B1676" s="43">
        <v>45536</v>
      </c>
      <c r="C1676" s="32" t="s">
        <v>25</v>
      </c>
      <c r="D1676" s="32" t="s">
        <v>134</v>
      </c>
      <c r="E1676" s="36">
        <f t="shared" si="128"/>
        <v>22195328.48268484</v>
      </c>
      <c r="F1676" s="36">
        <v>0</v>
      </c>
      <c r="G1676" s="58">
        <v>-19914</v>
      </c>
      <c r="H1676" s="35">
        <f t="shared" si="129"/>
        <v>-19914</v>
      </c>
      <c r="I1676" s="35">
        <f t="shared" si="126"/>
        <v>0</v>
      </c>
      <c r="J1676" s="35">
        <f t="shared" si="127"/>
        <v>1204.2129886070309</v>
      </c>
      <c r="K1676" s="45">
        <f t="shared" si="130"/>
        <v>22174210.269696232</v>
      </c>
    </row>
    <row r="1677" spans="2:11">
      <c r="B1677" s="43">
        <v>45537</v>
      </c>
      <c r="C1677" s="32" t="s">
        <v>27</v>
      </c>
      <c r="D1677" s="32" t="s">
        <v>132</v>
      </c>
      <c r="E1677" s="36">
        <f t="shared" si="128"/>
        <v>22174210.269696232</v>
      </c>
      <c r="F1677" s="36">
        <v>15996.94</v>
      </c>
      <c r="G1677" s="58">
        <v>0</v>
      </c>
      <c r="H1677" s="35">
        <f t="shared" si="129"/>
        <v>15996.94</v>
      </c>
      <c r="I1677" s="35">
        <f t="shared" si="126"/>
        <v>0</v>
      </c>
      <c r="J1677" s="35">
        <f t="shared" si="127"/>
        <v>2406.1344295672775</v>
      </c>
      <c r="K1677" s="45">
        <f t="shared" si="130"/>
        <v>22187801.075266667</v>
      </c>
    </row>
    <row r="1678" spans="2:11">
      <c r="B1678" s="43">
        <v>45537</v>
      </c>
      <c r="C1678" s="32" t="s">
        <v>29</v>
      </c>
      <c r="D1678" s="32" t="s">
        <v>132</v>
      </c>
      <c r="E1678" s="36">
        <f t="shared" si="128"/>
        <v>22187801.075266667</v>
      </c>
      <c r="F1678" s="36">
        <v>11888.26</v>
      </c>
      <c r="G1678" s="58">
        <v>0</v>
      </c>
      <c r="H1678" s="35">
        <f t="shared" si="129"/>
        <v>11888.26</v>
      </c>
      <c r="I1678" s="35">
        <f t="shared" si="126"/>
        <v>0</v>
      </c>
      <c r="J1678" s="35">
        <f t="shared" si="127"/>
        <v>1203.8045872720124</v>
      </c>
      <c r="K1678" s="45">
        <f t="shared" si="130"/>
        <v>22198485.530679397</v>
      </c>
    </row>
    <row r="1679" spans="2:11">
      <c r="B1679" s="43">
        <v>45537</v>
      </c>
      <c r="C1679" s="32" t="s">
        <v>29</v>
      </c>
      <c r="D1679" s="32" t="s">
        <v>132</v>
      </c>
      <c r="E1679" s="36">
        <f t="shared" si="128"/>
        <v>22198485.530679397</v>
      </c>
      <c r="F1679" s="36">
        <v>14801.76</v>
      </c>
      <c r="G1679" s="58">
        <v>0</v>
      </c>
      <c r="H1679" s="35">
        <f t="shared" si="129"/>
        <v>14801.76</v>
      </c>
      <c r="I1679" s="35">
        <f t="shared" si="126"/>
        <v>0</v>
      </c>
      <c r="J1679" s="35">
        <f t="shared" si="127"/>
        <v>1204.3842750200104</v>
      </c>
      <c r="K1679" s="45">
        <f t="shared" si="130"/>
        <v>22212082.90640438</v>
      </c>
    </row>
    <row r="1680" spans="2:11">
      <c r="B1680" s="43">
        <v>45537</v>
      </c>
      <c r="C1680" s="32" t="s">
        <v>27</v>
      </c>
      <c r="D1680" s="32" t="s">
        <v>132</v>
      </c>
      <c r="E1680" s="36">
        <f t="shared" si="128"/>
        <v>22212082.90640438</v>
      </c>
      <c r="F1680" s="36">
        <v>21872.83</v>
      </c>
      <c r="G1680" s="58">
        <v>0</v>
      </c>
      <c r="H1680" s="35">
        <f t="shared" si="129"/>
        <v>21872.83</v>
      </c>
      <c r="I1680" s="35">
        <f t="shared" si="126"/>
        <v>0</v>
      </c>
      <c r="J1680" s="35">
        <f t="shared" si="127"/>
        <v>1205.12200397373</v>
      </c>
      <c r="K1680" s="45">
        <f t="shared" si="130"/>
        <v>22232750.614400405</v>
      </c>
    </row>
    <row r="1681" spans="2:11">
      <c r="B1681" s="43">
        <v>45537</v>
      </c>
      <c r="C1681" s="32" t="s">
        <v>27</v>
      </c>
      <c r="D1681" s="32" t="s">
        <v>132</v>
      </c>
      <c r="E1681" s="36">
        <f t="shared" si="128"/>
        <v>22232750.614400405</v>
      </c>
      <c r="F1681" s="36">
        <v>14558.99</v>
      </c>
      <c r="G1681" s="58">
        <v>0</v>
      </c>
      <c r="H1681" s="35">
        <f t="shared" si="129"/>
        <v>14558.99</v>
      </c>
      <c r="I1681" s="35">
        <f t="shared" si="126"/>
        <v>0</v>
      </c>
      <c r="J1681" s="35">
        <f t="shared" si="127"/>
        <v>1206.2433355382962</v>
      </c>
      <c r="K1681" s="45">
        <f t="shared" si="130"/>
        <v>22246103.361064866</v>
      </c>
    </row>
    <row r="1682" spans="2:11">
      <c r="B1682" s="43">
        <v>45537</v>
      </c>
      <c r="C1682" s="32" t="s">
        <v>29</v>
      </c>
      <c r="D1682" s="32" t="s">
        <v>132</v>
      </c>
      <c r="E1682" s="36">
        <f t="shared" si="128"/>
        <v>22246103.361064866</v>
      </c>
      <c r="F1682" s="36">
        <v>14253.93</v>
      </c>
      <c r="G1682" s="58">
        <v>0</v>
      </c>
      <c r="H1682" s="35">
        <f t="shared" si="129"/>
        <v>14253.93</v>
      </c>
      <c r="I1682" s="35">
        <f t="shared" si="126"/>
        <v>0</v>
      </c>
      <c r="J1682" s="35">
        <f t="shared" si="127"/>
        <v>1206.9677920823599</v>
      </c>
      <c r="K1682" s="45">
        <f t="shared" si="130"/>
        <v>22259150.323272783</v>
      </c>
    </row>
    <row r="1683" spans="2:11">
      <c r="B1683" s="43">
        <v>45537</v>
      </c>
      <c r="C1683" s="32" t="s">
        <v>25</v>
      </c>
      <c r="D1683" s="32" t="s">
        <v>132</v>
      </c>
      <c r="E1683" s="36">
        <f t="shared" si="128"/>
        <v>22259150.323272783</v>
      </c>
      <c r="F1683" s="36">
        <v>16143.48</v>
      </c>
      <c r="G1683" s="58">
        <v>0</v>
      </c>
      <c r="H1683" s="35">
        <f t="shared" si="129"/>
        <v>16143.48</v>
      </c>
      <c r="I1683" s="35">
        <f t="shared" si="126"/>
        <v>0</v>
      </c>
      <c r="J1683" s="35">
        <f t="shared" si="127"/>
        <v>1207.6756582157625</v>
      </c>
      <c r="K1683" s="45">
        <f t="shared" si="130"/>
        <v>22274086.127614569</v>
      </c>
    </row>
    <row r="1684" spans="2:11">
      <c r="B1684" s="43">
        <v>45537</v>
      </c>
      <c r="C1684" s="32" t="s">
        <v>29</v>
      </c>
      <c r="D1684" s="32" t="s">
        <v>134</v>
      </c>
      <c r="E1684" s="36">
        <f t="shared" si="128"/>
        <v>22274086.127614569</v>
      </c>
      <c r="F1684" s="36">
        <v>0</v>
      </c>
      <c r="G1684" s="58">
        <v>-4665</v>
      </c>
      <c r="H1684" s="35">
        <f t="shared" si="129"/>
        <v>-4665</v>
      </c>
      <c r="I1684" s="35">
        <f t="shared" ref="I1684:I1747" si="131">(($E1684*Daily_Interest)*(_xlfn.DAYS(B1684,B1683)+1))+((IF(DAY($B1683)&gt;Monthly_Cut_off_Date,0,Daily_Interest*H1684))*(_xlfn.DAYS(B1684,B1683)+1))</f>
        <v>0</v>
      </c>
      <c r="J1684" s="35">
        <f t="shared" ref="J1684:J1747" si="132">(($I1684+E1684)*Daily_Fees_Rate)*((_xlfn.DAYS(B1684,B1683)+1))</f>
        <v>1208.4860039422383</v>
      </c>
      <c r="K1684" s="45">
        <f t="shared" si="130"/>
        <v>22268212.641610626</v>
      </c>
    </row>
    <row r="1685" spans="2:11">
      <c r="B1685" s="43">
        <v>45537</v>
      </c>
      <c r="C1685" s="32" t="s">
        <v>25</v>
      </c>
      <c r="D1685" s="32" t="s">
        <v>134</v>
      </c>
      <c r="E1685" s="36">
        <f t="shared" ref="E1685:E1748" si="133">K1684</f>
        <v>22268212.641610626</v>
      </c>
      <c r="F1685" s="36">
        <v>0</v>
      </c>
      <c r="G1685" s="58">
        <v>-5061</v>
      </c>
      <c r="H1685" s="35">
        <f t="shared" ref="H1685:H1748" si="134">SUM(F1685:G1685)</f>
        <v>-5061</v>
      </c>
      <c r="I1685" s="35">
        <f t="shared" si="131"/>
        <v>0</v>
      </c>
      <c r="J1685" s="35">
        <f t="shared" si="132"/>
        <v>1208.167336519052</v>
      </c>
      <c r="K1685" s="45">
        <f t="shared" si="130"/>
        <v>22261943.474274106</v>
      </c>
    </row>
    <row r="1686" spans="2:11">
      <c r="B1686" s="43">
        <v>45538</v>
      </c>
      <c r="C1686" s="32" t="s">
        <v>29</v>
      </c>
      <c r="D1686" s="32" t="s">
        <v>132</v>
      </c>
      <c r="E1686" s="36">
        <f t="shared" si="133"/>
        <v>22261943.474274106</v>
      </c>
      <c r="F1686" s="36">
        <v>14336.24</v>
      </c>
      <c r="G1686" s="58">
        <v>0</v>
      </c>
      <c r="H1686" s="35">
        <f t="shared" si="134"/>
        <v>14336.24</v>
      </c>
      <c r="I1686" s="35">
        <f t="shared" si="131"/>
        <v>0</v>
      </c>
      <c r="J1686" s="35">
        <f t="shared" si="132"/>
        <v>2415.6544026163101</v>
      </c>
      <c r="K1686" s="45">
        <f t="shared" si="130"/>
        <v>22273864.059871487</v>
      </c>
    </row>
    <row r="1687" spans="2:11">
      <c r="B1687" s="43">
        <v>45538</v>
      </c>
      <c r="C1687" s="32" t="s">
        <v>27</v>
      </c>
      <c r="D1687" s="32" t="s">
        <v>132</v>
      </c>
      <c r="E1687" s="36">
        <f t="shared" si="133"/>
        <v>22273864.059871487</v>
      </c>
      <c r="F1687" s="36">
        <v>10154.6</v>
      </c>
      <c r="G1687" s="58">
        <v>0</v>
      </c>
      <c r="H1687" s="35">
        <f t="shared" si="134"/>
        <v>10154.6</v>
      </c>
      <c r="I1687" s="35">
        <f t="shared" si="131"/>
        <v>0</v>
      </c>
      <c r="J1687" s="35">
        <f t="shared" si="132"/>
        <v>1208.4739556023917</v>
      </c>
      <c r="K1687" s="45">
        <f t="shared" si="130"/>
        <v>22282810.185915887</v>
      </c>
    </row>
    <row r="1688" spans="2:11">
      <c r="B1688" s="43">
        <v>45538</v>
      </c>
      <c r="C1688" s="32" t="s">
        <v>29</v>
      </c>
      <c r="D1688" s="32" t="s">
        <v>134</v>
      </c>
      <c r="E1688" s="36">
        <f t="shared" si="133"/>
        <v>22282810.185915887</v>
      </c>
      <c r="F1688" s="36">
        <v>0</v>
      </c>
      <c r="G1688" s="58">
        <v>-9042.7000000000007</v>
      </c>
      <c r="H1688" s="35">
        <f t="shared" si="134"/>
        <v>-9042.7000000000007</v>
      </c>
      <c r="I1688" s="35">
        <f t="shared" si="131"/>
        <v>0</v>
      </c>
      <c r="J1688" s="35">
        <f t="shared" si="132"/>
        <v>1208.9593298643128</v>
      </c>
      <c r="K1688" s="45">
        <f t="shared" si="130"/>
        <v>22272558.526586022</v>
      </c>
    </row>
    <row r="1689" spans="2:11">
      <c r="B1689" s="43">
        <v>45538</v>
      </c>
      <c r="C1689" s="32" t="s">
        <v>27</v>
      </c>
      <c r="D1689" s="32" t="s">
        <v>134</v>
      </c>
      <c r="E1689" s="36">
        <f t="shared" si="133"/>
        <v>22272558.526586022</v>
      </c>
      <c r="F1689" s="36">
        <v>0</v>
      </c>
      <c r="G1689" s="58">
        <v>-16641</v>
      </c>
      <c r="H1689" s="35">
        <f t="shared" si="134"/>
        <v>-16641</v>
      </c>
      <c r="I1689" s="35">
        <f t="shared" si="131"/>
        <v>0</v>
      </c>
      <c r="J1689" s="35">
        <f t="shared" si="132"/>
        <v>1208.4031235739023</v>
      </c>
      <c r="K1689" s="45">
        <f t="shared" si="130"/>
        <v>22254709.12346245</v>
      </c>
    </row>
    <row r="1690" spans="2:11">
      <c r="B1690" s="43">
        <v>45538</v>
      </c>
      <c r="C1690" s="32" t="s">
        <v>27</v>
      </c>
      <c r="D1690" s="32" t="s">
        <v>134</v>
      </c>
      <c r="E1690" s="36">
        <f t="shared" si="133"/>
        <v>22254709.12346245</v>
      </c>
      <c r="F1690" s="36">
        <v>0</v>
      </c>
      <c r="G1690" s="58">
        <v>-20214</v>
      </c>
      <c r="H1690" s="35">
        <f t="shared" si="134"/>
        <v>-20214</v>
      </c>
      <c r="I1690" s="35">
        <f t="shared" si="131"/>
        <v>0</v>
      </c>
      <c r="J1690" s="35">
        <f t="shared" si="132"/>
        <v>1207.4346998311737</v>
      </c>
      <c r="K1690" s="45">
        <f t="shared" si="130"/>
        <v>22233287.68876262</v>
      </c>
    </row>
    <row r="1691" spans="2:11">
      <c r="B1691" s="43">
        <v>45538</v>
      </c>
      <c r="C1691" s="32" t="s">
        <v>25</v>
      </c>
      <c r="D1691" s="32" t="s">
        <v>134</v>
      </c>
      <c r="E1691" s="36">
        <f t="shared" si="133"/>
        <v>22233287.68876262</v>
      </c>
      <c r="F1691" s="36">
        <v>0</v>
      </c>
      <c r="G1691" s="58">
        <v>-6777</v>
      </c>
      <c r="H1691" s="35">
        <f t="shared" si="134"/>
        <v>-6777</v>
      </c>
      <c r="I1691" s="35">
        <f t="shared" si="131"/>
        <v>0</v>
      </c>
      <c r="J1691" s="35">
        <f t="shared" si="132"/>
        <v>1206.2724746394963</v>
      </c>
      <c r="K1691" s="45">
        <f t="shared" si="130"/>
        <v>22225304.416287981</v>
      </c>
    </row>
    <row r="1692" spans="2:11">
      <c r="B1692" s="43">
        <v>45539</v>
      </c>
      <c r="C1692" s="32" t="s">
        <v>25</v>
      </c>
      <c r="D1692" s="32" t="s">
        <v>132</v>
      </c>
      <c r="E1692" s="36">
        <f t="shared" si="133"/>
        <v>22225304.416287981</v>
      </c>
      <c r="F1692" s="36">
        <v>12537.95</v>
      </c>
      <c r="G1692" s="58">
        <v>0</v>
      </c>
      <c r="H1692" s="35">
        <f t="shared" si="134"/>
        <v>12537.95</v>
      </c>
      <c r="I1692" s="35">
        <f t="shared" si="131"/>
        <v>0</v>
      </c>
      <c r="J1692" s="35">
        <f t="shared" si="132"/>
        <v>2411.6786804681437</v>
      </c>
      <c r="K1692" s="45">
        <f t="shared" si="130"/>
        <v>22235430.687607512</v>
      </c>
    </row>
    <row r="1693" spans="2:11">
      <c r="B1693" s="43">
        <v>45539</v>
      </c>
      <c r="C1693" s="32" t="s">
        <v>27</v>
      </c>
      <c r="D1693" s="32" t="s">
        <v>132</v>
      </c>
      <c r="E1693" s="36">
        <f t="shared" si="133"/>
        <v>22235430.687607512</v>
      </c>
      <c r="F1693" s="36">
        <v>11952.53</v>
      </c>
      <c r="G1693" s="58">
        <v>0</v>
      </c>
      <c r="H1693" s="35">
        <f t="shared" si="134"/>
        <v>11952.53</v>
      </c>
      <c r="I1693" s="35">
        <f t="shared" si="131"/>
        <v>0</v>
      </c>
      <c r="J1693" s="35">
        <f t="shared" si="132"/>
        <v>1206.3887435672395</v>
      </c>
      <c r="K1693" s="45">
        <f t="shared" si="130"/>
        <v>22246176.828863945</v>
      </c>
    </row>
    <row r="1694" spans="2:11">
      <c r="B1694" s="43">
        <v>45539</v>
      </c>
      <c r="C1694" s="32" t="s">
        <v>25</v>
      </c>
      <c r="D1694" s="32" t="s">
        <v>134</v>
      </c>
      <c r="E1694" s="36">
        <f t="shared" si="133"/>
        <v>22246176.828863945</v>
      </c>
      <c r="F1694" s="36">
        <v>0</v>
      </c>
      <c r="G1694" s="58">
        <v>-14003.04</v>
      </c>
      <c r="H1694" s="35">
        <f t="shared" si="134"/>
        <v>-14003.04</v>
      </c>
      <c r="I1694" s="35">
        <f t="shared" si="131"/>
        <v>0</v>
      </c>
      <c r="J1694" s="35">
        <f t="shared" si="132"/>
        <v>1206.9717780958115</v>
      </c>
      <c r="K1694" s="45">
        <f t="shared" si="130"/>
        <v>22230966.817085851</v>
      </c>
    </row>
    <row r="1695" spans="2:11">
      <c r="B1695" s="43">
        <v>45539</v>
      </c>
      <c r="C1695" s="32" t="s">
        <v>27</v>
      </c>
      <c r="D1695" s="32" t="s">
        <v>134</v>
      </c>
      <c r="E1695" s="36">
        <f t="shared" si="133"/>
        <v>22230966.817085851</v>
      </c>
      <c r="F1695" s="36">
        <v>0</v>
      </c>
      <c r="G1695" s="58">
        <v>-7889.94</v>
      </c>
      <c r="H1695" s="35">
        <f t="shared" si="134"/>
        <v>-7889.94</v>
      </c>
      <c r="I1695" s="35">
        <f t="shared" si="131"/>
        <v>0</v>
      </c>
      <c r="J1695" s="35">
        <f t="shared" si="132"/>
        <v>1206.1465551776494</v>
      </c>
      <c r="K1695" s="45">
        <f t="shared" si="130"/>
        <v>22221870.730530672</v>
      </c>
    </row>
    <row r="1696" spans="2:11">
      <c r="B1696" s="43">
        <v>45539</v>
      </c>
      <c r="C1696" s="32" t="s">
        <v>29</v>
      </c>
      <c r="D1696" s="32" t="s">
        <v>134</v>
      </c>
      <c r="E1696" s="36">
        <f t="shared" si="133"/>
        <v>22221870.730530672</v>
      </c>
      <c r="F1696" s="36">
        <v>0</v>
      </c>
      <c r="G1696" s="58">
        <v>-2207.66</v>
      </c>
      <c r="H1696" s="35">
        <f t="shared" si="134"/>
        <v>-2207.66</v>
      </c>
      <c r="I1696" s="35">
        <f t="shared" si="131"/>
        <v>0</v>
      </c>
      <c r="J1696" s="35">
        <f t="shared" si="132"/>
        <v>1205.653044771449</v>
      </c>
      <c r="K1696" s="45">
        <f t="shared" si="130"/>
        <v>22218457.4174859</v>
      </c>
    </row>
    <row r="1697" spans="2:11">
      <c r="B1697" s="43">
        <v>45539</v>
      </c>
      <c r="C1697" s="32" t="s">
        <v>25</v>
      </c>
      <c r="D1697" s="32" t="s">
        <v>134</v>
      </c>
      <c r="E1697" s="36">
        <f t="shared" si="133"/>
        <v>22218457.4174859</v>
      </c>
      <c r="F1697" s="36">
        <v>0</v>
      </c>
      <c r="G1697" s="58">
        <v>-10672</v>
      </c>
      <c r="H1697" s="35">
        <f t="shared" si="134"/>
        <v>-10672</v>
      </c>
      <c r="I1697" s="35">
        <f t="shared" si="131"/>
        <v>0</v>
      </c>
      <c r="J1697" s="35">
        <f t="shared" si="132"/>
        <v>1205.46785463534</v>
      </c>
      <c r="K1697" s="45">
        <f t="shared" si="130"/>
        <v>22206579.949631266</v>
      </c>
    </row>
    <row r="1698" spans="2:11">
      <c r="B1698" s="43">
        <v>45540</v>
      </c>
      <c r="C1698" s="32" t="s">
        <v>25</v>
      </c>
      <c r="D1698" s="32" t="s">
        <v>132</v>
      </c>
      <c r="E1698" s="36">
        <f t="shared" si="133"/>
        <v>22206579.949631266</v>
      </c>
      <c r="F1698" s="36">
        <v>10441.89</v>
      </c>
      <c r="G1698" s="58">
        <v>0</v>
      </c>
      <c r="H1698" s="35">
        <f t="shared" si="134"/>
        <v>10441.89</v>
      </c>
      <c r="I1698" s="35">
        <f t="shared" si="131"/>
        <v>0</v>
      </c>
      <c r="J1698" s="35">
        <f t="shared" si="132"/>
        <v>2409.6468794096149</v>
      </c>
      <c r="K1698" s="45">
        <f t="shared" si="130"/>
        <v>22214612.192751858</v>
      </c>
    </row>
    <row r="1699" spans="2:11">
      <c r="B1699" s="43">
        <v>45540</v>
      </c>
      <c r="C1699" s="32" t="s">
        <v>29</v>
      </c>
      <c r="D1699" s="32" t="s">
        <v>132</v>
      </c>
      <c r="E1699" s="36">
        <f t="shared" si="133"/>
        <v>22214612.192751858</v>
      </c>
      <c r="F1699" s="36">
        <v>18619.53</v>
      </c>
      <c r="G1699" s="58">
        <v>0</v>
      </c>
      <c r="H1699" s="35">
        <f t="shared" si="134"/>
        <v>18619.53</v>
      </c>
      <c r="I1699" s="35">
        <f t="shared" si="131"/>
        <v>0</v>
      </c>
      <c r="J1699" s="35">
        <f t="shared" si="132"/>
        <v>1205.2592310246346</v>
      </c>
      <c r="K1699" s="45">
        <f t="shared" si="130"/>
        <v>22232026.463520836</v>
      </c>
    </row>
    <row r="1700" spans="2:11">
      <c r="B1700" s="43">
        <v>45540</v>
      </c>
      <c r="C1700" s="32" t="s">
        <v>29</v>
      </c>
      <c r="D1700" s="32" t="s">
        <v>132</v>
      </c>
      <c r="E1700" s="36">
        <f t="shared" si="133"/>
        <v>22232026.463520836</v>
      </c>
      <c r="F1700" s="36">
        <v>15730.02</v>
      </c>
      <c r="G1700" s="58">
        <v>0</v>
      </c>
      <c r="H1700" s="35">
        <f t="shared" si="134"/>
        <v>15730.02</v>
      </c>
      <c r="I1700" s="35">
        <f t="shared" si="131"/>
        <v>0</v>
      </c>
      <c r="J1700" s="35">
        <f t="shared" si="132"/>
        <v>1206.2040465547802</v>
      </c>
      <c r="K1700" s="45">
        <f t="shared" si="130"/>
        <v>22246550.279474281</v>
      </c>
    </row>
    <row r="1701" spans="2:11">
      <c r="B1701" s="43">
        <v>45540</v>
      </c>
      <c r="C1701" s="32" t="s">
        <v>25</v>
      </c>
      <c r="D1701" s="32" t="s">
        <v>132</v>
      </c>
      <c r="E1701" s="36">
        <f t="shared" si="133"/>
        <v>22246550.279474281</v>
      </c>
      <c r="F1701" s="36">
        <v>19472.18</v>
      </c>
      <c r="G1701" s="58">
        <v>0</v>
      </c>
      <c r="H1701" s="35">
        <f t="shared" si="134"/>
        <v>19472.18</v>
      </c>
      <c r="I1701" s="35">
        <f t="shared" si="131"/>
        <v>0</v>
      </c>
      <c r="J1701" s="35">
        <f t="shared" si="132"/>
        <v>1206.9920397502367</v>
      </c>
      <c r="K1701" s="45">
        <f t="shared" si="130"/>
        <v>22264815.467434529</v>
      </c>
    </row>
    <row r="1702" spans="2:11">
      <c r="B1702" s="43">
        <v>45540</v>
      </c>
      <c r="C1702" s="32" t="s">
        <v>27</v>
      </c>
      <c r="D1702" s="32" t="s">
        <v>134</v>
      </c>
      <c r="E1702" s="36">
        <f t="shared" si="133"/>
        <v>22264815.467434529</v>
      </c>
      <c r="F1702" s="36">
        <v>0</v>
      </c>
      <c r="G1702" s="58">
        <v>-15120</v>
      </c>
      <c r="H1702" s="35">
        <f t="shared" si="134"/>
        <v>-15120</v>
      </c>
      <c r="I1702" s="35">
        <f t="shared" si="131"/>
        <v>0</v>
      </c>
      <c r="J1702" s="35">
        <f t="shared" si="132"/>
        <v>1207.9830220012198</v>
      </c>
      <c r="K1702" s="45">
        <f t="shared" si="130"/>
        <v>22248487.484412529</v>
      </c>
    </row>
    <row r="1703" spans="2:11">
      <c r="B1703" s="43">
        <v>45540</v>
      </c>
      <c r="C1703" s="32" t="s">
        <v>29</v>
      </c>
      <c r="D1703" s="32" t="s">
        <v>134</v>
      </c>
      <c r="E1703" s="36">
        <f t="shared" si="133"/>
        <v>22248487.484412529</v>
      </c>
      <c r="F1703" s="36">
        <v>0</v>
      </c>
      <c r="G1703" s="58">
        <v>-19597</v>
      </c>
      <c r="H1703" s="35">
        <f t="shared" si="134"/>
        <v>-19597</v>
      </c>
      <c r="I1703" s="35">
        <f t="shared" si="131"/>
        <v>0</v>
      </c>
      <c r="J1703" s="35">
        <f t="shared" si="132"/>
        <v>1207.0971432791189</v>
      </c>
      <c r="K1703" s="45">
        <f t="shared" si="130"/>
        <v>22227683.387269251</v>
      </c>
    </row>
    <row r="1704" spans="2:11">
      <c r="B1704" s="43">
        <v>45541</v>
      </c>
      <c r="C1704" s="32" t="s">
        <v>27</v>
      </c>
      <c r="D1704" s="32" t="s">
        <v>132</v>
      </c>
      <c r="E1704" s="36">
        <f t="shared" si="133"/>
        <v>22227683.387269251</v>
      </c>
      <c r="F1704" s="36">
        <v>11766.77</v>
      </c>
      <c r="G1704" s="58">
        <v>0</v>
      </c>
      <c r="H1704" s="35">
        <f t="shared" si="134"/>
        <v>11766.77</v>
      </c>
      <c r="I1704" s="35">
        <f t="shared" si="131"/>
        <v>0</v>
      </c>
      <c r="J1704" s="35">
        <f t="shared" si="132"/>
        <v>2411.9368237758581</v>
      </c>
      <c r="K1704" s="45">
        <f t="shared" si="130"/>
        <v>22237038.220445476</v>
      </c>
    </row>
    <row r="1705" spans="2:11">
      <c r="B1705" s="43">
        <v>45541</v>
      </c>
      <c r="C1705" s="32" t="s">
        <v>25</v>
      </c>
      <c r="D1705" s="32" t="s">
        <v>132</v>
      </c>
      <c r="E1705" s="36">
        <f t="shared" si="133"/>
        <v>22237038.220445476</v>
      </c>
      <c r="F1705" s="36">
        <v>10709.58</v>
      </c>
      <c r="G1705" s="58">
        <v>0</v>
      </c>
      <c r="H1705" s="35">
        <f t="shared" si="134"/>
        <v>10709.58</v>
      </c>
      <c r="I1705" s="35">
        <f t="shared" si="131"/>
        <v>0</v>
      </c>
      <c r="J1705" s="35">
        <f t="shared" si="132"/>
        <v>1206.4759606554931</v>
      </c>
      <c r="K1705" s="45">
        <f t="shared" si="130"/>
        <v>22246541.324484818</v>
      </c>
    </row>
    <row r="1706" spans="2:11">
      <c r="B1706" s="43">
        <v>45541</v>
      </c>
      <c r="C1706" s="32" t="s">
        <v>25</v>
      </c>
      <c r="D1706" s="32" t="s">
        <v>132</v>
      </c>
      <c r="E1706" s="36">
        <f t="shared" si="133"/>
        <v>22246541.324484818</v>
      </c>
      <c r="F1706" s="36">
        <v>13988.74</v>
      </c>
      <c r="G1706" s="58">
        <v>0</v>
      </c>
      <c r="H1706" s="35">
        <f t="shared" si="134"/>
        <v>13988.74</v>
      </c>
      <c r="I1706" s="35">
        <f t="shared" si="131"/>
        <v>0</v>
      </c>
      <c r="J1706" s="35">
        <f t="shared" si="132"/>
        <v>1206.9915538950879</v>
      </c>
      <c r="K1706" s="45">
        <f t="shared" si="130"/>
        <v>22259323.072930921</v>
      </c>
    </row>
    <row r="1707" spans="2:11">
      <c r="B1707" s="43">
        <v>45541</v>
      </c>
      <c r="C1707" s="32" t="s">
        <v>25</v>
      </c>
      <c r="D1707" s="32" t="s">
        <v>132</v>
      </c>
      <c r="E1707" s="36">
        <f t="shared" si="133"/>
        <v>22259323.072930921</v>
      </c>
      <c r="F1707" s="36">
        <v>12966.85</v>
      </c>
      <c r="G1707" s="58">
        <v>0</v>
      </c>
      <c r="H1707" s="35">
        <f t="shared" si="134"/>
        <v>12966.85</v>
      </c>
      <c r="I1707" s="35">
        <f t="shared" si="131"/>
        <v>0</v>
      </c>
      <c r="J1707" s="35">
        <f t="shared" si="132"/>
        <v>1207.6850307908189</v>
      </c>
      <c r="K1707" s="45">
        <f t="shared" si="130"/>
        <v>22271082.23790013</v>
      </c>
    </row>
    <row r="1708" spans="2:11">
      <c r="B1708" s="43">
        <v>45541</v>
      </c>
      <c r="C1708" s="32" t="s">
        <v>29</v>
      </c>
      <c r="D1708" s="32" t="s">
        <v>134</v>
      </c>
      <c r="E1708" s="36">
        <f t="shared" si="133"/>
        <v>22271082.23790013</v>
      </c>
      <c r="F1708" s="36">
        <v>0</v>
      </c>
      <c r="G1708" s="58">
        <v>-2310.9899999999998</v>
      </c>
      <c r="H1708" s="35">
        <f t="shared" si="134"/>
        <v>-2310.9899999999998</v>
      </c>
      <c r="I1708" s="35">
        <f t="shared" si="131"/>
        <v>0</v>
      </c>
      <c r="J1708" s="35">
        <f t="shared" si="132"/>
        <v>1208.3230271692976</v>
      </c>
      <c r="K1708" s="45">
        <f t="shared" si="130"/>
        <v>22267562.924872965</v>
      </c>
    </row>
    <row r="1709" spans="2:11">
      <c r="B1709" s="43">
        <v>45541</v>
      </c>
      <c r="C1709" s="32" t="s">
        <v>25</v>
      </c>
      <c r="D1709" s="32" t="s">
        <v>134</v>
      </c>
      <c r="E1709" s="36">
        <f t="shared" si="133"/>
        <v>22267562.924872965</v>
      </c>
      <c r="F1709" s="36">
        <v>0</v>
      </c>
      <c r="G1709" s="58">
        <v>-3283</v>
      </c>
      <c r="H1709" s="35">
        <f t="shared" si="134"/>
        <v>-3283</v>
      </c>
      <c r="I1709" s="35">
        <f t="shared" si="131"/>
        <v>0</v>
      </c>
      <c r="J1709" s="35">
        <f t="shared" si="132"/>
        <v>1208.1320859781549</v>
      </c>
      <c r="K1709" s="45">
        <f t="shared" si="130"/>
        <v>22263071.792786986</v>
      </c>
    </row>
    <row r="1710" spans="2:11">
      <c r="B1710" s="43">
        <v>45542</v>
      </c>
      <c r="C1710" s="32" t="s">
        <v>27</v>
      </c>
      <c r="D1710" s="32" t="s">
        <v>132</v>
      </c>
      <c r="E1710" s="36">
        <f t="shared" si="133"/>
        <v>22263071.792786986</v>
      </c>
      <c r="F1710" s="36">
        <v>11894.27</v>
      </c>
      <c r="G1710" s="58">
        <v>0</v>
      </c>
      <c r="H1710" s="35">
        <f t="shared" si="134"/>
        <v>11894.27</v>
      </c>
      <c r="I1710" s="35">
        <f t="shared" si="131"/>
        <v>0</v>
      </c>
      <c r="J1710" s="35">
        <f t="shared" si="132"/>
        <v>2415.7768370114177</v>
      </c>
      <c r="K1710" s="45">
        <f t="shared" si="130"/>
        <v>22272550.285949975</v>
      </c>
    </row>
    <row r="1711" spans="2:11">
      <c r="B1711" s="43">
        <v>45542</v>
      </c>
      <c r="C1711" s="32" t="s">
        <v>29</v>
      </c>
      <c r="D1711" s="32" t="s">
        <v>134</v>
      </c>
      <c r="E1711" s="36">
        <f t="shared" si="133"/>
        <v>22272550.285949975</v>
      </c>
      <c r="F1711" s="36">
        <v>0</v>
      </c>
      <c r="G1711" s="58">
        <v>-17363</v>
      </c>
      <c r="H1711" s="35">
        <f t="shared" si="134"/>
        <v>-17363</v>
      </c>
      <c r="I1711" s="35">
        <f t="shared" si="131"/>
        <v>0</v>
      </c>
      <c r="J1711" s="35">
        <f t="shared" si="132"/>
        <v>1208.4026764761732</v>
      </c>
      <c r="K1711" s="45">
        <f t="shared" si="130"/>
        <v>22253978.883273497</v>
      </c>
    </row>
    <row r="1712" spans="2:11">
      <c r="B1712" s="43">
        <v>45542</v>
      </c>
      <c r="C1712" s="32" t="s">
        <v>27</v>
      </c>
      <c r="D1712" s="32" t="s">
        <v>134</v>
      </c>
      <c r="E1712" s="36">
        <f t="shared" si="133"/>
        <v>22253978.883273497</v>
      </c>
      <c r="F1712" s="36">
        <v>0</v>
      </c>
      <c r="G1712" s="58">
        <v>-19765</v>
      </c>
      <c r="H1712" s="35">
        <f t="shared" si="134"/>
        <v>-19765</v>
      </c>
      <c r="I1712" s="35">
        <f t="shared" si="131"/>
        <v>0</v>
      </c>
      <c r="J1712" s="35">
        <f t="shared" si="132"/>
        <v>1207.3950804706842</v>
      </c>
      <c r="K1712" s="45">
        <f t="shared" si="130"/>
        <v>22233006.488193028</v>
      </c>
    </row>
    <row r="1713" spans="2:11">
      <c r="B1713" s="43">
        <v>45542</v>
      </c>
      <c r="C1713" s="32" t="s">
        <v>27</v>
      </c>
      <c r="D1713" s="32" t="s">
        <v>134</v>
      </c>
      <c r="E1713" s="36">
        <f t="shared" si="133"/>
        <v>22233006.488193028</v>
      </c>
      <c r="F1713" s="36">
        <v>0</v>
      </c>
      <c r="G1713" s="58">
        <v>-8481</v>
      </c>
      <c r="H1713" s="35">
        <f t="shared" si="134"/>
        <v>-8481</v>
      </c>
      <c r="I1713" s="35">
        <f t="shared" si="131"/>
        <v>0</v>
      </c>
      <c r="J1713" s="35">
        <f t="shared" si="132"/>
        <v>1206.2572180336492</v>
      </c>
      <c r="K1713" s="45">
        <f t="shared" si="130"/>
        <v>22223319.230974995</v>
      </c>
    </row>
    <row r="1714" spans="2:11">
      <c r="B1714" s="43">
        <v>45542</v>
      </c>
      <c r="C1714" s="32" t="s">
        <v>29</v>
      </c>
      <c r="D1714" s="32" t="s">
        <v>134</v>
      </c>
      <c r="E1714" s="36">
        <f t="shared" si="133"/>
        <v>22223319.230974995</v>
      </c>
      <c r="F1714" s="36">
        <v>0</v>
      </c>
      <c r="G1714" s="58">
        <v>-3801</v>
      </c>
      <c r="H1714" s="35">
        <f t="shared" si="134"/>
        <v>-3801</v>
      </c>
      <c r="I1714" s="35">
        <f t="shared" si="131"/>
        <v>0</v>
      </c>
      <c r="J1714" s="35">
        <f t="shared" si="132"/>
        <v>1205.7316335181945</v>
      </c>
      <c r="K1714" s="45">
        <f t="shared" si="130"/>
        <v>22218312.499341477</v>
      </c>
    </row>
    <row r="1715" spans="2:11">
      <c r="B1715" s="43">
        <v>45543</v>
      </c>
      <c r="C1715" s="32" t="s">
        <v>25</v>
      </c>
      <c r="D1715" s="32" t="s">
        <v>132</v>
      </c>
      <c r="E1715" s="36">
        <f t="shared" si="133"/>
        <v>22218312.499341477</v>
      </c>
      <c r="F1715" s="36">
        <v>16414.41</v>
      </c>
      <c r="G1715" s="58">
        <v>0</v>
      </c>
      <c r="H1715" s="35">
        <f t="shared" si="134"/>
        <v>16414.41</v>
      </c>
      <c r="I1715" s="35">
        <f t="shared" si="131"/>
        <v>0</v>
      </c>
      <c r="J1715" s="35">
        <f t="shared" si="132"/>
        <v>2410.9199841317673</v>
      </c>
      <c r="K1715" s="45">
        <f t="shared" si="130"/>
        <v>22232315.989357345</v>
      </c>
    </row>
    <row r="1716" spans="2:11">
      <c r="B1716" s="43">
        <v>45543</v>
      </c>
      <c r="C1716" s="32" t="s">
        <v>27</v>
      </c>
      <c r="D1716" s="32" t="s">
        <v>132</v>
      </c>
      <c r="E1716" s="36">
        <f t="shared" si="133"/>
        <v>22232315.989357345</v>
      </c>
      <c r="F1716" s="36">
        <v>19696.57</v>
      </c>
      <c r="G1716" s="58">
        <v>0</v>
      </c>
      <c r="H1716" s="35">
        <f t="shared" si="134"/>
        <v>19696.57</v>
      </c>
      <c r="I1716" s="35">
        <f t="shared" si="131"/>
        <v>0</v>
      </c>
      <c r="J1716" s="35">
        <f t="shared" si="132"/>
        <v>1206.2197548500251</v>
      </c>
      <c r="K1716" s="45">
        <f t="shared" si="130"/>
        <v>22250806.339602496</v>
      </c>
    </row>
    <row r="1717" spans="2:11">
      <c r="B1717" s="43">
        <v>45543</v>
      </c>
      <c r="C1717" s="32" t="s">
        <v>29</v>
      </c>
      <c r="D1717" s="32" t="s">
        <v>132</v>
      </c>
      <c r="E1717" s="36">
        <f t="shared" si="133"/>
        <v>22250806.339602496</v>
      </c>
      <c r="F1717" s="36">
        <v>12793.41</v>
      </c>
      <c r="G1717" s="58">
        <v>0</v>
      </c>
      <c r="H1717" s="35">
        <f t="shared" si="134"/>
        <v>12793.41</v>
      </c>
      <c r="I1717" s="35">
        <f t="shared" si="131"/>
        <v>0</v>
      </c>
      <c r="J1717" s="35">
        <f t="shared" si="132"/>
        <v>1207.22295333598</v>
      </c>
      <c r="K1717" s="45">
        <f t="shared" si="130"/>
        <v>22262392.526649162</v>
      </c>
    </row>
    <row r="1718" spans="2:11">
      <c r="B1718" s="43">
        <v>45543</v>
      </c>
      <c r="C1718" s="32" t="s">
        <v>25</v>
      </c>
      <c r="D1718" s="32" t="s">
        <v>134</v>
      </c>
      <c r="E1718" s="36">
        <f t="shared" si="133"/>
        <v>22262392.526649162</v>
      </c>
      <c r="F1718" s="36">
        <v>0</v>
      </c>
      <c r="G1718" s="58">
        <v>-8397.33</v>
      </c>
      <c r="H1718" s="35">
        <f t="shared" si="134"/>
        <v>-8397.33</v>
      </c>
      <c r="I1718" s="35">
        <f t="shared" si="131"/>
        <v>0</v>
      </c>
      <c r="J1718" s="35">
        <f t="shared" si="132"/>
        <v>1207.8515647548609</v>
      </c>
      <c r="K1718" s="45">
        <f t="shared" si="130"/>
        <v>22252787.34508441</v>
      </c>
    </row>
    <row r="1719" spans="2:11">
      <c r="B1719" s="43">
        <v>45543</v>
      </c>
      <c r="C1719" s="32" t="s">
        <v>27</v>
      </c>
      <c r="D1719" s="32" t="s">
        <v>134</v>
      </c>
      <c r="E1719" s="36">
        <f t="shared" si="133"/>
        <v>22252787.34508441</v>
      </c>
      <c r="F1719" s="36">
        <v>0</v>
      </c>
      <c r="G1719" s="58">
        <v>-5515</v>
      </c>
      <c r="H1719" s="35">
        <f t="shared" si="134"/>
        <v>-5515</v>
      </c>
      <c r="I1719" s="35">
        <f t="shared" si="131"/>
        <v>0</v>
      </c>
      <c r="J1719" s="35">
        <f t="shared" si="132"/>
        <v>1207.3304332740979</v>
      </c>
      <c r="K1719" s="45">
        <f t="shared" si="130"/>
        <v>22246065.014651135</v>
      </c>
    </row>
    <row r="1720" spans="2:11">
      <c r="B1720" s="43">
        <v>45544</v>
      </c>
      <c r="C1720" s="32" t="s">
        <v>27</v>
      </c>
      <c r="D1720" s="32" t="s">
        <v>132</v>
      </c>
      <c r="E1720" s="36">
        <f t="shared" si="133"/>
        <v>22246065.014651135</v>
      </c>
      <c r="F1720" s="36">
        <v>12678.63</v>
      </c>
      <c r="G1720" s="58">
        <v>0</v>
      </c>
      <c r="H1720" s="35">
        <f t="shared" si="134"/>
        <v>12678.63</v>
      </c>
      <c r="I1720" s="35">
        <f t="shared" si="131"/>
        <v>0</v>
      </c>
      <c r="J1720" s="35">
        <f t="shared" si="132"/>
        <v>2413.9314231765625</v>
      </c>
      <c r="K1720" s="45">
        <f t="shared" si="130"/>
        <v>22256329.713227957</v>
      </c>
    </row>
    <row r="1721" spans="2:11">
      <c r="B1721" s="43">
        <v>45544</v>
      </c>
      <c r="C1721" s="32" t="s">
        <v>27</v>
      </c>
      <c r="D1721" s="32" t="s">
        <v>132</v>
      </c>
      <c r="E1721" s="36">
        <f t="shared" si="133"/>
        <v>22256329.713227957</v>
      </c>
      <c r="F1721" s="36">
        <v>9663.84</v>
      </c>
      <c r="G1721" s="58">
        <v>0</v>
      </c>
      <c r="H1721" s="35">
        <f t="shared" si="134"/>
        <v>9663.84</v>
      </c>
      <c r="I1721" s="35">
        <f t="shared" si="131"/>
        <v>0</v>
      </c>
      <c r="J1721" s="35">
        <f t="shared" si="132"/>
        <v>1207.5226253262324</v>
      </c>
      <c r="K1721" s="45">
        <f t="shared" si="130"/>
        <v>22264786.03060263</v>
      </c>
    </row>
    <row r="1722" spans="2:11">
      <c r="B1722" s="43">
        <v>45544</v>
      </c>
      <c r="C1722" s="32" t="s">
        <v>29</v>
      </c>
      <c r="D1722" s="32" t="s">
        <v>132</v>
      </c>
      <c r="E1722" s="36">
        <f t="shared" si="133"/>
        <v>22264786.03060263</v>
      </c>
      <c r="F1722" s="36">
        <v>22897.15</v>
      </c>
      <c r="G1722" s="58">
        <v>0</v>
      </c>
      <c r="H1722" s="35">
        <f t="shared" si="134"/>
        <v>22897.15</v>
      </c>
      <c r="I1722" s="35">
        <f t="shared" si="131"/>
        <v>0</v>
      </c>
      <c r="J1722" s="35">
        <f t="shared" si="132"/>
        <v>1207.9814248986879</v>
      </c>
      <c r="K1722" s="45">
        <f t="shared" si="130"/>
        <v>22286475.199177731</v>
      </c>
    </row>
    <row r="1723" spans="2:11">
      <c r="B1723" s="43">
        <v>45544</v>
      </c>
      <c r="C1723" s="32" t="s">
        <v>25</v>
      </c>
      <c r="D1723" s="32" t="s">
        <v>132</v>
      </c>
      <c r="E1723" s="36">
        <f t="shared" si="133"/>
        <v>22286475.199177731</v>
      </c>
      <c r="F1723" s="36">
        <v>15652.3</v>
      </c>
      <c r="G1723" s="58">
        <v>0</v>
      </c>
      <c r="H1723" s="35">
        <f t="shared" si="134"/>
        <v>15652.3</v>
      </c>
      <c r="I1723" s="35">
        <f t="shared" si="131"/>
        <v>0</v>
      </c>
      <c r="J1723" s="35">
        <f t="shared" si="132"/>
        <v>1209.1581760574102</v>
      </c>
      <c r="K1723" s="45">
        <f t="shared" si="130"/>
        <v>22300918.341001675</v>
      </c>
    </row>
    <row r="1724" spans="2:11">
      <c r="B1724" s="43">
        <v>45544</v>
      </c>
      <c r="C1724" s="32" t="s">
        <v>27</v>
      </c>
      <c r="D1724" s="32" t="s">
        <v>132</v>
      </c>
      <c r="E1724" s="36">
        <f t="shared" si="133"/>
        <v>22300918.341001675</v>
      </c>
      <c r="F1724" s="36">
        <v>14735.15</v>
      </c>
      <c r="G1724" s="58">
        <v>0</v>
      </c>
      <c r="H1724" s="35">
        <f t="shared" si="134"/>
        <v>14735.15</v>
      </c>
      <c r="I1724" s="35">
        <f t="shared" si="131"/>
        <v>0</v>
      </c>
      <c r="J1724" s="35">
        <f t="shared" si="132"/>
        <v>1209.9417922581913</v>
      </c>
      <c r="K1724" s="45">
        <f t="shared" si="130"/>
        <v>22314443.549209416</v>
      </c>
    </row>
    <row r="1725" spans="2:11">
      <c r="B1725" s="43">
        <v>45544</v>
      </c>
      <c r="C1725" s="32" t="s">
        <v>27</v>
      </c>
      <c r="D1725" s="32" t="s">
        <v>132</v>
      </c>
      <c r="E1725" s="36">
        <f t="shared" si="133"/>
        <v>22314443.549209416</v>
      </c>
      <c r="F1725" s="36">
        <v>15601.71</v>
      </c>
      <c r="G1725" s="58">
        <v>0</v>
      </c>
      <c r="H1725" s="35">
        <f t="shared" si="134"/>
        <v>15601.71</v>
      </c>
      <c r="I1725" s="35">
        <f t="shared" si="131"/>
        <v>0</v>
      </c>
      <c r="J1725" s="35">
        <f t="shared" si="132"/>
        <v>1210.6756057455691</v>
      </c>
      <c r="K1725" s="45">
        <f t="shared" si="130"/>
        <v>22328834.583603673</v>
      </c>
    </row>
    <row r="1726" spans="2:11">
      <c r="B1726" s="43">
        <v>45544</v>
      </c>
      <c r="C1726" s="32" t="s">
        <v>29</v>
      </c>
      <c r="D1726" s="32" t="s">
        <v>134</v>
      </c>
      <c r="E1726" s="36">
        <f t="shared" si="133"/>
        <v>22328834.583603673</v>
      </c>
      <c r="F1726" s="36">
        <v>0</v>
      </c>
      <c r="G1726" s="58">
        <v>-14130.96</v>
      </c>
      <c r="H1726" s="35">
        <f t="shared" si="134"/>
        <v>-14130.96</v>
      </c>
      <c r="I1726" s="35">
        <f t="shared" si="131"/>
        <v>0</v>
      </c>
      <c r="J1726" s="35">
        <f t="shared" si="132"/>
        <v>1211.4563948449768</v>
      </c>
      <c r="K1726" s="45">
        <f t="shared" si="130"/>
        <v>22313492.167208828</v>
      </c>
    </row>
    <row r="1727" spans="2:11">
      <c r="B1727" s="43">
        <v>45544</v>
      </c>
      <c r="C1727" s="32" t="s">
        <v>29</v>
      </c>
      <c r="D1727" s="32" t="s">
        <v>134</v>
      </c>
      <c r="E1727" s="36">
        <f t="shared" si="133"/>
        <v>22313492.167208828</v>
      </c>
      <c r="F1727" s="36">
        <v>0</v>
      </c>
      <c r="G1727" s="58">
        <v>-5394.33</v>
      </c>
      <c r="H1727" s="35">
        <f t="shared" si="134"/>
        <v>-5394.33</v>
      </c>
      <c r="I1727" s="35">
        <f t="shared" si="131"/>
        <v>0</v>
      </c>
      <c r="J1727" s="35">
        <f t="shared" si="132"/>
        <v>1210.6239882818704</v>
      </c>
      <c r="K1727" s="45">
        <f t="shared" si="130"/>
        <v>22306887.213220548</v>
      </c>
    </row>
    <row r="1728" spans="2:11">
      <c r="B1728" s="43">
        <v>45545</v>
      </c>
      <c r="C1728" s="32" t="s">
        <v>29</v>
      </c>
      <c r="D1728" s="32" t="s">
        <v>132</v>
      </c>
      <c r="E1728" s="36">
        <f t="shared" si="133"/>
        <v>22306887.213220548</v>
      </c>
      <c r="F1728" s="36">
        <v>10423.42</v>
      </c>
      <c r="G1728" s="58">
        <v>0</v>
      </c>
      <c r="H1728" s="35">
        <f t="shared" si="134"/>
        <v>10423.42</v>
      </c>
      <c r="I1728" s="35">
        <f t="shared" si="131"/>
        <v>0</v>
      </c>
      <c r="J1728" s="35">
        <f t="shared" si="132"/>
        <v>2420.53126976771</v>
      </c>
      <c r="K1728" s="45">
        <f t="shared" si="130"/>
        <v>22314890.101950783</v>
      </c>
    </row>
    <row r="1729" spans="2:11">
      <c r="B1729" s="43">
        <v>45545</v>
      </c>
      <c r="C1729" s="32" t="s">
        <v>29</v>
      </c>
      <c r="D1729" s="32" t="s">
        <v>132</v>
      </c>
      <c r="E1729" s="36">
        <f t="shared" si="133"/>
        <v>22314890.101950783</v>
      </c>
      <c r="F1729" s="36">
        <v>13349.08</v>
      </c>
      <c r="G1729" s="58">
        <v>0</v>
      </c>
      <c r="H1729" s="35">
        <f t="shared" si="134"/>
        <v>13349.08</v>
      </c>
      <c r="I1729" s="35">
        <f t="shared" si="131"/>
        <v>0</v>
      </c>
      <c r="J1729" s="35">
        <f t="shared" si="132"/>
        <v>1210.6998335740363</v>
      </c>
      <c r="K1729" s="45">
        <f t="shared" si="130"/>
        <v>22327028.482117206</v>
      </c>
    </row>
    <row r="1730" spans="2:11">
      <c r="B1730" s="43">
        <v>45545</v>
      </c>
      <c r="C1730" s="32" t="s">
        <v>27</v>
      </c>
      <c r="D1730" s="32" t="s">
        <v>132</v>
      </c>
      <c r="E1730" s="36">
        <f t="shared" si="133"/>
        <v>22327028.482117206</v>
      </c>
      <c r="F1730" s="36">
        <v>12645.31</v>
      </c>
      <c r="G1730" s="58">
        <v>0</v>
      </c>
      <c r="H1730" s="35">
        <f t="shared" si="134"/>
        <v>12645.31</v>
      </c>
      <c r="I1730" s="35">
        <f t="shared" si="131"/>
        <v>0</v>
      </c>
      <c r="J1730" s="35">
        <f t="shared" si="132"/>
        <v>1211.3584043660144</v>
      </c>
      <c r="K1730" s="45">
        <f t="shared" si="130"/>
        <v>22338462.43371284</v>
      </c>
    </row>
    <row r="1731" spans="2:11">
      <c r="B1731" s="43">
        <v>45545</v>
      </c>
      <c r="C1731" s="32" t="s">
        <v>25</v>
      </c>
      <c r="D1731" s="32" t="s">
        <v>134</v>
      </c>
      <c r="E1731" s="36">
        <f t="shared" si="133"/>
        <v>22338462.43371284</v>
      </c>
      <c r="F1731" s="36">
        <v>0</v>
      </c>
      <c r="G1731" s="58">
        <v>-7938.76</v>
      </c>
      <c r="H1731" s="35">
        <f t="shared" si="134"/>
        <v>-7938.76</v>
      </c>
      <c r="I1731" s="35">
        <f t="shared" si="131"/>
        <v>0</v>
      </c>
      <c r="J1731" s="35">
        <f t="shared" si="132"/>
        <v>1211.9787562131748</v>
      </c>
      <c r="K1731" s="45">
        <f t="shared" si="130"/>
        <v>22329311.694956627</v>
      </c>
    </row>
    <row r="1732" spans="2:11">
      <c r="B1732" s="43">
        <v>45545</v>
      </c>
      <c r="C1732" s="32" t="s">
        <v>27</v>
      </c>
      <c r="D1732" s="32" t="s">
        <v>134</v>
      </c>
      <c r="E1732" s="36">
        <f t="shared" si="133"/>
        <v>22329311.694956627</v>
      </c>
      <c r="F1732" s="36">
        <v>0</v>
      </c>
      <c r="G1732" s="58">
        <v>-3315</v>
      </c>
      <c r="H1732" s="35">
        <f t="shared" si="134"/>
        <v>-3315</v>
      </c>
      <c r="I1732" s="35">
        <f t="shared" si="131"/>
        <v>0</v>
      </c>
      <c r="J1732" s="35">
        <f t="shared" si="132"/>
        <v>1211.4822806384079</v>
      </c>
      <c r="K1732" s="45">
        <f t="shared" si="130"/>
        <v>22324785.212675989</v>
      </c>
    </row>
    <row r="1733" spans="2:11">
      <c r="B1733" s="43">
        <v>45545</v>
      </c>
      <c r="C1733" s="32" t="s">
        <v>29</v>
      </c>
      <c r="D1733" s="32" t="s">
        <v>134</v>
      </c>
      <c r="E1733" s="36">
        <f t="shared" si="133"/>
        <v>22324785.212675989</v>
      </c>
      <c r="F1733" s="36">
        <v>0</v>
      </c>
      <c r="G1733" s="58">
        <v>-18163</v>
      </c>
      <c r="H1733" s="35">
        <f t="shared" si="134"/>
        <v>-18163</v>
      </c>
      <c r="I1733" s="35">
        <f t="shared" si="131"/>
        <v>0</v>
      </c>
      <c r="J1733" s="35">
        <f t="shared" si="132"/>
        <v>1211.2366952324837</v>
      </c>
      <c r="K1733" s="45">
        <f t="shared" si="130"/>
        <v>22305410.975980755</v>
      </c>
    </row>
    <row r="1734" spans="2:11">
      <c r="B1734" s="43">
        <v>45546</v>
      </c>
      <c r="C1734" s="32" t="s">
        <v>25</v>
      </c>
      <c r="D1734" s="32" t="s">
        <v>132</v>
      </c>
      <c r="E1734" s="36">
        <f t="shared" si="133"/>
        <v>22305410.975980755</v>
      </c>
      <c r="F1734" s="36">
        <v>17142</v>
      </c>
      <c r="G1734" s="58">
        <v>0</v>
      </c>
      <c r="H1734" s="35">
        <f t="shared" si="134"/>
        <v>17142</v>
      </c>
      <c r="I1734" s="35">
        <f t="shared" si="131"/>
        <v>0</v>
      </c>
      <c r="J1734" s="35">
        <f t="shared" si="132"/>
        <v>2420.3710825409416</v>
      </c>
      <c r="K1734" s="45">
        <f t="shared" si="130"/>
        <v>22320132.604898214</v>
      </c>
    </row>
    <row r="1735" spans="2:11">
      <c r="B1735" s="43">
        <v>45546</v>
      </c>
      <c r="C1735" s="32" t="s">
        <v>27</v>
      </c>
      <c r="D1735" s="32" t="s">
        <v>132</v>
      </c>
      <c r="E1735" s="36">
        <f t="shared" si="133"/>
        <v>22320132.604898214</v>
      </c>
      <c r="F1735" s="36">
        <v>16629.89</v>
      </c>
      <c r="G1735" s="58">
        <v>0</v>
      </c>
      <c r="H1735" s="35">
        <f t="shared" si="134"/>
        <v>16629.89</v>
      </c>
      <c r="I1735" s="35">
        <f t="shared" si="131"/>
        <v>0</v>
      </c>
      <c r="J1735" s="35">
        <f t="shared" si="132"/>
        <v>1210.9842668567892</v>
      </c>
      <c r="K1735" s="45">
        <f t="shared" si="130"/>
        <v>22335551.510631356</v>
      </c>
    </row>
    <row r="1736" spans="2:11">
      <c r="B1736" s="43">
        <v>45546</v>
      </c>
      <c r="C1736" s="32" t="s">
        <v>25</v>
      </c>
      <c r="D1736" s="32" t="s">
        <v>134</v>
      </c>
      <c r="E1736" s="36">
        <f t="shared" si="133"/>
        <v>22335551.510631356</v>
      </c>
      <c r="F1736" s="36">
        <v>0</v>
      </c>
      <c r="G1736" s="58">
        <v>-8942.4599999999991</v>
      </c>
      <c r="H1736" s="35">
        <f t="shared" si="134"/>
        <v>-8942.4599999999991</v>
      </c>
      <c r="I1736" s="35">
        <f t="shared" si="131"/>
        <v>0</v>
      </c>
      <c r="J1736" s="35">
        <f t="shared" si="132"/>
        <v>1211.8208233676983</v>
      </c>
      <c r="K1736" s="45">
        <f t="shared" ref="K1736:K1799" si="135">E1736+H1736+I1736-J1736</f>
        <v>22325397.229807988</v>
      </c>
    </row>
    <row r="1737" spans="2:11">
      <c r="B1737" s="43">
        <v>45546</v>
      </c>
      <c r="C1737" s="32" t="s">
        <v>27</v>
      </c>
      <c r="D1737" s="32" t="s">
        <v>134</v>
      </c>
      <c r="E1737" s="36">
        <f t="shared" si="133"/>
        <v>22325397.229807988</v>
      </c>
      <c r="F1737" s="36">
        <v>0</v>
      </c>
      <c r="G1737" s="58">
        <v>-6217.99</v>
      </c>
      <c r="H1737" s="35">
        <f t="shared" si="134"/>
        <v>-6217.99</v>
      </c>
      <c r="I1737" s="35">
        <f t="shared" si="131"/>
        <v>0</v>
      </c>
      <c r="J1737" s="35">
        <f t="shared" si="132"/>
        <v>1211.2699003720327</v>
      </c>
      <c r="K1737" s="45">
        <f t="shared" si="135"/>
        <v>22317967.969907619</v>
      </c>
    </row>
    <row r="1738" spans="2:11">
      <c r="B1738" s="43">
        <v>45546</v>
      </c>
      <c r="C1738" s="32" t="s">
        <v>25</v>
      </c>
      <c r="D1738" s="32" t="s">
        <v>134</v>
      </c>
      <c r="E1738" s="36">
        <f t="shared" si="133"/>
        <v>22317967.969907619</v>
      </c>
      <c r="F1738" s="36">
        <v>0</v>
      </c>
      <c r="G1738" s="58">
        <v>-3161.44</v>
      </c>
      <c r="H1738" s="35">
        <f t="shared" si="134"/>
        <v>-3161.44</v>
      </c>
      <c r="I1738" s="35">
        <f t="shared" si="131"/>
        <v>0</v>
      </c>
      <c r="J1738" s="35">
        <f t="shared" si="132"/>
        <v>1210.8668240546563</v>
      </c>
      <c r="K1738" s="45">
        <f t="shared" si="135"/>
        <v>22313595.663083564</v>
      </c>
    </row>
    <row r="1739" spans="2:11">
      <c r="B1739" s="43">
        <v>45546</v>
      </c>
      <c r="C1739" s="32" t="s">
        <v>29</v>
      </c>
      <c r="D1739" s="32" t="s">
        <v>134</v>
      </c>
      <c r="E1739" s="36">
        <f t="shared" si="133"/>
        <v>22313595.663083564</v>
      </c>
      <c r="F1739" s="36">
        <v>0</v>
      </c>
      <c r="G1739" s="58">
        <v>-17624</v>
      </c>
      <c r="H1739" s="35">
        <f t="shared" si="134"/>
        <v>-17624</v>
      </c>
      <c r="I1739" s="35">
        <f t="shared" si="131"/>
        <v>0</v>
      </c>
      <c r="J1739" s="35">
        <f t="shared" si="132"/>
        <v>1210.6296034759291</v>
      </c>
      <c r="K1739" s="45">
        <f t="shared" si="135"/>
        <v>22294761.033480089</v>
      </c>
    </row>
    <row r="1740" spans="2:11">
      <c r="B1740" s="43">
        <v>45547</v>
      </c>
      <c r="C1740" s="32" t="s">
        <v>29</v>
      </c>
      <c r="D1740" s="32" t="s">
        <v>132</v>
      </c>
      <c r="E1740" s="36">
        <f t="shared" si="133"/>
        <v>22294761.033480089</v>
      </c>
      <c r="F1740" s="36">
        <v>15046.74</v>
      </c>
      <c r="G1740" s="58">
        <v>0</v>
      </c>
      <c r="H1740" s="35">
        <f t="shared" si="134"/>
        <v>15046.74</v>
      </c>
      <c r="I1740" s="35">
        <f t="shared" si="131"/>
        <v>0</v>
      </c>
      <c r="J1740" s="35">
        <f t="shared" si="132"/>
        <v>2419.2154520579575</v>
      </c>
      <c r="K1740" s="45">
        <f t="shared" si="135"/>
        <v>22307388.558028031</v>
      </c>
    </row>
    <row r="1741" spans="2:11">
      <c r="B1741" s="43">
        <v>45547</v>
      </c>
      <c r="C1741" s="32" t="s">
        <v>27</v>
      </c>
      <c r="D1741" s="32" t="s">
        <v>134</v>
      </c>
      <c r="E1741" s="36">
        <f t="shared" si="133"/>
        <v>22307388.558028031</v>
      </c>
      <c r="F1741" s="36">
        <v>0</v>
      </c>
      <c r="G1741" s="58">
        <v>-2312.7600000000002</v>
      </c>
      <c r="H1741" s="35">
        <f t="shared" si="134"/>
        <v>-2312.7600000000002</v>
      </c>
      <c r="I1741" s="35">
        <f t="shared" si="131"/>
        <v>0</v>
      </c>
      <c r="J1741" s="35">
        <f t="shared" si="132"/>
        <v>1210.2928354693031</v>
      </c>
      <c r="K1741" s="45">
        <f t="shared" si="135"/>
        <v>22303865.505192559</v>
      </c>
    </row>
    <row r="1742" spans="2:11">
      <c r="B1742" s="43">
        <v>45547</v>
      </c>
      <c r="C1742" s="32" t="s">
        <v>27</v>
      </c>
      <c r="D1742" s="32" t="s">
        <v>134</v>
      </c>
      <c r="E1742" s="36">
        <f t="shared" si="133"/>
        <v>22303865.505192559</v>
      </c>
      <c r="F1742" s="36">
        <v>0</v>
      </c>
      <c r="G1742" s="58">
        <v>-1628.03</v>
      </c>
      <c r="H1742" s="35">
        <f t="shared" si="134"/>
        <v>-1628.03</v>
      </c>
      <c r="I1742" s="35">
        <f t="shared" si="131"/>
        <v>0</v>
      </c>
      <c r="J1742" s="35">
        <f t="shared" si="132"/>
        <v>1210.1016913739438</v>
      </c>
      <c r="K1742" s="45">
        <f t="shared" si="135"/>
        <v>22301027.373501185</v>
      </c>
    </row>
    <row r="1743" spans="2:11">
      <c r="B1743" s="43">
        <v>45547</v>
      </c>
      <c r="C1743" s="32" t="s">
        <v>27</v>
      </c>
      <c r="D1743" s="32" t="s">
        <v>134</v>
      </c>
      <c r="E1743" s="36">
        <f t="shared" si="133"/>
        <v>22301027.373501185</v>
      </c>
      <c r="F1743" s="36">
        <v>0</v>
      </c>
      <c r="G1743" s="58">
        <v>-5507</v>
      </c>
      <c r="H1743" s="35">
        <f t="shared" si="134"/>
        <v>-5507</v>
      </c>
      <c r="I1743" s="35">
        <f t="shared" si="131"/>
        <v>0</v>
      </c>
      <c r="J1743" s="35">
        <f t="shared" si="132"/>
        <v>1209.9477078431844</v>
      </c>
      <c r="K1743" s="45">
        <f t="shared" si="135"/>
        <v>22294310.425793342</v>
      </c>
    </row>
    <row r="1744" spans="2:11">
      <c r="B1744" s="43">
        <v>45547</v>
      </c>
      <c r="C1744" s="32" t="s">
        <v>29</v>
      </c>
      <c r="D1744" s="32" t="s">
        <v>134</v>
      </c>
      <c r="E1744" s="36">
        <f t="shared" si="133"/>
        <v>22294310.425793342</v>
      </c>
      <c r="F1744" s="36">
        <v>0</v>
      </c>
      <c r="G1744" s="58">
        <v>-2793</v>
      </c>
      <c r="H1744" s="35">
        <f t="shared" si="134"/>
        <v>-2793</v>
      </c>
      <c r="I1744" s="35">
        <f t="shared" si="131"/>
        <v>0</v>
      </c>
      <c r="J1744" s="35">
        <f t="shared" si="132"/>
        <v>1209.5832781984559</v>
      </c>
      <c r="K1744" s="45">
        <f t="shared" si="135"/>
        <v>22290307.842515144</v>
      </c>
    </row>
    <row r="1745" spans="2:11">
      <c r="B1745" s="43">
        <v>45548</v>
      </c>
      <c r="C1745" s="32" t="s">
        <v>25</v>
      </c>
      <c r="D1745" s="32" t="s">
        <v>132</v>
      </c>
      <c r="E1745" s="36">
        <f t="shared" si="133"/>
        <v>22290307.842515144</v>
      </c>
      <c r="F1745" s="36">
        <v>16071.34</v>
      </c>
      <c r="G1745" s="58">
        <v>0</v>
      </c>
      <c r="H1745" s="35">
        <f t="shared" si="134"/>
        <v>16071.34</v>
      </c>
      <c r="I1745" s="35">
        <f t="shared" si="131"/>
        <v>0</v>
      </c>
      <c r="J1745" s="35">
        <f t="shared" si="132"/>
        <v>2418.7322341227136</v>
      </c>
      <c r="K1745" s="45">
        <f t="shared" si="135"/>
        <v>22303960.45028102</v>
      </c>
    </row>
    <row r="1746" spans="2:11">
      <c r="B1746" s="43">
        <v>45548</v>
      </c>
      <c r="C1746" s="32" t="s">
        <v>29</v>
      </c>
      <c r="D1746" s="32" t="s">
        <v>132</v>
      </c>
      <c r="E1746" s="36">
        <f t="shared" si="133"/>
        <v>22303960.45028102</v>
      </c>
      <c r="F1746" s="36">
        <v>13060.28</v>
      </c>
      <c r="G1746" s="58">
        <v>0</v>
      </c>
      <c r="H1746" s="35">
        <f t="shared" si="134"/>
        <v>13060.28</v>
      </c>
      <c r="I1746" s="35">
        <f t="shared" si="131"/>
        <v>0</v>
      </c>
      <c r="J1746" s="35">
        <f t="shared" si="132"/>
        <v>1210.1068426429965</v>
      </c>
      <c r="K1746" s="45">
        <f t="shared" si="135"/>
        <v>22315810.623438377</v>
      </c>
    </row>
    <row r="1747" spans="2:11">
      <c r="B1747" s="43">
        <v>45548</v>
      </c>
      <c r="C1747" s="32" t="s">
        <v>25</v>
      </c>
      <c r="D1747" s="32" t="s">
        <v>132</v>
      </c>
      <c r="E1747" s="36">
        <f t="shared" si="133"/>
        <v>22315810.623438377</v>
      </c>
      <c r="F1747" s="36">
        <v>13898.92</v>
      </c>
      <c r="G1747" s="58">
        <v>0</v>
      </c>
      <c r="H1747" s="35">
        <f t="shared" si="134"/>
        <v>13898.92</v>
      </c>
      <c r="I1747" s="35">
        <f t="shared" si="131"/>
        <v>0</v>
      </c>
      <c r="J1747" s="35">
        <f t="shared" si="132"/>
        <v>1210.7497766930362</v>
      </c>
      <c r="K1747" s="45">
        <f t="shared" si="135"/>
        <v>22328498.793661688</v>
      </c>
    </row>
    <row r="1748" spans="2:11">
      <c r="B1748" s="43">
        <v>45548</v>
      </c>
      <c r="C1748" s="32" t="s">
        <v>25</v>
      </c>
      <c r="D1748" s="32" t="s">
        <v>134</v>
      </c>
      <c r="E1748" s="36">
        <f t="shared" si="133"/>
        <v>22328498.793661688</v>
      </c>
      <c r="F1748" s="36">
        <v>0</v>
      </c>
      <c r="G1748" s="58">
        <v>-13518</v>
      </c>
      <c r="H1748" s="35">
        <f t="shared" si="134"/>
        <v>-13518</v>
      </c>
      <c r="I1748" s="35">
        <f t="shared" ref="I1748:I1811" si="136">(($E1748*Daily_Interest)*(_xlfn.DAYS(B1748,B1747)+1))+((IF(DAY($B1747)&gt;Monthly_Cut_off_Date,0,Daily_Interest*H1748))*(_xlfn.DAYS(B1748,B1747)+1))</f>
        <v>0</v>
      </c>
      <c r="J1748" s="35">
        <f t="shared" ref="J1748:J1811" si="137">(($I1748+E1748)*Daily_Fees_Rate)*((_xlfn.DAYS(B1748,B1747)+1))</f>
        <v>1211.4381764793466</v>
      </c>
      <c r="K1748" s="45">
        <f t="shared" si="135"/>
        <v>22313769.355485208</v>
      </c>
    </row>
    <row r="1749" spans="2:11">
      <c r="B1749" s="43">
        <v>45548</v>
      </c>
      <c r="C1749" s="32" t="s">
        <v>25</v>
      </c>
      <c r="D1749" s="32" t="s">
        <v>134</v>
      </c>
      <c r="E1749" s="36">
        <f t="shared" ref="E1749:E1812" si="138">K1748</f>
        <v>22313769.355485208</v>
      </c>
      <c r="F1749" s="36">
        <v>0</v>
      </c>
      <c r="G1749" s="58">
        <v>-2246</v>
      </c>
      <c r="H1749" s="35">
        <f t="shared" ref="H1749:H1812" si="139">SUM(F1749:G1749)</f>
        <v>-2246</v>
      </c>
      <c r="I1749" s="35">
        <f t="shared" si="136"/>
        <v>0</v>
      </c>
      <c r="J1749" s="35">
        <f t="shared" si="137"/>
        <v>1210.6390271997655</v>
      </c>
      <c r="K1749" s="45">
        <f t="shared" si="135"/>
        <v>22310312.716458008</v>
      </c>
    </row>
    <row r="1750" spans="2:11">
      <c r="B1750" s="43">
        <v>45549</v>
      </c>
      <c r="C1750" s="32" t="s">
        <v>29</v>
      </c>
      <c r="D1750" s="32" t="s">
        <v>132</v>
      </c>
      <c r="E1750" s="36">
        <f t="shared" si="138"/>
        <v>22310312.716458008</v>
      </c>
      <c r="F1750" s="36">
        <v>9243.69</v>
      </c>
      <c r="G1750" s="58">
        <v>0</v>
      </c>
      <c r="H1750" s="35">
        <f t="shared" si="139"/>
        <v>9243.69</v>
      </c>
      <c r="I1750" s="35">
        <f t="shared" si="136"/>
        <v>0</v>
      </c>
      <c r="J1750" s="35">
        <f t="shared" si="137"/>
        <v>2420.9029728037144</v>
      </c>
      <c r="K1750" s="45">
        <f t="shared" si="135"/>
        <v>22317135.503485207</v>
      </c>
    </row>
    <row r="1751" spans="2:11">
      <c r="B1751" s="43">
        <v>45549</v>
      </c>
      <c r="C1751" s="32" t="s">
        <v>29</v>
      </c>
      <c r="D1751" s="32" t="s">
        <v>132</v>
      </c>
      <c r="E1751" s="36">
        <f t="shared" si="138"/>
        <v>22317135.503485207</v>
      </c>
      <c r="F1751" s="36">
        <v>13754.14</v>
      </c>
      <c r="G1751" s="58">
        <v>0</v>
      </c>
      <c r="H1751" s="35">
        <f t="shared" si="139"/>
        <v>13754.14</v>
      </c>
      <c r="I1751" s="35">
        <f t="shared" si="136"/>
        <v>0</v>
      </c>
      <c r="J1751" s="35">
        <f t="shared" si="137"/>
        <v>1210.8216583848068</v>
      </c>
      <c r="K1751" s="45">
        <f t="shared" si="135"/>
        <v>22329678.821826823</v>
      </c>
    </row>
    <row r="1752" spans="2:11">
      <c r="B1752" s="43">
        <v>45549</v>
      </c>
      <c r="C1752" s="32" t="s">
        <v>29</v>
      </c>
      <c r="D1752" s="32" t="s">
        <v>132</v>
      </c>
      <c r="E1752" s="36">
        <f t="shared" si="138"/>
        <v>22329678.821826823</v>
      </c>
      <c r="F1752" s="36">
        <v>16272.5</v>
      </c>
      <c r="G1752" s="58">
        <v>0</v>
      </c>
      <c r="H1752" s="35">
        <f t="shared" si="139"/>
        <v>16272.5</v>
      </c>
      <c r="I1752" s="35">
        <f t="shared" si="136"/>
        <v>0</v>
      </c>
      <c r="J1752" s="35">
        <f t="shared" si="137"/>
        <v>1211.5021991967615</v>
      </c>
      <c r="K1752" s="45">
        <f t="shared" si="135"/>
        <v>22344739.819627628</v>
      </c>
    </row>
    <row r="1753" spans="2:11">
      <c r="B1753" s="43">
        <v>45549</v>
      </c>
      <c r="C1753" s="32" t="s">
        <v>27</v>
      </c>
      <c r="D1753" s="32" t="s">
        <v>132</v>
      </c>
      <c r="E1753" s="36">
        <f t="shared" si="138"/>
        <v>22344739.819627628</v>
      </c>
      <c r="F1753" s="36">
        <v>21631.57</v>
      </c>
      <c r="G1753" s="58">
        <v>0</v>
      </c>
      <c r="H1753" s="35">
        <f t="shared" si="139"/>
        <v>21631.57</v>
      </c>
      <c r="I1753" s="35">
        <f t="shared" si="136"/>
        <v>0</v>
      </c>
      <c r="J1753" s="35">
        <f t="shared" si="137"/>
        <v>1212.3193373250508</v>
      </c>
      <c r="K1753" s="45">
        <f t="shared" si="135"/>
        <v>22365159.070290305</v>
      </c>
    </row>
    <row r="1754" spans="2:11">
      <c r="B1754" s="43">
        <v>45549</v>
      </c>
      <c r="C1754" s="32" t="s">
        <v>25</v>
      </c>
      <c r="D1754" s="32" t="s">
        <v>134</v>
      </c>
      <c r="E1754" s="36">
        <f t="shared" si="138"/>
        <v>22365159.070290305</v>
      </c>
      <c r="F1754" s="36">
        <v>0</v>
      </c>
      <c r="G1754" s="58">
        <v>-6779.1</v>
      </c>
      <c r="H1754" s="35">
        <f t="shared" si="139"/>
        <v>-6779.1</v>
      </c>
      <c r="I1754" s="35">
        <f t="shared" si="136"/>
        <v>0</v>
      </c>
      <c r="J1754" s="35">
        <f t="shared" si="137"/>
        <v>1213.4271887760804</v>
      </c>
      <c r="K1754" s="45">
        <f t="shared" si="135"/>
        <v>22357166.543101527</v>
      </c>
    </row>
    <row r="1755" spans="2:11">
      <c r="B1755" s="43">
        <v>45549</v>
      </c>
      <c r="C1755" s="32" t="s">
        <v>25</v>
      </c>
      <c r="D1755" s="32" t="s">
        <v>134</v>
      </c>
      <c r="E1755" s="36">
        <f t="shared" si="138"/>
        <v>22357166.543101527</v>
      </c>
      <c r="F1755" s="36">
        <v>0</v>
      </c>
      <c r="G1755" s="58">
        <v>-2893.01</v>
      </c>
      <c r="H1755" s="35">
        <f t="shared" si="139"/>
        <v>-2893.01</v>
      </c>
      <c r="I1755" s="35">
        <f t="shared" si="136"/>
        <v>0</v>
      </c>
      <c r="J1755" s="35">
        <f t="shared" si="137"/>
        <v>1212.9935522538713</v>
      </c>
      <c r="K1755" s="45">
        <f t="shared" si="135"/>
        <v>22353060.539549273</v>
      </c>
    </row>
    <row r="1756" spans="2:11">
      <c r="B1756" s="43">
        <v>45549</v>
      </c>
      <c r="C1756" s="32" t="s">
        <v>29</v>
      </c>
      <c r="D1756" s="32" t="s">
        <v>134</v>
      </c>
      <c r="E1756" s="36">
        <f t="shared" si="138"/>
        <v>22353060.539549273</v>
      </c>
      <c r="F1756" s="36">
        <v>0</v>
      </c>
      <c r="G1756" s="58">
        <v>-1749.82</v>
      </c>
      <c r="H1756" s="35">
        <f t="shared" si="139"/>
        <v>-1749.82</v>
      </c>
      <c r="I1756" s="35">
        <f t="shared" si="136"/>
        <v>0</v>
      </c>
      <c r="J1756" s="35">
        <f t="shared" si="137"/>
        <v>1212.770780024447</v>
      </c>
      <c r="K1756" s="45">
        <f t="shared" si="135"/>
        <v>22350097.948769249</v>
      </c>
    </row>
    <row r="1757" spans="2:11">
      <c r="B1757" s="43">
        <v>45549</v>
      </c>
      <c r="C1757" s="32" t="s">
        <v>25</v>
      </c>
      <c r="D1757" s="32" t="s">
        <v>134</v>
      </c>
      <c r="E1757" s="36">
        <f t="shared" si="138"/>
        <v>22350097.948769249</v>
      </c>
      <c r="F1757" s="36">
        <v>0</v>
      </c>
      <c r="G1757" s="58">
        <v>-4433</v>
      </c>
      <c r="H1757" s="35">
        <f t="shared" si="139"/>
        <v>-4433</v>
      </c>
      <c r="I1757" s="35">
        <f t="shared" si="136"/>
        <v>0</v>
      </c>
      <c r="J1757" s="35">
        <f t="shared" si="137"/>
        <v>1212.6100439353183</v>
      </c>
      <c r="K1757" s="45">
        <f t="shared" si="135"/>
        <v>22344452.338725314</v>
      </c>
    </row>
    <row r="1758" spans="2:11">
      <c r="B1758" s="43">
        <v>45550</v>
      </c>
      <c r="C1758" s="32" t="s">
        <v>25</v>
      </c>
      <c r="D1758" s="32" t="s">
        <v>132</v>
      </c>
      <c r="E1758" s="36">
        <f t="shared" si="138"/>
        <v>22344452.338725314</v>
      </c>
      <c r="F1758" s="36">
        <v>13521</v>
      </c>
      <c r="G1758" s="58">
        <v>0</v>
      </c>
      <c r="H1758" s="35">
        <f t="shared" si="139"/>
        <v>13521</v>
      </c>
      <c r="I1758" s="35">
        <f t="shared" si="136"/>
        <v>0</v>
      </c>
      <c r="J1758" s="35">
        <f t="shared" si="137"/>
        <v>2424.6074799564244</v>
      </c>
      <c r="K1758" s="45">
        <f t="shared" si="135"/>
        <v>22355548.731245358</v>
      </c>
    </row>
    <row r="1759" spans="2:11">
      <c r="B1759" s="43">
        <v>45550</v>
      </c>
      <c r="C1759" s="32" t="s">
        <v>27</v>
      </c>
      <c r="D1759" s="32" t="s">
        <v>132</v>
      </c>
      <c r="E1759" s="36">
        <f t="shared" si="138"/>
        <v>22355548.731245358</v>
      </c>
      <c r="F1759" s="36">
        <v>19066.91</v>
      </c>
      <c r="G1759" s="58">
        <v>0</v>
      </c>
      <c r="H1759" s="35">
        <f t="shared" si="139"/>
        <v>19066.91</v>
      </c>
      <c r="I1759" s="35">
        <f t="shared" si="136"/>
        <v>0</v>
      </c>
      <c r="J1759" s="35">
        <f t="shared" si="137"/>
        <v>1212.9057774749649</v>
      </c>
      <c r="K1759" s="45">
        <f t="shared" si="135"/>
        <v>22373402.735467881</v>
      </c>
    </row>
    <row r="1760" spans="2:11">
      <c r="B1760" s="43">
        <v>45550</v>
      </c>
      <c r="C1760" s="32" t="s">
        <v>25</v>
      </c>
      <c r="D1760" s="32" t="s">
        <v>132</v>
      </c>
      <c r="E1760" s="36">
        <f t="shared" si="138"/>
        <v>22373402.735467881</v>
      </c>
      <c r="F1760" s="36">
        <v>12424.93</v>
      </c>
      <c r="G1760" s="58">
        <v>0</v>
      </c>
      <c r="H1760" s="35">
        <f t="shared" si="139"/>
        <v>12424.93</v>
      </c>
      <c r="I1760" s="35">
        <f t="shared" si="136"/>
        <v>0</v>
      </c>
      <c r="J1760" s="35">
        <f t="shared" si="137"/>
        <v>1213.8744508514451</v>
      </c>
      <c r="K1760" s="45">
        <f t="shared" si="135"/>
        <v>22384613.791017029</v>
      </c>
    </row>
    <row r="1761" spans="2:11">
      <c r="B1761" s="43">
        <v>45550</v>
      </c>
      <c r="C1761" s="32" t="s">
        <v>25</v>
      </c>
      <c r="D1761" s="32" t="s">
        <v>132</v>
      </c>
      <c r="E1761" s="36">
        <f t="shared" si="138"/>
        <v>22384613.791017029</v>
      </c>
      <c r="F1761" s="36">
        <v>14242.94</v>
      </c>
      <c r="G1761" s="58">
        <v>0</v>
      </c>
      <c r="H1761" s="35">
        <f t="shared" si="139"/>
        <v>14242.94</v>
      </c>
      <c r="I1761" s="35">
        <f t="shared" si="136"/>
        <v>0</v>
      </c>
      <c r="J1761" s="35">
        <f t="shared" si="137"/>
        <v>1214.4827094189545</v>
      </c>
      <c r="K1761" s="45">
        <f t="shared" si="135"/>
        <v>22397642.248307612</v>
      </c>
    </row>
    <row r="1762" spans="2:11">
      <c r="B1762" s="43">
        <v>45550</v>
      </c>
      <c r="C1762" s="32" t="s">
        <v>27</v>
      </c>
      <c r="D1762" s="32" t="s">
        <v>134</v>
      </c>
      <c r="E1762" s="36">
        <f t="shared" si="138"/>
        <v>22397642.248307612</v>
      </c>
      <c r="F1762" s="36">
        <v>0</v>
      </c>
      <c r="G1762" s="58">
        <v>-3498.04</v>
      </c>
      <c r="H1762" s="35">
        <f t="shared" si="139"/>
        <v>-3498.04</v>
      </c>
      <c r="I1762" s="35">
        <f t="shared" si="136"/>
        <v>0</v>
      </c>
      <c r="J1762" s="35">
        <f t="shared" si="137"/>
        <v>1215.1895715635301</v>
      </c>
      <c r="K1762" s="45">
        <f t="shared" si="135"/>
        <v>22392929.01873605</v>
      </c>
    </row>
    <row r="1763" spans="2:11">
      <c r="B1763" s="43">
        <v>45551</v>
      </c>
      <c r="C1763" s="32" t="s">
        <v>25</v>
      </c>
      <c r="D1763" s="32" t="s">
        <v>132</v>
      </c>
      <c r="E1763" s="36">
        <f t="shared" si="138"/>
        <v>22392929.01873605</v>
      </c>
      <c r="F1763" s="36">
        <v>12219.21</v>
      </c>
      <c r="G1763" s="58">
        <v>0</v>
      </c>
      <c r="H1763" s="35">
        <f t="shared" si="139"/>
        <v>12219.21</v>
      </c>
      <c r="I1763" s="35">
        <f t="shared" si="136"/>
        <v>0</v>
      </c>
      <c r="J1763" s="35">
        <f t="shared" si="137"/>
        <v>2429.867708275101</v>
      </c>
      <c r="K1763" s="45">
        <f t="shared" si="135"/>
        <v>22402718.361027773</v>
      </c>
    </row>
    <row r="1764" spans="2:11">
      <c r="B1764" s="43">
        <v>45551</v>
      </c>
      <c r="C1764" s="32" t="s">
        <v>29</v>
      </c>
      <c r="D1764" s="32" t="s">
        <v>134</v>
      </c>
      <c r="E1764" s="36">
        <f t="shared" si="138"/>
        <v>22402718.361027773</v>
      </c>
      <c r="F1764" s="36">
        <v>0</v>
      </c>
      <c r="G1764" s="58">
        <v>-11321.34</v>
      </c>
      <c r="H1764" s="35">
        <f t="shared" si="139"/>
        <v>-11321.34</v>
      </c>
      <c r="I1764" s="35">
        <f t="shared" si="136"/>
        <v>0</v>
      </c>
      <c r="J1764" s="35">
        <f t="shared" si="137"/>
        <v>1215.4649773037074</v>
      </c>
      <c r="K1764" s="45">
        <f t="shared" si="135"/>
        <v>22390181.556050468</v>
      </c>
    </row>
    <row r="1765" spans="2:11">
      <c r="B1765" s="43">
        <v>45551</v>
      </c>
      <c r="C1765" s="32" t="s">
        <v>27</v>
      </c>
      <c r="D1765" s="32" t="s">
        <v>134</v>
      </c>
      <c r="E1765" s="36">
        <f t="shared" si="138"/>
        <v>22390181.556050468</v>
      </c>
      <c r="F1765" s="36">
        <v>0</v>
      </c>
      <c r="G1765" s="58">
        <v>-8642.2999999999993</v>
      </c>
      <c r="H1765" s="35">
        <f t="shared" si="139"/>
        <v>-8642.2999999999993</v>
      </c>
      <c r="I1765" s="35">
        <f t="shared" si="136"/>
        <v>0</v>
      </c>
      <c r="J1765" s="35">
        <f t="shared" si="137"/>
        <v>1214.7847898759303</v>
      </c>
      <c r="K1765" s="45">
        <f t="shared" si="135"/>
        <v>22380324.471260592</v>
      </c>
    </row>
    <row r="1766" spans="2:11">
      <c r="B1766" s="43">
        <v>45552</v>
      </c>
      <c r="C1766" s="32" t="s">
        <v>27</v>
      </c>
      <c r="D1766" s="32" t="s">
        <v>132</v>
      </c>
      <c r="E1766" s="36">
        <f t="shared" si="138"/>
        <v>22380324.471260592</v>
      </c>
      <c r="F1766" s="36">
        <v>8924.57</v>
      </c>
      <c r="G1766" s="58">
        <v>0</v>
      </c>
      <c r="H1766" s="35">
        <f t="shared" si="139"/>
        <v>8924.57</v>
      </c>
      <c r="I1766" s="35">
        <f t="shared" si="136"/>
        <v>0</v>
      </c>
      <c r="J1766" s="35">
        <f t="shared" si="137"/>
        <v>2428.4999826478547</v>
      </c>
      <c r="K1766" s="45">
        <f t="shared" si="135"/>
        <v>22386820.541277945</v>
      </c>
    </row>
    <row r="1767" spans="2:11">
      <c r="B1767" s="43">
        <v>45552</v>
      </c>
      <c r="C1767" s="32" t="s">
        <v>29</v>
      </c>
      <c r="D1767" s="32" t="s">
        <v>132</v>
      </c>
      <c r="E1767" s="36">
        <f t="shared" si="138"/>
        <v>22386820.541277945</v>
      </c>
      <c r="F1767" s="36">
        <v>20207.89</v>
      </c>
      <c r="G1767" s="58">
        <v>0</v>
      </c>
      <c r="H1767" s="35">
        <f t="shared" si="139"/>
        <v>20207.89</v>
      </c>
      <c r="I1767" s="35">
        <f t="shared" si="136"/>
        <v>0</v>
      </c>
      <c r="J1767" s="35">
        <f t="shared" si="137"/>
        <v>1214.6024371954043</v>
      </c>
      <c r="K1767" s="45">
        <f t="shared" si="135"/>
        <v>22405813.828840751</v>
      </c>
    </row>
    <row r="1768" spans="2:11">
      <c r="B1768" s="43">
        <v>45552</v>
      </c>
      <c r="C1768" s="32" t="s">
        <v>25</v>
      </c>
      <c r="D1768" s="32" t="s">
        <v>134</v>
      </c>
      <c r="E1768" s="36">
        <f t="shared" si="138"/>
        <v>22405813.828840751</v>
      </c>
      <c r="F1768" s="36">
        <v>0</v>
      </c>
      <c r="G1768" s="58">
        <v>-8113.27</v>
      </c>
      <c r="H1768" s="35">
        <f t="shared" si="139"/>
        <v>-8113.27</v>
      </c>
      <c r="I1768" s="35">
        <f t="shared" si="136"/>
        <v>0</v>
      </c>
      <c r="J1768" s="35">
        <f t="shared" si="137"/>
        <v>1215.6329226688372</v>
      </c>
      <c r="K1768" s="45">
        <f t="shared" si="135"/>
        <v>22396484.925918084</v>
      </c>
    </row>
    <row r="1769" spans="2:11">
      <c r="B1769" s="43">
        <v>45552</v>
      </c>
      <c r="C1769" s="32" t="s">
        <v>29</v>
      </c>
      <c r="D1769" s="32" t="s">
        <v>134</v>
      </c>
      <c r="E1769" s="36">
        <f t="shared" si="138"/>
        <v>22396484.925918084</v>
      </c>
      <c r="F1769" s="36">
        <v>0</v>
      </c>
      <c r="G1769" s="58">
        <v>-21384</v>
      </c>
      <c r="H1769" s="35">
        <f t="shared" si="139"/>
        <v>-21384</v>
      </c>
      <c r="I1769" s="35">
        <f t="shared" si="136"/>
        <v>0</v>
      </c>
      <c r="J1769" s="35">
        <f t="shared" si="137"/>
        <v>1215.1267807535376</v>
      </c>
      <c r="K1769" s="45">
        <f t="shared" si="135"/>
        <v>22373885.799137332</v>
      </c>
    </row>
    <row r="1770" spans="2:11">
      <c r="B1770" s="43">
        <v>45552</v>
      </c>
      <c r="C1770" s="32" t="s">
        <v>29</v>
      </c>
      <c r="D1770" s="32" t="s">
        <v>134</v>
      </c>
      <c r="E1770" s="36">
        <f t="shared" si="138"/>
        <v>22373885.799137332</v>
      </c>
      <c r="F1770" s="36">
        <v>0</v>
      </c>
      <c r="G1770" s="58">
        <v>-13839</v>
      </c>
      <c r="H1770" s="35">
        <f t="shared" si="139"/>
        <v>-13839</v>
      </c>
      <c r="I1770" s="35">
        <f t="shared" si="136"/>
        <v>0</v>
      </c>
      <c r="J1770" s="35">
        <f t="shared" si="137"/>
        <v>1213.900659589267</v>
      </c>
      <c r="K1770" s="45">
        <f t="shared" si="135"/>
        <v>22358832.898477741</v>
      </c>
    </row>
    <row r="1771" spans="2:11">
      <c r="B1771" s="43">
        <v>45552</v>
      </c>
      <c r="C1771" s="32" t="s">
        <v>29</v>
      </c>
      <c r="D1771" s="32" t="s">
        <v>134</v>
      </c>
      <c r="E1771" s="36">
        <f t="shared" si="138"/>
        <v>22358832.898477741</v>
      </c>
      <c r="F1771" s="36">
        <v>0</v>
      </c>
      <c r="G1771" s="58">
        <v>-11315</v>
      </c>
      <c r="H1771" s="35">
        <f t="shared" si="139"/>
        <v>-11315</v>
      </c>
      <c r="I1771" s="35">
        <f t="shared" si="136"/>
        <v>0</v>
      </c>
      <c r="J1771" s="35">
        <f t="shared" si="137"/>
        <v>1213.0839607733594</v>
      </c>
      <c r="K1771" s="45">
        <f t="shared" si="135"/>
        <v>22346304.814516969</v>
      </c>
    </row>
    <row r="1772" spans="2:11">
      <c r="B1772" s="43">
        <v>45553</v>
      </c>
      <c r="C1772" s="32" t="s">
        <v>29</v>
      </c>
      <c r="D1772" s="32" t="s">
        <v>132</v>
      </c>
      <c r="E1772" s="36">
        <f t="shared" si="138"/>
        <v>22346304.814516969</v>
      </c>
      <c r="F1772" s="36">
        <v>16197.67</v>
      </c>
      <c r="G1772" s="58">
        <v>0</v>
      </c>
      <c r="H1772" s="35">
        <f t="shared" si="139"/>
        <v>16197.67</v>
      </c>
      <c r="I1772" s="35">
        <f t="shared" si="136"/>
        <v>0</v>
      </c>
      <c r="J1772" s="35">
        <f t="shared" si="137"/>
        <v>2424.8084930129448</v>
      </c>
      <c r="K1772" s="45">
        <f t="shared" si="135"/>
        <v>22360077.676023956</v>
      </c>
    </row>
    <row r="1773" spans="2:11">
      <c r="B1773" s="43">
        <v>45553</v>
      </c>
      <c r="C1773" s="32" t="s">
        <v>27</v>
      </c>
      <c r="D1773" s="32" t="s">
        <v>132</v>
      </c>
      <c r="E1773" s="36">
        <f t="shared" si="138"/>
        <v>22360077.676023956</v>
      </c>
      <c r="F1773" s="36">
        <v>22674.6</v>
      </c>
      <c r="G1773" s="58">
        <v>0</v>
      </c>
      <c r="H1773" s="35">
        <f t="shared" si="139"/>
        <v>22674.6</v>
      </c>
      <c r="I1773" s="35">
        <f t="shared" si="136"/>
        <v>0</v>
      </c>
      <c r="J1773" s="35">
        <f t="shared" si="137"/>
        <v>1213.1514964843198</v>
      </c>
      <c r="K1773" s="45">
        <f t="shared" si="135"/>
        <v>22381539.124527473</v>
      </c>
    </row>
    <row r="1774" spans="2:11">
      <c r="B1774" s="43">
        <v>45553</v>
      </c>
      <c r="C1774" s="32" t="s">
        <v>29</v>
      </c>
      <c r="D1774" s="32" t="s">
        <v>132</v>
      </c>
      <c r="E1774" s="36">
        <f t="shared" si="138"/>
        <v>22381539.124527473</v>
      </c>
      <c r="F1774" s="36">
        <v>9400.39</v>
      </c>
      <c r="G1774" s="58">
        <v>0</v>
      </c>
      <c r="H1774" s="35">
        <f t="shared" si="139"/>
        <v>9400.39</v>
      </c>
      <c r="I1774" s="35">
        <f t="shared" si="136"/>
        <v>0</v>
      </c>
      <c r="J1774" s="35">
        <f t="shared" si="137"/>
        <v>1214.3158926347267</v>
      </c>
      <c r="K1774" s="45">
        <f t="shared" si="135"/>
        <v>22389725.198634841</v>
      </c>
    </row>
    <row r="1775" spans="2:11">
      <c r="B1775" s="43">
        <v>45553</v>
      </c>
      <c r="C1775" s="32" t="s">
        <v>25</v>
      </c>
      <c r="D1775" s="32" t="s">
        <v>134</v>
      </c>
      <c r="E1775" s="36">
        <f t="shared" si="138"/>
        <v>22389725.198634841</v>
      </c>
      <c r="F1775" s="36">
        <v>0</v>
      </c>
      <c r="G1775" s="58">
        <v>-21509</v>
      </c>
      <c r="H1775" s="35">
        <f t="shared" si="139"/>
        <v>-21509</v>
      </c>
      <c r="I1775" s="35">
        <f t="shared" si="136"/>
        <v>0</v>
      </c>
      <c r="J1775" s="35">
        <f t="shared" si="137"/>
        <v>1214.7600300924571</v>
      </c>
      <c r="K1775" s="45">
        <f t="shared" si="135"/>
        <v>22367001.43860475</v>
      </c>
    </row>
    <row r="1776" spans="2:11">
      <c r="B1776" s="43">
        <v>45553</v>
      </c>
      <c r="C1776" s="32" t="s">
        <v>29</v>
      </c>
      <c r="D1776" s="32" t="s">
        <v>134</v>
      </c>
      <c r="E1776" s="36">
        <f t="shared" si="138"/>
        <v>22367001.43860475</v>
      </c>
      <c r="F1776" s="36">
        <v>0</v>
      </c>
      <c r="G1776" s="58">
        <v>-8712</v>
      </c>
      <c r="H1776" s="35">
        <f t="shared" si="139"/>
        <v>-8712</v>
      </c>
      <c r="I1776" s="35">
        <f t="shared" si="136"/>
        <v>0</v>
      </c>
      <c r="J1776" s="35">
        <f t="shared" si="137"/>
        <v>1213.5271469206866</v>
      </c>
      <c r="K1776" s="45">
        <f t="shared" si="135"/>
        <v>22357075.911457829</v>
      </c>
    </row>
    <row r="1777" spans="2:11">
      <c r="B1777" s="43">
        <v>45554</v>
      </c>
      <c r="C1777" s="32" t="s">
        <v>27</v>
      </c>
      <c r="D1777" s="32" t="s">
        <v>132</v>
      </c>
      <c r="E1777" s="36">
        <f t="shared" si="138"/>
        <v>22357075.911457829</v>
      </c>
      <c r="F1777" s="36">
        <v>9477.3799999999992</v>
      </c>
      <c r="G1777" s="58">
        <v>0</v>
      </c>
      <c r="H1777" s="35">
        <f t="shared" si="139"/>
        <v>9477.3799999999992</v>
      </c>
      <c r="I1777" s="35">
        <f t="shared" si="136"/>
        <v>0</v>
      </c>
      <c r="J1777" s="35">
        <f t="shared" si="137"/>
        <v>2425.9772700236431</v>
      </c>
      <c r="K1777" s="45">
        <f t="shared" si="135"/>
        <v>22364127.314187806</v>
      </c>
    </row>
    <row r="1778" spans="2:11">
      <c r="B1778" s="43">
        <v>45554</v>
      </c>
      <c r="C1778" s="32" t="s">
        <v>27</v>
      </c>
      <c r="D1778" s="32" t="s">
        <v>132</v>
      </c>
      <c r="E1778" s="36">
        <f t="shared" si="138"/>
        <v>22364127.314187806</v>
      </c>
      <c r="F1778" s="36">
        <v>16897.22</v>
      </c>
      <c r="G1778" s="58">
        <v>0</v>
      </c>
      <c r="H1778" s="35">
        <f t="shared" si="139"/>
        <v>16897.22</v>
      </c>
      <c r="I1778" s="35">
        <f t="shared" si="136"/>
        <v>0</v>
      </c>
      <c r="J1778" s="35">
        <f t="shared" si="137"/>
        <v>1213.3712105957768</v>
      </c>
      <c r="K1778" s="45">
        <f t="shared" si="135"/>
        <v>22379811.162977207</v>
      </c>
    </row>
    <row r="1779" spans="2:11">
      <c r="B1779" s="43">
        <v>45554</v>
      </c>
      <c r="C1779" s="32" t="s">
        <v>29</v>
      </c>
      <c r="D1779" s="32" t="s">
        <v>132</v>
      </c>
      <c r="E1779" s="36">
        <f t="shared" si="138"/>
        <v>22379811.162977207</v>
      </c>
      <c r="F1779" s="36">
        <v>14498.63</v>
      </c>
      <c r="G1779" s="58">
        <v>0</v>
      </c>
      <c r="H1779" s="35">
        <f t="shared" si="139"/>
        <v>14498.63</v>
      </c>
      <c r="I1779" s="35">
        <f t="shared" si="136"/>
        <v>0</v>
      </c>
      <c r="J1779" s="35">
        <f t="shared" si="137"/>
        <v>1214.222141657161</v>
      </c>
      <c r="K1779" s="45">
        <f t="shared" si="135"/>
        <v>22393095.570835549</v>
      </c>
    </row>
    <row r="1780" spans="2:11">
      <c r="B1780" s="43">
        <v>45554</v>
      </c>
      <c r="C1780" s="32" t="s">
        <v>27</v>
      </c>
      <c r="D1780" s="32" t="s">
        <v>134</v>
      </c>
      <c r="E1780" s="36">
        <f t="shared" si="138"/>
        <v>22393095.570835549</v>
      </c>
      <c r="F1780" s="36">
        <v>0</v>
      </c>
      <c r="G1780" s="58">
        <v>-12355.8</v>
      </c>
      <c r="H1780" s="35">
        <f t="shared" si="139"/>
        <v>-12355.8</v>
      </c>
      <c r="I1780" s="35">
        <f t="shared" si="136"/>
        <v>0</v>
      </c>
      <c r="J1780" s="35">
        <f t="shared" si="137"/>
        <v>1214.9428904625436</v>
      </c>
      <c r="K1780" s="45">
        <f t="shared" si="135"/>
        <v>22379524.827945087</v>
      </c>
    </row>
    <row r="1781" spans="2:11">
      <c r="B1781" s="43">
        <v>45554</v>
      </c>
      <c r="C1781" s="32" t="s">
        <v>29</v>
      </c>
      <c r="D1781" s="32" t="s">
        <v>134</v>
      </c>
      <c r="E1781" s="36">
        <f t="shared" si="138"/>
        <v>22379524.827945087</v>
      </c>
      <c r="F1781" s="36">
        <v>0</v>
      </c>
      <c r="G1781" s="58">
        <v>-12290.03</v>
      </c>
      <c r="H1781" s="35">
        <f t="shared" si="139"/>
        <v>-12290.03</v>
      </c>
      <c r="I1781" s="35">
        <f t="shared" si="136"/>
        <v>0</v>
      </c>
      <c r="J1781" s="35">
        <f t="shared" si="137"/>
        <v>1214.2066064797907</v>
      </c>
      <c r="K1781" s="45">
        <f t="shared" si="135"/>
        <v>22366020.591338605</v>
      </c>
    </row>
    <row r="1782" spans="2:11">
      <c r="B1782" s="43">
        <v>45554</v>
      </c>
      <c r="C1782" s="32" t="s">
        <v>29</v>
      </c>
      <c r="D1782" s="32" t="s">
        <v>134</v>
      </c>
      <c r="E1782" s="36">
        <f t="shared" si="138"/>
        <v>22366020.591338605</v>
      </c>
      <c r="F1782" s="36">
        <v>0</v>
      </c>
      <c r="G1782" s="58">
        <v>-14582</v>
      </c>
      <c r="H1782" s="35">
        <f t="shared" si="139"/>
        <v>-14582</v>
      </c>
      <c r="I1782" s="35">
        <f t="shared" si="136"/>
        <v>0</v>
      </c>
      <c r="J1782" s="35">
        <f t="shared" si="137"/>
        <v>1213.4739308117807</v>
      </c>
      <c r="K1782" s="45">
        <f t="shared" si="135"/>
        <v>22350225.117407791</v>
      </c>
    </row>
    <row r="1783" spans="2:11">
      <c r="B1783" s="43">
        <v>45554</v>
      </c>
      <c r="C1783" s="32" t="s">
        <v>27</v>
      </c>
      <c r="D1783" s="32" t="s">
        <v>134</v>
      </c>
      <c r="E1783" s="36">
        <f t="shared" si="138"/>
        <v>22350225.117407791</v>
      </c>
      <c r="F1783" s="36">
        <v>0</v>
      </c>
      <c r="G1783" s="58">
        <v>-20078</v>
      </c>
      <c r="H1783" s="35">
        <f t="shared" si="139"/>
        <v>-20078</v>
      </c>
      <c r="I1783" s="35">
        <f t="shared" si="136"/>
        <v>0</v>
      </c>
      <c r="J1783" s="35">
        <f t="shared" si="137"/>
        <v>1212.6169435009813</v>
      </c>
      <c r="K1783" s="45">
        <f t="shared" si="135"/>
        <v>22328934.50046429</v>
      </c>
    </row>
    <row r="1784" spans="2:11">
      <c r="B1784" s="43">
        <v>45555</v>
      </c>
      <c r="C1784" s="32" t="s">
        <v>29</v>
      </c>
      <c r="D1784" s="32" t="s">
        <v>132</v>
      </c>
      <c r="E1784" s="36">
        <f t="shared" si="138"/>
        <v>22328934.50046429</v>
      </c>
      <c r="F1784" s="36">
        <v>14134.02</v>
      </c>
      <c r="G1784" s="58">
        <v>0</v>
      </c>
      <c r="H1784" s="35">
        <f t="shared" si="139"/>
        <v>14134.02</v>
      </c>
      <c r="I1784" s="35">
        <f t="shared" si="136"/>
        <v>0</v>
      </c>
      <c r="J1784" s="35">
        <f t="shared" si="137"/>
        <v>2422.9236317174937</v>
      </c>
      <c r="K1784" s="45">
        <f t="shared" si="135"/>
        <v>22340645.596832573</v>
      </c>
    </row>
    <row r="1785" spans="2:11">
      <c r="B1785" s="43">
        <v>45555</v>
      </c>
      <c r="C1785" s="32" t="s">
        <v>29</v>
      </c>
      <c r="D1785" s="32" t="s">
        <v>132</v>
      </c>
      <c r="E1785" s="36">
        <f t="shared" si="138"/>
        <v>22340645.596832573</v>
      </c>
      <c r="F1785" s="36">
        <v>16468.12</v>
      </c>
      <c r="G1785" s="58">
        <v>0</v>
      </c>
      <c r="H1785" s="35">
        <f t="shared" si="139"/>
        <v>16468.12</v>
      </c>
      <c r="I1785" s="35">
        <f t="shared" si="136"/>
        <v>0</v>
      </c>
      <c r="J1785" s="35">
        <f t="shared" si="137"/>
        <v>1212.0972042634969</v>
      </c>
      <c r="K1785" s="45">
        <f t="shared" si="135"/>
        <v>22355901.61962831</v>
      </c>
    </row>
    <row r="1786" spans="2:11">
      <c r="B1786" s="43">
        <v>45555</v>
      </c>
      <c r="C1786" s="32" t="s">
        <v>29</v>
      </c>
      <c r="D1786" s="32" t="s">
        <v>132</v>
      </c>
      <c r="E1786" s="36">
        <f t="shared" si="138"/>
        <v>22355901.61962831</v>
      </c>
      <c r="F1786" s="36">
        <v>16892.439999999999</v>
      </c>
      <c r="G1786" s="58">
        <v>0</v>
      </c>
      <c r="H1786" s="35">
        <f t="shared" si="139"/>
        <v>16892.439999999999</v>
      </c>
      <c r="I1786" s="35">
        <f t="shared" si="136"/>
        <v>0</v>
      </c>
      <c r="J1786" s="35">
        <f t="shared" si="137"/>
        <v>1212.9249235207021</v>
      </c>
      <c r="K1786" s="45">
        <f t="shared" si="135"/>
        <v>22371581.134704791</v>
      </c>
    </row>
    <row r="1787" spans="2:11">
      <c r="B1787" s="43">
        <v>45555</v>
      </c>
      <c r="C1787" s="32" t="s">
        <v>29</v>
      </c>
      <c r="D1787" s="32" t="s">
        <v>134</v>
      </c>
      <c r="E1787" s="36">
        <f t="shared" si="138"/>
        <v>22371581.134704791</v>
      </c>
      <c r="F1787" s="36">
        <v>0</v>
      </c>
      <c r="G1787" s="58">
        <v>-13474.53</v>
      </c>
      <c r="H1787" s="35">
        <f t="shared" si="139"/>
        <v>-13474.53</v>
      </c>
      <c r="I1787" s="35">
        <f t="shared" si="136"/>
        <v>0</v>
      </c>
      <c r="J1787" s="35">
        <f t="shared" si="137"/>
        <v>1213.7756194554293</v>
      </c>
      <c r="K1787" s="45">
        <f t="shared" si="135"/>
        <v>22356892.829085335</v>
      </c>
    </row>
    <row r="1788" spans="2:11">
      <c r="B1788" s="43">
        <v>45555</v>
      </c>
      <c r="C1788" s="32" t="s">
        <v>27</v>
      </c>
      <c r="D1788" s="32" t="s">
        <v>134</v>
      </c>
      <c r="E1788" s="36">
        <f t="shared" si="138"/>
        <v>22356892.829085335</v>
      </c>
      <c r="F1788" s="36">
        <v>0</v>
      </c>
      <c r="G1788" s="58">
        <v>-8618</v>
      </c>
      <c r="H1788" s="35">
        <f t="shared" si="139"/>
        <v>-8618</v>
      </c>
      <c r="I1788" s="35">
        <f t="shared" si="136"/>
        <v>0</v>
      </c>
      <c r="J1788" s="35">
        <f t="shared" si="137"/>
        <v>1212.9787018328145</v>
      </c>
      <c r="K1788" s="45">
        <f t="shared" si="135"/>
        <v>22347061.850383501</v>
      </c>
    </row>
    <row r="1789" spans="2:11">
      <c r="B1789" s="43">
        <v>45555</v>
      </c>
      <c r="C1789" s="32" t="s">
        <v>27</v>
      </c>
      <c r="D1789" s="32" t="s">
        <v>134</v>
      </c>
      <c r="E1789" s="36">
        <f t="shared" si="138"/>
        <v>22347061.850383501</v>
      </c>
      <c r="F1789" s="36">
        <v>0</v>
      </c>
      <c r="G1789" s="58">
        <v>-3191</v>
      </c>
      <c r="H1789" s="35">
        <f t="shared" si="139"/>
        <v>-3191</v>
      </c>
      <c r="I1789" s="35">
        <f t="shared" si="136"/>
        <v>0</v>
      </c>
      <c r="J1789" s="35">
        <f t="shared" si="137"/>
        <v>1212.4453196730187</v>
      </c>
      <c r="K1789" s="45">
        <f t="shared" si="135"/>
        <v>22342658.40506383</v>
      </c>
    </row>
    <row r="1790" spans="2:11">
      <c r="B1790" s="43">
        <v>45555</v>
      </c>
      <c r="C1790" s="32" t="s">
        <v>25</v>
      </c>
      <c r="D1790" s="32" t="s">
        <v>134</v>
      </c>
      <c r="E1790" s="36">
        <f t="shared" si="138"/>
        <v>22342658.40506383</v>
      </c>
      <c r="F1790" s="36">
        <v>0</v>
      </c>
      <c r="G1790" s="58">
        <v>-11434</v>
      </c>
      <c r="H1790" s="35">
        <f t="shared" si="139"/>
        <v>-11434</v>
      </c>
      <c r="I1790" s="35">
        <f t="shared" si="136"/>
        <v>0</v>
      </c>
      <c r="J1790" s="35">
        <f t="shared" si="137"/>
        <v>1212.2064096675776</v>
      </c>
      <c r="K1790" s="45">
        <f t="shared" si="135"/>
        <v>22330012.198654164</v>
      </c>
    </row>
    <row r="1791" spans="2:11">
      <c r="B1791" s="43">
        <v>45556</v>
      </c>
      <c r="C1791" s="32" t="s">
        <v>29</v>
      </c>
      <c r="D1791" s="32" t="s">
        <v>132</v>
      </c>
      <c r="E1791" s="36">
        <f t="shared" si="138"/>
        <v>22330012.198654164</v>
      </c>
      <c r="F1791" s="36">
        <v>15499.36</v>
      </c>
      <c r="G1791" s="58">
        <v>0</v>
      </c>
      <c r="H1791" s="35">
        <f t="shared" si="139"/>
        <v>15499.36</v>
      </c>
      <c r="I1791" s="35">
        <f t="shared" si="136"/>
        <v>0</v>
      </c>
      <c r="J1791" s="35">
        <f t="shared" si="137"/>
        <v>2423.0405732765303</v>
      </c>
      <c r="K1791" s="45">
        <f t="shared" si="135"/>
        <v>22343088.518080886</v>
      </c>
    </row>
    <row r="1792" spans="2:11">
      <c r="B1792" s="43">
        <v>45556</v>
      </c>
      <c r="C1792" s="32" t="s">
        <v>25</v>
      </c>
      <c r="D1792" s="32" t="s">
        <v>134</v>
      </c>
      <c r="E1792" s="36">
        <f t="shared" si="138"/>
        <v>22343088.518080886</v>
      </c>
      <c r="F1792" s="36">
        <v>0</v>
      </c>
      <c r="G1792" s="58">
        <v>-11853.5</v>
      </c>
      <c r="H1792" s="35">
        <f t="shared" si="139"/>
        <v>-11853.5</v>
      </c>
      <c r="I1792" s="35">
        <f t="shared" si="136"/>
        <v>0</v>
      </c>
      <c r="J1792" s="35">
        <f t="shared" si="137"/>
        <v>1212.2297455547716</v>
      </c>
      <c r="K1792" s="45">
        <f t="shared" si="135"/>
        <v>22330022.788335331</v>
      </c>
    </row>
    <row r="1793" spans="2:11">
      <c r="B1793" s="43">
        <v>45556</v>
      </c>
      <c r="C1793" s="32" t="s">
        <v>27</v>
      </c>
      <c r="D1793" s="32" t="s">
        <v>134</v>
      </c>
      <c r="E1793" s="36">
        <f t="shared" si="138"/>
        <v>22330022.788335331</v>
      </c>
      <c r="F1793" s="36">
        <v>0</v>
      </c>
      <c r="G1793" s="58">
        <v>-8035</v>
      </c>
      <c r="H1793" s="35">
        <f t="shared" si="139"/>
        <v>-8035</v>
      </c>
      <c r="I1793" s="35">
        <f t="shared" si="136"/>
        <v>0</v>
      </c>
      <c r="J1793" s="35">
        <f t="shared" si="137"/>
        <v>1211.520861184013</v>
      </c>
      <c r="K1793" s="45">
        <f t="shared" si="135"/>
        <v>22320776.267474148</v>
      </c>
    </row>
    <row r="1794" spans="2:11">
      <c r="B1794" s="43">
        <v>45556</v>
      </c>
      <c r="C1794" s="32" t="s">
        <v>29</v>
      </c>
      <c r="D1794" s="32" t="s">
        <v>134</v>
      </c>
      <c r="E1794" s="36">
        <f t="shared" si="138"/>
        <v>22320776.267474148</v>
      </c>
      <c r="F1794" s="36">
        <v>0</v>
      </c>
      <c r="G1794" s="58">
        <v>-13763</v>
      </c>
      <c r="H1794" s="35">
        <f t="shared" si="139"/>
        <v>-13763</v>
      </c>
      <c r="I1794" s="35">
        <f t="shared" si="136"/>
        <v>0</v>
      </c>
      <c r="J1794" s="35">
        <f t="shared" si="137"/>
        <v>1211.0191889276575</v>
      </c>
      <c r="K1794" s="45">
        <f t="shared" si="135"/>
        <v>22305802.248285219</v>
      </c>
    </row>
    <row r="1795" spans="2:11">
      <c r="B1795" s="43">
        <v>45556</v>
      </c>
      <c r="C1795" s="32" t="s">
        <v>25</v>
      </c>
      <c r="D1795" s="32" t="s">
        <v>134</v>
      </c>
      <c r="E1795" s="36">
        <f t="shared" si="138"/>
        <v>22305802.248285219</v>
      </c>
      <c r="F1795" s="36">
        <v>0</v>
      </c>
      <c r="G1795" s="58">
        <v>-15206</v>
      </c>
      <c r="H1795" s="35">
        <f t="shared" si="139"/>
        <v>-15206</v>
      </c>
      <c r="I1795" s="35">
        <f t="shared" si="136"/>
        <v>0</v>
      </c>
      <c r="J1795" s="35">
        <f t="shared" si="137"/>
        <v>1210.2067698452804</v>
      </c>
      <c r="K1795" s="45">
        <f t="shared" si="135"/>
        <v>22289386.041515373</v>
      </c>
    </row>
    <row r="1796" spans="2:11">
      <c r="B1796" s="43">
        <v>45556</v>
      </c>
      <c r="C1796" s="32" t="s">
        <v>27</v>
      </c>
      <c r="D1796" s="32" t="s">
        <v>134</v>
      </c>
      <c r="E1796" s="36">
        <f t="shared" si="138"/>
        <v>22289386.041515373</v>
      </c>
      <c r="F1796" s="36">
        <v>0</v>
      </c>
      <c r="G1796" s="58">
        <v>-8990</v>
      </c>
      <c r="H1796" s="35">
        <f t="shared" si="139"/>
        <v>-8990</v>
      </c>
      <c r="I1796" s="35">
        <f t="shared" si="136"/>
        <v>0</v>
      </c>
      <c r="J1796" s="35">
        <f t="shared" si="137"/>
        <v>1209.31610452211</v>
      </c>
      <c r="K1796" s="45">
        <f t="shared" si="135"/>
        <v>22279186.725410849</v>
      </c>
    </row>
    <row r="1797" spans="2:11">
      <c r="B1797" s="43">
        <v>45557</v>
      </c>
      <c r="C1797" s="32" t="s">
        <v>29</v>
      </c>
      <c r="D1797" s="32" t="s">
        <v>132</v>
      </c>
      <c r="E1797" s="36">
        <f t="shared" si="138"/>
        <v>22279186.725410849</v>
      </c>
      <c r="F1797" s="36">
        <v>11524.91</v>
      </c>
      <c r="G1797" s="58">
        <v>0</v>
      </c>
      <c r="H1797" s="35">
        <f t="shared" si="139"/>
        <v>11524.91</v>
      </c>
      <c r="I1797" s="35">
        <f t="shared" si="136"/>
        <v>0</v>
      </c>
      <c r="J1797" s="35">
        <f t="shared" si="137"/>
        <v>2417.5254762524473</v>
      </c>
      <c r="K1797" s="45">
        <f t="shared" si="135"/>
        <v>22288294.109934598</v>
      </c>
    </row>
    <row r="1798" spans="2:11">
      <c r="B1798" s="43">
        <v>45557</v>
      </c>
      <c r="C1798" s="32" t="s">
        <v>29</v>
      </c>
      <c r="D1798" s="32" t="s">
        <v>134</v>
      </c>
      <c r="E1798" s="36">
        <f t="shared" si="138"/>
        <v>22288294.109934598</v>
      </c>
      <c r="F1798" s="36">
        <v>0</v>
      </c>
      <c r="G1798" s="58">
        <v>-6357</v>
      </c>
      <c r="H1798" s="35">
        <f t="shared" si="139"/>
        <v>-6357</v>
      </c>
      <c r="I1798" s="35">
        <f t="shared" si="136"/>
        <v>0</v>
      </c>
      <c r="J1798" s="35">
        <f t="shared" si="137"/>
        <v>1209.2568615064788</v>
      </c>
      <c r="K1798" s="45">
        <f t="shared" si="135"/>
        <v>22280727.85307309</v>
      </c>
    </row>
    <row r="1799" spans="2:11">
      <c r="B1799" s="43">
        <v>45557</v>
      </c>
      <c r="C1799" s="32" t="s">
        <v>27</v>
      </c>
      <c r="D1799" s="32" t="s">
        <v>134</v>
      </c>
      <c r="E1799" s="36">
        <f t="shared" si="138"/>
        <v>22280727.85307309</v>
      </c>
      <c r="F1799" s="36">
        <v>0</v>
      </c>
      <c r="G1799" s="58">
        <v>-19156</v>
      </c>
      <c r="H1799" s="35">
        <f t="shared" si="139"/>
        <v>-19156</v>
      </c>
      <c r="I1799" s="35">
        <f t="shared" si="136"/>
        <v>0</v>
      </c>
      <c r="J1799" s="35">
        <f t="shared" si="137"/>
        <v>1208.8463523853873</v>
      </c>
      <c r="K1799" s="45">
        <f t="shared" si="135"/>
        <v>22260363.006720703</v>
      </c>
    </row>
    <row r="1800" spans="2:11">
      <c r="B1800" s="43">
        <v>45557</v>
      </c>
      <c r="C1800" s="32" t="s">
        <v>29</v>
      </c>
      <c r="D1800" s="32" t="s">
        <v>134</v>
      </c>
      <c r="E1800" s="36">
        <f t="shared" si="138"/>
        <v>22260363.006720703</v>
      </c>
      <c r="F1800" s="36">
        <v>0</v>
      </c>
      <c r="G1800" s="58">
        <v>-13602</v>
      </c>
      <c r="H1800" s="35">
        <f t="shared" si="139"/>
        <v>-13602</v>
      </c>
      <c r="I1800" s="35">
        <f t="shared" si="136"/>
        <v>0</v>
      </c>
      <c r="J1800" s="35">
        <f t="shared" si="137"/>
        <v>1207.7414526535513</v>
      </c>
      <c r="K1800" s="45">
        <f t="shared" ref="K1800:K1863" si="140">E1800+H1800+I1800-J1800</f>
        <v>22245553.26526805</v>
      </c>
    </row>
    <row r="1801" spans="2:11">
      <c r="B1801" s="43">
        <v>45558</v>
      </c>
      <c r="C1801" s="32" t="s">
        <v>25</v>
      </c>
      <c r="D1801" s="32" t="s">
        <v>132</v>
      </c>
      <c r="E1801" s="36">
        <f t="shared" si="138"/>
        <v>22245553.26526805</v>
      </c>
      <c r="F1801" s="36">
        <v>11289.15</v>
      </c>
      <c r="G1801" s="58">
        <v>0</v>
      </c>
      <c r="H1801" s="35">
        <f t="shared" si="139"/>
        <v>11289.15</v>
      </c>
      <c r="I1801" s="35">
        <f t="shared" si="136"/>
        <v>0</v>
      </c>
      <c r="J1801" s="35">
        <f t="shared" si="137"/>
        <v>2413.8758930000658</v>
      </c>
      <c r="K1801" s="45">
        <f t="shared" si="140"/>
        <v>22254428.539375048</v>
      </c>
    </row>
    <row r="1802" spans="2:11">
      <c r="B1802" s="43">
        <v>45558</v>
      </c>
      <c r="C1802" s="32" t="s">
        <v>29</v>
      </c>
      <c r="D1802" s="32" t="s">
        <v>132</v>
      </c>
      <c r="E1802" s="36">
        <f t="shared" si="138"/>
        <v>22254428.539375048</v>
      </c>
      <c r="F1802" s="36">
        <v>14572.86</v>
      </c>
      <c r="G1802" s="58">
        <v>0</v>
      </c>
      <c r="H1802" s="35">
        <f t="shared" si="139"/>
        <v>14572.86</v>
      </c>
      <c r="I1802" s="35">
        <f t="shared" si="136"/>
        <v>0</v>
      </c>
      <c r="J1802" s="35">
        <f t="shared" si="137"/>
        <v>1207.4194766727192</v>
      </c>
      <c r="K1802" s="45">
        <f t="shared" si="140"/>
        <v>22267793.979898375</v>
      </c>
    </row>
    <row r="1803" spans="2:11">
      <c r="B1803" s="43">
        <v>45558</v>
      </c>
      <c r="C1803" s="32" t="s">
        <v>29</v>
      </c>
      <c r="D1803" s="32" t="s">
        <v>132</v>
      </c>
      <c r="E1803" s="36">
        <f t="shared" si="138"/>
        <v>22267793.979898375</v>
      </c>
      <c r="F1803" s="36">
        <v>16847.810000000001</v>
      </c>
      <c r="G1803" s="58">
        <v>0</v>
      </c>
      <c r="H1803" s="35">
        <f t="shared" si="139"/>
        <v>16847.810000000001</v>
      </c>
      <c r="I1803" s="35">
        <f t="shared" si="136"/>
        <v>0</v>
      </c>
      <c r="J1803" s="35">
        <f t="shared" si="137"/>
        <v>1208.1446219252077</v>
      </c>
      <c r="K1803" s="45">
        <f t="shared" si="140"/>
        <v>22283433.64527645</v>
      </c>
    </row>
    <row r="1804" spans="2:11">
      <c r="B1804" s="43">
        <v>45558</v>
      </c>
      <c r="C1804" s="32" t="s">
        <v>29</v>
      </c>
      <c r="D1804" s="32" t="s">
        <v>132</v>
      </c>
      <c r="E1804" s="36">
        <f t="shared" si="138"/>
        <v>22283433.64527645</v>
      </c>
      <c r="F1804" s="36">
        <v>19651.5</v>
      </c>
      <c r="G1804" s="58">
        <v>0</v>
      </c>
      <c r="H1804" s="35">
        <f t="shared" si="139"/>
        <v>19651.5</v>
      </c>
      <c r="I1804" s="35">
        <f t="shared" si="136"/>
        <v>0</v>
      </c>
      <c r="J1804" s="35">
        <f t="shared" si="137"/>
        <v>1208.9931558047779</v>
      </c>
      <c r="K1804" s="45">
        <f t="shared" si="140"/>
        <v>22301876.152120646</v>
      </c>
    </row>
    <row r="1805" spans="2:11">
      <c r="B1805" s="43">
        <v>45558</v>
      </c>
      <c r="C1805" s="32" t="s">
        <v>27</v>
      </c>
      <c r="D1805" s="32" t="s">
        <v>134</v>
      </c>
      <c r="E1805" s="36">
        <f t="shared" si="138"/>
        <v>22301876.152120646</v>
      </c>
      <c r="F1805" s="36">
        <v>0</v>
      </c>
      <c r="G1805" s="58">
        <v>-10543</v>
      </c>
      <c r="H1805" s="35">
        <f t="shared" si="139"/>
        <v>-10543</v>
      </c>
      <c r="I1805" s="35">
        <f t="shared" si="136"/>
        <v>0</v>
      </c>
      <c r="J1805" s="35">
        <f t="shared" si="137"/>
        <v>1209.9937585352841</v>
      </c>
      <c r="K1805" s="45">
        <f t="shared" si="140"/>
        <v>22290123.158362109</v>
      </c>
    </row>
    <row r="1806" spans="2:11">
      <c r="B1806" s="43">
        <v>45558</v>
      </c>
      <c r="C1806" s="32" t="s">
        <v>25</v>
      </c>
      <c r="D1806" s="32" t="s">
        <v>134</v>
      </c>
      <c r="E1806" s="36">
        <f t="shared" si="138"/>
        <v>22290123.158362109</v>
      </c>
      <c r="F1806" s="36">
        <v>0</v>
      </c>
      <c r="G1806" s="58">
        <v>-4109</v>
      </c>
      <c r="H1806" s="35">
        <f t="shared" si="139"/>
        <v>-4109</v>
      </c>
      <c r="I1806" s="35">
        <f t="shared" si="136"/>
        <v>0</v>
      </c>
      <c r="J1806" s="35">
        <f t="shared" si="137"/>
        <v>1209.3560969773534</v>
      </c>
      <c r="K1806" s="45">
        <f t="shared" si="140"/>
        <v>22284804.802265134</v>
      </c>
    </row>
    <row r="1807" spans="2:11">
      <c r="B1807" s="43">
        <v>45559</v>
      </c>
      <c r="C1807" s="32" t="s">
        <v>25</v>
      </c>
      <c r="D1807" s="32" t="s">
        <v>132</v>
      </c>
      <c r="E1807" s="36">
        <f t="shared" si="138"/>
        <v>22284804.802265134</v>
      </c>
      <c r="F1807" s="36">
        <v>11756.83</v>
      </c>
      <c r="G1807" s="58">
        <v>0</v>
      </c>
      <c r="H1807" s="35">
        <f t="shared" si="139"/>
        <v>11756.83</v>
      </c>
      <c r="I1807" s="35">
        <f t="shared" si="136"/>
        <v>0</v>
      </c>
      <c r="J1807" s="35">
        <f t="shared" si="137"/>
        <v>2418.1350965267497</v>
      </c>
      <c r="K1807" s="45">
        <f t="shared" si="140"/>
        <v>22294143.497168604</v>
      </c>
    </row>
    <row r="1808" spans="2:11">
      <c r="B1808" s="43">
        <v>45559</v>
      </c>
      <c r="C1808" s="32" t="s">
        <v>25</v>
      </c>
      <c r="D1808" s="32" t="s">
        <v>132</v>
      </c>
      <c r="E1808" s="36">
        <f t="shared" si="138"/>
        <v>22294143.497168604</v>
      </c>
      <c r="F1808" s="36">
        <v>19198.07</v>
      </c>
      <c r="G1808" s="58">
        <v>0</v>
      </c>
      <c r="H1808" s="35">
        <f t="shared" si="139"/>
        <v>19198.07</v>
      </c>
      <c r="I1808" s="35">
        <f t="shared" si="136"/>
        <v>0</v>
      </c>
      <c r="J1808" s="35">
        <f t="shared" si="137"/>
        <v>1209.5742214449936</v>
      </c>
      <c r="K1808" s="45">
        <f t="shared" si="140"/>
        <v>22312131.992947161</v>
      </c>
    </row>
    <row r="1809" spans="2:11">
      <c r="B1809" s="43">
        <v>45559</v>
      </c>
      <c r="C1809" s="32" t="s">
        <v>25</v>
      </c>
      <c r="D1809" s="32" t="s">
        <v>134</v>
      </c>
      <c r="E1809" s="36">
        <f t="shared" si="138"/>
        <v>22312131.992947161</v>
      </c>
      <c r="F1809" s="36">
        <v>0</v>
      </c>
      <c r="G1809" s="58">
        <v>-3424</v>
      </c>
      <c r="H1809" s="35">
        <f t="shared" si="139"/>
        <v>-3424</v>
      </c>
      <c r="I1809" s="35">
        <f t="shared" si="136"/>
        <v>0</v>
      </c>
      <c r="J1809" s="35">
        <f t="shared" si="137"/>
        <v>1210.5501916938206</v>
      </c>
      <c r="K1809" s="45">
        <f t="shared" si="140"/>
        <v>22307497.442755468</v>
      </c>
    </row>
    <row r="1810" spans="2:11">
      <c r="B1810" s="43">
        <v>45560</v>
      </c>
      <c r="C1810" s="32" t="s">
        <v>25</v>
      </c>
      <c r="D1810" s="32" t="s">
        <v>132</v>
      </c>
      <c r="E1810" s="36">
        <f t="shared" si="138"/>
        <v>22307497.442755468</v>
      </c>
      <c r="F1810" s="36">
        <v>11787.32</v>
      </c>
      <c r="G1810" s="58">
        <v>0</v>
      </c>
      <c r="H1810" s="35">
        <f t="shared" si="139"/>
        <v>11787.32</v>
      </c>
      <c r="I1810" s="35">
        <f t="shared" si="136"/>
        <v>0</v>
      </c>
      <c r="J1810" s="35">
        <f t="shared" si="137"/>
        <v>2420.5974860737724</v>
      </c>
      <c r="K1810" s="45">
        <f t="shared" si="140"/>
        <v>22316864.165269393</v>
      </c>
    </row>
    <row r="1811" spans="2:11">
      <c r="B1811" s="43">
        <v>45560</v>
      </c>
      <c r="C1811" s="32" t="s">
        <v>25</v>
      </c>
      <c r="D1811" s="32" t="s">
        <v>132</v>
      </c>
      <c r="E1811" s="36">
        <f t="shared" si="138"/>
        <v>22316864.165269393</v>
      </c>
      <c r="F1811" s="36">
        <v>15246.85</v>
      </c>
      <c r="G1811" s="58">
        <v>0</v>
      </c>
      <c r="H1811" s="35">
        <f t="shared" si="139"/>
        <v>15246.85</v>
      </c>
      <c r="I1811" s="35">
        <f t="shared" si="136"/>
        <v>0</v>
      </c>
      <c r="J1811" s="35">
        <f t="shared" si="137"/>
        <v>1210.8069368633819</v>
      </c>
      <c r="K1811" s="45">
        <f t="shared" si="140"/>
        <v>22330900.208332531</v>
      </c>
    </row>
    <row r="1812" spans="2:11">
      <c r="B1812" s="43">
        <v>45560</v>
      </c>
      <c r="C1812" s="32" t="s">
        <v>27</v>
      </c>
      <c r="D1812" s="32" t="s">
        <v>134</v>
      </c>
      <c r="E1812" s="36">
        <f t="shared" si="138"/>
        <v>22330900.208332531</v>
      </c>
      <c r="F1812" s="36">
        <v>0</v>
      </c>
      <c r="G1812" s="58">
        <v>-9239</v>
      </c>
      <c r="H1812" s="35">
        <f t="shared" si="139"/>
        <v>-9239</v>
      </c>
      <c r="I1812" s="35">
        <f t="shared" ref="I1812:I1875" si="141">(($E1812*Daily_Interest)*(_xlfn.DAYS(B1812,B1811)+1))+((IF(DAY($B1811)&gt;Monthly_Cut_off_Date,0,Daily_Interest*H1812))*(_xlfn.DAYS(B1812,B1811)+1))</f>
        <v>0</v>
      </c>
      <c r="J1812" s="35">
        <f t="shared" ref="J1812:J1875" si="142">(($I1812+E1812)*Daily_Fees_Rate)*((_xlfn.DAYS(B1812,B1811)+1))</f>
        <v>1211.5684658210841</v>
      </c>
      <c r="K1812" s="45">
        <f t="shared" si="140"/>
        <v>22320449.63986671</v>
      </c>
    </row>
    <row r="1813" spans="2:11">
      <c r="B1813" s="43">
        <v>45560</v>
      </c>
      <c r="C1813" s="32" t="s">
        <v>29</v>
      </c>
      <c r="D1813" s="32" t="s">
        <v>134</v>
      </c>
      <c r="E1813" s="36">
        <f t="shared" ref="E1813:E1876" si="143">K1812</f>
        <v>22320449.63986671</v>
      </c>
      <c r="F1813" s="36">
        <v>0</v>
      </c>
      <c r="G1813" s="58">
        <v>-21470</v>
      </c>
      <c r="H1813" s="35">
        <f t="shared" ref="H1813:H1876" si="144">SUM(F1813:G1813)</f>
        <v>-21470</v>
      </c>
      <c r="I1813" s="35">
        <f t="shared" si="141"/>
        <v>0</v>
      </c>
      <c r="J1813" s="35">
        <f t="shared" si="142"/>
        <v>1211.0014676667345</v>
      </c>
      <c r="K1813" s="45">
        <f t="shared" si="140"/>
        <v>22297768.638399042</v>
      </c>
    </row>
    <row r="1814" spans="2:11">
      <c r="B1814" s="43">
        <v>45560</v>
      </c>
      <c r="C1814" s="32" t="s">
        <v>25</v>
      </c>
      <c r="D1814" s="32" t="s">
        <v>134</v>
      </c>
      <c r="E1814" s="36">
        <f t="shared" si="143"/>
        <v>22297768.638399042</v>
      </c>
      <c r="F1814" s="36">
        <v>0</v>
      </c>
      <c r="G1814" s="58">
        <v>-7654</v>
      </c>
      <c r="H1814" s="35">
        <f t="shared" si="144"/>
        <v>-7654</v>
      </c>
      <c r="I1814" s="35">
        <f t="shared" si="141"/>
        <v>0</v>
      </c>
      <c r="J1814" s="35">
        <f t="shared" si="142"/>
        <v>1209.7709043712514</v>
      </c>
      <c r="K1814" s="45">
        <f t="shared" si="140"/>
        <v>22288904.867494673</v>
      </c>
    </row>
    <row r="1815" spans="2:11">
      <c r="B1815" s="43">
        <v>45561</v>
      </c>
      <c r="C1815" s="32" t="s">
        <v>29</v>
      </c>
      <c r="D1815" s="32" t="s">
        <v>132</v>
      </c>
      <c r="E1815" s="36">
        <f t="shared" si="143"/>
        <v>22288904.867494673</v>
      </c>
      <c r="F1815" s="36">
        <v>12025.82</v>
      </c>
      <c r="G1815" s="58">
        <v>0</v>
      </c>
      <c r="H1815" s="35">
        <f t="shared" si="144"/>
        <v>12025.82</v>
      </c>
      <c r="I1815" s="35">
        <f t="shared" si="141"/>
        <v>0</v>
      </c>
      <c r="J1815" s="35">
        <f t="shared" si="142"/>
        <v>2418.5799966152881</v>
      </c>
      <c r="K1815" s="45">
        <f t="shared" si="140"/>
        <v>22298512.107498057</v>
      </c>
    </row>
    <row r="1816" spans="2:11">
      <c r="B1816" s="43">
        <v>45561</v>
      </c>
      <c r="C1816" s="32" t="s">
        <v>25</v>
      </c>
      <c r="D1816" s="32" t="s">
        <v>132</v>
      </c>
      <c r="E1816" s="36">
        <f t="shared" si="143"/>
        <v>22298512.107498057</v>
      </c>
      <c r="F1816" s="36">
        <v>12739.75</v>
      </c>
      <c r="G1816" s="58">
        <v>0</v>
      </c>
      <c r="H1816" s="35">
        <f t="shared" si="144"/>
        <v>12739.75</v>
      </c>
      <c r="I1816" s="35">
        <f t="shared" si="141"/>
        <v>0</v>
      </c>
      <c r="J1816" s="35">
        <f t="shared" si="142"/>
        <v>1209.8112414694999</v>
      </c>
      <c r="K1816" s="45">
        <f t="shared" si="140"/>
        <v>22310042.046256587</v>
      </c>
    </row>
    <row r="1817" spans="2:11">
      <c r="B1817" s="43">
        <v>45561</v>
      </c>
      <c r="C1817" s="32" t="s">
        <v>25</v>
      </c>
      <c r="D1817" s="32" t="s">
        <v>134</v>
      </c>
      <c r="E1817" s="36">
        <f t="shared" si="143"/>
        <v>22310042.046256587</v>
      </c>
      <c r="F1817" s="36">
        <v>0</v>
      </c>
      <c r="G1817" s="58">
        <v>-6369</v>
      </c>
      <c r="H1817" s="35">
        <f t="shared" si="144"/>
        <v>-6369</v>
      </c>
      <c r="I1817" s="35">
        <f t="shared" si="141"/>
        <v>0</v>
      </c>
      <c r="J1817" s="35">
        <f t="shared" si="142"/>
        <v>1210.436801123717</v>
      </c>
      <c r="K1817" s="45">
        <f t="shared" si="140"/>
        <v>22302462.609455463</v>
      </c>
    </row>
    <row r="1818" spans="2:11">
      <c r="B1818" s="43">
        <v>45562</v>
      </c>
      <c r="C1818" s="32" t="s">
        <v>29</v>
      </c>
      <c r="D1818" s="32" t="s">
        <v>132</v>
      </c>
      <c r="E1818" s="36">
        <f t="shared" si="143"/>
        <v>22302462.609455463</v>
      </c>
      <c r="F1818" s="36">
        <v>15451.18</v>
      </c>
      <c r="G1818" s="58">
        <v>0</v>
      </c>
      <c r="H1818" s="35">
        <f t="shared" si="144"/>
        <v>15451.18</v>
      </c>
      <c r="I1818" s="35">
        <f t="shared" si="141"/>
        <v>0</v>
      </c>
      <c r="J1818" s="35">
        <f t="shared" si="142"/>
        <v>2420.0511538435403</v>
      </c>
      <c r="K1818" s="45">
        <f t="shared" si="140"/>
        <v>22315493.73830162</v>
      </c>
    </row>
    <row r="1819" spans="2:11">
      <c r="B1819" s="43">
        <v>45562</v>
      </c>
      <c r="C1819" s="32" t="s">
        <v>27</v>
      </c>
      <c r="D1819" s="32" t="s">
        <v>132</v>
      </c>
      <c r="E1819" s="36">
        <f t="shared" si="143"/>
        <v>22315493.73830162</v>
      </c>
      <c r="F1819" s="36">
        <v>21184.51</v>
      </c>
      <c r="G1819" s="58">
        <v>0</v>
      </c>
      <c r="H1819" s="35">
        <f t="shared" si="144"/>
        <v>21184.51</v>
      </c>
      <c r="I1819" s="35">
        <f t="shared" si="141"/>
        <v>0</v>
      </c>
      <c r="J1819" s="35">
        <f t="shared" si="142"/>
        <v>1210.7325840122485</v>
      </c>
      <c r="K1819" s="45">
        <f t="shared" si="140"/>
        <v>22335467.515717611</v>
      </c>
    </row>
    <row r="1820" spans="2:11">
      <c r="B1820" s="43">
        <v>45562</v>
      </c>
      <c r="C1820" s="32" t="s">
        <v>27</v>
      </c>
      <c r="D1820" s="32" t="s">
        <v>134</v>
      </c>
      <c r="E1820" s="36">
        <f t="shared" si="143"/>
        <v>22335467.515717611</v>
      </c>
      <c r="F1820" s="36">
        <v>0</v>
      </c>
      <c r="G1820" s="58">
        <v>-10362.620000000001</v>
      </c>
      <c r="H1820" s="35">
        <f t="shared" si="144"/>
        <v>-10362.620000000001</v>
      </c>
      <c r="I1820" s="35">
        <f t="shared" si="141"/>
        <v>0</v>
      </c>
      <c r="J1820" s="35">
        <f t="shared" si="142"/>
        <v>1211.8162662030595</v>
      </c>
      <c r="K1820" s="45">
        <f t="shared" si="140"/>
        <v>22323893.079451408</v>
      </c>
    </row>
    <row r="1821" spans="2:11">
      <c r="B1821" s="43">
        <v>45562</v>
      </c>
      <c r="C1821" s="32" t="s">
        <v>29</v>
      </c>
      <c r="D1821" s="32" t="s">
        <v>134</v>
      </c>
      <c r="E1821" s="36">
        <f t="shared" si="143"/>
        <v>22323893.079451408</v>
      </c>
      <c r="F1821" s="36">
        <v>0</v>
      </c>
      <c r="G1821" s="58">
        <v>-14323</v>
      </c>
      <c r="H1821" s="35">
        <f t="shared" si="144"/>
        <v>-14323</v>
      </c>
      <c r="I1821" s="35">
        <f t="shared" si="141"/>
        <v>0</v>
      </c>
      <c r="J1821" s="35">
        <f t="shared" si="142"/>
        <v>1211.1882923256537</v>
      </c>
      <c r="K1821" s="45">
        <f t="shared" si="140"/>
        <v>22308358.891159084</v>
      </c>
    </row>
    <row r="1822" spans="2:11">
      <c r="B1822" s="43">
        <v>45563</v>
      </c>
      <c r="C1822" s="32" t="s">
        <v>25</v>
      </c>
      <c r="D1822" s="32" t="s">
        <v>132</v>
      </c>
      <c r="E1822" s="36">
        <f t="shared" si="143"/>
        <v>22308358.891159084</v>
      </c>
      <c r="F1822" s="36">
        <v>18832.990000000002</v>
      </c>
      <c r="G1822" s="58">
        <v>0</v>
      </c>
      <c r="H1822" s="35">
        <f t="shared" si="144"/>
        <v>18832.990000000002</v>
      </c>
      <c r="I1822" s="35">
        <f t="shared" si="141"/>
        <v>0</v>
      </c>
      <c r="J1822" s="35">
        <f t="shared" si="142"/>
        <v>2420.690962262463</v>
      </c>
      <c r="K1822" s="45">
        <f t="shared" si="140"/>
        <v>22324771.19019682</v>
      </c>
    </row>
    <row r="1823" spans="2:11">
      <c r="B1823" s="43">
        <v>45563</v>
      </c>
      <c r="C1823" s="32" t="s">
        <v>29</v>
      </c>
      <c r="D1823" s="32" t="s">
        <v>132</v>
      </c>
      <c r="E1823" s="36">
        <f t="shared" si="143"/>
        <v>22324771.19019682</v>
      </c>
      <c r="F1823" s="36">
        <v>13567.03</v>
      </c>
      <c r="G1823" s="58">
        <v>0</v>
      </c>
      <c r="H1823" s="35">
        <f t="shared" si="144"/>
        <v>13567.03</v>
      </c>
      <c r="I1823" s="35">
        <f t="shared" si="141"/>
        <v>0</v>
      </c>
      <c r="J1823" s="35">
        <f t="shared" si="142"/>
        <v>1211.2359344394383</v>
      </c>
      <c r="K1823" s="45">
        <f t="shared" si="140"/>
        <v>22337126.984262381</v>
      </c>
    </row>
    <row r="1824" spans="2:11">
      <c r="B1824" s="43">
        <v>45563</v>
      </c>
      <c r="C1824" s="32" t="s">
        <v>29</v>
      </c>
      <c r="D1824" s="32" t="s">
        <v>132</v>
      </c>
      <c r="E1824" s="36">
        <f t="shared" si="143"/>
        <v>22337126.984262381</v>
      </c>
      <c r="F1824" s="36">
        <v>8874.7999999999993</v>
      </c>
      <c r="G1824" s="58">
        <v>0</v>
      </c>
      <c r="H1824" s="35">
        <f t="shared" si="144"/>
        <v>8874.7999999999993</v>
      </c>
      <c r="I1824" s="35">
        <f t="shared" si="141"/>
        <v>0</v>
      </c>
      <c r="J1824" s="35">
        <f t="shared" si="142"/>
        <v>1211.9063010758191</v>
      </c>
      <c r="K1824" s="45">
        <f t="shared" si="140"/>
        <v>22344789.877961304</v>
      </c>
    </row>
    <row r="1825" spans="2:11">
      <c r="B1825" s="43">
        <v>45563</v>
      </c>
      <c r="C1825" s="32" t="s">
        <v>29</v>
      </c>
      <c r="D1825" s="32" t="s">
        <v>132</v>
      </c>
      <c r="E1825" s="36">
        <f t="shared" si="143"/>
        <v>22344789.877961304</v>
      </c>
      <c r="F1825" s="36">
        <v>9921.1299999999992</v>
      </c>
      <c r="G1825" s="58">
        <v>0</v>
      </c>
      <c r="H1825" s="35">
        <f t="shared" si="144"/>
        <v>9921.1299999999992</v>
      </c>
      <c r="I1825" s="35">
        <f t="shared" si="141"/>
        <v>0</v>
      </c>
      <c r="J1825" s="35">
        <f t="shared" si="142"/>
        <v>1212.3220532522178</v>
      </c>
      <c r="K1825" s="45">
        <f t="shared" si="140"/>
        <v>22353498.685908049</v>
      </c>
    </row>
    <row r="1826" spans="2:11">
      <c r="B1826" s="43">
        <v>45563</v>
      </c>
      <c r="C1826" s="32" t="s">
        <v>27</v>
      </c>
      <c r="D1826" s="32" t="s">
        <v>132</v>
      </c>
      <c r="E1826" s="36">
        <f t="shared" si="143"/>
        <v>22353498.685908049</v>
      </c>
      <c r="F1826" s="36">
        <v>14444.14</v>
      </c>
      <c r="G1826" s="58">
        <v>0</v>
      </c>
      <c r="H1826" s="35">
        <f t="shared" si="144"/>
        <v>14444.14</v>
      </c>
      <c r="I1826" s="35">
        <f t="shared" si="141"/>
        <v>0</v>
      </c>
      <c r="J1826" s="35">
        <f t="shared" si="142"/>
        <v>1212.7945517625658</v>
      </c>
      <c r="K1826" s="45">
        <f t="shared" si="140"/>
        <v>22366730.031356286</v>
      </c>
    </row>
    <row r="1827" spans="2:11">
      <c r="B1827" s="43">
        <v>45563</v>
      </c>
      <c r="C1827" s="32" t="s">
        <v>27</v>
      </c>
      <c r="D1827" s="32" t="s">
        <v>132</v>
      </c>
      <c r="E1827" s="36">
        <f t="shared" si="143"/>
        <v>22366730.031356286</v>
      </c>
      <c r="F1827" s="36">
        <v>10958.62</v>
      </c>
      <c r="G1827" s="58">
        <v>0</v>
      </c>
      <c r="H1827" s="35">
        <f t="shared" si="144"/>
        <v>10958.62</v>
      </c>
      <c r="I1827" s="35">
        <f t="shared" si="141"/>
        <v>0</v>
      </c>
      <c r="J1827" s="35">
        <f t="shared" si="142"/>
        <v>1213.5124216538784</v>
      </c>
      <c r="K1827" s="45">
        <f t="shared" si="140"/>
        <v>22376475.138934635</v>
      </c>
    </row>
    <row r="1828" spans="2:11">
      <c r="B1828" s="43">
        <v>45563</v>
      </c>
      <c r="C1828" s="32" t="s">
        <v>25</v>
      </c>
      <c r="D1828" s="32" t="s">
        <v>134</v>
      </c>
      <c r="E1828" s="36">
        <f t="shared" si="143"/>
        <v>22376475.138934635</v>
      </c>
      <c r="F1828" s="36">
        <v>0</v>
      </c>
      <c r="G1828" s="58">
        <v>-12261.92</v>
      </c>
      <c r="H1828" s="35">
        <f t="shared" si="144"/>
        <v>-12261.92</v>
      </c>
      <c r="I1828" s="35">
        <f t="shared" si="141"/>
        <v>0</v>
      </c>
      <c r="J1828" s="35">
        <f t="shared" si="142"/>
        <v>1214.0411448548157</v>
      </c>
      <c r="K1828" s="45">
        <f t="shared" si="140"/>
        <v>22362999.177789778</v>
      </c>
    </row>
    <row r="1829" spans="2:11">
      <c r="B1829" s="43">
        <v>45563</v>
      </c>
      <c r="C1829" s="32" t="s">
        <v>27</v>
      </c>
      <c r="D1829" s="32" t="s">
        <v>134</v>
      </c>
      <c r="E1829" s="36">
        <f t="shared" si="143"/>
        <v>22362999.177789778</v>
      </c>
      <c r="F1829" s="36">
        <v>0</v>
      </c>
      <c r="G1829" s="58">
        <v>-4629</v>
      </c>
      <c r="H1829" s="35">
        <f t="shared" si="144"/>
        <v>-4629</v>
      </c>
      <c r="I1829" s="35">
        <f t="shared" si="141"/>
        <v>0</v>
      </c>
      <c r="J1829" s="35">
        <f t="shared" si="142"/>
        <v>1213.3100032789089</v>
      </c>
      <c r="K1829" s="45">
        <f t="shared" si="140"/>
        <v>22357156.867786497</v>
      </c>
    </row>
    <row r="1830" spans="2:11">
      <c r="B1830" s="43">
        <v>45563</v>
      </c>
      <c r="C1830" s="32" t="s">
        <v>27</v>
      </c>
      <c r="D1830" s="32" t="s">
        <v>134</v>
      </c>
      <c r="E1830" s="36">
        <f t="shared" si="143"/>
        <v>22357156.867786497</v>
      </c>
      <c r="F1830" s="36">
        <v>0</v>
      </c>
      <c r="G1830" s="58">
        <v>-7530</v>
      </c>
      <c r="H1830" s="35">
        <f t="shared" si="144"/>
        <v>-7530</v>
      </c>
      <c r="I1830" s="35">
        <f t="shared" si="141"/>
        <v>0</v>
      </c>
      <c r="J1830" s="35">
        <f t="shared" si="142"/>
        <v>1212.9930273172822</v>
      </c>
      <c r="K1830" s="45">
        <f t="shared" si="140"/>
        <v>22348413.874759179</v>
      </c>
    </row>
    <row r="1831" spans="2:11">
      <c r="B1831" s="43">
        <v>45564</v>
      </c>
      <c r="C1831" s="32" t="s">
        <v>27</v>
      </c>
      <c r="D1831" s="32" t="s">
        <v>132</v>
      </c>
      <c r="E1831" s="36">
        <f t="shared" si="143"/>
        <v>22348413.874759179</v>
      </c>
      <c r="F1831" s="36">
        <v>12593.17</v>
      </c>
      <c r="G1831" s="58">
        <v>0</v>
      </c>
      <c r="H1831" s="35">
        <f t="shared" si="144"/>
        <v>12593.17</v>
      </c>
      <c r="I1831" s="35">
        <f t="shared" si="141"/>
        <v>0</v>
      </c>
      <c r="J1831" s="35">
        <f t="shared" si="142"/>
        <v>2425.0373481740125</v>
      </c>
      <c r="K1831" s="45">
        <f t="shared" si="140"/>
        <v>22358582.007411007</v>
      </c>
    </row>
    <row r="1832" spans="2:11">
      <c r="B1832" s="43">
        <v>45564</v>
      </c>
      <c r="C1832" s="32" t="s">
        <v>27</v>
      </c>
      <c r="D1832" s="32" t="s">
        <v>132</v>
      </c>
      <c r="E1832" s="36">
        <f t="shared" si="143"/>
        <v>22358582.007411007</v>
      </c>
      <c r="F1832" s="36">
        <v>11217.35</v>
      </c>
      <c r="G1832" s="58">
        <v>0</v>
      </c>
      <c r="H1832" s="35">
        <f t="shared" si="144"/>
        <v>11217.35</v>
      </c>
      <c r="I1832" s="35">
        <f t="shared" si="141"/>
        <v>0</v>
      </c>
      <c r="J1832" s="35">
        <f t="shared" si="142"/>
        <v>1213.070348617021</v>
      </c>
      <c r="K1832" s="45">
        <f t="shared" si="140"/>
        <v>22368586.287062392</v>
      </c>
    </row>
    <row r="1833" spans="2:11">
      <c r="B1833" s="43">
        <v>45564</v>
      </c>
      <c r="C1833" s="32" t="s">
        <v>29</v>
      </c>
      <c r="D1833" s="32" t="s">
        <v>132</v>
      </c>
      <c r="E1833" s="36">
        <f t="shared" si="143"/>
        <v>22368586.287062392</v>
      </c>
      <c r="F1833" s="36">
        <v>14673.72</v>
      </c>
      <c r="G1833" s="58">
        <v>0</v>
      </c>
      <c r="H1833" s="35">
        <f t="shared" si="144"/>
        <v>14673.72</v>
      </c>
      <c r="I1833" s="35">
        <f t="shared" si="141"/>
        <v>0</v>
      </c>
      <c r="J1833" s="35">
        <f t="shared" si="142"/>
        <v>1213.6131332623238</v>
      </c>
      <c r="K1833" s="45">
        <f t="shared" si="140"/>
        <v>22382046.393929128</v>
      </c>
    </row>
    <row r="1834" spans="2:11">
      <c r="B1834" s="43">
        <v>45564</v>
      </c>
      <c r="C1834" s="32" t="s">
        <v>25</v>
      </c>
      <c r="D1834" s="32" t="s">
        <v>132</v>
      </c>
      <c r="E1834" s="36">
        <f t="shared" si="143"/>
        <v>22382046.393929128</v>
      </c>
      <c r="F1834" s="36">
        <v>17778.53</v>
      </c>
      <c r="G1834" s="58">
        <v>0</v>
      </c>
      <c r="H1834" s="35">
        <f t="shared" si="144"/>
        <v>17778.53</v>
      </c>
      <c r="I1834" s="35">
        <f t="shared" si="141"/>
        <v>0</v>
      </c>
      <c r="J1834" s="35">
        <f t="shared" si="142"/>
        <v>1214.3434146604841</v>
      </c>
      <c r="K1834" s="45">
        <f t="shared" si="140"/>
        <v>22398610.580514468</v>
      </c>
    </row>
    <row r="1835" spans="2:11">
      <c r="B1835" s="43">
        <v>45564</v>
      </c>
      <c r="C1835" s="32" t="s">
        <v>29</v>
      </c>
      <c r="D1835" s="32" t="s">
        <v>132</v>
      </c>
      <c r="E1835" s="36">
        <f t="shared" si="143"/>
        <v>22398610.580514468</v>
      </c>
      <c r="F1835" s="36">
        <v>15744.66</v>
      </c>
      <c r="G1835" s="58">
        <v>0</v>
      </c>
      <c r="H1835" s="35">
        <f t="shared" si="144"/>
        <v>15744.66</v>
      </c>
      <c r="I1835" s="35">
        <f t="shared" si="141"/>
        <v>0</v>
      </c>
      <c r="J1835" s="35">
        <f t="shared" si="142"/>
        <v>1215.2421086648255</v>
      </c>
      <c r="K1835" s="45">
        <f t="shared" si="140"/>
        <v>22413139.998405803</v>
      </c>
    </row>
    <row r="1836" spans="2:11">
      <c r="B1836" s="43">
        <v>45564</v>
      </c>
      <c r="C1836" s="32" t="s">
        <v>29</v>
      </c>
      <c r="D1836" s="32" t="s">
        <v>132</v>
      </c>
      <c r="E1836" s="36">
        <f t="shared" si="143"/>
        <v>22413139.998405803</v>
      </c>
      <c r="F1836" s="36">
        <v>13431.83</v>
      </c>
      <c r="G1836" s="58">
        <v>0</v>
      </c>
      <c r="H1836" s="35">
        <f t="shared" si="144"/>
        <v>13431.83</v>
      </c>
      <c r="I1836" s="35">
        <f t="shared" si="141"/>
        <v>0</v>
      </c>
      <c r="J1836" s="35">
        <f t="shared" si="142"/>
        <v>1216.0304057947958</v>
      </c>
      <c r="K1836" s="45">
        <f t="shared" si="140"/>
        <v>22425355.798000008</v>
      </c>
    </row>
    <row r="1837" spans="2:11">
      <c r="B1837" s="43">
        <v>45564</v>
      </c>
      <c r="C1837" s="32" t="s">
        <v>25</v>
      </c>
      <c r="D1837" s="32" t="s">
        <v>132</v>
      </c>
      <c r="E1837" s="36">
        <f t="shared" si="143"/>
        <v>22425355.798000008</v>
      </c>
      <c r="F1837" s="36">
        <v>16706.95</v>
      </c>
      <c r="G1837" s="58">
        <v>0</v>
      </c>
      <c r="H1837" s="35">
        <f t="shared" si="144"/>
        <v>16706.95</v>
      </c>
      <c r="I1837" s="35">
        <f t="shared" si="141"/>
        <v>0</v>
      </c>
      <c r="J1837" s="35">
        <f t="shared" si="142"/>
        <v>1216.6931769968096</v>
      </c>
      <c r="K1837" s="45">
        <f t="shared" si="140"/>
        <v>22440846.054823011</v>
      </c>
    </row>
    <row r="1838" spans="2:11">
      <c r="B1838" s="43">
        <v>45564</v>
      </c>
      <c r="C1838" s="32" t="s">
        <v>29</v>
      </c>
      <c r="D1838" s="32" t="s">
        <v>134</v>
      </c>
      <c r="E1838" s="36">
        <f t="shared" si="143"/>
        <v>22440846.054823011</v>
      </c>
      <c r="F1838" s="36">
        <v>0</v>
      </c>
      <c r="G1838" s="58">
        <v>-2677</v>
      </c>
      <c r="H1838" s="35">
        <f t="shared" si="144"/>
        <v>-2677</v>
      </c>
      <c r="I1838" s="35">
        <f t="shared" si="141"/>
        <v>0</v>
      </c>
      <c r="J1838" s="35">
        <f t="shared" si="142"/>
        <v>1217.5336046785928</v>
      </c>
      <c r="K1838" s="45">
        <f t="shared" si="140"/>
        <v>22436951.521218333</v>
      </c>
    </row>
    <row r="1839" spans="2:11">
      <c r="B1839" s="43">
        <v>45564</v>
      </c>
      <c r="C1839" s="32" t="s">
        <v>29</v>
      </c>
      <c r="D1839" s="32" t="s">
        <v>134</v>
      </c>
      <c r="E1839" s="36">
        <f t="shared" si="143"/>
        <v>22436951.521218333</v>
      </c>
      <c r="F1839" s="36">
        <v>0</v>
      </c>
      <c r="G1839" s="58">
        <v>-17850</v>
      </c>
      <c r="H1839" s="35">
        <f t="shared" si="144"/>
        <v>-17850</v>
      </c>
      <c r="I1839" s="35">
        <f t="shared" si="141"/>
        <v>0</v>
      </c>
      <c r="J1839" s="35">
        <f t="shared" si="142"/>
        <v>1217.3223058030219</v>
      </c>
      <c r="K1839" s="45">
        <f t="shared" si="140"/>
        <v>22417884.198912531</v>
      </c>
    </row>
    <row r="1840" spans="2:11">
      <c r="B1840" s="43">
        <v>45565</v>
      </c>
      <c r="C1840" s="32" t="s">
        <v>25</v>
      </c>
      <c r="D1840" s="32" t="s">
        <v>132</v>
      </c>
      <c r="E1840" s="36">
        <f t="shared" si="143"/>
        <v>22417884.198912531</v>
      </c>
      <c r="F1840" s="36">
        <v>14393.42</v>
      </c>
      <c r="G1840" s="58">
        <v>0</v>
      </c>
      <c r="H1840" s="35">
        <f t="shared" si="144"/>
        <v>14393.42</v>
      </c>
      <c r="I1840" s="35">
        <f t="shared" si="141"/>
        <v>0</v>
      </c>
      <c r="J1840" s="35">
        <f t="shared" si="142"/>
        <v>2432.5756071129122</v>
      </c>
      <c r="K1840" s="45">
        <f t="shared" si="140"/>
        <v>22429845.043305419</v>
      </c>
    </row>
    <row r="1841" spans="2:11">
      <c r="B1841" s="43">
        <v>45565</v>
      </c>
      <c r="C1841" s="32" t="s">
        <v>29</v>
      </c>
      <c r="D1841" s="32" t="s">
        <v>132</v>
      </c>
      <c r="E1841" s="36">
        <f t="shared" si="143"/>
        <v>22429845.043305419</v>
      </c>
      <c r="F1841" s="36">
        <v>15227.41</v>
      </c>
      <c r="G1841" s="58">
        <v>0</v>
      </c>
      <c r="H1841" s="35">
        <f t="shared" si="144"/>
        <v>15227.41</v>
      </c>
      <c r="I1841" s="35">
        <f t="shared" si="141"/>
        <v>0</v>
      </c>
      <c r="J1841" s="35">
        <f t="shared" si="142"/>
        <v>1216.9367421015133</v>
      </c>
      <c r="K1841" s="45">
        <f t="shared" si="140"/>
        <v>22443855.516563319</v>
      </c>
    </row>
    <row r="1842" spans="2:11">
      <c r="B1842" s="43">
        <v>45565</v>
      </c>
      <c r="C1842" s="32" t="s">
        <v>29</v>
      </c>
      <c r="D1842" s="32" t="s">
        <v>132</v>
      </c>
      <c r="E1842" s="36">
        <f t="shared" si="143"/>
        <v>22443855.516563319</v>
      </c>
      <c r="F1842" s="36">
        <v>14191.78</v>
      </c>
      <c r="G1842" s="58">
        <v>0</v>
      </c>
      <c r="H1842" s="35">
        <f t="shared" si="144"/>
        <v>14191.78</v>
      </c>
      <c r="I1842" s="35">
        <f t="shared" si="141"/>
        <v>0</v>
      </c>
      <c r="J1842" s="35">
        <f t="shared" si="142"/>
        <v>1217.6968837631634</v>
      </c>
      <c r="K1842" s="45">
        <f t="shared" si="140"/>
        <v>22456829.599679556</v>
      </c>
    </row>
    <row r="1843" spans="2:11">
      <c r="B1843" s="43">
        <v>45565</v>
      </c>
      <c r="C1843" s="32" t="s">
        <v>27</v>
      </c>
      <c r="D1843" s="32" t="s">
        <v>132</v>
      </c>
      <c r="E1843" s="36">
        <f t="shared" si="143"/>
        <v>22456829.599679556</v>
      </c>
      <c r="F1843" s="36">
        <v>20540.12</v>
      </c>
      <c r="G1843" s="58">
        <v>0</v>
      </c>
      <c r="H1843" s="35">
        <f t="shared" si="144"/>
        <v>20540.12</v>
      </c>
      <c r="I1843" s="35">
        <f t="shared" si="141"/>
        <v>0</v>
      </c>
      <c r="J1843" s="35">
        <f t="shared" si="142"/>
        <v>1218.4007958235786</v>
      </c>
      <c r="K1843" s="45">
        <f t="shared" si="140"/>
        <v>22476151.318883732</v>
      </c>
    </row>
    <row r="1844" spans="2:11">
      <c r="B1844" s="43">
        <v>45565</v>
      </c>
      <c r="C1844" s="32" t="s">
        <v>27</v>
      </c>
      <c r="D1844" s="32" t="s">
        <v>132</v>
      </c>
      <c r="E1844" s="36">
        <f t="shared" si="143"/>
        <v>22476151.318883732</v>
      </c>
      <c r="F1844" s="36">
        <v>13323.23</v>
      </c>
      <c r="G1844" s="58">
        <v>0</v>
      </c>
      <c r="H1844" s="35">
        <f t="shared" si="144"/>
        <v>13323.23</v>
      </c>
      <c r="I1844" s="35">
        <f t="shared" si="141"/>
        <v>0</v>
      </c>
      <c r="J1844" s="35">
        <f t="shared" si="142"/>
        <v>1219.4491004362378</v>
      </c>
      <c r="K1844" s="45">
        <f t="shared" si="140"/>
        <v>22488255.099783298</v>
      </c>
    </row>
    <row r="1845" spans="2:11">
      <c r="B1845" s="43">
        <v>45565</v>
      </c>
      <c r="C1845" s="32" t="s">
        <v>25</v>
      </c>
      <c r="D1845" s="32" t="s">
        <v>132</v>
      </c>
      <c r="E1845" s="36">
        <f t="shared" si="143"/>
        <v>22488255.099783298</v>
      </c>
      <c r="F1845" s="36">
        <v>9331.3799999999992</v>
      </c>
      <c r="G1845" s="58">
        <v>0</v>
      </c>
      <c r="H1845" s="35">
        <f t="shared" si="144"/>
        <v>9331.3799999999992</v>
      </c>
      <c r="I1845" s="35">
        <f t="shared" si="141"/>
        <v>0</v>
      </c>
      <c r="J1845" s="35">
        <f t="shared" si="142"/>
        <v>1220.1057940365097</v>
      </c>
      <c r="K1845" s="45">
        <f t="shared" si="140"/>
        <v>22496366.373989262</v>
      </c>
    </row>
    <row r="1846" spans="2:11">
      <c r="B1846" s="43">
        <v>45565</v>
      </c>
      <c r="C1846" s="32" t="s">
        <v>29</v>
      </c>
      <c r="D1846" s="32" t="s">
        <v>132</v>
      </c>
      <c r="E1846" s="36">
        <f t="shared" si="143"/>
        <v>22496366.373989262</v>
      </c>
      <c r="F1846" s="36">
        <v>12985.13</v>
      </c>
      <c r="G1846" s="58">
        <v>0</v>
      </c>
      <c r="H1846" s="35">
        <f t="shared" si="144"/>
        <v>12985.13</v>
      </c>
      <c r="I1846" s="35">
        <f t="shared" si="141"/>
        <v>0</v>
      </c>
      <c r="J1846" s="35">
        <f t="shared" si="142"/>
        <v>1220.5458732072502</v>
      </c>
      <c r="K1846" s="45">
        <f t="shared" si="140"/>
        <v>22508130.958116055</v>
      </c>
    </row>
    <row r="1847" spans="2:11">
      <c r="B1847" s="43">
        <v>45565</v>
      </c>
      <c r="C1847" s="32" t="s">
        <v>25</v>
      </c>
      <c r="D1847" s="32" t="s">
        <v>132</v>
      </c>
      <c r="E1847" s="36">
        <f t="shared" si="143"/>
        <v>22508130.958116055</v>
      </c>
      <c r="F1847" s="36">
        <v>12642.03</v>
      </c>
      <c r="G1847" s="58">
        <v>0</v>
      </c>
      <c r="H1847" s="35">
        <f t="shared" si="144"/>
        <v>12642.03</v>
      </c>
      <c r="I1847" s="35">
        <f t="shared" si="141"/>
        <v>0</v>
      </c>
      <c r="J1847" s="35">
        <f t="shared" si="142"/>
        <v>1221.1841636034521</v>
      </c>
      <c r="K1847" s="45">
        <f t="shared" si="140"/>
        <v>22519551.803952452</v>
      </c>
    </row>
    <row r="1848" spans="2:11">
      <c r="B1848" s="43">
        <v>45565</v>
      </c>
      <c r="C1848" s="32" t="s">
        <v>25</v>
      </c>
      <c r="D1848" s="32" t="s">
        <v>134</v>
      </c>
      <c r="E1848" s="36">
        <f t="shared" si="143"/>
        <v>22519551.803952452</v>
      </c>
      <c r="F1848" s="36">
        <v>0</v>
      </c>
      <c r="G1848" s="58">
        <v>-16077</v>
      </c>
      <c r="H1848" s="35">
        <f t="shared" si="144"/>
        <v>-16077</v>
      </c>
      <c r="I1848" s="35">
        <f t="shared" si="141"/>
        <v>0</v>
      </c>
      <c r="J1848" s="35">
        <f t="shared" si="142"/>
        <v>1221.8038043944321</v>
      </c>
      <c r="K1848" s="45">
        <f t="shared" si="140"/>
        <v>22502253.000148058</v>
      </c>
    </row>
    <row r="1849" spans="2:11">
      <c r="B1849" s="43">
        <v>45565</v>
      </c>
      <c r="C1849" s="32" t="s">
        <v>29</v>
      </c>
      <c r="D1849" s="32" t="s">
        <v>134</v>
      </c>
      <c r="E1849" s="36">
        <f t="shared" si="143"/>
        <v>22502253.000148058</v>
      </c>
      <c r="F1849" s="36">
        <v>0</v>
      </c>
      <c r="G1849" s="58">
        <v>-15293</v>
      </c>
      <c r="H1849" s="35">
        <f t="shared" si="144"/>
        <v>-15293</v>
      </c>
      <c r="I1849" s="35">
        <f t="shared" si="141"/>
        <v>0</v>
      </c>
      <c r="J1849" s="35">
        <f t="shared" si="142"/>
        <v>1220.8652535527599</v>
      </c>
      <c r="K1849" s="45">
        <f t="shared" si="140"/>
        <v>22485739.134894505</v>
      </c>
    </row>
    <row r="1850" spans="2:11">
      <c r="B1850" s="43">
        <v>45565</v>
      </c>
      <c r="C1850" s="32" t="s">
        <v>29</v>
      </c>
      <c r="D1850" s="32" t="s">
        <v>134</v>
      </c>
      <c r="E1850" s="36">
        <f t="shared" si="143"/>
        <v>22485739.134894505</v>
      </c>
      <c r="F1850" s="36">
        <v>0</v>
      </c>
      <c r="G1850" s="58">
        <v>-1713</v>
      </c>
      <c r="H1850" s="35">
        <f t="shared" si="144"/>
        <v>-1713</v>
      </c>
      <c r="I1850" s="35">
        <f t="shared" si="141"/>
        <v>0</v>
      </c>
      <c r="J1850" s="35">
        <f t="shared" si="142"/>
        <v>1219.9692897446121</v>
      </c>
      <c r="K1850" s="45">
        <f t="shared" si="140"/>
        <v>22482806.165604759</v>
      </c>
    </row>
    <row r="1851" spans="2:11">
      <c r="B1851" s="43">
        <v>45566</v>
      </c>
      <c r="C1851" s="32" t="s">
        <v>29</v>
      </c>
      <c r="D1851" s="32" t="s">
        <v>132</v>
      </c>
      <c r="E1851" s="36">
        <f t="shared" si="143"/>
        <v>22482806.165604759</v>
      </c>
      <c r="F1851" s="36">
        <v>13269.32</v>
      </c>
      <c r="G1851" s="58">
        <v>0</v>
      </c>
      <c r="H1851" s="35">
        <f t="shared" si="144"/>
        <v>13269.32</v>
      </c>
      <c r="I1851" s="35">
        <f t="shared" si="141"/>
        <v>0</v>
      </c>
      <c r="J1851" s="35">
        <f t="shared" si="142"/>
        <v>2439.6203215534019</v>
      </c>
      <c r="K1851" s="45">
        <f t="shared" si="140"/>
        <v>22493635.865283206</v>
      </c>
    </row>
    <row r="1852" spans="2:11">
      <c r="B1852" s="43">
        <v>45566</v>
      </c>
      <c r="C1852" s="32" t="s">
        <v>25</v>
      </c>
      <c r="D1852" s="32" t="s">
        <v>132</v>
      </c>
      <c r="E1852" s="36">
        <f t="shared" si="143"/>
        <v>22493635.865283206</v>
      </c>
      <c r="F1852" s="36">
        <v>15089.27</v>
      </c>
      <c r="G1852" s="58">
        <v>0</v>
      </c>
      <c r="H1852" s="35">
        <f t="shared" si="144"/>
        <v>15089.27</v>
      </c>
      <c r="I1852" s="35">
        <f t="shared" si="141"/>
        <v>0</v>
      </c>
      <c r="J1852" s="35">
        <f t="shared" si="142"/>
        <v>1220.3977287879459</v>
      </c>
      <c r="K1852" s="45">
        <f t="shared" si="140"/>
        <v>22507504.737554416</v>
      </c>
    </row>
    <row r="1853" spans="2:11">
      <c r="B1853" s="43">
        <v>45566</v>
      </c>
      <c r="C1853" s="32" t="s">
        <v>25</v>
      </c>
      <c r="D1853" s="32" t="s">
        <v>132</v>
      </c>
      <c r="E1853" s="36">
        <f t="shared" si="143"/>
        <v>22507504.737554416</v>
      </c>
      <c r="F1853" s="36">
        <v>14469.16</v>
      </c>
      <c r="G1853" s="58">
        <v>0</v>
      </c>
      <c r="H1853" s="35">
        <f t="shared" si="144"/>
        <v>14469.16</v>
      </c>
      <c r="I1853" s="35">
        <f t="shared" si="141"/>
        <v>0</v>
      </c>
      <c r="J1853" s="35">
        <f t="shared" si="142"/>
        <v>1221.1501878533459</v>
      </c>
      <c r="K1853" s="45">
        <f t="shared" si="140"/>
        <v>22520752.747366562</v>
      </c>
    </row>
    <row r="1854" spans="2:11">
      <c r="B1854" s="43">
        <v>45566</v>
      </c>
      <c r="C1854" s="32" t="s">
        <v>25</v>
      </c>
      <c r="D1854" s="32" t="s">
        <v>132</v>
      </c>
      <c r="E1854" s="36">
        <f t="shared" si="143"/>
        <v>22520752.747366562</v>
      </c>
      <c r="F1854" s="36">
        <v>15802.18</v>
      </c>
      <c r="G1854" s="58">
        <v>0</v>
      </c>
      <c r="H1854" s="35">
        <f t="shared" si="144"/>
        <v>15802.18</v>
      </c>
      <c r="I1854" s="35">
        <f t="shared" si="141"/>
        <v>0</v>
      </c>
      <c r="J1854" s="35">
        <f t="shared" si="142"/>
        <v>1221.8689618738081</v>
      </c>
      <c r="K1854" s="45">
        <f t="shared" si="140"/>
        <v>22535333.058404688</v>
      </c>
    </row>
    <row r="1855" spans="2:11">
      <c r="B1855" s="43">
        <v>45566</v>
      </c>
      <c r="C1855" s="32" t="s">
        <v>27</v>
      </c>
      <c r="D1855" s="32" t="s">
        <v>132</v>
      </c>
      <c r="E1855" s="36">
        <f t="shared" si="143"/>
        <v>22535333.058404688</v>
      </c>
      <c r="F1855" s="36">
        <v>9594.06</v>
      </c>
      <c r="G1855" s="58">
        <v>0</v>
      </c>
      <c r="H1855" s="35">
        <f t="shared" si="144"/>
        <v>9594.06</v>
      </c>
      <c r="I1855" s="35">
        <f t="shared" si="141"/>
        <v>0</v>
      </c>
      <c r="J1855" s="35">
        <f t="shared" si="142"/>
        <v>1222.6600202239351</v>
      </c>
      <c r="K1855" s="45">
        <f t="shared" si="140"/>
        <v>22543704.458384462</v>
      </c>
    </row>
    <row r="1856" spans="2:11">
      <c r="B1856" s="43">
        <v>45566</v>
      </c>
      <c r="C1856" s="32" t="s">
        <v>25</v>
      </c>
      <c r="D1856" s="32" t="s">
        <v>132</v>
      </c>
      <c r="E1856" s="36">
        <f t="shared" si="143"/>
        <v>22543704.458384462</v>
      </c>
      <c r="F1856" s="36">
        <v>15409.61</v>
      </c>
      <c r="G1856" s="58">
        <v>0</v>
      </c>
      <c r="H1856" s="35">
        <f t="shared" si="144"/>
        <v>15409.61</v>
      </c>
      <c r="I1856" s="35">
        <f t="shared" si="141"/>
        <v>0</v>
      </c>
      <c r="J1856" s="35">
        <f t="shared" si="142"/>
        <v>1223.1142125823105</v>
      </c>
      <c r="K1856" s="45">
        <f t="shared" si="140"/>
        <v>22557890.954171877</v>
      </c>
    </row>
    <row r="1857" spans="2:11">
      <c r="B1857" s="43">
        <v>45567</v>
      </c>
      <c r="C1857" s="32" t="s">
        <v>29</v>
      </c>
      <c r="D1857" s="32" t="s">
        <v>132</v>
      </c>
      <c r="E1857" s="36">
        <f t="shared" si="143"/>
        <v>22557890.954171877</v>
      </c>
      <c r="F1857" s="36">
        <v>15214.7</v>
      </c>
      <c r="G1857" s="58">
        <v>0</v>
      </c>
      <c r="H1857" s="35">
        <f t="shared" si="144"/>
        <v>15214.7</v>
      </c>
      <c r="I1857" s="35">
        <f t="shared" si="141"/>
        <v>0</v>
      </c>
      <c r="J1857" s="35">
        <f t="shared" si="142"/>
        <v>2447.7678087789122</v>
      </c>
      <c r="K1857" s="45">
        <f t="shared" si="140"/>
        <v>22570657.886363097</v>
      </c>
    </row>
    <row r="1858" spans="2:11">
      <c r="B1858" s="43">
        <v>45567</v>
      </c>
      <c r="C1858" s="32" t="s">
        <v>29</v>
      </c>
      <c r="D1858" s="32" t="s">
        <v>132</v>
      </c>
      <c r="E1858" s="36">
        <f t="shared" si="143"/>
        <v>22570657.886363097</v>
      </c>
      <c r="F1858" s="36">
        <v>12459.12</v>
      </c>
      <c r="G1858" s="58">
        <v>0</v>
      </c>
      <c r="H1858" s="35">
        <f t="shared" si="144"/>
        <v>12459.12</v>
      </c>
      <c r="I1858" s="35">
        <f t="shared" si="141"/>
        <v>0</v>
      </c>
      <c r="J1858" s="35">
        <f t="shared" si="142"/>
        <v>1224.5765774256458</v>
      </c>
      <c r="K1858" s="45">
        <f t="shared" si="140"/>
        <v>22581892.429785673</v>
      </c>
    </row>
    <row r="1859" spans="2:11">
      <c r="B1859" s="43">
        <v>45567</v>
      </c>
      <c r="C1859" s="32" t="s">
        <v>25</v>
      </c>
      <c r="D1859" s="32" t="s">
        <v>132</v>
      </c>
      <c r="E1859" s="36">
        <f t="shared" si="143"/>
        <v>22581892.429785673</v>
      </c>
      <c r="F1859" s="36">
        <v>15084.54</v>
      </c>
      <c r="G1859" s="58">
        <v>0</v>
      </c>
      <c r="H1859" s="35">
        <f t="shared" si="144"/>
        <v>15084.54</v>
      </c>
      <c r="I1859" s="35">
        <f t="shared" si="141"/>
        <v>0</v>
      </c>
      <c r="J1859" s="35">
        <f t="shared" si="142"/>
        <v>1225.1861103334868</v>
      </c>
      <c r="K1859" s="45">
        <f t="shared" si="140"/>
        <v>22595751.783675339</v>
      </c>
    </row>
    <row r="1860" spans="2:11">
      <c r="B1860" s="43">
        <v>45567</v>
      </c>
      <c r="C1860" s="32" t="s">
        <v>27</v>
      </c>
      <c r="D1860" s="32" t="s">
        <v>134</v>
      </c>
      <c r="E1860" s="36">
        <f t="shared" si="143"/>
        <v>22595751.783675339</v>
      </c>
      <c r="F1860" s="36">
        <v>0</v>
      </c>
      <c r="G1860" s="58">
        <v>-14661.9</v>
      </c>
      <c r="H1860" s="35">
        <f t="shared" si="144"/>
        <v>-14661.9</v>
      </c>
      <c r="I1860" s="35">
        <f t="shared" si="141"/>
        <v>0</v>
      </c>
      <c r="J1860" s="35">
        <f t="shared" si="142"/>
        <v>1225.9380529767623</v>
      </c>
      <c r="K1860" s="45">
        <f t="shared" si="140"/>
        <v>22579863.945622362</v>
      </c>
    </row>
    <row r="1861" spans="2:11">
      <c r="B1861" s="43">
        <v>45567</v>
      </c>
      <c r="C1861" s="32" t="s">
        <v>25</v>
      </c>
      <c r="D1861" s="32" t="s">
        <v>134</v>
      </c>
      <c r="E1861" s="36">
        <f t="shared" si="143"/>
        <v>22579863.945622362</v>
      </c>
      <c r="F1861" s="36">
        <v>0</v>
      </c>
      <c r="G1861" s="58">
        <v>-8192.34</v>
      </c>
      <c r="H1861" s="35">
        <f t="shared" si="144"/>
        <v>-8192.34</v>
      </c>
      <c r="I1861" s="35">
        <f t="shared" si="141"/>
        <v>0</v>
      </c>
      <c r="J1861" s="35">
        <f t="shared" si="142"/>
        <v>1225.0760544278692</v>
      </c>
      <c r="K1861" s="45">
        <f t="shared" si="140"/>
        <v>22570446.529567935</v>
      </c>
    </row>
    <row r="1862" spans="2:11">
      <c r="B1862" s="43">
        <v>45567</v>
      </c>
      <c r="C1862" s="32" t="s">
        <v>25</v>
      </c>
      <c r="D1862" s="32" t="s">
        <v>134</v>
      </c>
      <c r="E1862" s="36">
        <f t="shared" si="143"/>
        <v>22570446.529567935</v>
      </c>
      <c r="F1862" s="36">
        <v>0</v>
      </c>
      <c r="G1862" s="58">
        <v>-1903</v>
      </c>
      <c r="H1862" s="35">
        <f t="shared" si="144"/>
        <v>-1903</v>
      </c>
      <c r="I1862" s="35">
        <f t="shared" si="141"/>
        <v>0</v>
      </c>
      <c r="J1862" s="35">
        <f t="shared" si="142"/>
        <v>1224.5651102109045</v>
      </c>
      <c r="K1862" s="45">
        <f t="shared" si="140"/>
        <v>22567318.964457724</v>
      </c>
    </row>
    <row r="1863" spans="2:11">
      <c r="B1863" s="43">
        <v>45567</v>
      </c>
      <c r="C1863" s="32" t="s">
        <v>27</v>
      </c>
      <c r="D1863" s="32" t="s">
        <v>134</v>
      </c>
      <c r="E1863" s="36">
        <f t="shared" si="143"/>
        <v>22567318.964457724</v>
      </c>
      <c r="F1863" s="36">
        <v>0</v>
      </c>
      <c r="G1863" s="58">
        <v>-15494</v>
      </c>
      <c r="H1863" s="35">
        <f t="shared" si="144"/>
        <v>-15494</v>
      </c>
      <c r="I1863" s="35">
        <f t="shared" si="141"/>
        <v>0</v>
      </c>
      <c r="J1863" s="35">
        <f t="shared" si="142"/>
        <v>1224.3954233990437</v>
      </c>
      <c r="K1863" s="45">
        <f t="shared" si="140"/>
        <v>22550600.569034327</v>
      </c>
    </row>
    <row r="1864" spans="2:11">
      <c r="B1864" s="43">
        <v>45568</v>
      </c>
      <c r="C1864" s="32" t="s">
        <v>27</v>
      </c>
      <c r="D1864" s="32" t="s">
        <v>132</v>
      </c>
      <c r="E1864" s="36">
        <f t="shared" si="143"/>
        <v>22550600.569034327</v>
      </c>
      <c r="F1864" s="36">
        <v>14901.74</v>
      </c>
      <c r="G1864" s="58">
        <v>0</v>
      </c>
      <c r="H1864" s="35">
        <f t="shared" si="144"/>
        <v>14901.74</v>
      </c>
      <c r="I1864" s="35">
        <f t="shared" si="141"/>
        <v>0</v>
      </c>
      <c r="J1864" s="35">
        <f t="shared" si="142"/>
        <v>2446.9767255127704</v>
      </c>
      <c r="K1864" s="45">
        <f t="shared" ref="K1864:K1927" si="145">E1864+H1864+I1864-J1864</f>
        <v>22563055.332308814</v>
      </c>
    </row>
    <row r="1865" spans="2:11">
      <c r="B1865" s="43">
        <v>45568</v>
      </c>
      <c r="C1865" s="32" t="s">
        <v>29</v>
      </c>
      <c r="D1865" s="32" t="s">
        <v>132</v>
      </c>
      <c r="E1865" s="36">
        <f t="shared" si="143"/>
        <v>22563055.332308814</v>
      </c>
      <c r="F1865" s="36">
        <v>13917.1</v>
      </c>
      <c r="G1865" s="58">
        <v>0</v>
      </c>
      <c r="H1865" s="35">
        <f t="shared" si="144"/>
        <v>13917.1</v>
      </c>
      <c r="I1865" s="35">
        <f t="shared" si="141"/>
        <v>0</v>
      </c>
      <c r="J1865" s="35">
        <f t="shared" si="142"/>
        <v>1224.1640989914611</v>
      </c>
      <c r="K1865" s="45">
        <f t="shared" si="145"/>
        <v>22575748.268209822</v>
      </c>
    </row>
    <row r="1866" spans="2:11">
      <c r="B1866" s="43">
        <v>45568</v>
      </c>
      <c r="C1866" s="32" t="s">
        <v>29</v>
      </c>
      <c r="D1866" s="32" t="s">
        <v>132</v>
      </c>
      <c r="E1866" s="36">
        <f t="shared" si="143"/>
        <v>22575748.268209822</v>
      </c>
      <c r="F1866" s="36">
        <v>12549.19</v>
      </c>
      <c r="G1866" s="58">
        <v>0</v>
      </c>
      <c r="H1866" s="35">
        <f t="shared" si="144"/>
        <v>12549.19</v>
      </c>
      <c r="I1866" s="35">
        <f t="shared" si="141"/>
        <v>0</v>
      </c>
      <c r="J1866" s="35">
        <f t="shared" si="142"/>
        <v>1224.8527573407832</v>
      </c>
      <c r="K1866" s="45">
        <f t="shared" si="145"/>
        <v>22587072.605452482</v>
      </c>
    </row>
    <row r="1867" spans="2:11">
      <c r="B1867" s="43">
        <v>45568</v>
      </c>
      <c r="C1867" s="32" t="s">
        <v>29</v>
      </c>
      <c r="D1867" s="32" t="s">
        <v>134</v>
      </c>
      <c r="E1867" s="36">
        <f t="shared" si="143"/>
        <v>22587072.605452482</v>
      </c>
      <c r="F1867" s="36">
        <v>0</v>
      </c>
      <c r="G1867" s="58">
        <v>-11544</v>
      </c>
      <c r="H1867" s="35">
        <f t="shared" si="144"/>
        <v>-11544</v>
      </c>
      <c r="I1867" s="35">
        <f t="shared" si="141"/>
        <v>0</v>
      </c>
      <c r="J1867" s="35">
        <f t="shared" si="142"/>
        <v>1225.4671620343483</v>
      </c>
      <c r="K1867" s="45">
        <f t="shared" si="145"/>
        <v>22574303.138290446</v>
      </c>
    </row>
    <row r="1868" spans="2:11">
      <c r="B1868" s="43">
        <v>45568</v>
      </c>
      <c r="C1868" s="32" t="s">
        <v>29</v>
      </c>
      <c r="D1868" s="32" t="s">
        <v>134</v>
      </c>
      <c r="E1868" s="36">
        <f t="shared" si="143"/>
        <v>22574303.138290446</v>
      </c>
      <c r="F1868" s="36">
        <v>0</v>
      </c>
      <c r="G1868" s="58">
        <v>-8230</v>
      </c>
      <c r="H1868" s="35">
        <f t="shared" si="144"/>
        <v>-8230</v>
      </c>
      <c r="I1868" s="35">
        <f t="shared" si="141"/>
        <v>0</v>
      </c>
      <c r="J1868" s="35">
        <f t="shared" si="142"/>
        <v>1224.7743514626952</v>
      </c>
      <c r="K1868" s="45">
        <f t="shared" si="145"/>
        <v>22564848.363938984</v>
      </c>
    </row>
    <row r="1869" spans="2:11">
      <c r="B1869" s="43">
        <v>45569</v>
      </c>
      <c r="C1869" s="32" t="s">
        <v>27</v>
      </c>
      <c r="D1869" s="32" t="s">
        <v>132</v>
      </c>
      <c r="E1869" s="36">
        <f t="shared" si="143"/>
        <v>22564848.363938984</v>
      </c>
      <c r="F1869" s="36">
        <v>17914.71</v>
      </c>
      <c r="G1869" s="58">
        <v>0</v>
      </c>
      <c r="H1869" s="35">
        <f t="shared" si="144"/>
        <v>17914.71</v>
      </c>
      <c r="I1869" s="35">
        <f t="shared" si="141"/>
        <v>0</v>
      </c>
      <c r="J1869" s="35">
        <f t="shared" si="142"/>
        <v>2448.5227607243314</v>
      </c>
      <c r="K1869" s="45">
        <f t="shared" si="145"/>
        <v>22580314.551178262</v>
      </c>
    </row>
    <row r="1870" spans="2:11">
      <c r="B1870" s="43">
        <v>45569</v>
      </c>
      <c r="C1870" s="32" t="s">
        <v>25</v>
      </c>
      <c r="D1870" s="32" t="s">
        <v>132</v>
      </c>
      <c r="E1870" s="36">
        <f t="shared" si="143"/>
        <v>22580314.551178262</v>
      </c>
      <c r="F1870" s="36">
        <v>18159.46</v>
      </c>
      <c r="G1870" s="58">
        <v>0</v>
      </c>
      <c r="H1870" s="35">
        <f t="shared" si="144"/>
        <v>18159.46</v>
      </c>
      <c r="I1870" s="35">
        <f t="shared" si="141"/>
        <v>0</v>
      </c>
      <c r="J1870" s="35">
        <f t="shared" si="142"/>
        <v>1225.1005021427825</v>
      </c>
      <c r="K1870" s="45">
        <f t="shared" si="145"/>
        <v>22597248.910676118</v>
      </c>
    </row>
    <row r="1871" spans="2:11">
      <c r="B1871" s="43">
        <v>45569</v>
      </c>
      <c r="C1871" s="32" t="s">
        <v>25</v>
      </c>
      <c r="D1871" s="32" t="s">
        <v>134</v>
      </c>
      <c r="E1871" s="36">
        <f t="shared" si="143"/>
        <v>22597248.910676118</v>
      </c>
      <c r="F1871" s="36">
        <v>0</v>
      </c>
      <c r="G1871" s="58">
        <v>-5815.02</v>
      </c>
      <c r="H1871" s="35">
        <f t="shared" si="144"/>
        <v>-5815.02</v>
      </c>
      <c r="I1871" s="35">
        <f t="shared" si="141"/>
        <v>0</v>
      </c>
      <c r="J1871" s="35">
        <f t="shared" si="142"/>
        <v>1226.0192799692502</v>
      </c>
      <c r="K1871" s="45">
        <f t="shared" si="145"/>
        <v>22590207.87139615</v>
      </c>
    </row>
    <row r="1872" spans="2:11">
      <c r="B1872" s="43">
        <v>45570</v>
      </c>
      <c r="C1872" s="32" t="s">
        <v>29</v>
      </c>
      <c r="D1872" s="32" t="s">
        <v>132</v>
      </c>
      <c r="E1872" s="36">
        <f t="shared" si="143"/>
        <v>22590207.87139615</v>
      </c>
      <c r="F1872" s="36">
        <v>15867.51</v>
      </c>
      <c r="G1872" s="58">
        <v>0</v>
      </c>
      <c r="H1872" s="35">
        <f t="shared" si="144"/>
        <v>15867.51</v>
      </c>
      <c r="I1872" s="35">
        <f t="shared" si="141"/>
        <v>0</v>
      </c>
      <c r="J1872" s="35">
        <f t="shared" si="142"/>
        <v>2451.2745333136327</v>
      </c>
      <c r="K1872" s="45">
        <f t="shared" si="145"/>
        <v>22603624.106862839</v>
      </c>
    </row>
    <row r="1873" spans="2:11">
      <c r="B1873" s="43">
        <v>45570</v>
      </c>
      <c r="C1873" s="32" t="s">
        <v>27</v>
      </c>
      <c r="D1873" s="32" t="s">
        <v>134</v>
      </c>
      <c r="E1873" s="36">
        <f t="shared" si="143"/>
        <v>22603624.106862839</v>
      </c>
      <c r="F1873" s="36">
        <v>0</v>
      </c>
      <c r="G1873" s="58">
        <v>-17934</v>
      </c>
      <c r="H1873" s="35">
        <f t="shared" si="144"/>
        <v>-17934</v>
      </c>
      <c r="I1873" s="35">
        <f t="shared" si="141"/>
        <v>0</v>
      </c>
      <c r="J1873" s="35">
        <f t="shared" si="142"/>
        <v>1226.365167801411</v>
      </c>
      <c r="K1873" s="45">
        <f t="shared" si="145"/>
        <v>22584463.741695039</v>
      </c>
    </row>
    <row r="1874" spans="2:11">
      <c r="B1874" s="43">
        <v>45570</v>
      </c>
      <c r="C1874" s="32" t="s">
        <v>25</v>
      </c>
      <c r="D1874" s="32" t="s">
        <v>134</v>
      </c>
      <c r="E1874" s="36">
        <f t="shared" si="143"/>
        <v>22584463.741695039</v>
      </c>
      <c r="F1874" s="36">
        <v>0</v>
      </c>
      <c r="G1874" s="58">
        <v>-13117</v>
      </c>
      <c r="H1874" s="35">
        <f t="shared" si="144"/>
        <v>-13117</v>
      </c>
      <c r="I1874" s="35">
        <f t="shared" si="141"/>
        <v>0</v>
      </c>
      <c r="J1874" s="35">
        <f t="shared" si="142"/>
        <v>1225.3256174915555</v>
      </c>
      <c r="K1874" s="45">
        <f t="shared" si="145"/>
        <v>22570121.416077547</v>
      </c>
    </row>
    <row r="1875" spans="2:11">
      <c r="B1875" s="43">
        <v>45571</v>
      </c>
      <c r="C1875" s="32" t="s">
        <v>27</v>
      </c>
      <c r="D1875" s="32" t="s">
        <v>132</v>
      </c>
      <c r="E1875" s="36">
        <f t="shared" si="143"/>
        <v>22570121.416077547</v>
      </c>
      <c r="F1875" s="36">
        <v>15387.66</v>
      </c>
      <c r="G1875" s="58">
        <v>0</v>
      </c>
      <c r="H1875" s="35">
        <f t="shared" si="144"/>
        <v>15387.66</v>
      </c>
      <c r="I1875" s="35">
        <f t="shared" si="141"/>
        <v>0</v>
      </c>
      <c r="J1875" s="35">
        <f t="shared" si="142"/>
        <v>2449.0949421975465</v>
      </c>
      <c r="K1875" s="45">
        <f t="shared" si="145"/>
        <v>22583059.98113535</v>
      </c>
    </row>
    <row r="1876" spans="2:11">
      <c r="B1876" s="43">
        <v>45571</v>
      </c>
      <c r="C1876" s="32" t="s">
        <v>29</v>
      </c>
      <c r="D1876" s="32" t="s">
        <v>132</v>
      </c>
      <c r="E1876" s="36">
        <f t="shared" si="143"/>
        <v>22583059.98113535</v>
      </c>
      <c r="F1876" s="36">
        <v>18379.7</v>
      </c>
      <c r="G1876" s="58">
        <v>0</v>
      </c>
      <c r="H1876" s="35">
        <f t="shared" si="144"/>
        <v>18379.7</v>
      </c>
      <c r="I1876" s="35">
        <f t="shared" ref="I1876:I1939" si="146">(($E1876*Daily_Interest)*(_xlfn.DAYS(B1876,B1875)+1))+((IF(DAY($B1875)&gt;Monthly_Cut_off_Date,0,Daily_Interest*H1876))*(_xlfn.DAYS(B1876,B1875)+1))</f>
        <v>0</v>
      </c>
      <c r="J1876" s="35">
        <f t="shared" ref="J1876:J1939" si="147">(($I1876+E1876)*Daily_Fees_Rate)*((_xlfn.DAYS(B1876,B1875)+1))</f>
        <v>1225.24945611822</v>
      </c>
      <c r="K1876" s="45">
        <f t="shared" si="145"/>
        <v>22600214.43167923</v>
      </c>
    </row>
    <row r="1877" spans="2:11">
      <c r="B1877" s="43">
        <v>45571</v>
      </c>
      <c r="C1877" s="32" t="s">
        <v>25</v>
      </c>
      <c r="D1877" s="32" t="s">
        <v>132</v>
      </c>
      <c r="E1877" s="36">
        <f t="shared" ref="E1877:E1940" si="148">K1876</f>
        <v>22600214.43167923</v>
      </c>
      <c r="F1877" s="36">
        <v>15814.74</v>
      </c>
      <c r="G1877" s="58">
        <v>0</v>
      </c>
      <c r="H1877" s="35">
        <f t="shared" ref="H1877:H1940" si="149">SUM(F1877:G1877)</f>
        <v>15814.74</v>
      </c>
      <c r="I1877" s="35">
        <f t="shared" si="146"/>
        <v>0</v>
      </c>
      <c r="J1877" s="35">
        <f t="shared" si="147"/>
        <v>1226.1801750383511</v>
      </c>
      <c r="K1877" s="45">
        <f t="shared" si="145"/>
        <v>22614802.991504189</v>
      </c>
    </row>
    <row r="1878" spans="2:11">
      <c r="B1878" s="43">
        <v>45571</v>
      </c>
      <c r="C1878" s="32" t="s">
        <v>25</v>
      </c>
      <c r="D1878" s="32" t="s">
        <v>134</v>
      </c>
      <c r="E1878" s="36">
        <f t="shared" si="148"/>
        <v>22614802.991504189</v>
      </c>
      <c r="F1878" s="36">
        <v>0</v>
      </c>
      <c r="G1878" s="58">
        <v>-6989.73</v>
      </c>
      <c r="H1878" s="35">
        <f t="shared" si="149"/>
        <v>-6989.73</v>
      </c>
      <c r="I1878" s="35">
        <f t="shared" si="146"/>
        <v>0</v>
      </c>
      <c r="J1878" s="35">
        <f t="shared" si="147"/>
        <v>1226.97168092843</v>
      </c>
      <c r="K1878" s="45">
        <f t="shared" si="145"/>
        <v>22606586.28982326</v>
      </c>
    </row>
    <row r="1879" spans="2:11">
      <c r="B1879" s="43">
        <v>45571</v>
      </c>
      <c r="C1879" s="32" t="s">
        <v>25</v>
      </c>
      <c r="D1879" s="32" t="s">
        <v>134</v>
      </c>
      <c r="E1879" s="36">
        <f t="shared" si="148"/>
        <v>22606586.28982326</v>
      </c>
      <c r="F1879" s="36">
        <v>0</v>
      </c>
      <c r="G1879" s="58">
        <v>-4696</v>
      </c>
      <c r="H1879" s="35">
        <f t="shared" si="149"/>
        <v>-4696</v>
      </c>
      <c r="I1879" s="35">
        <f t="shared" si="146"/>
        <v>0</v>
      </c>
      <c r="J1879" s="35">
        <f t="shared" si="147"/>
        <v>1226.525881764187</v>
      </c>
      <c r="K1879" s="45">
        <f t="shared" si="145"/>
        <v>22600663.763941497</v>
      </c>
    </row>
    <row r="1880" spans="2:11">
      <c r="B1880" s="43">
        <v>45572</v>
      </c>
      <c r="C1880" s="32" t="s">
        <v>27</v>
      </c>
      <c r="D1880" s="32" t="s">
        <v>132</v>
      </c>
      <c r="E1880" s="36">
        <f t="shared" si="148"/>
        <v>22600663.763941497</v>
      </c>
      <c r="F1880" s="36">
        <v>18200.02</v>
      </c>
      <c r="G1880" s="58">
        <v>0</v>
      </c>
      <c r="H1880" s="35">
        <f t="shared" si="149"/>
        <v>18200.02</v>
      </c>
      <c r="I1880" s="35">
        <f t="shared" si="146"/>
        <v>0</v>
      </c>
      <c r="J1880" s="35">
        <f t="shared" si="147"/>
        <v>2452.4091073408122</v>
      </c>
      <c r="K1880" s="45">
        <f t="shared" si="145"/>
        <v>22616411.374834154</v>
      </c>
    </row>
    <row r="1881" spans="2:11">
      <c r="B1881" s="43">
        <v>45572</v>
      </c>
      <c r="C1881" s="32" t="s">
        <v>25</v>
      </c>
      <c r="D1881" s="32" t="s">
        <v>132</v>
      </c>
      <c r="E1881" s="36">
        <f t="shared" si="148"/>
        <v>22616411.374834154</v>
      </c>
      <c r="F1881" s="36">
        <v>15986.29</v>
      </c>
      <c r="G1881" s="58">
        <v>0</v>
      </c>
      <c r="H1881" s="35">
        <f t="shared" si="149"/>
        <v>15986.29</v>
      </c>
      <c r="I1881" s="35">
        <f t="shared" si="146"/>
        <v>0</v>
      </c>
      <c r="J1881" s="35">
        <f t="shared" si="147"/>
        <v>1227.0589441603356</v>
      </c>
      <c r="K1881" s="45">
        <f t="shared" si="145"/>
        <v>22631170.605889991</v>
      </c>
    </row>
    <row r="1882" spans="2:11">
      <c r="B1882" s="43">
        <v>45572</v>
      </c>
      <c r="C1882" s="32" t="s">
        <v>25</v>
      </c>
      <c r="D1882" s="32" t="s">
        <v>134</v>
      </c>
      <c r="E1882" s="36">
        <f t="shared" si="148"/>
        <v>22631170.605889991</v>
      </c>
      <c r="F1882" s="36">
        <v>0</v>
      </c>
      <c r="G1882" s="58">
        <v>-516.83000000000004</v>
      </c>
      <c r="H1882" s="35">
        <f t="shared" si="149"/>
        <v>-516.83000000000004</v>
      </c>
      <c r="I1882" s="35">
        <f t="shared" si="146"/>
        <v>0</v>
      </c>
      <c r="J1882" s="35">
        <f t="shared" si="147"/>
        <v>1227.8597098598907</v>
      </c>
      <c r="K1882" s="45">
        <f t="shared" si="145"/>
        <v>22629425.916180134</v>
      </c>
    </row>
    <row r="1883" spans="2:11">
      <c r="B1883" s="43">
        <v>45572</v>
      </c>
      <c r="C1883" s="32" t="s">
        <v>29</v>
      </c>
      <c r="D1883" s="32" t="s">
        <v>134</v>
      </c>
      <c r="E1883" s="36">
        <f t="shared" si="148"/>
        <v>22629425.916180134</v>
      </c>
      <c r="F1883" s="36">
        <v>0</v>
      </c>
      <c r="G1883" s="58">
        <v>-19505</v>
      </c>
      <c r="H1883" s="35">
        <f t="shared" si="149"/>
        <v>-19505</v>
      </c>
      <c r="I1883" s="35">
        <f t="shared" si="146"/>
        <v>0</v>
      </c>
      <c r="J1883" s="35">
        <f t="shared" si="147"/>
        <v>1227.7650512919249</v>
      </c>
      <c r="K1883" s="45">
        <f t="shared" si="145"/>
        <v>22608693.151128843</v>
      </c>
    </row>
    <row r="1884" spans="2:11">
      <c r="B1884" s="43">
        <v>45572</v>
      </c>
      <c r="C1884" s="32" t="s">
        <v>25</v>
      </c>
      <c r="D1884" s="32" t="s">
        <v>134</v>
      </c>
      <c r="E1884" s="36">
        <f t="shared" si="148"/>
        <v>22608693.151128843</v>
      </c>
      <c r="F1884" s="36">
        <v>0</v>
      </c>
      <c r="G1884" s="58">
        <v>-9663</v>
      </c>
      <c r="H1884" s="35">
        <f t="shared" si="149"/>
        <v>-9663</v>
      </c>
      <c r="I1884" s="35">
        <f t="shared" si="146"/>
        <v>0</v>
      </c>
      <c r="J1884" s="35">
        <f t="shared" si="147"/>
        <v>1226.6401900408748</v>
      </c>
      <c r="K1884" s="45">
        <f t="shared" si="145"/>
        <v>22597803.510938801</v>
      </c>
    </row>
    <row r="1885" spans="2:11">
      <c r="B1885" s="43">
        <v>45573</v>
      </c>
      <c r="C1885" s="32" t="s">
        <v>27</v>
      </c>
      <c r="D1885" s="32" t="s">
        <v>132</v>
      </c>
      <c r="E1885" s="36">
        <f t="shared" si="148"/>
        <v>22597803.510938801</v>
      </c>
      <c r="F1885" s="36">
        <v>13640.32</v>
      </c>
      <c r="G1885" s="58">
        <v>0</v>
      </c>
      <c r="H1885" s="35">
        <f t="shared" si="149"/>
        <v>13640.32</v>
      </c>
      <c r="I1885" s="35">
        <f t="shared" si="146"/>
        <v>0</v>
      </c>
      <c r="J1885" s="35">
        <f t="shared" si="147"/>
        <v>2452.0987398849543</v>
      </c>
      <c r="K1885" s="45">
        <f t="shared" si="145"/>
        <v>22608991.732198916</v>
      </c>
    </row>
    <row r="1886" spans="2:11">
      <c r="B1886" s="43">
        <v>45573</v>
      </c>
      <c r="C1886" s="32" t="s">
        <v>25</v>
      </c>
      <c r="D1886" s="32" t="s">
        <v>134</v>
      </c>
      <c r="E1886" s="36">
        <f t="shared" si="148"/>
        <v>22608991.732198916</v>
      </c>
      <c r="F1886" s="36">
        <v>0</v>
      </c>
      <c r="G1886" s="58">
        <v>-11985</v>
      </c>
      <c r="H1886" s="35">
        <f t="shared" si="149"/>
        <v>-11985</v>
      </c>
      <c r="I1886" s="35">
        <f t="shared" si="146"/>
        <v>0</v>
      </c>
      <c r="J1886" s="35">
        <f t="shared" si="147"/>
        <v>1226.6563896300368</v>
      </c>
      <c r="K1886" s="45">
        <f t="shared" si="145"/>
        <v>22595780.075809285</v>
      </c>
    </row>
    <row r="1887" spans="2:11">
      <c r="B1887" s="43">
        <v>45574</v>
      </c>
      <c r="C1887" s="32" t="s">
        <v>27</v>
      </c>
      <c r="D1887" s="32" t="s">
        <v>132</v>
      </c>
      <c r="E1887" s="36">
        <f t="shared" si="148"/>
        <v>22595780.075809285</v>
      </c>
      <c r="F1887" s="36">
        <v>15559.36</v>
      </c>
      <c r="G1887" s="58">
        <v>0</v>
      </c>
      <c r="H1887" s="35">
        <f t="shared" si="149"/>
        <v>15559.36</v>
      </c>
      <c r="I1887" s="35">
        <f t="shared" si="146"/>
        <v>0</v>
      </c>
      <c r="J1887" s="35">
        <f t="shared" si="147"/>
        <v>2451.8791759468522</v>
      </c>
      <c r="K1887" s="45">
        <f t="shared" si="145"/>
        <v>22608887.556633338</v>
      </c>
    </row>
    <row r="1888" spans="2:11">
      <c r="B1888" s="43">
        <v>45574</v>
      </c>
      <c r="C1888" s="32" t="s">
        <v>25</v>
      </c>
      <c r="D1888" s="32" t="s">
        <v>132</v>
      </c>
      <c r="E1888" s="36">
        <f t="shared" si="148"/>
        <v>22608887.556633338</v>
      </c>
      <c r="F1888" s="36">
        <v>10035.43</v>
      </c>
      <c r="G1888" s="58">
        <v>0</v>
      </c>
      <c r="H1888" s="35">
        <f t="shared" si="149"/>
        <v>10035.43</v>
      </c>
      <c r="I1888" s="35">
        <f t="shared" si="146"/>
        <v>0</v>
      </c>
      <c r="J1888" s="35">
        <f t="shared" si="147"/>
        <v>1226.650737559185</v>
      </c>
      <c r="K1888" s="45">
        <f t="shared" si="145"/>
        <v>22617696.33589578</v>
      </c>
    </row>
    <row r="1889" spans="2:11">
      <c r="B1889" s="43">
        <v>45574</v>
      </c>
      <c r="C1889" s="32" t="s">
        <v>27</v>
      </c>
      <c r="D1889" s="32" t="s">
        <v>134</v>
      </c>
      <c r="E1889" s="36">
        <f t="shared" si="148"/>
        <v>22617696.33589578</v>
      </c>
      <c r="F1889" s="36">
        <v>0</v>
      </c>
      <c r="G1889" s="58">
        <v>-4311.34</v>
      </c>
      <c r="H1889" s="35">
        <f t="shared" si="149"/>
        <v>-4311.34</v>
      </c>
      <c r="I1889" s="35">
        <f t="shared" si="146"/>
        <v>0</v>
      </c>
      <c r="J1889" s="35">
        <f t="shared" si="147"/>
        <v>1227.1286600377769</v>
      </c>
      <c r="K1889" s="45">
        <f t="shared" si="145"/>
        <v>22612157.867235743</v>
      </c>
    </row>
    <row r="1890" spans="2:11">
      <c r="B1890" s="43">
        <v>45574</v>
      </c>
      <c r="C1890" s="32" t="s">
        <v>25</v>
      </c>
      <c r="D1890" s="32" t="s">
        <v>134</v>
      </c>
      <c r="E1890" s="36">
        <f t="shared" si="148"/>
        <v>22612157.867235743</v>
      </c>
      <c r="F1890" s="36">
        <v>0</v>
      </c>
      <c r="G1890" s="58">
        <v>-13472</v>
      </c>
      <c r="H1890" s="35">
        <f t="shared" si="149"/>
        <v>-13472</v>
      </c>
      <c r="I1890" s="35">
        <f t="shared" si="146"/>
        <v>0</v>
      </c>
      <c r="J1890" s="35">
        <f t="shared" si="147"/>
        <v>1226.8281690627225</v>
      </c>
      <c r="K1890" s="45">
        <f t="shared" si="145"/>
        <v>22597459.03906668</v>
      </c>
    </row>
    <row r="1891" spans="2:11">
      <c r="B1891" s="43">
        <v>45574</v>
      </c>
      <c r="C1891" s="32" t="s">
        <v>29</v>
      </c>
      <c r="D1891" s="32" t="s">
        <v>134</v>
      </c>
      <c r="E1891" s="36">
        <f t="shared" si="148"/>
        <v>22597459.03906668</v>
      </c>
      <c r="F1891" s="36">
        <v>0</v>
      </c>
      <c r="G1891" s="58">
        <v>-10809</v>
      </c>
      <c r="H1891" s="35">
        <f t="shared" si="149"/>
        <v>-10809</v>
      </c>
      <c r="I1891" s="35">
        <f t="shared" si="146"/>
        <v>0</v>
      </c>
      <c r="J1891" s="35">
        <f t="shared" si="147"/>
        <v>1226.0306805365988</v>
      </c>
      <c r="K1891" s="45">
        <f t="shared" si="145"/>
        <v>22585424.008386143</v>
      </c>
    </row>
    <row r="1892" spans="2:11">
      <c r="B1892" s="43">
        <v>45574</v>
      </c>
      <c r="C1892" s="32" t="s">
        <v>27</v>
      </c>
      <c r="D1892" s="32" t="s">
        <v>134</v>
      </c>
      <c r="E1892" s="36">
        <f t="shared" si="148"/>
        <v>22585424.008386143</v>
      </c>
      <c r="F1892" s="36">
        <v>0</v>
      </c>
      <c r="G1892" s="58">
        <v>-16403</v>
      </c>
      <c r="H1892" s="35">
        <f t="shared" si="149"/>
        <v>-16403</v>
      </c>
      <c r="I1892" s="35">
        <f t="shared" si="146"/>
        <v>0</v>
      </c>
      <c r="J1892" s="35">
        <f t="shared" si="147"/>
        <v>1225.3777169963164</v>
      </c>
      <c r="K1892" s="45">
        <f t="shared" si="145"/>
        <v>22567795.630669147</v>
      </c>
    </row>
    <row r="1893" spans="2:11">
      <c r="B1893" s="43">
        <v>45574</v>
      </c>
      <c r="C1893" s="32" t="s">
        <v>29</v>
      </c>
      <c r="D1893" s="32" t="s">
        <v>134</v>
      </c>
      <c r="E1893" s="36">
        <f t="shared" si="148"/>
        <v>22567795.630669147</v>
      </c>
      <c r="F1893" s="36">
        <v>0</v>
      </c>
      <c r="G1893" s="58">
        <v>-1523</v>
      </c>
      <c r="H1893" s="35">
        <f t="shared" si="149"/>
        <v>-1523</v>
      </c>
      <c r="I1893" s="35">
        <f t="shared" si="146"/>
        <v>0</v>
      </c>
      <c r="J1893" s="35">
        <f t="shared" si="147"/>
        <v>1224.4212850412121</v>
      </c>
      <c r="K1893" s="45">
        <f t="shared" si="145"/>
        <v>22565048.209384106</v>
      </c>
    </row>
    <row r="1894" spans="2:11">
      <c r="B1894" s="43">
        <v>45575</v>
      </c>
      <c r="C1894" s="32" t="s">
        <v>29</v>
      </c>
      <c r="D1894" s="32" t="s">
        <v>132</v>
      </c>
      <c r="E1894" s="36">
        <f t="shared" si="148"/>
        <v>22565048.209384106</v>
      </c>
      <c r="F1894" s="36">
        <v>12822.77</v>
      </c>
      <c r="G1894" s="58">
        <v>0</v>
      </c>
      <c r="H1894" s="35">
        <f t="shared" si="149"/>
        <v>12822.77</v>
      </c>
      <c r="I1894" s="35">
        <f t="shared" si="146"/>
        <v>0</v>
      </c>
      <c r="J1894" s="35">
        <f t="shared" si="147"/>
        <v>2448.5444460515764</v>
      </c>
      <c r="K1894" s="45">
        <f t="shared" si="145"/>
        <v>22575422.434938055</v>
      </c>
    </row>
    <row r="1895" spans="2:11">
      <c r="B1895" s="43">
        <v>45575</v>
      </c>
      <c r="C1895" s="32" t="s">
        <v>29</v>
      </c>
      <c r="D1895" s="32" t="s">
        <v>132</v>
      </c>
      <c r="E1895" s="36">
        <f t="shared" si="148"/>
        <v>22575422.434938055</v>
      </c>
      <c r="F1895" s="36">
        <v>14895.95</v>
      </c>
      <c r="G1895" s="58">
        <v>0</v>
      </c>
      <c r="H1895" s="35">
        <f t="shared" si="149"/>
        <v>14895.95</v>
      </c>
      <c r="I1895" s="35">
        <f t="shared" si="146"/>
        <v>0</v>
      </c>
      <c r="J1895" s="35">
        <f t="shared" si="147"/>
        <v>1224.8350791767368</v>
      </c>
      <c r="K1895" s="45">
        <f t="shared" si="145"/>
        <v>22589093.549858876</v>
      </c>
    </row>
    <row r="1896" spans="2:11">
      <c r="B1896" s="43">
        <v>45575</v>
      </c>
      <c r="C1896" s="32" t="s">
        <v>27</v>
      </c>
      <c r="D1896" s="32" t="s">
        <v>132</v>
      </c>
      <c r="E1896" s="36">
        <f t="shared" si="148"/>
        <v>22589093.549858876</v>
      </c>
      <c r="F1896" s="36">
        <v>19917.349999999999</v>
      </c>
      <c r="G1896" s="58">
        <v>0</v>
      </c>
      <c r="H1896" s="35">
        <f t="shared" si="149"/>
        <v>19917.349999999999</v>
      </c>
      <c r="I1896" s="35">
        <f t="shared" si="146"/>
        <v>0</v>
      </c>
      <c r="J1896" s="35">
        <f t="shared" si="147"/>
        <v>1225.5768088686057</v>
      </c>
      <c r="K1896" s="45">
        <f t="shared" si="145"/>
        <v>22607785.323050007</v>
      </c>
    </row>
    <row r="1897" spans="2:11">
      <c r="B1897" s="43">
        <v>45575</v>
      </c>
      <c r="C1897" s="32" t="s">
        <v>25</v>
      </c>
      <c r="D1897" s="32" t="s">
        <v>132</v>
      </c>
      <c r="E1897" s="36">
        <f t="shared" si="148"/>
        <v>22607785.323050007</v>
      </c>
      <c r="F1897" s="36">
        <v>12140.01</v>
      </c>
      <c r="G1897" s="58">
        <v>0</v>
      </c>
      <c r="H1897" s="35">
        <f t="shared" si="149"/>
        <v>12140.01</v>
      </c>
      <c r="I1897" s="35">
        <f t="shared" si="146"/>
        <v>0</v>
      </c>
      <c r="J1897" s="35">
        <f t="shared" si="147"/>
        <v>1226.5909356058792</v>
      </c>
      <c r="K1897" s="45">
        <f t="shared" si="145"/>
        <v>22618698.742114402</v>
      </c>
    </row>
    <row r="1898" spans="2:11">
      <c r="B1898" s="43">
        <v>45575</v>
      </c>
      <c r="C1898" s="32" t="s">
        <v>27</v>
      </c>
      <c r="D1898" s="32" t="s">
        <v>134</v>
      </c>
      <c r="E1898" s="36">
        <f t="shared" si="148"/>
        <v>22618698.742114402</v>
      </c>
      <c r="F1898" s="36">
        <v>0</v>
      </c>
      <c r="G1898" s="58">
        <v>-9655.2000000000007</v>
      </c>
      <c r="H1898" s="35">
        <f t="shared" si="149"/>
        <v>-9655.2000000000007</v>
      </c>
      <c r="I1898" s="35">
        <f t="shared" si="146"/>
        <v>0</v>
      </c>
      <c r="J1898" s="35">
        <f t="shared" si="147"/>
        <v>1227.1830458329348</v>
      </c>
      <c r="K1898" s="45">
        <f t="shared" si="145"/>
        <v>22607816.359068569</v>
      </c>
    </row>
    <row r="1899" spans="2:11">
      <c r="B1899" s="43">
        <v>45575</v>
      </c>
      <c r="C1899" s="32" t="s">
        <v>27</v>
      </c>
      <c r="D1899" s="32" t="s">
        <v>134</v>
      </c>
      <c r="E1899" s="36">
        <f t="shared" si="148"/>
        <v>22607816.359068569</v>
      </c>
      <c r="F1899" s="36">
        <v>0</v>
      </c>
      <c r="G1899" s="58">
        <v>-7618.82</v>
      </c>
      <c r="H1899" s="35">
        <f t="shared" si="149"/>
        <v>-7618.82</v>
      </c>
      <c r="I1899" s="35">
        <f t="shared" si="146"/>
        <v>0</v>
      </c>
      <c r="J1899" s="35">
        <f t="shared" si="147"/>
        <v>1226.5926194726756</v>
      </c>
      <c r="K1899" s="45">
        <f t="shared" si="145"/>
        <v>22598970.946449097</v>
      </c>
    </row>
    <row r="1900" spans="2:11">
      <c r="B1900" s="43">
        <v>45575</v>
      </c>
      <c r="C1900" s="32" t="s">
        <v>29</v>
      </c>
      <c r="D1900" s="32" t="s">
        <v>134</v>
      </c>
      <c r="E1900" s="36">
        <f t="shared" si="148"/>
        <v>22598970.946449097</v>
      </c>
      <c r="F1900" s="36">
        <v>0</v>
      </c>
      <c r="G1900" s="58">
        <v>-2560.58</v>
      </c>
      <c r="H1900" s="35">
        <f t="shared" si="149"/>
        <v>-2560.58</v>
      </c>
      <c r="I1900" s="35">
        <f t="shared" si="146"/>
        <v>0</v>
      </c>
      <c r="J1900" s="35">
        <f t="shared" si="147"/>
        <v>1226.1127094423164</v>
      </c>
      <c r="K1900" s="45">
        <f t="shared" si="145"/>
        <v>22595184.253739655</v>
      </c>
    </row>
    <row r="1901" spans="2:11">
      <c r="B1901" s="43">
        <v>45575</v>
      </c>
      <c r="C1901" s="32" t="s">
        <v>25</v>
      </c>
      <c r="D1901" s="32" t="s">
        <v>134</v>
      </c>
      <c r="E1901" s="36">
        <f t="shared" si="148"/>
        <v>22595184.253739655</v>
      </c>
      <c r="F1901" s="36">
        <v>0</v>
      </c>
      <c r="G1901" s="58">
        <v>-2440</v>
      </c>
      <c r="H1901" s="35">
        <f t="shared" si="149"/>
        <v>-2440</v>
      </c>
      <c r="I1901" s="35">
        <f t="shared" si="146"/>
        <v>0</v>
      </c>
      <c r="J1901" s="35">
        <f t="shared" si="147"/>
        <v>1225.9072615009566</v>
      </c>
      <c r="K1901" s="45">
        <f t="shared" si="145"/>
        <v>22591518.346478153</v>
      </c>
    </row>
    <row r="1902" spans="2:11">
      <c r="B1902" s="43">
        <v>45575</v>
      </c>
      <c r="C1902" s="32" t="s">
        <v>27</v>
      </c>
      <c r="D1902" s="32" t="s">
        <v>134</v>
      </c>
      <c r="E1902" s="36">
        <f t="shared" si="148"/>
        <v>22591518.346478153</v>
      </c>
      <c r="F1902" s="36">
        <v>0</v>
      </c>
      <c r="G1902" s="58">
        <v>-3158</v>
      </c>
      <c r="H1902" s="35">
        <f t="shared" si="149"/>
        <v>-3158</v>
      </c>
      <c r="I1902" s="35">
        <f t="shared" si="146"/>
        <v>0</v>
      </c>
      <c r="J1902" s="35">
        <f t="shared" si="147"/>
        <v>1225.7083668036885</v>
      </c>
      <c r="K1902" s="45">
        <f t="shared" si="145"/>
        <v>22587134.638111349</v>
      </c>
    </row>
    <row r="1903" spans="2:11">
      <c r="B1903" s="43">
        <v>45575</v>
      </c>
      <c r="C1903" s="32" t="s">
        <v>29</v>
      </c>
      <c r="D1903" s="32" t="s">
        <v>134</v>
      </c>
      <c r="E1903" s="36">
        <f t="shared" si="148"/>
        <v>22587134.638111349</v>
      </c>
      <c r="F1903" s="36">
        <v>0</v>
      </c>
      <c r="G1903" s="58">
        <v>-5023</v>
      </c>
      <c r="H1903" s="35">
        <f t="shared" si="149"/>
        <v>-5023</v>
      </c>
      <c r="I1903" s="35">
        <f t="shared" si="146"/>
        <v>0</v>
      </c>
      <c r="J1903" s="35">
        <f t="shared" si="147"/>
        <v>1225.4705276314642</v>
      </c>
      <c r="K1903" s="45">
        <f t="shared" si="145"/>
        <v>22580886.167583719</v>
      </c>
    </row>
    <row r="1904" spans="2:11">
      <c r="B1904" s="43">
        <v>45576</v>
      </c>
      <c r="C1904" s="32" t="s">
        <v>29</v>
      </c>
      <c r="D1904" s="32" t="s">
        <v>132</v>
      </c>
      <c r="E1904" s="36">
        <f t="shared" si="148"/>
        <v>22580886.167583719</v>
      </c>
      <c r="F1904" s="36">
        <v>14221.23</v>
      </c>
      <c r="G1904" s="58">
        <v>0</v>
      </c>
      <c r="H1904" s="35">
        <f t="shared" si="149"/>
        <v>14221.23</v>
      </c>
      <c r="I1904" s="35">
        <f t="shared" si="146"/>
        <v>0</v>
      </c>
      <c r="J1904" s="35">
        <f t="shared" si="147"/>
        <v>2450.2630306620154</v>
      </c>
      <c r="K1904" s="45">
        <f t="shared" si="145"/>
        <v>22592657.134553056</v>
      </c>
    </row>
    <row r="1905" spans="2:11">
      <c r="B1905" s="43">
        <v>45576</v>
      </c>
      <c r="C1905" s="32" t="s">
        <v>25</v>
      </c>
      <c r="D1905" s="32" t="s">
        <v>132</v>
      </c>
      <c r="E1905" s="36">
        <f t="shared" si="148"/>
        <v>22592657.134553056</v>
      </c>
      <c r="F1905" s="36">
        <v>19900.29</v>
      </c>
      <c r="G1905" s="58">
        <v>0</v>
      </c>
      <c r="H1905" s="35">
        <f t="shared" si="149"/>
        <v>19900.29</v>
      </c>
      <c r="I1905" s="35">
        <f t="shared" si="146"/>
        <v>0</v>
      </c>
      <c r="J1905" s="35">
        <f t="shared" si="147"/>
        <v>1225.7701520298967</v>
      </c>
      <c r="K1905" s="45">
        <f t="shared" si="145"/>
        <v>22611331.654401027</v>
      </c>
    </row>
    <row r="1906" spans="2:11">
      <c r="B1906" s="43">
        <v>45576</v>
      </c>
      <c r="C1906" s="32" t="s">
        <v>25</v>
      </c>
      <c r="D1906" s="32" t="s">
        <v>134</v>
      </c>
      <c r="E1906" s="36">
        <f t="shared" si="148"/>
        <v>22611331.654401027</v>
      </c>
      <c r="F1906" s="36">
        <v>0</v>
      </c>
      <c r="G1906" s="58">
        <v>-5228.3599999999997</v>
      </c>
      <c r="H1906" s="35">
        <f t="shared" si="149"/>
        <v>-5228.3599999999997</v>
      </c>
      <c r="I1906" s="35">
        <f t="shared" si="146"/>
        <v>0</v>
      </c>
      <c r="J1906" s="35">
        <f t="shared" si="147"/>
        <v>1226.7833426828067</v>
      </c>
      <c r="K1906" s="45">
        <f t="shared" si="145"/>
        <v>22604876.511058345</v>
      </c>
    </row>
    <row r="1907" spans="2:11">
      <c r="B1907" s="43">
        <v>45576</v>
      </c>
      <c r="C1907" s="32" t="s">
        <v>29</v>
      </c>
      <c r="D1907" s="32" t="s">
        <v>134</v>
      </c>
      <c r="E1907" s="36">
        <f t="shared" si="148"/>
        <v>22604876.511058345</v>
      </c>
      <c r="F1907" s="36">
        <v>0</v>
      </c>
      <c r="G1907" s="58">
        <v>-5992</v>
      </c>
      <c r="H1907" s="35">
        <f t="shared" si="149"/>
        <v>-5992</v>
      </c>
      <c r="I1907" s="35">
        <f t="shared" si="146"/>
        <v>0</v>
      </c>
      <c r="J1907" s="35">
        <f t="shared" si="147"/>
        <v>1226.4331172980985</v>
      </c>
      <c r="K1907" s="45">
        <f t="shared" si="145"/>
        <v>22597658.077941049</v>
      </c>
    </row>
    <row r="1908" spans="2:11">
      <c r="B1908" s="43">
        <v>45576</v>
      </c>
      <c r="C1908" s="32" t="s">
        <v>25</v>
      </c>
      <c r="D1908" s="32" t="s">
        <v>134</v>
      </c>
      <c r="E1908" s="36">
        <f t="shared" si="148"/>
        <v>22597658.077941049</v>
      </c>
      <c r="F1908" s="36">
        <v>0</v>
      </c>
      <c r="G1908" s="58">
        <v>-1412</v>
      </c>
      <c r="H1908" s="35">
        <f t="shared" si="149"/>
        <v>-1412</v>
      </c>
      <c r="I1908" s="35">
        <f t="shared" si="146"/>
        <v>0</v>
      </c>
      <c r="J1908" s="35">
        <f t="shared" si="147"/>
        <v>1226.0414794395274</v>
      </c>
      <c r="K1908" s="45">
        <f t="shared" si="145"/>
        <v>22595020.03646161</v>
      </c>
    </row>
    <row r="1909" spans="2:11">
      <c r="B1909" s="43">
        <v>45577</v>
      </c>
      <c r="C1909" s="32" t="s">
        <v>27</v>
      </c>
      <c r="D1909" s="32" t="s">
        <v>132</v>
      </c>
      <c r="E1909" s="36">
        <f t="shared" si="148"/>
        <v>22595020.03646161</v>
      </c>
      <c r="F1909" s="36">
        <v>16691.73</v>
      </c>
      <c r="G1909" s="58">
        <v>0</v>
      </c>
      <c r="H1909" s="35">
        <f t="shared" si="149"/>
        <v>16691.73</v>
      </c>
      <c r="I1909" s="35">
        <f t="shared" si="146"/>
        <v>0</v>
      </c>
      <c r="J1909" s="35">
        <f t="shared" si="147"/>
        <v>2451.7967037045478</v>
      </c>
      <c r="K1909" s="45">
        <f t="shared" si="145"/>
        <v>22609259.969757907</v>
      </c>
    </row>
    <row r="1910" spans="2:11">
      <c r="B1910" s="43">
        <v>45577</v>
      </c>
      <c r="C1910" s="32" t="s">
        <v>27</v>
      </c>
      <c r="D1910" s="32" t="s">
        <v>132</v>
      </c>
      <c r="E1910" s="36">
        <f t="shared" si="148"/>
        <v>22609259.969757907</v>
      </c>
      <c r="F1910" s="36">
        <v>13401.9</v>
      </c>
      <c r="G1910" s="58">
        <v>0</v>
      </c>
      <c r="H1910" s="35">
        <f t="shared" si="149"/>
        <v>13401.9</v>
      </c>
      <c r="I1910" s="35">
        <f t="shared" si="146"/>
        <v>0</v>
      </c>
      <c r="J1910" s="35">
        <f t="shared" si="147"/>
        <v>1226.6709429245655</v>
      </c>
      <c r="K1910" s="45">
        <f t="shared" si="145"/>
        <v>22621435.198814981</v>
      </c>
    </row>
    <row r="1911" spans="2:11">
      <c r="B1911" s="43">
        <v>45577</v>
      </c>
      <c r="C1911" s="32" t="s">
        <v>25</v>
      </c>
      <c r="D1911" s="32" t="s">
        <v>134</v>
      </c>
      <c r="E1911" s="36">
        <f t="shared" si="148"/>
        <v>22621435.198814981</v>
      </c>
      <c r="F1911" s="36">
        <v>0</v>
      </c>
      <c r="G1911" s="58">
        <v>-9720.17</v>
      </c>
      <c r="H1911" s="35">
        <f t="shared" si="149"/>
        <v>-9720.17</v>
      </c>
      <c r="I1911" s="35">
        <f t="shared" si="146"/>
        <v>0</v>
      </c>
      <c r="J1911" s="35">
        <f t="shared" si="147"/>
        <v>1227.3315129621403</v>
      </c>
      <c r="K1911" s="45">
        <f t="shared" si="145"/>
        <v>22610487.697302017</v>
      </c>
    </row>
    <row r="1912" spans="2:11">
      <c r="B1912" s="43">
        <v>45577</v>
      </c>
      <c r="C1912" s="32" t="s">
        <v>25</v>
      </c>
      <c r="D1912" s="32" t="s">
        <v>134</v>
      </c>
      <c r="E1912" s="36">
        <f t="shared" si="148"/>
        <v>22610487.697302017</v>
      </c>
      <c r="F1912" s="36">
        <v>0</v>
      </c>
      <c r="G1912" s="58">
        <v>-9385.7900000000009</v>
      </c>
      <c r="H1912" s="35">
        <f t="shared" si="149"/>
        <v>-9385.7900000000009</v>
      </c>
      <c r="I1912" s="35">
        <f t="shared" si="146"/>
        <v>0</v>
      </c>
      <c r="J1912" s="35">
        <f t="shared" si="147"/>
        <v>1226.7375535834815</v>
      </c>
      <c r="K1912" s="45">
        <f t="shared" si="145"/>
        <v>22599875.169748433</v>
      </c>
    </row>
    <row r="1913" spans="2:11">
      <c r="B1913" s="43">
        <v>45577</v>
      </c>
      <c r="C1913" s="32" t="s">
        <v>25</v>
      </c>
      <c r="D1913" s="32" t="s">
        <v>134</v>
      </c>
      <c r="E1913" s="36">
        <f t="shared" si="148"/>
        <v>22599875.169748433</v>
      </c>
      <c r="F1913" s="36">
        <v>0</v>
      </c>
      <c r="G1913" s="58">
        <v>-10135</v>
      </c>
      <c r="H1913" s="35">
        <f t="shared" si="149"/>
        <v>-10135</v>
      </c>
      <c r="I1913" s="35">
        <f t="shared" si="146"/>
        <v>0</v>
      </c>
      <c r="J1913" s="35">
        <f t="shared" si="147"/>
        <v>1226.1617682991164</v>
      </c>
      <c r="K1913" s="45">
        <f t="shared" si="145"/>
        <v>22588514.007980134</v>
      </c>
    </row>
    <row r="1914" spans="2:11">
      <c r="B1914" s="43">
        <v>45578</v>
      </c>
      <c r="C1914" s="32" t="s">
        <v>25</v>
      </c>
      <c r="D1914" s="32" t="s">
        <v>132</v>
      </c>
      <c r="E1914" s="36">
        <f t="shared" si="148"/>
        <v>22588514.007980134</v>
      </c>
      <c r="F1914" s="36">
        <v>17685.580000000002</v>
      </c>
      <c r="G1914" s="58">
        <v>0</v>
      </c>
      <c r="H1914" s="35">
        <f t="shared" si="149"/>
        <v>17685.580000000002</v>
      </c>
      <c r="I1914" s="35">
        <f t="shared" si="146"/>
        <v>0</v>
      </c>
      <c r="J1914" s="35">
        <f t="shared" si="147"/>
        <v>2451.090731363769</v>
      </c>
      <c r="K1914" s="45">
        <f t="shared" si="145"/>
        <v>22603748.497248769</v>
      </c>
    </row>
    <row r="1915" spans="2:11">
      <c r="B1915" s="43">
        <v>45578</v>
      </c>
      <c r="C1915" s="32" t="s">
        <v>27</v>
      </c>
      <c r="D1915" s="32" t="s">
        <v>132</v>
      </c>
      <c r="E1915" s="36">
        <f t="shared" si="148"/>
        <v>22603748.497248769</v>
      </c>
      <c r="F1915" s="36">
        <v>13888.16</v>
      </c>
      <c r="G1915" s="58">
        <v>0</v>
      </c>
      <c r="H1915" s="35">
        <f t="shared" si="149"/>
        <v>13888.16</v>
      </c>
      <c r="I1915" s="35">
        <f t="shared" si="146"/>
        <v>0</v>
      </c>
      <c r="J1915" s="35">
        <f t="shared" si="147"/>
        <v>1226.3719166322971</v>
      </c>
      <c r="K1915" s="45">
        <f t="shared" si="145"/>
        <v>22616410.285332136</v>
      </c>
    </row>
    <row r="1916" spans="2:11">
      <c r="B1916" s="43">
        <v>45578</v>
      </c>
      <c r="C1916" s="32" t="s">
        <v>25</v>
      </c>
      <c r="D1916" s="32" t="s">
        <v>132</v>
      </c>
      <c r="E1916" s="36">
        <f t="shared" si="148"/>
        <v>22616410.285332136</v>
      </c>
      <c r="F1916" s="36">
        <v>17892.259999999998</v>
      </c>
      <c r="G1916" s="58">
        <v>0</v>
      </c>
      <c r="H1916" s="35">
        <f t="shared" si="149"/>
        <v>17892.259999999998</v>
      </c>
      <c r="I1916" s="35">
        <f t="shared" si="146"/>
        <v>0</v>
      </c>
      <c r="J1916" s="35">
        <f t="shared" si="147"/>
        <v>1227.0588850491365</v>
      </c>
      <c r="K1916" s="45">
        <f t="shared" si="145"/>
        <v>22633075.486447088</v>
      </c>
    </row>
    <row r="1917" spans="2:11">
      <c r="B1917" s="43">
        <v>45578</v>
      </c>
      <c r="C1917" s="32" t="s">
        <v>29</v>
      </c>
      <c r="D1917" s="32" t="s">
        <v>134</v>
      </c>
      <c r="E1917" s="36">
        <f t="shared" si="148"/>
        <v>22633075.486447088</v>
      </c>
      <c r="F1917" s="36">
        <v>0</v>
      </c>
      <c r="G1917" s="58">
        <v>-9304.5300000000007</v>
      </c>
      <c r="H1917" s="35">
        <f t="shared" si="149"/>
        <v>-9304.5300000000007</v>
      </c>
      <c r="I1917" s="35">
        <f t="shared" si="146"/>
        <v>0</v>
      </c>
      <c r="J1917" s="35">
        <f t="shared" si="147"/>
        <v>1227.9630596215484</v>
      </c>
      <c r="K1917" s="45">
        <f t="shared" si="145"/>
        <v>22622542.993387464</v>
      </c>
    </row>
    <row r="1918" spans="2:11">
      <c r="B1918" s="43">
        <v>45578</v>
      </c>
      <c r="C1918" s="32" t="s">
        <v>27</v>
      </c>
      <c r="D1918" s="32" t="s">
        <v>134</v>
      </c>
      <c r="E1918" s="36">
        <f t="shared" si="148"/>
        <v>22622542.993387464</v>
      </c>
      <c r="F1918" s="36">
        <v>0</v>
      </c>
      <c r="G1918" s="58">
        <v>-1941</v>
      </c>
      <c r="H1918" s="35">
        <f t="shared" si="149"/>
        <v>-1941</v>
      </c>
      <c r="I1918" s="35">
        <f t="shared" si="146"/>
        <v>0</v>
      </c>
      <c r="J1918" s="35">
        <f t="shared" si="147"/>
        <v>1227.3916166282759</v>
      </c>
      <c r="K1918" s="45">
        <f t="shared" si="145"/>
        <v>22619374.601770837</v>
      </c>
    </row>
    <row r="1919" spans="2:11">
      <c r="B1919" s="43">
        <v>45579</v>
      </c>
      <c r="C1919" s="32" t="s">
        <v>29</v>
      </c>
      <c r="D1919" s="32" t="s">
        <v>132</v>
      </c>
      <c r="E1919" s="36">
        <f t="shared" si="148"/>
        <v>22619374.601770837</v>
      </c>
      <c r="F1919" s="36">
        <v>16332.79</v>
      </c>
      <c r="G1919" s="58">
        <v>0</v>
      </c>
      <c r="H1919" s="35">
        <f t="shared" si="149"/>
        <v>16332.79</v>
      </c>
      <c r="I1919" s="35">
        <f t="shared" si="146"/>
        <v>0</v>
      </c>
      <c r="J1919" s="35">
        <f t="shared" si="147"/>
        <v>2454.4394295285997</v>
      </c>
      <c r="K1919" s="45">
        <f t="shared" si="145"/>
        <v>22633252.952341307</v>
      </c>
    </row>
    <row r="1920" spans="2:11">
      <c r="B1920" s="43">
        <v>45579</v>
      </c>
      <c r="C1920" s="32" t="s">
        <v>27</v>
      </c>
      <c r="D1920" s="32" t="s">
        <v>132</v>
      </c>
      <c r="E1920" s="36">
        <f t="shared" si="148"/>
        <v>22633252.952341307</v>
      </c>
      <c r="F1920" s="36">
        <v>16751.78</v>
      </c>
      <c r="G1920" s="58">
        <v>0</v>
      </c>
      <c r="H1920" s="35">
        <f t="shared" si="149"/>
        <v>16751.78</v>
      </c>
      <c r="I1920" s="35">
        <f t="shared" si="146"/>
        <v>0</v>
      </c>
      <c r="J1920" s="35">
        <f t="shared" si="147"/>
        <v>1227.9726880771498</v>
      </c>
      <c r="K1920" s="45">
        <f t="shared" si="145"/>
        <v>22648776.759653229</v>
      </c>
    </row>
    <row r="1921" spans="2:11">
      <c r="B1921" s="43">
        <v>45579</v>
      </c>
      <c r="C1921" s="32" t="s">
        <v>29</v>
      </c>
      <c r="D1921" s="32" t="s">
        <v>134</v>
      </c>
      <c r="E1921" s="36">
        <f t="shared" si="148"/>
        <v>22648776.759653229</v>
      </c>
      <c r="F1921" s="36">
        <v>0</v>
      </c>
      <c r="G1921" s="58">
        <v>-7904</v>
      </c>
      <c r="H1921" s="35">
        <f t="shared" si="149"/>
        <v>-7904</v>
      </c>
      <c r="I1921" s="35">
        <f t="shared" si="146"/>
        <v>0</v>
      </c>
      <c r="J1921" s="35">
        <f t="shared" si="147"/>
        <v>1228.8149360489351</v>
      </c>
      <c r="K1921" s="45">
        <f t="shared" si="145"/>
        <v>22639643.94471718</v>
      </c>
    </row>
    <row r="1922" spans="2:11">
      <c r="B1922" s="43">
        <v>45579</v>
      </c>
      <c r="C1922" s="32" t="s">
        <v>29</v>
      </c>
      <c r="D1922" s="32" t="s">
        <v>134</v>
      </c>
      <c r="E1922" s="36">
        <f t="shared" si="148"/>
        <v>22639643.94471718</v>
      </c>
      <c r="F1922" s="36">
        <v>0</v>
      </c>
      <c r="G1922" s="58">
        <v>-17345</v>
      </c>
      <c r="H1922" s="35">
        <f t="shared" si="149"/>
        <v>-17345</v>
      </c>
      <c r="I1922" s="35">
        <f t="shared" si="146"/>
        <v>0</v>
      </c>
      <c r="J1922" s="35">
        <f t="shared" si="147"/>
        <v>1228.3194329354258</v>
      </c>
      <c r="K1922" s="45">
        <f t="shared" si="145"/>
        <v>22621070.625284243</v>
      </c>
    </row>
    <row r="1923" spans="2:11">
      <c r="B1923" s="43">
        <v>45579</v>
      </c>
      <c r="C1923" s="32" t="s">
        <v>25</v>
      </c>
      <c r="D1923" s="32" t="s">
        <v>134</v>
      </c>
      <c r="E1923" s="36">
        <f t="shared" si="148"/>
        <v>22621070.625284243</v>
      </c>
      <c r="F1923" s="36">
        <v>0</v>
      </c>
      <c r="G1923" s="58">
        <v>-5929</v>
      </c>
      <c r="H1923" s="35">
        <f t="shared" si="149"/>
        <v>-5929</v>
      </c>
      <c r="I1923" s="35">
        <f t="shared" si="146"/>
        <v>0</v>
      </c>
      <c r="J1923" s="35">
        <f t="shared" si="147"/>
        <v>1227.3117329358452</v>
      </c>
      <c r="K1923" s="45">
        <f t="shared" si="145"/>
        <v>22613914.313551307</v>
      </c>
    </row>
    <row r="1924" spans="2:11">
      <c r="B1924" s="43">
        <v>45580</v>
      </c>
      <c r="C1924" s="32" t="s">
        <v>29</v>
      </c>
      <c r="D1924" s="32" t="s">
        <v>132</v>
      </c>
      <c r="E1924" s="36">
        <f t="shared" si="148"/>
        <v>22613914.313551307</v>
      </c>
      <c r="F1924" s="36">
        <v>13875.54</v>
      </c>
      <c r="G1924" s="58">
        <v>0</v>
      </c>
      <c r="H1924" s="35">
        <f t="shared" si="149"/>
        <v>13875.54</v>
      </c>
      <c r="I1924" s="35">
        <f t="shared" si="146"/>
        <v>0</v>
      </c>
      <c r="J1924" s="35">
        <f t="shared" si="147"/>
        <v>2453.8469309764268</v>
      </c>
      <c r="K1924" s="45">
        <f t="shared" si="145"/>
        <v>22625336.006620329</v>
      </c>
    </row>
    <row r="1925" spans="2:11">
      <c r="B1925" s="43">
        <v>45580</v>
      </c>
      <c r="C1925" s="32" t="s">
        <v>27</v>
      </c>
      <c r="D1925" s="32" t="s">
        <v>132</v>
      </c>
      <c r="E1925" s="36">
        <f t="shared" si="148"/>
        <v>22625336.006620329</v>
      </c>
      <c r="F1925" s="36">
        <v>20180.89</v>
      </c>
      <c r="G1925" s="58">
        <v>0</v>
      </c>
      <c r="H1925" s="35">
        <f t="shared" si="149"/>
        <v>20180.89</v>
      </c>
      <c r="I1925" s="35">
        <f t="shared" si="146"/>
        <v>0</v>
      </c>
      <c r="J1925" s="35">
        <f t="shared" si="147"/>
        <v>1227.5431522460069</v>
      </c>
      <c r="K1925" s="45">
        <f t="shared" si="145"/>
        <v>22644289.353468083</v>
      </c>
    </row>
    <row r="1926" spans="2:11">
      <c r="B1926" s="43">
        <v>45580</v>
      </c>
      <c r="C1926" s="32" t="s">
        <v>27</v>
      </c>
      <c r="D1926" s="32" t="s">
        <v>134</v>
      </c>
      <c r="E1926" s="36">
        <f t="shared" si="148"/>
        <v>22644289.353468083</v>
      </c>
      <c r="F1926" s="36">
        <v>0</v>
      </c>
      <c r="G1926" s="58">
        <v>-3521.32</v>
      </c>
      <c r="H1926" s="35">
        <f t="shared" si="149"/>
        <v>-3521.32</v>
      </c>
      <c r="I1926" s="35">
        <f t="shared" si="146"/>
        <v>0</v>
      </c>
      <c r="J1926" s="35">
        <f t="shared" si="147"/>
        <v>1228.5714707261523</v>
      </c>
      <c r="K1926" s="45">
        <f t="shared" si="145"/>
        <v>22639539.461997356</v>
      </c>
    </row>
    <row r="1927" spans="2:11">
      <c r="B1927" s="43">
        <v>45581</v>
      </c>
      <c r="C1927" s="32" t="s">
        <v>27</v>
      </c>
      <c r="D1927" s="32" t="s">
        <v>132</v>
      </c>
      <c r="E1927" s="36">
        <f t="shared" si="148"/>
        <v>22639539.461997356</v>
      </c>
      <c r="F1927" s="36">
        <v>13469.95</v>
      </c>
      <c r="G1927" s="58">
        <v>0</v>
      </c>
      <c r="H1927" s="35">
        <f t="shared" si="149"/>
        <v>13469.95</v>
      </c>
      <c r="I1927" s="35">
        <f t="shared" si="146"/>
        <v>0</v>
      </c>
      <c r="J1927" s="35">
        <f t="shared" si="147"/>
        <v>2456.6275283996897</v>
      </c>
      <c r="K1927" s="45">
        <f t="shared" si="145"/>
        <v>22650552.784468956</v>
      </c>
    </row>
    <row r="1928" spans="2:11">
      <c r="B1928" s="43">
        <v>45581</v>
      </c>
      <c r="C1928" s="32" t="s">
        <v>27</v>
      </c>
      <c r="D1928" s="32" t="s">
        <v>132</v>
      </c>
      <c r="E1928" s="36">
        <f t="shared" si="148"/>
        <v>22650552.784468956</v>
      </c>
      <c r="F1928" s="36">
        <v>18351.89</v>
      </c>
      <c r="G1928" s="58">
        <v>0</v>
      </c>
      <c r="H1928" s="35">
        <f t="shared" si="149"/>
        <v>18351.89</v>
      </c>
      <c r="I1928" s="35">
        <f t="shared" si="146"/>
        <v>0</v>
      </c>
      <c r="J1928" s="35">
        <f t="shared" si="147"/>
        <v>1228.9112947107524</v>
      </c>
      <c r="K1928" s="45">
        <f t="shared" ref="K1928:K1991" si="150">E1928+H1928+I1928-J1928</f>
        <v>22667675.763174247</v>
      </c>
    </row>
    <row r="1929" spans="2:11">
      <c r="B1929" s="43">
        <v>45581</v>
      </c>
      <c r="C1929" s="32" t="s">
        <v>29</v>
      </c>
      <c r="D1929" s="32" t="s">
        <v>132</v>
      </c>
      <c r="E1929" s="36">
        <f t="shared" si="148"/>
        <v>22667675.763174247</v>
      </c>
      <c r="F1929" s="36">
        <v>17740.75</v>
      </c>
      <c r="G1929" s="58">
        <v>0</v>
      </c>
      <c r="H1929" s="35">
        <f t="shared" si="149"/>
        <v>17740.75</v>
      </c>
      <c r="I1929" s="35">
        <f t="shared" si="146"/>
        <v>0</v>
      </c>
      <c r="J1929" s="35">
        <f t="shared" si="147"/>
        <v>1229.8403061185645</v>
      </c>
      <c r="K1929" s="45">
        <f t="shared" si="150"/>
        <v>22684186.672868129</v>
      </c>
    </row>
    <row r="1930" spans="2:11">
      <c r="B1930" s="43">
        <v>45581</v>
      </c>
      <c r="C1930" s="32" t="s">
        <v>29</v>
      </c>
      <c r="D1930" s="32" t="s">
        <v>134</v>
      </c>
      <c r="E1930" s="36">
        <f t="shared" si="148"/>
        <v>22684186.672868129</v>
      </c>
      <c r="F1930" s="36">
        <v>0</v>
      </c>
      <c r="G1930" s="58">
        <v>-13110</v>
      </c>
      <c r="H1930" s="35">
        <f t="shared" si="149"/>
        <v>-13110</v>
      </c>
      <c r="I1930" s="35">
        <f t="shared" si="146"/>
        <v>0</v>
      </c>
      <c r="J1930" s="35">
        <f t="shared" si="147"/>
        <v>1230.7361095720976</v>
      </c>
      <c r="K1930" s="45">
        <f t="shared" si="150"/>
        <v>22669845.936758555</v>
      </c>
    </row>
    <row r="1931" spans="2:11">
      <c r="B1931" s="43">
        <v>45581</v>
      </c>
      <c r="C1931" s="32" t="s">
        <v>27</v>
      </c>
      <c r="D1931" s="32" t="s">
        <v>134</v>
      </c>
      <c r="E1931" s="36">
        <f t="shared" si="148"/>
        <v>22669845.936758555</v>
      </c>
      <c r="F1931" s="36">
        <v>0</v>
      </c>
      <c r="G1931" s="58">
        <v>-10096</v>
      </c>
      <c r="H1931" s="35">
        <f t="shared" si="149"/>
        <v>-10096</v>
      </c>
      <c r="I1931" s="35">
        <f t="shared" si="146"/>
        <v>0</v>
      </c>
      <c r="J1931" s="35">
        <f t="shared" si="147"/>
        <v>1229.9580494184574</v>
      </c>
      <c r="K1931" s="45">
        <f t="shared" si="150"/>
        <v>22658519.978709135</v>
      </c>
    </row>
    <row r="1932" spans="2:11">
      <c r="B1932" s="43">
        <v>45582</v>
      </c>
      <c r="C1932" s="32" t="s">
        <v>27</v>
      </c>
      <c r="D1932" s="32" t="s">
        <v>132</v>
      </c>
      <c r="E1932" s="36">
        <f t="shared" si="148"/>
        <v>22658519.978709135</v>
      </c>
      <c r="F1932" s="36">
        <v>12028.39</v>
      </c>
      <c r="G1932" s="58">
        <v>0</v>
      </c>
      <c r="H1932" s="35">
        <f t="shared" si="149"/>
        <v>12028.39</v>
      </c>
      <c r="I1932" s="35">
        <f t="shared" si="146"/>
        <v>0</v>
      </c>
      <c r="J1932" s="35">
        <f t="shared" si="147"/>
        <v>2458.6871135752485</v>
      </c>
      <c r="K1932" s="45">
        <f t="shared" si="150"/>
        <v>22668089.68159556</v>
      </c>
    </row>
    <row r="1933" spans="2:11">
      <c r="B1933" s="43">
        <v>45582</v>
      </c>
      <c r="C1933" s="32" t="s">
        <v>25</v>
      </c>
      <c r="D1933" s="32" t="s">
        <v>132</v>
      </c>
      <c r="E1933" s="36">
        <f t="shared" si="148"/>
        <v>22668089.68159556</v>
      </c>
      <c r="F1933" s="36">
        <v>17668.89</v>
      </c>
      <c r="G1933" s="58">
        <v>0</v>
      </c>
      <c r="H1933" s="35">
        <f t="shared" si="149"/>
        <v>17668.89</v>
      </c>
      <c r="I1933" s="35">
        <f t="shared" si="146"/>
        <v>0</v>
      </c>
      <c r="J1933" s="35">
        <f t="shared" si="147"/>
        <v>1229.862763363996</v>
      </c>
      <c r="K1933" s="45">
        <f t="shared" si="150"/>
        <v>22684528.708832197</v>
      </c>
    </row>
    <row r="1934" spans="2:11">
      <c r="B1934" s="43">
        <v>45582</v>
      </c>
      <c r="C1934" s="32" t="s">
        <v>29</v>
      </c>
      <c r="D1934" s="32" t="s">
        <v>132</v>
      </c>
      <c r="E1934" s="36">
        <f t="shared" si="148"/>
        <v>22684528.708832197</v>
      </c>
      <c r="F1934" s="36">
        <v>19432.59</v>
      </c>
      <c r="G1934" s="58">
        <v>0</v>
      </c>
      <c r="H1934" s="35">
        <f t="shared" si="149"/>
        <v>19432.59</v>
      </c>
      <c r="I1934" s="35">
        <f t="shared" si="146"/>
        <v>0</v>
      </c>
      <c r="J1934" s="35">
        <f t="shared" si="147"/>
        <v>1230.7546668171874</v>
      </c>
      <c r="K1934" s="45">
        <f t="shared" si="150"/>
        <v>22702730.54416538</v>
      </c>
    </row>
    <row r="1935" spans="2:11">
      <c r="B1935" s="43">
        <v>45582</v>
      </c>
      <c r="C1935" s="32" t="s">
        <v>25</v>
      </c>
      <c r="D1935" s="32" t="s">
        <v>134</v>
      </c>
      <c r="E1935" s="36">
        <f t="shared" si="148"/>
        <v>22702730.54416538</v>
      </c>
      <c r="F1935" s="36">
        <v>0</v>
      </c>
      <c r="G1935" s="58">
        <v>-16620</v>
      </c>
      <c r="H1935" s="35">
        <f t="shared" si="149"/>
        <v>-16620</v>
      </c>
      <c r="I1935" s="35">
        <f t="shared" si="146"/>
        <v>0</v>
      </c>
      <c r="J1935" s="35">
        <f t="shared" si="147"/>
        <v>1231.7422118558566</v>
      </c>
      <c r="K1935" s="45">
        <f t="shared" si="150"/>
        <v>22684878.801953524</v>
      </c>
    </row>
    <row r="1936" spans="2:11">
      <c r="B1936" s="43">
        <v>45582</v>
      </c>
      <c r="C1936" s="32" t="s">
        <v>25</v>
      </c>
      <c r="D1936" s="32" t="s">
        <v>134</v>
      </c>
      <c r="E1936" s="36">
        <f t="shared" si="148"/>
        <v>22684878.801953524</v>
      </c>
      <c r="F1936" s="36">
        <v>0</v>
      </c>
      <c r="G1936" s="58">
        <v>-3670</v>
      </c>
      <c r="H1936" s="35">
        <f t="shared" si="149"/>
        <v>-3670</v>
      </c>
      <c r="I1936" s="35">
        <f t="shared" si="146"/>
        <v>0</v>
      </c>
      <c r="J1936" s="35">
        <f t="shared" si="147"/>
        <v>1230.7736612053197</v>
      </c>
      <c r="K1936" s="45">
        <f t="shared" si="150"/>
        <v>22679978.028292321</v>
      </c>
    </row>
    <row r="1937" spans="2:11">
      <c r="B1937" s="43">
        <v>45582</v>
      </c>
      <c r="C1937" s="32" t="s">
        <v>27</v>
      </c>
      <c r="D1937" s="32" t="s">
        <v>134</v>
      </c>
      <c r="E1937" s="36">
        <f t="shared" si="148"/>
        <v>22679978.028292321</v>
      </c>
      <c r="F1937" s="36">
        <v>0</v>
      </c>
      <c r="G1937" s="58">
        <v>-20313</v>
      </c>
      <c r="H1937" s="35">
        <f t="shared" si="149"/>
        <v>-20313</v>
      </c>
      <c r="I1937" s="35">
        <f t="shared" si="146"/>
        <v>0</v>
      </c>
      <c r="J1937" s="35">
        <f t="shared" si="147"/>
        <v>1230.5077685287754</v>
      </c>
      <c r="K1937" s="45">
        <f t="shared" si="150"/>
        <v>22658434.52052379</v>
      </c>
    </row>
    <row r="1938" spans="2:11">
      <c r="B1938" s="43">
        <v>45582</v>
      </c>
      <c r="C1938" s="32" t="s">
        <v>29</v>
      </c>
      <c r="D1938" s="32" t="s">
        <v>134</v>
      </c>
      <c r="E1938" s="36">
        <f t="shared" si="148"/>
        <v>22658434.52052379</v>
      </c>
      <c r="F1938" s="36">
        <v>0</v>
      </c>
      <c r="G1938" s="58">
        <v>-20498</v>
      </c>
      <c r="H1938" s="35">
        <f t="shared" si="149"/>
        <v>-20498</v>
      </c>
      <c r="I1938" s="35">
        <f t="shared" si="146"/>
        <v>0</v>
      </c>
      <c r="J1938" s="35">
        <f t="shared" si="147"/>
        <v>1229.338920232826</v>
      </c>
      <c r="K1938" s="45">
        <f t="shared" si="150"/>
        <v>22636707.181603558</v>
      </c>
    </row>
    <row r="1939" spans="2:11">
      <c r="B1939" s="43">
        <v>45582</v>
      </c>
      <c r="C1939" s="32" t="s">
        <v>29</v>
      </c>
      <c r="D1939" s="32" t="s">
        <v>134</v>
      </c>
      <c r="E1939" s="36">
        <f t="shared" si="148"/>
        <v>22636707.181603558</v>
      </c>
      <c r="F1939" s="36">
        <v>0</v>
      </c>
      <c r="G1939" s="58">
        <v>-20539</v>
      </c>
      <c r="H1939" s="35">
        <f t="shared" si="149"/>
        <v>-20539</v>
      </c>
      <c r="I1939" s="35">
        <f t="shared" si="146"/>
        <v>0</v>
      </c>
      <c r="J1939" s="35">
        <f t="shared" si="147"/>
        <v>1228.1600981326701</v>
      </c>
      <c r="K1939" s="45">
        <f t="shared" si="150"/>
        <v>22614940.021505427</v>
      </c>
    </row>
    <row r="1940" spans="2:11">
      <c r="B1940" s="43">
        <v>45583</v>
      </c>
      <c r="C1940" s="32" t="s">
        <v>27</v>
      </c>
      <c r="D1940" s="32" t="s">
        <v>132</v>
      </c>
      <c r="E1940" s="36">
        <f t="shared" si="148"/>
        <v>22614940.021505427</v>
      </c>
      <c r="F1940" s="36">
        <v>14017.01</v>
      </c>
      <c r="G1940" s="58">
        <v>0</v>
      </c>
      <c r="H1940" s="35">
        <f t="shared" si="149"/>
        <v>14017.01</v>
      </c>
      <c r="I1940" s="35">
        <f t="shared" ref="I1940:I2003" si="151">(($E1940*Daily_Interest)*(_xlfn.DAYS(B1940,B1939)+1))+((IF(DAY($B1939)&gt;Monthly_Cut_off_Date,0,Daily_Interest*H1940))*(_xlfn.DAYS(B1940,B1939)+1))</f>
        <v>0</v>
      </c>
      <c r="J1940" s="35">
        <f t="shared" ref="J1940:J2003" si="152">(($I1940+E1940)*Daily_Fees_Rate)*((_xlfn.DAYS(B1940,B1939)+1))</f>
        <v>2453.9582310494875</v>
      </c>
      <c r="K1940" s="45">
        <f t="shared" si="150"/>
        <v>22626503.073274378</v>
      </c>
    </row>
    <row r="1941" spans="2:11">
      <c r="B1941" s="43">
        <v>45583</v>
      </c>
      <c r="C1941" s="32" t="s">
        <v>25</v>
      </c>
      <c r="D1941" s="32" t="s">
        <v>132</v>
      </c>
      <c r="E1941" s="36">
        <f t="shared" ref="E1941:E2004" si="153">K1940</f>
        <v>22626503.073274378</v>
      </c>
      <c r="F1941" s="36">
        <v>15245.49</v>
      </c>
      <c r="G1941" s="58">
        <v>0</v>
      </c>
      <c r="H1941" s="35">
        <f t="shared" ref="H1941:H2004" si="154">SUM(F1941:G1941)</f>
        <v>15245.49</v>
      </c>
      <c r="I1941" s="35">
        <f t="shared" si="151"/>
        <v>0</v>
      </c>
      <c r="J1941" s="35">
        <f t="shared" si="152"/>
        <v>1227.60647173346</v>
      </c>
      <c r="K1941" s="45">
        <f t="shared" si="150"/>
        <v>22640520.956802644</v>
      </c>
    </row>
    <row r="1942" spans="2:11">
      <c r="B1942" s="43">
        <v>45583</v>
      </c>
      <c r="C1942" s="32" t="s">
        <v>29</v>
      </c>
      <c r="D1942" s="32" t="s">
        <v>134</v>
      </c>
      <c r="E1942" s="36">
        <f t="shared" si="153"/>
        <v>22640520.956802644</v>
      </c>
      <c r="F1942" s="36">
        <v>0</v>
      </c>
      <c r="G1942" s="58">
        <v>-5450.45</v>
      </c>
      <c r="H1942" s="35">
        <f t="shared" si="154"/>
        <v>-5450.45</v>
      </c>
      <c r="I1942" s="35">
        <f t="shared" si="151"/>
        <v>0</v>
      </c>
      <c r="J1942" s="35">
        <f t="shared" si="152"/>
        <v>1228.3670154411454</v>
      </c>
      <c r="K1942" s="45">
        <f t="shared" si="150"/>
        <v>22633842.139787205</v>
      </c>
    </row>
    <row r="1943" spans="2:11">
      <c r="B1943" s="43">
        <v>45583</v>
      </c>
      <c r="C1943" s="32" t="s">
        <v>29</v>
      </c>
      <c r="D1943" s="32" t="s">
        <v>134</v>
      </c>
      <c r="E1943" s="36">
        <f t="shared" si="153"/>
        <v>22633842.139787205</v>
      </c>
      <c r="F1943" s="36">
        <v>0</v>
      </c>
      <c r="G1943" s="58">
        <v>-7126</v>
      </c>
      <c r="H1943" s="35">
        <f t="shared" si="154"/>
        <v>-7126</v>
      </c>
      <c r="I1943" s="35">
        <f t="shared" si="151"/>
        <v>0</v>
      </c>
      <c r="J1943" s="35">
        <f t="shared" si="152"/>
        <v>1228.004654586482</v>
      </c>
      <c r="K1943" s="45">
        <f t="shared" si="150"/>
        <v>22625488.135132618</v>
      </c>
    </row>
    <row r="1944" spans="2:11">
      <c r="B1944" s="43">
        <v>45583</v>
      </c>
      <c r="C1944" s="32" t="s">
        <v>27</v>
      </c>
      <c r="D1944" s="32" t="s">
        <v>134</v>
      </c>
      <c r="E1944" s="36">
        <f t="shared" si="153"/>
        <v>22625488.135132618</v>
      </c>
      <c r="F1944" s="36">
        <v>0</v>
      </c>
      <c r="G1944" s="58">
        <v>-2736</v>
      </c>
      <c r="H1944" s="35">
        <f t="shared" si="154"/>
        <v>-2736</v>
      </c>
      <c r="I1944" s="35">
        <f t="shared" si="151"/>
        <v>0</v>
      </c>
      <c r="J1944" s="35">
        <f t="shared" si="152"/>
        <v>1227.5514060157395</v>
      </c>
      <c r="K1944" s="45">
        <f t="shared" si="150"/>
        <v>22621524.583726604</v>
      </c>
    </row>
    <row r="1945" spans="2:11">
      <c r="B1945" s="43">
        <v>45583</v>
      </c>
      <c r="C1945" s="32" t="s">
        <v>25</v>
      </c>
      <c r="D1945" s="32" t="s">
        <v>134</v>
      </c>
      <c r="E1945" s="36">
        <f t="shared" si="153"/>
        <v>22621524.583726604</v>
      </c>
      <c r="F1945" s="36">
        <v>0</v>
      </c>
      <c r="G1945" s="58">
        <v>-17290</v>
      </c>
      <c r="H1945" s="35">
        <f t="shared" si="154"/>
        <v>-17290</v>
      </c>
      <c r="I1945" s="35">
        <f t="shared" si="151"/>
        <v>0</v>
      </c>
      <c r="J1945" s="35">
        <f t="shared" si="152"/>
        <v>1227.3363625624356</v>
      </c>
      <c r="K1945" s="45">
        <f t="shared" si="150"/>
        <v>22603007.24736404</v>
      </c>
    </row>
    <row r="1946" spans="2:11">
      <c r="B1946" s="43">
        <v>45584</v>
      </c>
      <c r="C1946" s="32" t="s">
        <v>29</v>
      </c>
      <c r="D1946" s="32" t="s">
        <v>132</v>
      </c>
      <c r="E1946" s="36">
        <f t="shared" si="153"/>
        <v>22603007.24736404</v>
      </c>
      <c r="F1946" s="36">
        <v>14258.47</v>
      </c>
      <c r="G1946" s="58">
        <v>0</v>
      </c>
      <c r="H1946" s="35">
        <f t="shared" si="154"/>
        <v>14258.47</v>
      </c>
      <c r="I1946" s="35">
        <f t="shared" si="151"/>
        <v>0</v>
      </c>
      <c r="J1946" s="35">
        <f t="shared" si="152"/>
        <v>2452.6633998761276</v>
      </c>
      <c r="K1946" s="45">
        <f t="shared" si="150"/>
        <v>22614813.053964164</v>
      </c>
    </row>
    <row r="1947" spans="2:11">
      <c r="B1947" s="43">
        <v>45584</v>
      </c>
      <c r="C1947" s="32" t="s">
        <v>29</v>
      </c>
      <c r="D1947" s="32" t="s">
        <v>132</v>
      </c>
      <c r="E1947" s="36">
        <f t="shared" si="153"/>
        <v>22614813.053964164</v>
      </c>
      <c r="F1947" s="36">
        <v>20478.03</v>
      </c>
      <c r="G1947" s="58">
        <v>0</v>
      </c>
      <c r="H1947" s="35">
        <f t="shared" si="154"/>
        <v>20478.03</v>
      </c>
      <c r="I1947" s="35">
        <f t="shared" si="151"/>
        <v>0</v>
      </c>
      <c r="J1947" s="35">
        <f t="shared" si="152"/>
        <v>1226.9722268696632</v>
      </c>
      <c r="K1947" s="45">
        <f t="shared" si="150"/>
        <v>22634064.111737296</v>
      </c>
    </row>
    <row r="1948" spans="2:11">
      <c r="B1948" s="43">
        <v>45584</v>
      </c>
      <c r="C1948" s="32" t="s">
        <v>29</v>
      </c>
      <c r="D1948" s="32" t="s">
        <v>132</v>
      </c>
      <c r="E1948" s="36">
        <f t="shared" si="153"/>
        <v>22634064.111737296</v>
      </c>
      <c r="F1948" s="36">
        <v>11927.44</v>
      </c>
      <c r="G1948" s="58">
        <v>0</v>
      </c>
      <c r="H1948" s="35">
        <f t="shared" si="154"/>
        <v>11927.44</v>
      </c>
      <c r="I1948" s="35">
        <f t="shared" si="151"/>
        <v>0</v>
      </c>
      <c r="J1948" s="35">
        <f t="shared" si="152"/>
        <v>1228.0166977290567</v>
      </c>
      <c r="K1948" s="45">
        <f t="shared" si="150"/>
        <v>22644763.535039566</v>
      </c>
    </row>
    <row r="1949" spans="2:11">
      <c r="B1949" s="43">
        <v>45584</v>
      </c>
      <c r="C1949" s="32" t="s">
        <v>29</v>
      </c>
      <c r="D1949" s="32" t="s">
        <v>134</v>
      </c>
      <c r="E1949" s="36">
        <f t="shared" si="153"/>
        <v>22644763.535039566</v>
      </c>
      <c r="F1949" s="36">
        <v>0</v>
      </c>
      <c r="G1949" s="58">
        <v>-7035.06</v>
      </c>
      <c r="H1949" s="35">
        <f t="shared" si="154"/>
        <v>-7035.06</v>
      </c>
      <c r="I1949" s="35">
        <f t="shared" si="151"/>
        <v>0</v>
      </c>
      <c r="J1949" s="35">
        <f t="shared" si="152"/>
        <v>1228.5971975635714</v>
      </c>
      <c r="K1949" s="45">
        <f t="shared" si="150"/>
        <v>22636499.877842005</v>
      </c>
    </row>
    <row r="1950" spans="2:11">
      <c r="B1950" s="43">
        <v>45584</v>
      </c>
      <c r="C1950" s="32" t="s">
        <v>25</v>
      </c>
      <c r="D1950" s="32" t="s">
        <v>134</v>
      </c>
      <c r="E1950" s="36">
        <f t="shared" si="153"/>
        <v>22636499.877842005</v>
      </c>
      <c r="F1950" s="36">
        <v>0</v>
      </c>
      <c r="G1950" s="58">
        <v>-1553</v>
      </c>
      <c r="H1950" s="35">
        <f t="shared" si="154"/>
        <v>-1553</v>
      </c>
      <c r="I1950" s="35">
        <f t="shared" si="151"/>
        <v>0</v>
      </c>
      <c r="J1950" s="35">
        <f t="shared" si="152"/>
        <v>1228.1488508162608</v>
      </c>
      <c r="K1950" s="45">
        <f t="shared" si="150"/>
        <v>22633718.728991188</v>
      </c>
    </row>
    <row r="1951" spans="2:11">
      <c r="B1951" s="43">
        <v>45584</v>
      </c>
      <c r="C1951" s="32" t="s">
        <v>29</v>
      </c>
      <c r="D1951" s="32" t="s">
        <v>134</v>
      </c>
      <c r="E1951" s="36">
        <f t="shared" si="153"/>
        <v>22633718.728991188</v>
      </c>
      <c r="F1951" s="36">
        <v>0</v>
      </c>
      <c r="G1951" s="58">
        <v>-6171</v>
      </c>
      <c r="H1951" s="35">
        <f t="shared" si="154"/>
        <v>-6171</v>
      </c>
      <c r="I1951" s="35">
        <f t="shared" si="151"/>
        <v>0</v>
      </c>
      <c r="J1951" s="35">
        <f t="shared" si="152"/>
        <v>1227.9979589034867</v>
      </c>
      <c r="K1951" s="45">
        <f t="shared" si="150"/>
        <v>22626319.731032286</v>
      </c>
    </row>
    <row r="1952" spans="2:11">
      <c r="B1952" s="43">
        <v>45584</v>
      </c>
      <c r="C1952" s="32" t="s">
        <v>25</v>
      </c>
      <c r="D1952" s="32" t="s">
        <v>134</v>
      </c>
      <c r="E1952" s="36">
        <f t="shared" si="153"/>
        <v>22626319.731032286</v>
      </c>
      <c r="F1952" s="36">
        <v>0</v>
      </c>
      <c r="G1952" s="58">
        <v>-11175</v>
      </c>
      <c r="H1952" s="35">
        <f t="shared" si="154"/>
        <v>-11175</v>
      </c>
      <c r="I1952" s="35">
        <f t="shared" si="151"/>
        <v>0</v>
      </c>
      <c r="J1952" s="35">
        <f t="shared" si="152"/>
        <v>1227.5965244551639</v>
      </c>
      <c r="K1952" s="45">
        <f t="shared" si="150"/>
        <v>22613917.134507831</v>
      </c>
    </row>
    <row r="1953" spans="2:11">
      <c r="B1953" s="43">
        <v>45585</v>
      </c>
      <c r="C1953" s="32" t="s">
        <v>27</v>
      </c>
      <c r="D1953" s="32" t="s">
        <v>132</v>
      </c>
      <c r="E1953" s="36">
        <f t="shared" si="153"/>
        <v>22613917.134507831</v>
      </c>
      <c r="F1953" s="36">
        <v>13711.78</v>
      </c>
      <c r="G1953" s="58">
        <v>0</v>
      </c>
      <c r="H1953" s="35">
        <f t="shared" si="154"/>
        <v>13711.78</v>
      </c>
      <c r="I1953" s="35">
        <f t="shared" si="151"/>
        <v>0</v>
      </c>
      <c r="J1953" s="35">
        <f t="shared" si="152"/>
        <v>2453.8472370798022</v>
      </c>
      <c r="K1953" s="45">
        <f t="shared" si="150"/>
        <v>22625175.067270752</v>
      </c>
    </row>
    <row r="1954" spans="2:11">
      <c r="B1954" s="43">
        <v>45585</v>
      </c>
      <c r="C1954" s="32" t="s">
        <v>27</v>
      </c>
      <c r="D1954" s="32" t="s">
        <v>134</v>
      </c>
      <c r="E1954" s="36">
        <f t="shared" si="153"/>
        <v>22625175.067270752</v>
      </c>
      <c r="F1954" s="36">
        <v>0</v>
      </c>
      <c r="G1954" s="58">
        <v>-11810</v>
      </c>
      <c r="H1954" s="35">
        <f t="shared" si="154"/>
        <v>-11810</v>
      </c>
      <c r="I1954" s="35">
        <f t="shared" si="151"/>
        <v>0</v>
      </c>
      <c r="J1954" s="35">
        <f t="shared" si="152"/>
        <v>1227.5344204421372</v>
      </c>
      <c r="K1954" s="45">
        <f t="shared" si="150"/>
        <v>22612137.53285031</v>
      </c>
    </row>
    <row r="1955" spans="2:11">
      <c r="B1955" s="43">
        <v>45585</v>
      </c>
      <c r="C1955" s="32" t="s">
        <v>25</v>
      </c>
      <c r="D1955" s="32" t="s">
        <v>134</v>
      </c>
      <c r="E1955" s="36">
        <f t="shared" si="153"/>
        <v>22612137.53285031</v>
      </c>
      <c r="F1955" s="36">
        <v>0</v>
      </c>
      <c r="G1955" s="58">
        <v>-3615</v>
      </c>
      <c r="H1955" s="35">
        <f t="shared" si="154"/>
        <v>-3615</v>
      </c>
      <c r="I1955" s="35">
        <f t="shared" si="151"/>
        <v>0</v>
      </c>
      <c r="J1955" s="35">
        <f t="shared" si="152"/>
        <v>1226.8270658156555</v>
      </c>
      <c r="K1955" s="45">
        <f t="shared" si="150"/>
        <v>22607295.705784496</v>
      </c>
    </row>
    <row r="1956" spans="2:11">
      <c r="B1956" s="43">
        <v>45585</v>
      </c>
      <c r="C1956" s="32" t="s">
        <v>25</v>
      </c>
      <c r="D1956" s="32" t="s">
        <v>134</v>
      </c>
      <c r="E1956" s="36">
        <f t="shared" si="153"/>
        <v>22607295.705784496</v>
      </c>
      <c r="F1956" s="36">
        <v>0</v>
      </c>
      <c r="G1956" s="58">
        <v>-8729</v>
      </c>
      <c r="H1956" s="35">
        <f t="shared" si="154"/>
        <v>-8729</v>
      </c>
      <c r="I1956" s="35">
        <f t="shared" si="151"/>
        <v>0</v>
      </c>
      <c r="J1956" s="35">
        <f t="shared" si="152"/>
        <v>1226.5643713010961</v>
      </c>
      <c r="K1956" s="45">
        <f t="shared" si="150"/>
        <v>22597340.141413193</v>
      </c>
    </row>
    <row r="1957" spans="2:11">
      <c r="B1957" s="43">
        <v>45586</v>
      </c>
      <c r="C1957" s="32" t="s">
        <v>29</v>
      </c>
      <c r="D1957" s="32" t="s">
        <v>132</v>
      </c>
      <c r="E1957" s="36">
        <f t="shared" si="153"/>
        <v>22597340.141413193</v>
      </c>
      <c r="F1957" s="36">
        <v>16941.59</v>
      </c>
      <c r="G1957" s="58">
        <v>0</v>
      </c>
      <c r="H1957" s="35">
        <f t="shared" si="154"/>
        <v>16941.59</v>
      </c>
      <c r="I1957" s="35">
        <f t="shared" si="151"/>
        <v>0</v>
      </c>
      <c r="J1957" s="35">
        <f t="shared" si="152"/>
        <v>2452.0484594305158</v>
      </c>
      <c r="K1957" s="45">
        <f t="shared" si="150"/>
        <v>22611829.682953764</v>
      </c>
    </row>
    <row r="1958" spans="2:11">
      <c r="B1958" s="43">
        <v>45586</v>
      </c>
      <c r="C1958" s="32" t="s">
        <v>25</v>
      </c>
      <c r="D1958" s="32" t="s">
        <v>132</v>
      </c>
      <c r="E1958" s="36">
        <f t="shared" si="153"/>
        <v>22611829.682953764</v>
      </c>
      <c r="F1958" s="36">
        <v>15451.26</v>
      </c>
      <c r="G1958" s="58">
        <v>0</v>
      </c>
      <c r="H1958" s="35">
        <f t="shared" si="154"/>
        <v>15451.26</v>
      </c>
      <c r="I1958" s="35">
        <f t="shared" si="151"/>
        <v>0</v>
      </c>
      <c r="J1958" s="35">
        <f t="shared" si="152"/>
        <v>1226.8103633440405</v>
      </c>
      <c r="K1958" s="45">
        <f t="shared" si="150"/>
        <v>22626054.132590421</v>
      </c>
    </row>
    <row r="1959" spans="2:11">
      <c r="B1959" s="43">
        <v>45586</v>
      </c>
      <c r="C1959" s="32" t="s">
        <v>25</v>
      </c>
      <c r="D1959" s="32" t="s">
        <v>132</v>
      </c>
      <c r="E1959" s="36">
        <f t="shared" si="153"/>
        <v>22626054.132590421</v>
      </c>
      <c r="F1959" s="36">
        <v>14524.41</v>
      </c>
      <c r="G1959" s="58">
        <v>0</v>
      </c>
      <c r="H1959" s="35">
        <f t="shared" si="154"/>
        <v>14524.41</v>
      </c>
      <c r="I1959" s="35">
        <f t="shared" si="151"/>
        <v>0</v>
      </c>
      <c r="J1959" s="35">
        <f t="shared" si="152"/>
        <v>1227.5821143465821</v>
      </c>
      <c r="K1959" s="45">
        <f t="shared" si="150"/>
        <v>22639350.960476074</v>
      </c>
    </row>
    <row r="1960" spans="2:11">
      <c r="B1960" s="43">
        <v>45586</v>
      </c>
      <c r="C1960" s="32" t="s">
        <v>27</v>
      </c>
      <c r="D1960" s="32" t="s">
        <v>134</v>
      </c>
      <c r="E1960" s="36">
        <f t="shared" si="153"/>
        <v>22639350.960476074</v>
      </c>
      <c r="F1960" s="36">
        <v>0</v>
      </c>
      <c r="G1960" s="58">
        <v>-9875.1</v>
      </c>
      <c r="H1960" s="35">
        <f t="shared" si="154"/>
        <v>-9875.1</v>
      </c>
      <c r="I1960" s="35">
        <f t="shared" si="151"/>
        <v>0</v>
      </c>
      <c r="J1960" s="35">
        <f t="shared" si="152"/>
        <v>1228.3035370035916</v>
      </c>
      <c r="K1960" s="45">
        <f t="shared" si="150"/>
        <v>22628247.556939069</v>
      </c>
    </row>
    <row r="1961" spans="2:11">
      <c r="B1961" s="43">
        <v>45586</v>
      </c>
      <c r="C1961" s="32" t="s">
        <v>27</v>
      </c>
      <c r="D1961" s="32" t="s">
        <v>134</v>
      </c>
      <c r="E1961" s="36">
        <f t="shared" si="153"/>
        <v>22628247.556939069</v>
      </c>
      <c r="F1961" s="36">
        <v>0</v>
      </c>
      <c r="G1961" s="58">
        <v>-9747.75</v>
      </c>
      <c r="H1961" s="35">
        <f t="shared" si="154"/>
        <v>-9747.75</v>
      </c>
      <c r="I1961" s="35">
        <f t="shared" si="151"/>
        <v>0</v>
      </c>
      <c r="J1961" s="35">
        <f t="shared" si="152"/>
        <v>1227.7011191223946</v>
      </c>
      <c r="K1961" s="45">
        <f t="shared" si="150"/>
        <v>22617272.105819948</v>
      </c>
    </row>
    <row r="1962" spans="2:11">
      <c r="B1962" s="43">
        <v>45587</v>
      </c>
      <c r="C1962" s="32" t="s">
        <v>25</v>
      </c>
      <c r="D1962" s="32" t="s">
        <v>132</v>
      </c>
      <c r="E1962" s="36">
        <f t="shared" si="153"/>
        <v>22617272.105819948</v>
      </c>
      <c r="F1962" s="36">
        <v>10215.89</v>
      </c>
      <c r="G1962" s="58">
        <v>0</v>
      </c>
      <c r="H1962" s="35">
        <f t="shared" si="154"/>
        <v>10215.89</v>
      </c>
      <c r="I1962" s="35">
        <f t="shared" si="151"/>
        <v>0</v>
      </c>
      <c r="J1962" s="35">
        <f t="shared" si="152"/>
        <v>2454.2112866620023</v>
      </c>
      <c r="K1962" s="45">
        <f t="shared" si="150"/>
        <v>22625033.784533288</v>
      </c>
    </row>
    <row r="1963" spans="2:11">
      <c r="B1963" s="43">
        <v>45587</v>
      </c>
      <c r="C1963" s="32" t="s">
        <v>25</v>
      </c>
      <c r="D1963" s="32" t="s">
        <v>134</v>
      </c>
      <c r="E1963" s="36">
        <f t="shared" si="153"/>
        <v>22625033.784533288</v>
      </c>
      <c r="F1963" s="36">
        <v>0</v>
      </c>
      <c r="G1963" s="58">
        <v>-8512.42</v>
      </c>
      <c r="H1963" s="35">
        <f t="shared" si="154"/>
        <v>-8512.42</v>
      </c>
      <c r="I1963" s="35">
        <f t="shared" si="151"/>
        <v>0</v>
      </c>
      <c r="J1963" s="35">
        <f t="shared" si="152"/>
        <v>1227.5267551125767</v>
      </c>
      <c r="K1963" s="45">
        <f t="shared" si="150"/>
        <v>22615293.837778173</v>
      </c>
    </row>
    <row r="1964" spans="2:11">
      <c r="B1964" s="43">
        <v>45587</v>
      </c>
      <c r="C1964" s="32" t="s">
        <v>29</v>
      </c>
      <c r="D1964" s="32" t="s">
        <v>134</v>
      </c>
      <c r="E1964" s="36">
        <f t="shared" si="153"/>
        <v>22615293.837778173</v>
      </c>
      <c r="F1964" s="36">
        <v>0</v>
      </c>
      <c r="G1964" s="58">
        <v>-16663</v>
      </c>
      <c r="H1964" s="35">
        <f t="shared" si="154"/>
        <v>-16663</v>
      </c>
      <c r="I1964" s="35">
        <f t="shared" si="151"/>
        <v>0</v>
      </c>
      <c r="J1964" s="35">
        <f t="shared" si="152"/>
        <v>1226.9983119133692</v>
      </c>
      <c r="K1964" s="45">
        <f t="shared" si="150"/>
        <v>22597403.839466259</v>
      </c>
    </row>
    <row r="1965" spans="2:11">
      <c r="B1965" s="43">
        <v>45588</v>
      </c>
      <c r="C1965" s="32" t="s">
        <v>29</v>
      </c>
      <c r="D1965" s="32" t="s">
        <v>132</v>
      </c>
      <c r="E1965" s="36">
        <f t="shared" si="153"/>
        <v>22597403.839466259</v>
      </c>
      <c r="F1965" s="36">
        <v>15932.72</v>
      </c>
      <c r="G1965" s="58">
        <v>0</v>
      </c>
      <c r="H1965" s="35">
        <f t="shared" si="154"/>
        <v>15932.72</v>
      </c>
      <c r="I1965" s="35">
        <f t="shared" si="151"/>
        <v>0</v>
      </c>
      <c r="J1965" s="35">
        <f t="shared" si="152"/>
        <v>2452.0553713374889</v>
      </c>
      <c r="K1965" s="45">
        <f t="shared" si="150"/>
        <v>22610884.504094921</v>
      </c>
    </row>
    <row r="1966" spans="2:11">
      <c r="B1966" s="43">
        <v>45588</v>
      </c>
      <c r="C1966" s="32" t="s">
        <v>25</v>
      </c>
      <c r="D1966" s="32" t="s">
        <v>132</v>
      </c>
      <c r="E1966" s="36">
        <f t="shared" si="153"/>
        <v>22610884.504094921</v>
      </c>
      <c r="F1966" s="36">
        <v>17357.400000000001</v>
      </c>
      <c r="G1966" s="58">
        <v>0</v>
      </c>
      <c r="H1966" s="35">
        <f t="shared" si="154"/>
        <v>17357.400000000001</v>
      </c>
      <c r="I1966" s="35">
        <f t="shared" si="151"/>
        <v>0</v>
      </c>
      <c r="J1966" s="35">
        <f t="shared" si="152"/>
        <v>1226.7590824333183</v>
      </c>
      <c r="K1966" s="45">
        <f t="shared" si="150"/>
        <v>22627015.145012487</v>
      </c>
    </row>
    <row r="1967" spans="2:11">
      <c r="B1967" s="43">
        <v>45588</v>
      </c>
      <c r="C1967" s="32" t="s">
        <v>29</v>
      </c>
      <c r="D1967" s="32" t="s">
        <v>132</v>
      </c>
      <c r="E1967" s="36">
        <f t="shared" si="153"/>
        <v>22627015.145012487</v>
      </c>
      <c r="F1967" s="36">
        <v>19127.12</v>
      </c>
      <c r="G1967" s="58">
        <v>0</v>
      </c>
      <c r="H1967" s="35">
        <f t="shared" si="154"/>
        <v>19127.12</v>
      </c>
      <c r="I1967" s="35">
        <f t="shared" si="151"/>
        <v>0</v>
      </c>
      <c r="J1967" s="35">
        <f t="shared" si="152"/>
        <v>1227.6342543111591</v>
      </c>
      <c r="K1967" s="45">
        <f t="shared" si="150"/>
        <v>22644914.630758177</v>
      </c>
    </row>
    <row r="1968" spans="2:11">
      <c r="B1968" s="43">
        <v>45588</v>
      </c>
      <c r="C1968" s="32" t="s">
        <v>27</v>
      </c>
      <c r="D1968" s="32" t="s">
        <v>132</v>
      </c>
      <c r="E1968" s="36">
        <f t="shared" si="153"/>
        <v>22644914.630758177</v>
      </c>
      <c r="F1968" s="36">
        <v>13011.3</v>
      </c>
      <c r="G1968" s="58">
        <v>0</v>
      </c>
      <c r="H1968" s="35">
        <f t="shared" si="154"/>
        <v>13011.3</v>
      </c>
      <c r="I1968" s="35">
        <f t="shared" si="151"/>
        <v>0</v>
      </c>
      <c r="J1968" s="35">
        <f t="shared" si="152"/>
        <v>1228.6053952988298</v>
      </c>
      <c r="K1968" s="45">
        <f t="shared" si="150"/>
        <v>22656697.32536288</v>
      </c>
    </row>
    <row r="1969" spans="2:11">
      <c r="B1969" s="43">
        <v>45588</v>
      </c>
      <c r="C1969" s="32" t="s">
        <v>25</v>
      </c>
      <c r="D1969" s="32" t="s">
        <v>132</v>
      </c>
      <c r="E1969" s="36">
        <f t="shared" si="153"/>
        <v>22656697.32536288</v>
      </c>
      <c r="F1969" s="36">
        <v>13182.86</v>
      </c>
      <c r="G1969" s="58">
        <v>0</v>
      </c>
      <c r="H1969" s="35">
        <f t="shared" si="154"/>
        <v>13182.86</v>
      </c>
      <c r="I1969" s="35">
        <f t="shared" si="151"/>
        <v>0</v>
      </c>
      <c r="J1969" s="35">
        <f t="shared" si="152"/>
        <v>1229.2446682834509</v>
      </c>
      <c r="K1969" s="45">
        <f t="shared" si="150"/>
        <v>22668650.940694597</v>
      </c>
    </row>
    <row r="1970" spans="2:11">
      <c r="B1970" s="43">
        <v>45588</v>
      </c>
      <c r="C1970" s="32" t="s">
        <v>29</v>
      </c>
      <c r="D1970" s="32" t="s">
        <v>132</v>
      </c>
      <c r="E1970" s="36">
        <f t="shared" si="153"/>
        <v>22668650.940694597</v>
      </c>
      <c r="F1970" s="36">
        <v>19585.41</v>
      </c>
      <c r="G1970" s="58">
        <v>0</v>
      </c>
      <c r="H1970" s="35">
        <f t="shared" si="154"/>
        <v>19585.41</v>
      </c>
      <c r="I1970" s="35">
        <f t="shared" si="151"/>
        <v>0</v>
      </c>
      <c r="J1970" s="35">
        <f t="shared" si="152"/>
        <v>1229.8932146140221</v>
      </c>
      <c r="K1970" s="45">
        <f t="shared" si="150"/>
        <v>22687006.457479984</v>
      </c>
    </row>
    <row r="1971" spans="2:11">
      <c r="B1971" s="43">
        <v>45588</v>
      </c>
      <c r="C1971" s="32" t="s">
        <v>29</v>
      </c>
      <c r="D1971" s="32" t="s">
        <v>132</v>
      </c>
      <c r="E1971" s="36">
        <f t="shared" si="153"/>
        <v>22687006.457479984</v>
      </c>
      <c r="F1971" s="36">
        <v>14419.02</v>
      </c>
      <c r="G1971" s="58">
        <v>0</v>
      </c>
      <c r="H1971" s="35">
        <f t="shared" si="154"/>
        <v>14419.02</v>
      </c>
      <c r="I1971" s="35">
        <f t="shared" si="151"/>
        <v>0</v>
      </c>
      <c r="J1971" s="35">
        <f t="shared" si="152"/>
        <v>1230.8890976775594</v>
      </c>
      <c r="K1971" s="45">
        <f t="shared" si="150"/>
        <v>22700194.588382304</v>
      </c>
    </row>
    <row r="1972" spans="2:11">
      <c r="B1972" s="43">
        <v>45588</v>
      </c>
      <c r="C1972" s="32" t="s">
        <v>29</v>
      </c>
      <c r="D1972" s="32" t="s">
        <v>134</v>
      </c>
      <c r="E1972" s="36">
        <f t="shared" si="153"/>
        <v>22700194.588382304</v>
      </c>
      <c r="F1972" s="36">
        <v>0</v>
      </c>
      <c r="G1972" s="58">
        <v>-9827</v>
      </c>
      <c r="H1972" s="35">
        <f t="shared" si="154"/>
        <v>-9827</v>
      </c>
      <c r="I1972" s="35">
        <f t="shared" si="151"/>
        <v>0</v>
      </c>
      <c r="J1972" s="35">
        <f t="shared" si="152"/>
        <v>1231.6046229530882</v>
      </c>
      <c r="K1972" s="45">
        <f t="shared" si="150"/>
        <v>22689135.983759351</v>
      </c>
    </row>
    <row r="1973" spans="2:11">
      <c r="B1973" s="43">
        <v>45589</v>
      </c>
      <c r="C1973" s="32" t="s">
        <v>29</v>
      </c>
      <c r="D1973" s="32" t="s">
        <v>132</v>
      </c>
      <c r="E1973" s="36">
        <f t="shared" si="153"/>
        <v>22689135.983759351</v>
      </c>
      <c r="F1973" s="36">
        <v>12105.23</v>
      </c>
      <c r="G1973" s="58">
        <v>0</v>
      </c>
      <c r="H1973" s="35">
        <f t="shared" si="154"/>
        <v>12105.23</v>
      </c>
      <c r="I1973" s="35">
        <f t="shared" si="151"/>
        <v>0</v>
      </c>
      <c r="J1973" s="35">
        <f t="shared" si="152"/>
        <v>2462.009271295914</v>
      </c>
      <c r="K1973" s="45">
        <f t="shared" si="150"/>
        <v>22698779.204488054</v>
      </c>
    </row>
    <row r="1974" spans="2:11">
      <c r="B1974" s="43">
        <v>45589</v>
      </c>
      <c r="C1974" s="32" t="s">
        <v>29</v>
      </c>
      <c r="D1974" s="32" t="s">
        <v>132</v>
      </c>
      <c r="E1974" s="36">
        <f t="shared" si="153"/>
        <v>22698779.204488054</v>
      </c>
      <c r="F1974" s="36">
        <v>19721.96</v>
      </c>
      <c r="G1974" s="58">
        <v>0</v>
      </c>
      <c r="H1974" s="35">
        <f t="shared" si="154"/>
        <v>19721.96</v>
      </c>
      <c r="I1974" s="35">
        <f t="shared" si="151"/>
        <v>0</v>
      </c>
      <c r="J1974" s="35">
        <f t="shared" si="152"/>
        <v>1231.5278309528865</v>
      </c>
      <c r="K1974" s="45">
        <f t="shared" si="150"/>
        <v>22717269.6366571</v>
      </c>
    </row>
    <row r="1975" spans="2:11">
      <c r="B1975" s="43">
        <v>45589</v>
      </c>
      <c r="C1975" s="32" t="s">
        <v>25</v>
      </c>
      <c r="D1975" s="32" t="s">
        <v>132</v>
      </c>
      <c r="E1975" s="36">
        <f t="shared" si="153"/>
        <v>22717269.6366571</v>
      </c>
      <c r="F1975" s="36">
        <v>13952.23</v>
      </c>
      <c r="G1975" s="58">
        <v>0</v>
      </c>
      <c r="H1975" s="35">
        <f t="shared" si="154"/>
        <v>13952.23</v>
      </c>
      <c r="I1975" s="35">
        <f t="shared" si="151"/>
        <v>0</v>
      </c>
      <c r="J1975" s="35">
        <f t="shared" si="152"/>
        <v>1232.5310338836425</v>
      </c>
      <c r="K1975" s="45">
        <f t="shared" si="150"/>
        <v>22729989.335623216</v>
      </c>
    </row>
    <row r="1976" spans="2:11">
      <c r="B1976" s="43">
        <v>45589</v>
      </c>
      <c r="C1976" s="32" t="s">
        <v>25</v>
      </c>
      <c r="D1976" s="32" t="s">
        <v>134</v>
      </c>
      <c r="E1976" s="36">
        <f t="shared" si="153"/>
        <v>22729989.335623216</v>
      </c>
      <c r="F1976" s="36">
        <v>0</v>
      </c>
      <c r="G1976" s="58">
        <v>-16232</v>
      </c>
      <c r="H1976" s="35">
        <f t="shared" si="154"/>
        <v>-16232</v>
      </c>
      <c r="I1976" s="35">
        <f t="shared" si="151"/>
        <v>0</v>
      </c>
      <c r="J1976" s="35">
        <f t="shared" si="152"/>
        <v>1233.2211442696239</v>
      </c>
      <c r="K1976" s="45">
        <f t="shared" si="150"/>
        <v>22712524.114478946</v>
      </c>
    </row>
    <row r="1977" spans="2:11">
      <c r="B1977" s="43">
        <v>45590</v>
      </c>
      <c r="C1977" s="32" t="s">
        <v>29</v>
      </c>
      <c r="D1977" s="32" t="s">
        <v>132</v>
      </c>
      <c r="E1977" s="36">
        <f t="shared" si="153"/>
        <v>22712524.114478946</v>
      </c>
      <c r="F1977" s="36">
        <v>15222.28</v>
      </c>
      <c r="G1977" s="58">
        <v>0</v>
      </c>
      <c r="H1977" s="35">
        <f t="shared" si="154"/>
        <v>15222.28</v>
      </c>
      <c r="I1977" s="35">
        <f t="shared" si="151"/>
        <v>0</v>
      </c>
      <c r="J1977" s="35">
        <f t="shared" si="152"/>
        <v>2464.5471288287499</v>
      </c>
      <c r="K1977" s="45">
        <f t="shared" si="150"/>
        <v>22725281.847350117</v>
      </c>
    </row>
    <row r="1978" spans="2:11">
      <c r="B1978" s="43">
        <v>45590</v>
      </c>
      <c r="C1978" s="32" t="s">
        <v>29</v>
      </c>
      <c r="D1978" s="32" t="s">
        <v>134</v>
      </c>
      <c r="E1978" s="36">
        <f t="shared" si="153"/>
        <v>22725281.847350117</v>
      </c>
      <c r="F1978" s="36">
        <v>0</v>
      </c>
      <c r="G1978" s="58">
        <v>-12956</v>
      </c>
      <c r="H1978" s="35">
        <f t="shared" si="154"/>
        <v>-12956</v>
      </c>
      <c r="I1978" s="35">
        <f t="shared" si="151"/>
        <v>0</v>
      </c>
      <c r="J1978" s="35">
        <f t="shared" si="152"/>
        <v>1232.9657383392</v>
      </c>
      <c r="K1978" s="45">
        <f t="shared" si="150"/>
        <v>22711092.881611779</v>
      </c>
    </row>
    <row r="1979" spans="2:11">
      <c r="B1979" s="43">
        <v>45590</v>
      </c>
      <c r="C1979" s="32" t="s">
        <v>29</v>
      </c>
      <c r="D1979" s="32" t="s">
        <v>134</v>
      </c>
      <c r="E1979" s="36">
        <f t="shared" si="153"/>
        <v>22711092.881611779</v>
      </c>
      <c r="F1979" s="36">
        <v>0</v>
      </c>
      <c r="G1979" s="58">
        <v>-3561</v>
      </c>
      <c r="H1979" s="35">
        <f t="shared" si="154"/>
        <v>-3561</v>
      </c>
      <c r="I1979" s="35">
        <f t="shared" si="151"/>
        <v>0</v>
      </c>
      <c r="J1979" s="35">
        <f t="shared" si="152"/>
        <v>1232.1959125242618</v>
      </c>
      <c r="K1979" s="45">
        <f t="shared" si="150"/>
        <v>22706299.685699254</v>
      </c>
    </row>
    <row r="1980" spans="2:11">
      <c r="B1980" s="43">
        <v>45591</v>
      </c>
      <c r="C1980" s="32" t="s">
        <v>27</v>
      </c>
      <c r="D1980" s="32" t="s">
        <v>132</v>
      </c>
      <c r="E1980" s="36">
        <f t="shared" si="153"/>
        <v>22706299.685699254</v>
      </c>
      <c r="F1980" s="36">
        <v>12893.84</v>
      </c>
      <c r="G1980" s="58">
        <v>0</v>
      </c>
      <c r="H1980" s="35">
        <f t="shared" si="154"/>
        <v>12893.84</v>
      </c>
      <c r="I1980" s="35">
        <f t="shared" si="151"/>
        <v>0</v>
      </c>
      <c r="J1980" s="35">
        <f t="shared" si="152"/>
        <v>2463.8717130096948</v>
      </c>
      <c r="K1980" s="45">
        <f t="shared" si="150"/>
        <v>22716729.653986245</v>
      </c>
    </row>
    <row r="1981" spans="2:11">
      <c r="B1981" s="43">
        <v>45591</v>
      </c>
      <c r="C1981" s="32" t="s">
        <v>25</v>
      </c>
      <c r="D1981" s="32" t="s">
        <v>132</v>
      </c>
      <c r="E1981" s="36">
        <f t="shared" si="153"/>
        <v>22716729.653986245</v>
      </c>
      <c r="F1981" s="36">
        <v>15063.01</v>
      </c>
      <c r="G1981" s="58">
        <v>0</v>
      </c>
      <c r="H1981" s="35">
        <f t="shared" si="154"/>
        <v>15063.01</v>
      </c>
      <c r="I1981" s="35">
        <f t="shared" si="151"/>
        <v>0</v>
      </c>
      <c r="J1981" s="35">
        <f t="shared" si="152"/>
        <v>1232.501736991444</v>
      </c>
      <c r="K1981" s="45">
        <f t="shared" si="150"/>
        <v>22730560.162249256</v>
      </c>
    </row>
    <row r="1982" spans="2:11">
      <c r="B1982" s="43">
        <v>45591</v>
      </c>
      <c r="C1982" s="32" t="s">
        <v>29</v>
      </c>
      <c r="D1982" s="32" t="s">
        <v>132</v>
      </c>
      <c r="E1982" s="36">
        <f t="shared" si="153"/>
        <v>22730560.162249256</v>
      </c>
      <c r="F1982" s="36">
        <v>16872.36</v>
      </c>
      <c r="G1982" s="58">
        <v>0</v>
      </c>
      <c r="H1982" s="35">
        <f t="shared" si="154"/>
        <v>16872.36</v>
      </c>
      <c r="I1982" s="35">
        <f t="shared" si="151"/>
        <v>0</v>
      </c>
      <c r="J1982" s="35">
        <f t="shared" si="152"/>
        <v>1233.2521146081731</v>
      </c>
      <c r="K1982" s="45">
        <f t="shared" si="150"/>
        <v>22746199.270134646</v>
      </c>
    </row>
    <row r="1983" spans="2:11">
      <c r="B1983" s="43">
        <v>45591</v>
      </c>
      <c r="C1983" s="32" t="s">
        <v>29</v>
      </c>
      <c r="D1983" s="32" t="s">
        <v>132</v>
      </c>
      <c r="E1983" s="36">
        <f t="shared" si="153"/>
        <v>22746199.270134646</v>
      </c>
      <c r="F1983" s="36">
        <v>15140.94</v>
      </c>
      <c r="G1983" s="58">
        <v>0</v>
      </c>
      <c r="H1983" s="35">
        <f t="shared" si="154"/>
        <v>15140.94</v>
      </c>
      <c r="I1983" s="35">
        <f t="shared" si="151"/>
        <v>0</v>
      </c>
      <c r="J1983" s="35">
        <f t="shared" si="152"/>
        <v>1234.100618240841</v>
      </c>
      <c r="K1983" s="45">
        <f t="shared" si="150"/>
        <v>22760106.109516408</v>
      </c>
    </row>
    <row r="1984" spans="2:11">
      <c r="B1984" s="43">
        <v>45591</v>
      </c>
      <c r="C1984" s="32" t="s">
        <v>25</v>
      </c>
      <c r="D1984" s="32" t="s">
        <v>132</v>
      </c>
      <c r="E1984" s="36">
        <f t="shared" si="153"/>
        <v>22760106.109516408</v>
      </c>
      <c r="F1984" s="36">
        <v>21226.2</v>
      </c>
      <c r="G1984" s="58">
        <v>0</v>
      </c>
      <c r="H1984" s="35">
        <f t="shared" si="154"/>
        <v>21226.2</v>
      </c>
      <c r="I1984" s="35">
        <f t="shared" si="151"/>
        <v>0</v>
      </c>
      <c r="J1984" s="35">
        <f t="shared" si="152"/>
        <v>1234.8551372211323</v>
      </c>
      <c r="K1984" s="45">
        <f t="shared" si="150"/>
        <v>22780097.454379186</v>
      </c>
    </row>
    <row r="1985" spans="2:11">
      <c r="B1985" s="43">
        <v>45591</v>
      </c>
      <c r="C1985" s="32" t="s">
        <v>25</v>
      </c>
      <c r="D1985" s="32" t="s">
        <v>132</v>
      </c>
      <c r="E1985" s="36">
        <f t="shared" si="153"/>
        <v>22780097.454379186</v>
      </c>
      <c r="F1985" s="36">
        <v>13775.77</v>
      </c>
      <c r="G1985" s="58">
        <v>0</v>
      </c>
      <c r="H1985" s="35">
        <f t="shared" si="154"/>
        <v>13775.77</v>
      </c>
      <c r="I1985" s="35">
        <f t="shared" si="151"/>
        <v>0</v>
      </c>
      <c r="J1985" s="35">
        <f t="shared" si="152"/>
        <v>1235.9397725380757</v>
      </c>
      <c r="K1985" s="45">
        <f t="shared" si="150"/>
        <v>22792637.284606647</v>
      </c>
    </row>
    <row r="1986" spans="2:11">
      <c r="B1986" s="43">
        <v>45591</v>
      </c>
      <c r="C1986" s="32" t="s">
        <v>25</v>
      </c>
      <c r="D1986" s="32" t="s">
        <v>132</v>
      </c>
      <c r="E1986" s="36">
        <f t="shared" si="153"/>
        <v>22792637.284606647</v>
      </c>
      <c r="F1986" s="36">
        <v>16717.75</v>
      </c>
      <c r="G1986" s="58">
        <v>0</v>
      </c>
      <c r="H1986" s="35">
        <f t="shared" si="154"/>
        <v>16717.75</v>
      </c>
      <c r="I1986" s="35">
        <f t="shared" si="151"/>
        <v>0</v>
      </c>
      <c r="J1986" s="35">
        <f t="shared" si="152"/>
        <v>1236.6201241015417</v>
      </c>
      <c r="K1986" s="45">
        <f t="shared" si="150"/>
        <v>22808118.414482545</v>
      </c>
    </row>
    <row r="1987" spans="2:11">
      <c r="B1987" s="43">
        <v>45591</v>
      </c>
      <c r="C1987" s="32" t="s">
        <v>27</v>
      </c>
      <c r="D1987" s="32" t="s">
        <v>134</v>
      </c>
      <c r="E1987" s="36">
        <f t="shared" si="153"/>
        <v>22808118.414482545</v>
      </c>
      <c r="F1987" s="36">
        <v>0</v>
      </c>
      <c r="G1987" s="58">
        <v>-6250.17</v>
      </c>
      <c r="H1987" s="35">
        <f t="shared" si="154"/>
        <v>-6250.17</v>
      </c>
      <c r="I1987" s="35">
        <f t="shared" si="151"/>
        <v>0</v>
      </c>
      <c r="J1987" s="35">
        <f t="shared" si="152"/>
        <v>1237.460056598572</v>
      </c>
      <c r="K1987" s="45">
        <f t="shared" si="150"/>
        <v>22800630.784425944</v>
      </c>
    </row>
    <row r="1988" spans="2:11">
      <c r="B1988" s="43">
        <v>45591</v>
      </c>
      <c r="C1988" s="32" t="s">
        <v>29</v>
      </c>
      <c r="D1988" s="32" t="s">
        <v>134</v>
      </c>
      <c r="E1988" s="36">
        <f t="shared" si="153"/>
        <v>22800630.784425944</v>
      </c>
      <c r="F1988" s="36">
        <v>0</v>
      </c>
      <c r="G1988" s="58">
        <v>-3155.94</v>
      </c>
      <c r="H1988" s="35">
        <f t="shared" si="154"/>
        <v>-3155.94</v>
      </c>
      <c r="I1988" s="35">
        <f t="shared" si="151"/>
        <v>0</v>
      </c>
      <c r="J1988" s="35">
        <f t="shared" si="152"/>
        <v>1237.0538133940581</v>
      </c>
      <c r="K1988" s="45">
        <f t="shared" si="150"/>
        <v>22796237.790612549</v>
      </c>
    </row>
    <row r="1989" spans="2:11">
      <c r="B1989" s="43">
        <v>45591</v>
      </c>
      <c r="C1989" s="32" t="s">
        <v>27</v>
      </c>
      <c r="D1989" s="32" t="s">
        <v>134</v>
      </c>
      <c r="E1989" s="36">
        <f t="shared" si="153"/>
        <v>22796237.790612549</v>
      </c>
      <c r="F1989" s="36">
        <v>0</v>
      </c>
      <c r="G1989" s="58">
        <v>-10240</v>
      </c>
      <c r="H1989" s="35">
        <f t="shared" si="154"/>
        <v>-10240</v>
      </c>
      <c r="I1989" s="35">
        <f t="shared" si="151"/>
        <v>0</v>
      </c>
      <c r="J1989" s="35">
        <f t="shared" si="152"/>
        <v>1236.8154704376523</v>
      </c>
      <c r="K1989" s="45">
        <f t="shared" si="150"/>
        <v>22784760.97514211</v>
      </c>
    </row>
    <row r="1990" spans="2:11">
      <c r="B1990" s="43">
        <v>45591</v>
      </c>
      <c r="C1990" s="32" t="s">
        <v>27</v>
      </c>
      <c r="D1990" s="32" t="s">
        <v>134</v>
      </c>
      <c r="E1990" s="36">
        <f t="shared" si="153"/>
        <v>22784760.97514211</v>
      </c>
      <c r="F1990" s="36">
        <v>0</v>
      </c>
      <c r="G1990" s="58">
        <v>-10833</v>
      </c>
      <c r="H1990" s="35">
        <f t="shared" si="154"/>
        <v>-10833</v>
      </c>
      <c r="I1990" s="35">
        <f t="shared" si="151"/>
        <v>0</v>
      </c>
      <c r="J1990" s="35">
        <f t="shared" si="152"/>
        <v>1236.1927930004551</v>
      </c>
      <c r="K1990" s="45">
        <f t="shared" si="150"/>
        <v>22772691.78234911</v>
      </c>
    </row>
    <row r="1991" spans="2:11">
      <c r="B1991" s="43">
        <v>45592</v>
      </c>
      <c r="C1991" s="32" t="s">
        <v>29</v>
      </c>
      <c r="D1991" s="32" t="s">
        <v>132</v>
      </c>
      <c r="E1991" s="36">
        <f t="shared" si="153"/>
        <v>22772691.78234911</v>
      </c>
      <c r="F1991" s="36">
        <v>20061.419999999998</v>
      </c>
      <c r="G1991" s="58">
        <v>0</v>
      </c>
      <c r="H1991" s="35">
        <f t="shared" si="154"/>
        <v>20061.419999999998</v>
      </c>
      <c r="I1991" s="35">
        <f t="shared" si="151"/>
        <v>0</v>
      </c>
      <c r="J1991" s="35">
        <f t="shared" si="152"/>
        <v>2471.0759519727703</v>
      </c>
      <c r="K1991" s="45">
        <f t="shared" si="150"/>
        <v>22790282.12639714</v>
      </c>
    </row>
    <row r="1992" spans="2:11">
      <c r="B1992" s="43">
        <v>45592</v>
      </c>
      <c r="C1992" s="32" t="s">
        <v>25</v>
      </c>
      <c r="D1992" s="32" t="s">
        <v>132</v>
      </c>
      <c r="E1992" s="36">
        <f t="shared" si="153"/>
        <v>22790282.12639714</v>
      </c>
      <c r="F1992" s="36">
        <v>10862.04</v>
      </c>
      <c r="G1992" s="58">
        <v>0</v>
      </c>
      <c r="H1992" s="35">
        <f t="shared" si="154"/>
        <v>10862.04</v>
      </c>
      <c r="I1992" s="35">
        <f t="shared" si="151"/>
        <v>0</v>
      </c>
      <c r="J1992" s="35">
        <f t="shared" si="152"/>
        <v>1236.4923444154549</v>
      </c>
      <c r="K1992" s="45">
        <f t="shared" ref="K1992:K2055" si="155">E1992+H1992+I1992-J1992</f>
        <v>22799907.674052723</v>
      </c>
    </row>
    <row r="1993" spans="2:11">
      <c r="B1993" s="43">
        <v>45592</v>
      </c>
      <c r="C1993" s="32" t="s">
        <v>27</v>
      </c>
      <c r="D1993" s="32" t="s">
        <v>132</v>
      </c>
      <c r="E1993" s="36">
        <f t="shared" si="153"/>
        <v>22799907.674052723</v>
      </c>
      <c r="F1993" s="36">
        <v>13922.12</v>
      </c>
      <c r="G1993" s="58">
        <v>0</v>
      </c>
      <c r="H1993" s="35">
        <f t="shared" si="154"/>
        <v>13922.12</v>
      </c>
      <c r="I1993" s="35">
        <f t="shared" si="151"/>
        <v>0</v>
      </c>
      <c r="J1993" s="35">
        <f t="shared" si="152"/>
        <v>1237.0145808634691</v>
      </c>
      <c r="K1993" s="45">
        <f t="shared" si="155"/>
        <v>22812592.779471859</v>
      </c>
    </row>
    <row r="1994" spans="2:11">
      <c r="B1994" s="43">
        <v>45592</v>
      </c>
      <c r="C1994" s="32" t="s">
        <v>27</v>
      </c>
      <c r="D1994" s="32" t="s">
        <v>132</v>
      </c>
      <c r="E1994" s="36">
        <f t="shared" si="153"/>
        <v>22812592.779471859</v>
      </c>
      <c r="F1994" s="36">
        <v>16928.169999999998</v>
      </c>
      <c r="G1994" s="58">
        <v>0</v>
      </c>
      <c r="H1994" s="35">
        <f t="shared" si="154"/>
        <v>16928.169999999998</v>
      </c>
      <c r="I1994" s="35">
        <f t="shared" si="151"/>
        <v>0</v>
      </c>
      <c r="J1994" s="35">
        <f t="shared" si="152"/>
        <v>1237.7028143680775</v>
      </c>
      <c r="K1994" s="45">
        <f t="shared" si="155"/>
        <v>22828283.246657494</v>
      </c>
    </row>
    <row r="1995" spans="2:11">
      <c r="B1995" s="43">
        <v>45592</v>
      </c>
      <c r="C1995" s="32" t="s">
        <v>27</v>
      </c>
      <c r="D1995" s="32" t="s">
        <v>132</v>
      </c>
      <c r="E1995" s="36">
        <f t="shared" si="153"/>
        <v>22828283.246657494</v>
      </c>
      <c r="F1995" s="36">
        <v>14989.88</v>
      </c>
      <c r="G1995" s="58">
        <v>0</v>
      </c>
      <c r="H1995" s="35">
        <f t="shared" si="154"/>
        <v>14989.88</v>
      </c>
      <c r="I1995" s="35">
        <f t="shared" si="151"/>
        <v>0</v>
      </c>
      <c r="J1995" s="35">
        <f t="shared" si="152"/>
        <v>1238.5541045121722</v>
      </c>
      <c r="K1995" s="45">
        <f t="shared" si="155"/>
        <v>22842034.572552983</v>
      </c>
    </row>
    <row r="1996" spans="2:11">
      <c r="B1996" s="43">
        <v>45592</v>
      </c>
      <c r="C1996" s="32" t="s">
        <v>27</v>
      </c>
      <c r="D1996" s="32" t="s">
        <v>134</v>
      </c>
      <c r="E1996" s="36">
        <f t="shared" si="153"/>
        <v>22842034.572552983</v>
      </c>
      <c r="F1996" s="36">
        <v>0</v>
      </c>
      <c r="G1996" s="58">
        <v>-11692</v>
      </c>
      <c r="H1996" s="35">
        <f t="shared" si="154"/>
        <v>-11692</v>
      </c>
      <c r="I1996" s="35">
        <f t="shared" si="151"/>
        <v>0</v>
      </c>
      <c r="J1996" s="35">
        <f t="shared" si="152"/>
        <v>1239.3001860701377</v>
      </c>
      <c r="K1996" s="45">
        <f t="shared" si="155"/>
        <v>22829103.272366911</v>
      </c>
    </row>
    <row r="1997" spans="2:11">
      <c r="B1997" s="43">
        <v>45593</v>
      </c>
      <c r="C1997" s="32" t="s">
        <v>29</v>
      </c>
      <c r="D1997" s="32" t="s">
        <v>132</v>
      </c>
      <c r="E1997" s="36">
        <f t="shared" si="153"/>
        <v>22829103.272366911</v>
      </c>
      <c r="F1997" s="36">
        <v>15633.05</v>
      </c>
      <c r="G1997" s="58">
        <v>0</v>
      </c>
      <c r="H1997" s="35">
        <f t="shared" si="154"/>
        <v>15633.05</v>
      </c>
      <c r="I1997" s="35">
        <f t="shared" si="151"/>
        <v>0</v>
      </c>
      <c r="J1997" s="35">
        <f t="shared" si="152"/>
        <v>2477.197190416176</v>
      </c>
      <c r="K1997" s="45">
        <f t="shared" si="155"/>
        <v>22842259.125176497</v>
      </c>
    </row>
    <row r="1998" spans="2:11">
      <c r="B1998" s="43">
        <v>45593</v>
      </c>
      <c r="C1998" s="32" t="s">
        <v>25</v>
      </c>
      <c r="D1998" s="32" t="s">
        <v>132</v>
      </c>
      <c r="E1998" s="36">
        <f t="shared" si="153"/>
        <v>22842259.125176497</v>
      </c>
      <c r="F1998" s="36">
        <v>13518.73</v>
      </c>
      <c r="G1998" s="58">
        <v>0</v>
      </c>
      <c r="H1998" s="35">
        <f t="shared" si="154"/>
        <v>13518.73</v>
      </c>
      <c r="I1998" s="35">
        <f t="shared" si="151"/>
        <v>0</v>
      </c>
      <c r="J1998" s="35">
        <f t="shared" si="152"/>
        <v>1239.3123692277816</v>
      </c>
      <c r="K1998" s="45">
        <f t="shared" si="155"/>
        <v>22854538.54280727</v>
      </c>
    </row>
    <row r="1999" spans="2:11">
      <c r="B1999" s="43">
        <v>45593</v>
      </c>
      <c r="C1999" s="32" t="s">
        <v>25</v>
      </c>
      <c r="D1999" s="32" t="s">
        <v>132</v>
      </c>
      <c r="E1999" s="36">
        <f t="shared" si="153"/>
        <v>22854538.54280727</v>
      </c>
      <c r="F1999" s="36">
        <v>14129.18</v>
      </c>
      <c r="G1999" s="58">
        <v>0</v>
      </c>
      <c r="H1999" s="35">
        <f t="shared" si="154"/>
        <v>14129.18</v>
      </c>
      <c r="I1999" s="35">
        <f t="shared" si="151"/>
        <v>0</v>
      </c>
      <c r="J1999" s="35">
        <f t="shared" si="152"/>
        <v>1239.9785920419672</v>
      </c>
      <c r="K1999" s="45">
        <f t="shared" si="155"/>
        <v>22867427.744215228</v>
      </c>
    </row>
    <row r="2000" spans="2:11">
      <c r="B2000" s="43">
        <v>45593</v>
      </c>
      <c r="C2000" s="32" t="s">
        <v>25</v>
      </c>
      <c r="D2000" s="32" t="s">
        <v>132</v>
      </c>
      <c r="E2000" s="36">
        <f t="shared" si="153"/>
        <v>22867427.744215228</v>
      </c>
      <c r="F2000" s="36">
        <v>16624.39</v>
      </c>
      <c r="G2000" s="58">
        <v>0</v>
      </c>
      <c r="H2000" s="35">
        <f t="shared" si="154"/>
        <v>16624.39</v>
      </c>
      <c r="I2000" s="35">
        <f t="shared" si="151"/>
        <v>0</v>
      </c>
      <c r="J2000" s="35">
        <f t="shared" si="152"/>
        <v>1240.6778988244887</v>
      </c>
      <c r="K2000" s="45">
        <f t="shared" si="155"/>
        <v>22882811.456316404</v>
      </c>
    </row>
    <row r="2001" spans="2:11">
      <c r="B2001" s="43">
        <v>45593</v>
      </c>
      <c r="C2001" s="32" t="s">
        <v>29</v>
      </c>
      <c r="D2001" s="32" t="s">
        <v>134</v>
      </c>
      <c r="E2001" s="36">
        <f t="shared" si="153"/>
        <v>22882811.456316404</v>
      </c>
      <c r="F2001" s="36">
        <v>0</v>
      </c>
      <c r="G2001" s="58">
        <v>-3096.94</v>
      </c>
      <c r="H2001" s="35">
        <f t="shared" si="154"/>
        <v>-3096.94</v>
      </c>
      <c r="I2001" s="35">
        <f t="shared" si="151"/>
        <v>0</v>
      </c>
      <c r="J2001" s="35">
        <f t="shared" si="152"/>
        <v>1241.5125458962668</v>
      </c>
      <c r="K2001" s="45">
        <f t="shared" si="155"/>
        <v>22878473.003770508</v>
      </c>
    </row>
    <row r="2002" spans="2:11">
      <c r="B2002" s="43">
        <v>45593</v>
      </c>
      <c r="C2002" s="32" t="s">
        <v>25</v>
      </c>
      <c r="D2002" s="32" t="s">
        <v>134</v>
      </c>
      <c r="E2002" s="36">
        <f t="shared" si="153"/>
        <v>22878473.003770508</v>
      </c>
      <c r="F2002" s="36">
        <v>0</v>
      </c>
      <c r="G2002" s="58">
        <v>-11900</v>
      </c>
      <c r="H2002" s="35">
        <f t="shared" si="154"/>
        <v>-11900</v>
      </c>
      <c r="I2002" s="35">
        <f t="shared" si="151"/>
        <v>0</v>
      </c>
      <c r="J2002" s="35">
        <f t="shared" si="152"/>
        <v>1241.2771620897015</v>
      </c>
      <c r="K2002" s="45">
        <f t="shared" si="155"/>
        <v>22865331.726608418</v>
      </c>
    </row>
    <row r="2003" spans="2:11">
      <c r="B2003" s="43">
        <v>45593</v>
      </c>
      <c r="C2003" s="32" t="s">
        <v>29</v>
      </c>
      <c r="D2003" s="32" t="s">
        <v>134</v>
      </c>
      <c r="E2003" s="36">
        <f t="shared" si="153"/>
        <v>22865331.726608418</v>
      </c>
      <c r="F2003" s="36">
        <v>0</v>
      </c>
      <c r="G2003" s="58">
        <v>-4292</v>
      </c>
      <c r="H2003" s="35">
        <f t="shared" si="154"/>
        <v>-4292</v>
      </c>
      <c r="I2003" s="35">
        <f t="shared" si="151"/>
        <v>0</v>
      </c>
      <c r="J2003" s="35">
        <f t="shared" si="152"/>
        <v>1240.5641788753364</v>
      </c>
      <c r="K2003" s="45">
        <f t="shared" si="155"/>
        <v>22859799.162429541</v>
      </c>
    </row>
    <row r="2004" spans="2:11">
      <c r="B2004" s="43">
        <v>45593</v>
      </c>
      <c r="C2004" s="32" t="s">
        <v>25</v>
      </c>
      <c r="D2004" s="32" t="s">
        <v>134</v>
      </c>
      <c r="E2004" s="36">
        <f t="shared" si="153"/>
        <v>22859799.162429541</v>
      </c>
      <c r="F2004" s="36">
        <v>0</v>
      </c>
      <c r="G2004" s="58">
        <v>-14378</v>
      </c>
      <c r="H2004" s="35">
        <f t="shared" si="154"/>
        <v>-14378</v>
      </c>
      <c r="I2004" s="35">
        <f t="shared" ref="I2004:I2067" si="156">(($E2004*Daily_Interest)*(_xlfn.DAYS(B2004,B2003)+1))+((IF(DAY($B2003)&gt;Monthly_Cut_off_Date,0,Daily_Interest*H2004))*(_xlfn.DAYS(B2004,B2003)+1))</f>
        <v>0</v>
      </c>
      <c r="J2004" s="35">
        <f t="shared" ref="J2004:J2067" si="157">(($I2004+E2004)*Daily_Fees_Rate)*((_xlfn.DAYS(B2004,B2003)+1))</f>
        <v>1240.2640082493551</v>
      </c>
      <c r="K2004" s="45">
        <f t="shared" si="155"/>
        <v>22844180.898421291</v>
      </c>
    </row>
    <row r="2005" spans="2:11">
      <c r="B2005" s="43">
        <v>45594</v>
      </c>
      <c r="C2005" s="32" t="s">
        <v>25</v>
      </c>
      <c r="D2005" s="32" t="s">
        <v>132</v>
      </c>
      <c r="E2005" s="36">
        <f t="shared" ref="E2005:E2068" si="158">K2004</f>
        <v>22844180.898421291</v>
      </c>
      <c r="F2005" s="36">
        <v>17323.900000000001</v>
      </c>
      <c r="G2005" s="58">
        <v>0</v>
      </c>
      <c r="H2005" s="35">
        <f t="shared" ref="H2005:H2068" si="159">SUM(F2005:G2005)</f>
        <v>17323.900000000001</v>
      </c>
      <c r="I2005" s="35">
        <f t="shared" si="156"/>
        <v>0</v>
      </c>
      <c r="J2005" s="35">
        <f t="shared" si="157"/>
        <v>2478.8332710127042</v>
      </c>
      <c r="K2005" s="45">
        <f t="shared" si="155"/>
        <v>22859025.965150278</v>
      </c>
    </row>
    <row r="2006" spans="2:11">
      <c r="B2006" s="43">
        <v>45594</v>
      </c>
      <c r="C2006" s="32" t="s">
        <v>29</v>
      </c>
      <c r="D2006" s="32" t="s">
        <v>132</v>
      </c>
      <c r="E2006" s="36">
        <f t="shared" si="158"/>
        <v>22859025.965150278</v>
      </c>
      <c r="F2006" s="36">
        <v>16840.55</v>
      </c>
      <c r="G2006" s="58">
        <v>0</v>
      </c>
      <c r="H2006" s="35">
        <f t="shared" si="159"/>
        <v>16840.55</v>
      </c>
      <c r="I2006" s="35">
        <f t="shared" si="156"/>
        <v>0</v>
      </c>
      <c r="J2006" s="35">
        <f t="shared" si="157"/>
        <v>1240.2220582413988</v>
      </c>
      <c r="K2006" s="45">
        <f t="shared" si="155"/>
        <v>22874626.293092038</v>
      </c>
    </row>
    <row r="2007" spans="2:11">
      <c r="B2007" s="43">
        <v>45594</v>
      </c>
      <c r="C2007" s="32" t="s">
        <v>27</v>
      </c>
      <c r="D2007" s="32" t="s">
        <v>132</v>
      </c>
      <c r="E2007" s="36">
        <f t="shared" si="158"/>
        <v>22874626.293092038</v>
      </c>
      <c r="F2007" s="36">
        <v>7501.78</v>
      </c>
      <c r="G2007" s="58">
        <v>0</v>
      </c>
      <c r="H2007" s="35">
        <f t="shared" si="159"/>
        <v>7501.78</v>
      </c>
      <c r="I2007" s="35">
        <f t="shared" si="156"/>
        <v>0</v>
      </c>
      <c r="J2007" s="35">
        <f t="shared" si="157"/>
        <v>1241.068457858717</v>
      </c>
      <c r="K2007" s="45">
        <f t="shared" si="155"/>
        <v>22880887.004634179</v>
      </c>
    </row>
    <row r="2008" spans="2:11">
      <c r="B2008" s="43">
        <v>45594</v>
      </c>
      <c r="C2008" s="32" t="s">
        <v>29</v>
      </c>
      <c r="D2008" s="32" t="s">
        <v>134</v>
      </c>
      <c r="E2008" s="36">
        <f t="shared" si="158"/>
        <v>22880887.004634179</v>
      </c>
      <c r="F2008" s="36">
        <v>0</v>
      </c>
      <c r="G2008" s="58">
        <v>-9885.66</v>
      </c>
      <c r="H2008" s="35">
        <f t="shared" si="159"/>
        <v>-9885.66</v>
      </c>
      <c r="I2008" s="35">
        <f t="shared" si="156"/>
        <v>0</v>
      </c>
      <c r="J2008" s="35">
        <f t="shared" si="157"/>
        <v>1241.4081342984168</v>
      </c>
      <c r="K2008" s="45">
        <f t="shared" si="155"/>
        <v>22869759.936499879</v>
      </c>
    </row>
    <row r="2009" spans="2:11">
      <c r="B2009" s="43">
        <v>45594</v>
      </c>
      <c r="C2009" s="32" t="s">
        <v>25</v>
      </c>
      <c r="D2009" s="32" t="s">
        <v>134</v>
      </c>
      <c r="E2009" s="36">
        <f t="shared" si="158"/>
        <v>22869759.936499879</v>
      </c>
      <c r="F2009" s="36">
        <v>0</v>
      </c>
      <c r="G2009" s="58">
        <v>-12005</v>
      </c>
      <c r="H2009" s="35">
        <f t="shared" si="159"/>
        <v>-12005</v>
      </c>
      <c r="I2009" s="35">
        <f t="shared" si="156"/>
        <v>0</v>
      </c>
      <c r="J2009" s="35">
        <f t="shared" si="157"/>
        <v>1240.8044324886916</v>
      </c>
      <c r="K2009" s="45">
        <f t="shared" si="155"/>
        <v>22856514.13206739</v>
      </c>
    </row>
    <row r="2010" spans="2:11">
      <c r="B2010" s="43">
        <v>45594</v>
      </c>
      <c r="C2010" s="32" t="s">
        <v>27</v>
      </c>
      <c r="D2010" s="32" t="s">
        <v>134</v>
      </c>
      <c r="E2010" s="36">
        <f t="shared" si="158"/>
        <v>22856514.13206739</v>
      </c>
      <c r="F2010" s="36">
        <v>0</v>
      </c>
      <c r="G2010" s="58">
        <v>-16410</v>
      </c>
      <c r="H2010" s="35">
        <f t="shared" si="159"/>
        <v>-16410</v>
      </c>
      <c r="I2010" s="35">
        <f t="shared" si="156"/>
        <v>0</v>
      </c>
      <c r="J2010" s="35">
        <f t="shared" si="157"/>
        <v>1240.0857781216434</v>
      </c>
      <c r="K2010" s="45">
        <f t="shared" si="155"/>
        <v>22838864.046289269</v>
      </c>
    </row>
    <row r="2011" spans="2:11">
      <c r="B2011" s="43">
        <v>45594</v>
      </c>
      <c r="C2011" s="32" t="s">
        <v>29</v>
      </c>
      <c r="D2011" s="32" t="s">
        <v>134</v>
      </c>
      <c r="E2011" s="36">
        <f t="shared" si="158"/>
        <v>22838864.046289269</v>
      </c>
      <c r="F2011" s="36">
        <v>0</v>
      </c>
      <c r="G2011" s="58">
        <v>-7735</v>
      </c>
      <c r="H2011" s="35">
        <f t="shared" si="159"/>
        <v>-7735</v>
      </c>
      <c r="I2011" s="35">
        <f t="shared" si="156"/>
        <v>0</v>
      </c>
      <c r="J2011" s="35">
        <f t="shared" si="157"/>
        <v>1239.1281683903605</v>
      </c>
      <c r="K2011" s="45">
        <f t="shared" si="155"/>
        <v>22829889.91812088</v>
      </c>
    </row>
    <row r="2012" spans="2:11">
      <c r="B2012" s="43">
        <v>45595</v>
      </c>
      <c r="C2012" s="32" t="s">
        <v>27</v>
      </c>
      <c r="D2012" s="32" t="s">
        <v>132</v>
      </c>
      <c r="E2012" s="36">
        <f t="shared" si="158"/>
        <v>22829889.91812088</v>
      </c>
      <c r="F2012" s="36">
        <v>11987.58</v>
      </c>
      <c r="G2012" s="58">
        <v>0</v>
      </c>
      <c r="H2012" s="35">
        <f t="shared" si="159"/>
        <v>11987.58</v>
      </c>
      <c r="I2012" s="35">
        <f t="shared" si="156"/>
        <v>0</v>
      </c>
      <c r="J2012" s="35">
        <f t="shared" si="157"/>
        <v>2477.2825497326735</v>
      </c>
      <c r="K2012" s="45">
        <f t="shared" si="155"/>
        <v>22839400.215571146</v>
      </c>
    </row>
    <row r="2013" spans="2:11">
      <c r="B2013" s="43">
        <v>45595</v>
      </c>
      <c r="C2013" s="32" t="s">
        <v>27</v>
      </c>
      <c r="D2013" s="32" t="s">
        <v>132</v>
      </c>
      <c r="E2013" s="36">
        <f t="shared" si="158"/>
        <v>22839400.215571146</v>
      </c>
      <c r="F2013" s="36">
        <v>14730.79</v>
      </c>
      <c r="G2013" s="58">
        <v>0</v>
      </c>
      <c r="H2013" s="35">
        <f t="shared" si="159"/>
        <v>14730.79</v>
      </c>
      <c r="I2013" s="35">
        <f t="shared" si="156"/>
        <v>0</v>
      </c>
      <c r="J2013" s="35">
        <f t="shared" si="157"/>
        <v>1239.1572583862051</v>
      </c>
      <c r="K2013" s="45">
        <f t="shared" si="155"/>
        <v>22852891.848312758</v>
      </c>
    </row>
    <row r="2014" spans="2:11">
      <c r="B2014" s="43">
        <v>45595</v>
      </c>
      <c r="C2014" s="32" t="s">
        <v>29</v>
      </c>
      <c r="D2014" s="32" t="s">
        <v>132</v>
      </c>
      <c r="E2014" s="36">
        <f t="shared" si="158"/>
        <v>22852891.848312758</v>
      </c>
      <c r="F2014" s="36">
        <v>14227.87</v>
      </c>
      <c r="G2014" s="58">
        <v>0</v>
      </c>
      <c r="H2014" s="35">
        <f t="shared" si="159"/>
        <v>14227.87</v>
      </c>
      <c r="I2014" s="35">
        <f t="shared" si="156"/>
        <v>0</v>
      </c>
      <c r="J2014" s="35">
        <f t="shared" si="157"/>
        <v>1239.8892502284361</v>
      </c>
      <c r="K2014" s="45">
        <f t="shared" si="155"/>
        <v>22865879.829062529</v>
      </c>
    </row>
    <row r="2015" spans="2:11">
      <c r="B2015" s="43">
        <v>45595</v>
      </c>
      <c r="C2015" s="32" t="s">
        <v>27</v>
      </c>
      <c r="D2015" s="32" t="s">
        <v>132</v>
      </c>
      <c r="E2015" s="36">
        <f t="shared" si="158"/>
        <v>22865879.829062529</v>
      </c>
      <c r="F2015" s="36">
        <v>11151.02</v>
      </c>
      <c r="G2015" s="58">
        <v>0</v>
      </c>
      <c r="H2015" s="35">
        <f t="shared" si="159"/>
        <v>11151.02</v>
      </c>
      <c r="I2015" s="35">
        <f t="shared" si="156"/>
        <v>0</v>
      </c>
      <c r="J2015" s="35">
        <f t="shared" si="157"/>
        <v>1240.593916308366</v>
      </c>
      <c r="K2015" s="45">
        <f t="shared" si="155"/>
        <v>22875790.25514622</v>
      </c>
    </row>
    <row r="2016" spans="2:11">
      <c r="B2016" s="43">
        <v>45595</v>
      </c>
      <c r="C2016" s="32" t="s">
        <v>25</v>
      </c>
      <c r="D2016" s="32" t="s">
        <v>134</v>
      </c>
      <c r="E2016" s="36">
        <f t="shared" si="158"/>
        <v>22875790.25514622</v>
      </c>
      <c r="F2016" s="36">
        <v>0</v>
      </c>
      <c r="G2016" s="58">
        <v>-6449.19</v>
      </c>
      <c r="H2016" s="35">
        <f t="shared" si="159"/>
        <v>-6449.19</v>
      </c>
      <c r="I2016" s="35">
        <f t="shared" si="156"/>
        <v>0</v>
      </c>
      <c r="J2016" s="35">
        <f t="shared" si="157"/>
        <v>1241.131608905343</v>
      </c>
      <c r="K2016" s="45">
        <f t="shared" si="155"/>
        <v>22868099.933537312</v>
      </c>
    </row>
    <row r="2017" spans="2:11">
      <c r="B2017" s="43">
        <v>45595</v>
      </c>
      <c r="C2017" s="32" t="s">
        <v>25</v>
      </c>
      <c r="D2017" s="32" t="s">
        <v>134</v>
      </c>
      <c r="E2017" s="36">
        <f t="shared" si="158"/>
        <v>22868099.933537312</v>
      </c>
      <c r="F2017" s="36">
        <v>0</v>
      </c>
      <c r="G2017" s="58">
        <v>-11821</v>
      </c>
      <c r="H2017" s="35">
        <f t="shared" si="159"/>
        <v>-11821</v>
      </c>
      <c r="I2017" s="35">
        <f t="shared" si="156"/>
        <v>0</v>
      </c>
      <c r="J2017" s="35">
        <f t="shared" si="157"/>
        <v>1240.7143686209636</v>
      </c>
      <c r="K2017" s="45">
        <f t="shared" si="155"/>
        <v>22855038.219168689</v>
      </c>
    </row>
    <row r="2018" spans="2:11">
      <c r="B2018" s="43">
        <v>45595</v>
      </c>
      <c r="C2018" s="32" t="s">
        <v>27</v>
      </c>
      <c r="D2018" s="32" t="s">
        <v>134</v>
      </c>
      <c r="E2018" s="36">
        <f t="shared" si="158"/>
        <v>22855038.219168689</v>
      </c>
      <c r="F2018" s="36">
        <v>0</v>
      </c>
      <c r="G2018" s="58">
        <v>-20254</v>
      </c>
      <c r="H2018" s="35">
        <f t="shared" si="159"/>
        <v>-20254</v>
      </c>
      <c r="I2018" s="35">
        <f t="shared" si="156"/>
        <v>0</v>
      </c>
      <c r="J2018" s="35">
        <f t="shared" si="157"/>
        <v>1240.0057021054649</v>
      </c>
      <c r="K2018" s="45">
        <f t="shared" si="155"/>
        <v>22833544.213466585</v>
      </c>
    </row>
    <row r="2019" spans="2:11">
      <c r="B2019" s="43">
        <v>45595</v>
      </c>
      <c r="C2019" s="32" t="s">
        <v>29</v>
      </c>
      <c r="D2019" s="32" t="s">
        <v>134</v>
      </c>
      <c r="E2019" s="36">
        <f t="shared" si="158"/>
        <v>22833544.213466585</v>
      </c>
      <c r="F2019" s="36">
        <v>0</v>
      </c>
      <c r="G2019" s="58">
        <v>-16990</v>
      </c>
      <c r="H2019" s="35">
        <f t="shared" si="159"/>
        <v>-16990</v>
      </c>
      <c r="I2019" s="35">
        <f t="shared" si="156"/>
        <v>0</v>
      </c>
      <c r="J2019" s="35">
        <f t="shared" si="157"/>
        <v>1238.8395395562663</v>
      </c>
      <c r="K2019" s="45">
        <f t="shared" si="155"/>
        <v>22815315.373927027</v>
      </c>
    </row>
    <row r="2020" spans="2:11">
      <c r="B2020" s="43">
        <v>45595</v>
      </c>
      <c r="C2020" s="32" t="s">
        <v>25</v>
      </c>
      <c r="D2020" s="32" t="s">
        <v>134</v>
      </c>
      <c r="E2020" s="36">
        <f t="shared" si="158"/>
        <v>22815315.373927027</v>
      </c>
      <c r="F2020" s="36">
        <v>0</v>
      </c>
      <c r="G2020" s="58">
        <v>-15009</v>
      </c>
      <c r="H2020" s="35">
        <f t="shared" si="159"/>
        <v>-15009</v>
      </c>
      <c r="I2020" s="35">
        <f t="shared" si="156"/>
        <v>0</v>
      </c>
      <c r="J2020" s="35">
        <f t="shared" si="157"/>
        <v>1237.8505293977596</v>
      </c>
      <c r="K2020" s="45">
        <f t="shared" si="155"/>
        <v>22799068.523397628</v>
      </c>
    </row>
    <row r="2021" spans="2:11">
      <c r="B2021" s="43">
        <v>45596</v>
      </c>
      <c r="C2021" s="32" t="s">
        <v>27</v>
      </c>
      <c r="D2021" s="32" t="s">
        <v>132</v>
      </c>
      <c r="E2021" s="36">
        <f t="shared" si="158"/>
        <v>22799068.523397628</v>
      </c>
      <c r="F2021" s="36">
        <v>12899.64</v>
      </c>
      <c r="G2021" s="58">
        <v>0</v>
      </c>
      <c r="H2021" s="35">
        <f t="shared" si="159"/>
        <v>12899.64</v>
      </c>
      <c r="I2021" s="35">
        <f t="shared" si="156"/>
        <v>0</v>
      </c>
      <c r="J2021" s="35">
        <f t="shared" si="157"/>
        <v>2473.9381050778734</v>
      </c>
      <c r="K2021" s="45">
        <f t="shared" si="155"/>
        <v>22809494.225292552</v>
      </c>
    </row>
    <row r="2022" spans="2:11">
      <c r="B2022" s="43">
        <v>45596</v>
      </c>
      <c r="C2022" s="32" t="s">
        <v>27</v>
      </c>
      <c r="D2022" s="32" t="s">
        <v>132</v>
      </c>
      <c r="E2022" s="36">
        <f t="shared" si="158"/>
        <v>22809494.225292552</v>
      </c>
      <c r="F2022" s="36">
        <v>14031.96</v>
      </c>
      <c r="G2022" s="58">
        <v>0</v>
      </c>
      <c r="H2022" s="35">
        <f t="shared" si="159"/>
        <v>14031.96</v>
      </c>
      <c r="I2022" s="35">
        <f t="shared" si="156"/>
        <v>0</v>
      </c>
      <c r="J2022" s="35">
        <f t="shared" si="157"/>
        <v>1237.5347015513858</v>
      </c>
      <c r="K2022" s="45">
        <f t="shared" si="155"/>
        <v>22822288.650591001</v>
      </c>
    </row>
    <row r="2023" spans="2:11">
      <c r="B2023" s="43">
        <v>45596</v>
      </c>
      <c r="C2023" s="32" t="s">
        <v>25</v>
      </c>
      <c r="D2023" s="32" t="s">
        <v>134</v>
      </c>
      <c r="E2023" s="36">
        <f t="shared" si="158"/>
        <v>22822288.650591001</v>
      </c>
      <c r="F2023" s="36">
        <v>0</v>
      </c>
      <c r="G2023" s="58">
        <v>-6262.02</v>
      </c>
      <c r="H2023" s="35">
        <f t="shared" si="159"/>
        <v>-6262.02</v>
      </c>
      <c r="I2023" s="35">
        <f t="shared" si="156"/>
        <v>0</v>
      </c>
      <c r="J2023" s="35">
        <f t="shared" si="157"/>
        <v>1238.228866232849</v>
      </c>
      <c r="K2023" s="45">
        <f t="shared" si="155"/>
        <v>22814788.401724767</v>
      </c>
    </row>
    <row r="2024" spans="2:11">
      <c r="B2024" s="43">
        <v>45596</v>
      </c>
      <c r="C2024" s="32" t="s">
        <v>25</v>
      </c>
      <c r="D2024" s="32" t="s">
        <v>134</v>
      </c>
      <c r="E2024" s="36">
        <f t="shared" si="158"/>
        <v>22814788.401724767</v>
      </c>
      <c r="F2024" s="36">
        <v>0</v>
      </c>
      <c r="G2024" s="58">
        <v>-20552</v>
      </c>
      <c r="H2024" s="35">
        <f t="shared" si="159"/>
        <v>-20552</v>
      </c>
      <c r="I2024" s="35">
        <f t="shared" si="156"/>
        <v>0</v>
      </c>
      <c r="J2024" s="35">
        <f t="shared" si="157"/>
        <v>1237.8219383917246</v>
      </c>
      <c r="K2024" s="45">
        <f t="shared" si="155"/>
        <v>22792998.579786375</v>
      </c>
    </row>
    <row r="2025" spans="2:11">
      <c r="B2025" s="43">
        <v>45596</v>
      </c>
      <c r="C2025" s="32" t="s">
        <v>27</v>
      </c>
      <c r="D2025" s="32" t="s">
        <v>134</v>
      </c>
      <c r="E2025" s="36">
        <f t="shared" si="158"/>
        <v>22792998.579786375</v>
      </c>
      <c r="F2025" s="36">
        <v>0</v>
      </c>
      <c r="G2025" s="58">
        <v>-14565</v>
      </c>
      <c r="H2025" s="35">
        <f t="shared" si="159"/>
        <v>-14565</v>
      </c>
      <c r="I2025" s="35">
        <f t="shared" si="156"/>
        <v>0</v>
      </c>
      <c r="J2025" s="35">
        <f t="shared" si="157"/>
        <v>1236.639726260099</v>
      </c>
      <c r="K2025" s="45">
        <f t="shared" si="155"/>
        <v>22777196.940060116</v>
      </c>
    </row>
    <row r="2026" spans="2:11">
      <c r="B2026" s="43">
        <v>45596</v>
      </c>
      <c r="C2026" s="32" t="s">
        <v>27</v>
      </c>
      <c r="D2026" s="32" t="s">
        <v>134</v>
      </c>
      <c r="E2026" s="36">
        <f t="shared" si="158"/>
        <v>22777196.940060116</v>
      </c>
      <c r="F2026" s="36">
        <v>0</v>
      </c>
      <c r="G2026" s="58">
        <v>-17020</v>
      </c>
      <c r="H2026" s="35">
        <f t="shared" si="159"/>
        <v>-17020</v>
      </c>
      <c r="I2026" s="35">
        <f t="shared" si="156"/>
        <v>0</v>
      </c>
      <c r="J2026" s="35">
        <f t="shared" si="157"/>
        <v>1235.7824044225558</v>
      </c>
      <c r="K2026" s="45">
        <f t="shared" si="155"/>
        <v>22758941.157655694</v>
      </c>
    </row>
    <row r="2027" spans="2:11">
      <c r="B2027" s="43">
        <v>45596</v>
      </c>
      <c r="C2027" s="32" t="s">
        <v>27</v>
      </c>
      <c r="D2027" s="32" t="s">
        <v>134</v>
      </c>
      <c r="E2027" s="36">
        <f t="shared" si="158"/>
        <v>22758941.157655694</v>
      </c>
      <c r="F2027" s="36">
        <v>0</v>
      </c>
      <c r="G2027" s="58">
        <v>-17909</v>
      </c>
      <c r="H2027" s="35">
        <f t="shared" si="159"/>
        <v>-17909</v>
      </c>
      <c r="I2027" s="35">
        <f t="shared" si="156"/>
        <v>0</v>
      </c>
      <c r="J2027" s="35">
        <f t="shared" si="157"/>
        <v>1234.7919324723102</v>
      </c>
      <c r="K2027" s="45">
        <f t="shared" si="155"/>
        <v>22739797.365723222</v>
      </c>
    </row>
    <row r="2028" spans="2:11">
      <c r="B2028" s="43">
        <v>45596</v>
      </c>
      <c r="C2028" s="32" t="s">
        <v>25</v>
      </c>
      <c r="D2028" s="32" t="s">
        <v>134</v>
      </c>
      <c r="E2028" s="36">
        <f t="shared" si="158"/>
        <v>22739797.365723222</v>
      </c>
      <c r="F2028" s="36">
        <v>0</v>
      </c>
      <c r="G2028" s="58">
        <v>-8370</v>
      </c>
      <c r="H2028" s="35">
        <f t="shared" si="159"/>
        <v>-8370</v>
      </c>
      <c r="I2028" s="35">
        <f t="shared" si="156"/>
        <v>0</v>
      </c>
      <c r="J2028" s="35">
        <f t="shared" si="157"/>
        <v>1233.7532813474008</v>
      </c>
      <c r="K2028" s="45">
        <f t="shared" si="155"/>
        <v>22730193.612441875</v>
      </c>
    </row>
    <row r="2029" spans="2:11">
      <c r="B2029" s="43">
        <v>45596</v>
      </c>
      <c r="C2029" s="32" t="s">
        <v>25</v>
      </c>
      <c r="D2029" s="32" t="s">
        <v>134</v>
      </c>
      <c r="E2029" s="36">
        <f t="shared" si="158"/>
        <v>22730193.612441875</v>
      </c>
      <c r="F2029" s="36">
        <v>0</v>
      </c>
      <c r="G2029" s="58">
        <v>-11993</v>
      </c>
      <c r="H2029" s="35">
        <f t="shared" si="159"/>
        <v>-11993</v>
      </c>
      <c r="I2029" s="35">
        <f t="shared" si="156"/>
        <v>0</v>
      </c>
      <c r="J2029" s="35">
        <f t="shared" si="157"/>
        <v>1233.2322273585041</v>
      </c>
      <c r="K2029" s="45">
        <f t="shared" si="155"/>
        <v>22716967.380214516</v>
      </c>
    </row>
    <row r="2030" spans="2:11">
      <c r="B2030" s="43">
        <v>45596</v>
      </c>
      <c r="C2030" s="32" t="s">
        <v>29</v>
      </c>
      <c r="D2030" s="32" t="s">
        <v>134</v>
      </c>
      <c r="E2030" s="36">
        <f t="shared" si="158"/>
        <v>22716967.380214516</v>
      </c>
      <c r="F2030" s="36">
        <v>0</v>
      </c>
      <c r="G2030" s="58">
        <v>-10425</v>
      </c>
      <c r="H2030" s="35">
        <f t="shared" si="159"/>
        <v>-10425</v>
      </c>
      <c r="I2030" s="35">
        <f t="shared" si="156"/>
        <v>0</v>
      </c>
      <c r="J2030" s="35">
        <f t="shared" si="157"/>
        <v>1232.5146348862438</v>
      </c>
      <c r="K2030" s="45">
        <f t="shared" si="155"/>
        <v>22705309.865579631</v>
      </c>
    </row>
    <row r="2031" spans="2:11">
      <c r="B2031" s="43">
        <v>45597</v>
      </c>
      <c r="C2031" s="32" t="s">
        <v>27</v>
      </c>
      <c r="D2031" s="32" t="s">
        <v>132</v>
      </c>
      <c r="E2031" s="36">
        <f t="shared" si="158"/>
        <v>22705309.865579631</v>
      </c>
      <c r="F2031" s="36">
        <v>10930.25</v>
      </c>
      <c r="G2031" s="58">
        <v>0</v>
      </c>
      <c r="H2031" s="35">
        <f t="shared" si="159"/>
        <v>10930.25</v>
      </c>
      <c r="I2031" s="35">
        <f t="shared" si="156"/>
        <v>0</v>
      </c>
      <c r="J2031" s="35">
        <f t="shared" si="157"/>
        <v>2463.7643071431526</v>
      </c>
      <c r="K2031" s="45">
        <f t="shared" si="155"/>
        <v>22713776.35127249</v>
      </c>
    </row>
    <row r="2032" spans="2:11">
      <c r="B2032" s="43">
        <v>45597</v>
      </c>
      <c r="C2032" s="32" t="s">
        <v>25</v>
      </c>
      <c r="D2032" s="32" t="s">
        <v>134</v>
      </c>
      <c r="E2032" s="36">
        <f t="shared" si="158"/>
        <v>22713776.35127249</v>
      </c>
      <c r="F2032" s="36">
        <v>0</v>
      </c>
      <c r="G2032" s="58">
        <v>-15637.67</v>
      </c>
      <c r="H2032" s="35">
        <f t="shared" si="159"/>
        <v>-15637.67</v>
      </c>
      <c r="I2032" s="35">
        <f t="shared" si="156"/>
        <v>0</v>
      </c>
      <c r="J2032" s="35">
        <f t="shared" si="157"/>
        <v>1232.3415048286281</v>
      </c>
      <c r="K2032" s="45">
        <f t="shared" si="155"/>
        <v>22696906.339767661</v>
      </c>
    </row>
    <row r="2033" spans="2:11">
      <c r="B2033" s="43">
        <v>45597</v>
      </c>
      <c r="C2033" s="32" t="s">
        <v>25</v>
      </c>
      <c r="D2033" s="32" t="s">
        <v>134</v>
      </c>
      <c r="E2033" s="36">
        <f t="shared" si="158"/>
        <v>22696906.339767661</v>
      </c>
      <c r="F2033" s="36">
        <v>0</v>
      </c>
      <c r="G2033" s="58">
        <v>-9187.94</v>
      </c>
      <c r="H2033" s="35">
        <f t="shared" si="159"/>
        <v>-9187.94</v>
      </c>
      <c r="I2033" s="35">
        <f t="shared" si="156"/>
        <v>0</v>
      </c>
      <c r="J2033" s="35">
        <f t="shared" si="157"/>
        <v>1231.4262182182986</v>
      </c>
      <c r="K2033" s="45">
        <f t="shared" si="155"/>
        <v>22686486.973549441</v>
      </c>
    </row>
    <row r="2034" spans="2:11">
      <c r="B2034" s="43">
        <v>45597</v>
      </c>
      <c r="C2034" s="32" t="s">
        <v>25</v>
      </c>
      <c r="D2034" s="32" t="s">
        <v>134</v>
      </c>
      <c r="E2034" s="36">
        <f t="shared" si="158"/>
        <v>22686486.973549441</v>
      </c>
      <c r="F2034" s="36">
        <v>0</v>
      </c>
      <c r="G2034" s="58">
        <v>-7341</v>
      </c>
      <c r="H2034" s="35">
        <f t="shared" si="159"/>
        <v>-7341</v>
      </c>
      <c r="I2034" s="35">
        <f t="shared" si="156"/>
        <v>0</v>
      </c>
      <c r="J2034" s="35">
        <f t="shared" si="157"/>
        <v>1230.8609129495426</v>
      </c>
      <c r="K2034" s="45">
        <f t="shared" si="155"/>
        <v>22677915.112636492</v>
      </c>
    </row>
    <row r="2035" spans="2:11">
      <c r="B2035" s="43">
        <v>45597</v>
      </c>
      <c r="C2035" s="32" t="s">
        <v>29</v>
      </c>
      <c r="D2035" s="32" t="s">
        <v>134</v>
      </c>
      <c r="E2035" s="36">
        <f t="shared" si="158"/>
        <v>22677915.112636492</v>
      </c>
      <c r="F2035" s="36">
        <v>0</v>
      </c>
      <c r="G2035" s="58">
        <v>-3630</v>
      </c>
      <c r="H2035" s="35">
        <f t="shared" si="159"/>
        <v>-3630</v>
      </c>
      <c r="I2035" s="35">
        <f t="shared" si="156"/>
        <v>0</v>
      </c>
      <c r="J2035" s="35">
        <f t="shared" si="157"/>
        <v>1230.3958445340893</v>
      </c>
      <c r="K2035" s="45">
        <f t="shared" si="155"/>
        <v>22673054.716791958</v>
      </c>
    </row>
    <row r="2036" spans="2:11">
      <c r="B2036" s="43">
        <v>45598</v>
      </c>
      <c r="C2036" s="32" t="s">
        <v>25</v>
      </c>
      <c r="D2036" s="32" t="s">
        <v>132</v>
      </c>
      <c r="E2036" s="36">
        <f t="shared" si="158"/>
        <v>22673054.716791958</v>
      </c>
      <c r="F2036" s="36">
        <v>14924.92</v>
      </c>
      <c r="G2036" s="58">
        <v>0</v>
      </c>
      <c r="H2036" s="35">
        <f t="shared" si="159"/>
        <v>14924.92</v>
      </c>
      <c r="I2036" s="35">
        <f t="shared" si="156"/>
        <v>0</v>
      </c>
      <c r="J2036" s="35">
        <f t="shared" si="157"/>
        <v>2460.264285131776</v>
      </c>
      <c r="K2036" s="45">
        <f t="shared" si="155"/>
        <v>22685519.372506827</v>
      </c>
    </row>
    <row r="2037" spans="2:11">
      <c r="B2037" s="43">
        <v>45599</v>
      </c>
      <c r="C2037" s="32" t="s">
        <v>25</v>
      </c>
      <c r="D2037" s="32" t="s">
        <v>132</v>
      </c>
      <c r="E2037" s="36">
        <f t="shared" si="158"/>
        <v>22685519.372506827</v>
      </c>
      <c r="F2037" s="36">
        <v>18489.490000000002</v>
      </c>
      <c r="G2037" s="58">
        <v>0</v>
      </c>
      <c r="H2037" s="35">
        <f t="shared" si="159"/>
        <v>18489.490000000002</v>
      </c>
      <c r="I2037" s="35">
        <f t="shared" si="156"/>
        <v>0</v>
      </c>
      <c r="J2037" s="35">
        <f t="shared" si="157"/>
        <v>2461.6168310354842</v>
      </c>
      <c r="K2037" s="45">
        <f t="shared" si="155"/>
        <v>22701547.245675791</v>
      </c>
    </row>
    <row r="2038" spans="2:11">
      <c r="B2038" s="43">
        <v>45599</v>
      </c>
      <c r="C2038" s="32" t="s">
        <v>27</v>
      </c>
      <c r="D2038" s="32" t="s">
        <v>132</v>
      </c>
      <c r="E2038" s="36">
        <f t="shared" si="158"/>
        <v>22701547.245675791</v>
      </c>
      <c r="F2038" s="36">
        <v>11822.36</v>
      </c>
      <c r="G2038" s="58">
        <v>0</v>
      </c>
      <c r="H2038" s="35">
        <f t="shared" si="159"/>
        <v>11822.36</v>
      </c>
      <c r="I2038" s="35">
        <f t="shared" si="156"/>
        <v>0</v>
      </c>
      <c r="J2038" s="35">
        <f t="shared" si="157"/>
        <v>1231.6780117061865</v>
      </c>
      <c r="K2038" s="45">
        <f t="shared" si="155"/>
        <v>22712137.927664082</v>
      </c>
    </row>
    <row r="2039" spans="2:11">
      <c r="B2039" s="43">
        <v>45599</v>
      </c>
      <c r="C2039" s="32" t="s">
        <v>29</v>
      </c>
      <c r="D2039" s="32" t="s">
        <v>132</v>
      </c>
      <c r="E2039" s="36">
        <f t="shared" si="158"/>
        <v>22712137.927664082</v>
      </c>
      <c r="F2039" s="36">
        <v>14071.36</v>
      </c>
      <c r="G2039" s="58">
        <v>0</v>
      </c>
      <c r="H2039" s="35">
        <f t="shared" si="159"/>
        <v>14071.36</v>
      </c>
      <c r="I2039" s="35">
        <f t="shared" si="156"/>
        <v>0</v>
      </c>
      <c r="J2039" s="35">
        <f t="shared" si="157"/>
        <v>1232.2526117540506</v>
      </c>
      <c r="K2039" s="45">
        <f t="shared" si="155"/>
        <v>22724977.035052329</v>
      </c>
    </row>
    <row r="2040" spans="2:11">
      <c r="B2040" s="43">
        <v>45599</v>
      </c>
      <c r="C2040" s="32" t="s">
        <v>27</v>
      </c>
      <c r="D2040" s="32" t="s">
        <v>132</v>
      </c>
      <c r="E2040" s="36">
        <f t="shared" si="158"/>
        <v>22724977.035052329</v>
      </c>
      <c r="F2040" s="36">
        <v>13739.44</v>
      </c>
      <c r="G2040" s="58">
        <v>0</v>
      </c>
      <c r="H2040" s="35">
        <f t="shared" si="159"/>
        <v>13739.44</v>
      </c>
      <c r="I2040" s="35">
        <f t="shared" si="156"/>
        <v>0</v>
      </c>
      <c r="J2040" s="35">
        <f t="shared" si="157"/>
        <v>1232.9492006732507</v>
      </c>
      <c r="K2040" s="45">
        <f t="shared" si="155"/>
        <v>22737483.525851656</v>
      </c>
    </row>
    <row r="2041" spans="2:11">
      <c r="B2041" s="43">
        <v>45599</v>
      </c>
      <c r="C2041" s="32" t="s">
        <v>29</v>
      </c>
      <c r="D2041" s="32" t="s">
        <v>132</v>
      </c>
      <c r="E2041" s="36">
        <f t="shared" si="158"/>
        <v>22737483.525851656</v>
      </c>
      <c r="F2041" s="36">
        <v>19540.349999999999</v>
      </c>
      <c r="G2041" s="58">
        <v>0</v>
      </c>
      <c r="H2041" s="35">
        <f t="shared" si="159"/>
        <v>19540.349999999999</v>
      </c>
      <c r="I2041" s="35">
        <f t="shared" si="156"/>
        <v>0</v>
      </c>
      <c r="J2041" s="35">
        <f t="shared" si="157"/>
        <v>1233.6277433978692</v>
      </c>
      <c r="K2041" s="45">
        <f t="shared" si="155"/>
        <v>22755790.24810826</v>
      </c>
    </row>
    <row r="2042" spans="2:11">
      <c r="B2042" s="43">
        <v>45599</v>
      </c>
      <c r="C2042" s="32" t="s">
        <v>25</v>
      </c>
      <c r="D2042" s="32" t="s">
        <v>134</v>
      </c>
      <c r="E2042" s="36">
        <f t="shared" si="158"/>
        <v>22755790.24810826</v>
      </c>
      <c r="F2042" s="36">
        <v>0</v>
      </c>
      <c r="G2042" s="58">
        <v>-10262.040000000001</v>
      </c>
      <c r="H2042" s="35">
        <f t="shared" si="159"/>
        <v>-10262.040000000001</v>
      </c>
      <c r="I2042" s="35">
        <f t="shared" si="156"/>
        <v>0</v>
      </c>
      <c r="J2042" s="35">
        <f t="shared" si="157"/>
        <v>1234.6209791022843</v>
      </c>
      <c r="K2042" s="45">
        <f t="shared" si="155"/>
        <v>22744293.587129161</v>
      </c>
    </row>
    <row r="2043" spans="2:11">
      <c r="B2043" s="43">
        <v>45599</v>
      </c>
      <c r="C2043" s="32" t="s">
        <v>25</v>
      </c>
      <c r="D2043" s="32" t="s">
        <v>134</v>
      </c>
      <c r="E2043" s="36">
        <f t="shared" si="158"/>
        <v>22744293.587129161</v>
      </c>
      <c r="F2043" s="36">
        <v>0</v>
      </c>
      <c r="G2043" s="58">
        <v>-8677.44</v>
      </c>
      <c r="H2043" s="35">
        <f t="shared" si="159"/>
        <v>-8677.44</v>
      </c>
      <c r="I2043" s="35">
        <f t="shared" si="156"/>
        <v>0</v>
      </c>
      <c r="J2043" s="35">
        <f t="shared" si="157"/>
        <v>1233.9972249421492</v>
      </c>
      <c r="K2043" s="45">
        <f t="shared" si="155"/>
        <v>22734382.149904218</v>
      </c>
    </row>
    <row r="2044" spans="2:11">
      <c r="B2044" s="43">
        <v>45599</v>
      </c>
      <c r="C2044" s="32" t="s">
        <v>29</v>
      </c>
      <c r="D2044" s="32" t="s">
        <v>134</v>
      </c>
      <c r="E2044" s="36">
        <f t="shared" si="158"/>
        <v>22734382.149904218</v>
      </c>
      <c r="F2044" s="36">
        <v>0</v>
      </c>
      <c r="G2044" s="58">
        <v>-16786</v>
      </c>
      <c r="H2044" s="35">
        <f t="shared" si="159"/>
        <v>-16786</v>
      </c>
      <c r="I2044" s="35">
        <f t="shared" si="156"/>
        <v>0</v>
      </c>
      <c r="J2044" s="35">
        <f t="shared" si="157"/>
        <v>1233.4594774854556</v>
      </c>
      <c r="K2044" s="45">
        <f t="shared" si="155"/>
        <v>22716362.690426733</v>
      </c>
    </row>
    <row r="2045" spans="2:11">
      <c r="B2045" s="43">
        <v>45599</v>
      </c>
      <c r="C2045" s="32" t="s">
        <v>25</v>
      </c>
      <c r="D2045" s="32" t="s">
        <v>134</v>
      </c>
      <c r="E2045" s="36">
        <f t="shared" si="158"/>
        <v>22716362.690426733</v>
      </c>
      <c r="F2045" s="36">
        <v>0</v>
      </c>
      <c r="G2045" s="58">
        <v>-13085</v>
      </c>
      <c r="H2045" s="35">
        <f t="shared" si="159"/>
        <v>-13085</v>
      </c>
      <c r="I2045" s="35">
        <f t="shared" si="156"/>
        <v>0</v>
      </c>
      <c r="J2045" s="35">
        <f t="shared" si="157"/>
        <v>1232.4818272935518</v>
      </c>
      <c r="K2045" s="45">
        <f t="shared" si="155"/>
        <v>22702045.208599441</v>
      </c>
    </row>
    <row r="2046" spans="2:11">
      <c r="B2046" s="43">
        <v>45599</v>
      </c>
      <c r="C2046" s="32" t="s">
        <v>25</v>
      </c>
      <c r="D2046" s="32" t="s">
        <v>134</v>
      </c>
      <c r="E2046" s="36">
        <f t="shared" si="158"/>
        <v>22702045.208599441</v>
      </c>
      <c r="F2046" s="36">
        <v>0</v>
      </c>
      <c r="G2046" s="58">
        <v>-12904</v>
      </c>
      <c r="H2046" s="35">
        <f t="shared" si="159"/>
        <v>-12904</v>
      </c>
      <c r="I2046" s="35">
        <f t="shared" si="156"/>
        <v>0</v>
      </c>
      <c r="J2046" s="35">
        <f t="shared" si="157"/>
        <v>1231.705028806698</v>
      </c>
      <c r="K2046" s="45">
        <f t="shared" si="155"/>
        <v>22687909.503570635</v>
      </c>
    </row>
    <row r="2047" spans="2:11">
      <c r="B2047" s="43">
        <v>45600</v>
      </c>
      <c r="C2047" s="32" t="s">
        <v>29</v>
      </c>
      <c r="D2047" s="32" t="s">
        <v>132</v>
      </c>
      <c r="E2047" s="36">
        <f t="shared" si="158"/>
        <v>22687909.503570635</v>
      </c>
      <c r="F2047" s="36">
        <v>18428.47</v>
      </c>
      <c r="G2047" s="58">
        <v>0</v>
      </c>
      <c r="H2047" s="35">
        <f t="shared" si="159"/>
        <v>18428.47</v>
      </c>
      <c r="I2047" s="35">
        <f t="shared" si="156"/>
        <v>0</v>
      </c>
      <c r="J2047" s="35">
        <f t="shared" si="157"/>
        <v>2461.8761853292276</v>
      </c>
      <c r="K2047" s="45">
        <f t="shared" si="155"/>
        <v>22703876.097385306</v>
      </c>
    </row>
    <row r="2048" spans="2:11">
      <c r="B2048" s="43">
        <v>45600</v>
      </c>
      <c r="C2048" s="32" t="s">
        <v>25</v>
      </c>
      <c r="D2048" s="32" t="s">
        <v>132</v>
      </c>
      <c r="E2048" s="36">
        <f t="shared" si="158"/>
        <v>22703876.097385306</v>
      </c>
      <c r="F2048" s="36">
        <v>13269.69</v>
      </c>
      <c r="G2048" s="58">
        <v>0</v>
      </c>
      <c r="H2048" s="35">
        <f t="shared" si="159"/>
        <v>13269.69</v>
      </c>
      <c r="I2048" s="35">
        <f t="shared" si="156"/>
        <v>0</v>
      </c>
      <c r="J2048" s="35">
        <f t="shared" si="157"/>
        <v>1231.8043641266665</v>
      </c>
      <c r="K2048" s="45">
        <f t="shared" si="155"/>
        <v>22715913.983021181</v>
      </c>
    </row>
    <row r="2049" spans="2:11">
      <c r="B2049" s="43">
        <v>45600</v>
      </c>
      <c r="C2049" s="32" t="s">
        <v>25</v>
      </c>
      <c r="D2049" s="32" t="s">
        <v>132</v>
      </c>
      <c r="E2049" s="36">
        <f t="shared" si="158"/>
        <v>22715913.983021181</v>
      </c>
      <c r="F2049" s="36">
        <v>14525.98</v>
      </c>
      <c r="G2049" s="58">
        <v>0</v>
      </c>
      <c r="H2049" s="35">
        <f t="shared" si="159"/>
        <v>14525.98</v>
      </c>
      <c r="I2049" s="35">
        <f t="shared" si="156"/>
        <v>0</v>
      </c>
      <c r="J2049" s="35">
        <f t="shared" si="157"/>
        <v>1232.457482563251</v>
      </c>
      <c r="K2049" s="45">
        <f t="shared" si="155"/>
        <v>22729207.50553862</v>
      </c>
    </row>
    <row r="2050" spans="2:11">
      <c r="B2050" s="43">
        <v>45600</v>
      </c>
      <c r="C2050" s="32" t="s">
        <v>29</v>
      </c>
      <c r="D2050" s="32" t="s">
        <v>132</v>
      </c>
      <c r="E2050" s="36">
        <f t="shared" si="158"/>
        <v>22729207.50553862</v>
      </c>
      <c r="F2050" s="36">
        <v>16552.98</v>
      </c>
      <c r="G2050" s="58">
        <v>0</v>
      </c>
      <c r="H2050" s="35">
        <f t="shared" si="159"/>
        <v>16552.98</v>
      </c>
      <c r="I2050" s="35">
        <f t="shared" si="156"/>
        <v>0</v>
      </c>
      <c r="J2050" s="35">
        <f t="shared" si="157"/>
        <v>1233.1787258866975</v>
      </c>
      <c r="K2050" s="45">
        <f t="shared" si="155"/>
        <v>22744527.306812733</v>
      </c>
    </row>
    <row r="2051" spans="2:11">
      <c r="B2051" s="43">
        <v>45600</v>
      </c>
      <c r="C2051" s="32" t="s">
        <v>25</v>
      </c>
      <c r="D2051" s="32" t="s">
        <v>132</v>
      </c>
      <c r="E2051" s="36">
        <f t="shared" si="158"/>
        <v>22744527.306812733</v>
      </c>
      <c r="F2051" s="36">
        <v>11006.3</v>
      </c>
      <c r="G2051" s="58">
        <v>0</v>
      </c>
      <c r="H2051" s="35">
        <f t="shared" si="159"/>
        <v>11006.3</v>
      </c>
      <c r="I2051" s="35">
        <f t="shared" si="156"/>
        <v>0</v>
      </c>
      <c r="J2051" s="35">
        <f t="shared" si="157"/>
        <v>1234.0099054608838</v>
      </c>
      <c r="K2051" s="45">
        <f t="shared" si="155"/>
        <v>22754299.596907273</v>
      </c>
    </row>
    <row r="2052" spans="2:11">
      <c r="B2052" s="43">
        <v>45600</v>
      </c>
      <c r="C2052" s="32" t="s">
        <v>27</v>
      </c>
      <c r="D2052" s="32" t="s">
        <v>132</v>
      </c>
      <c r="E2052" s="36">
        <f t="shared" si="158"/>
        <v>22754299.596907273</v>
      </c>
      <c r="F2052" s="36">
        <v>17156.86</v>
      </c>
      <c r="G2052" s="58">
        <v>0</v>
      </c>
      <c r="H2052" s="35">
        <f t="shared" si="159"/>
        <v>17156.86</v>
      </c>
      <c r="I2052" s="35">
        <f t="shared" si="156"/>
        <v>0</v>
      </c>
      <c r="J2052" s="35">
        <f t="shared" si="157"/>
        <v>1234.5401034559018</v>
      </c>
      <c r="K2052" s="45">
        <f t="shared" si="155"/>
        <v>22770221.916803818</v>
      </c>
    </row>
    <row r="2053" spans="2:11">
      <c r="B2053" s="43">
        <v>45600</v>
      </c>
      <c r="C2053" s="32" t="s">
        <v>29</v>
      </c>
      <c r="D2053" s="32" t="s">
        <v>132</v>
      </c>
      <c r="E2053" s="36">
        <f t="shared" si="158"/>
        <v>22770221.916803818</v>
      </c>
      <c r="F2053" s="36">
        <v>15922.22</v>
      </c>
      <c r="G2053" s="58">
        <v>0</v>
      </c>
      <c r="H2053" s="35">
        <f t="shared" si="159"/>
        <v>15922.22</v>
      </c>
      <c r="I2053" s="35">
        <f t="shared" si="156"/>
        <v>0</v>
      </c>
      <c r="J2053" s="35">
        <f t="shared" si="157"/>
        <v>1235.4039728256716</v>
      </c>
      <c r="K2053" s="45">
        <f t="shared" si="155"/>
        <v>22784908.73283099</v>
      </c>
    </row>
    <row r="2054" spans="2:11">
      <c r="B2054" s="43">
        <v>45600</v>
      </c>
      <c r="C2054" s="32" t="s">
        <v>29</v>
      </c>
      <c r="D2054" s="32" t="s">
        <v>134</v>
      </c>
      <c r="E2054" s="36">
        <f t="shared" si="158"/>
        <v>22784908.73283099</v>
      </c>
      <c r="F2054" s="36">
        <v>0</v>
      </c>
      <c r="G2054" s="58">
        <v>-8228.0499999999993</v>
      </c>
      <c r="H2054" s="35">
        <f t="shared" si="159"/>
        <v>-8228.0499999999993</v>
      </c>
      <c r="I2054" s="35">
        <f t="shared" si="156"/>
        <v>0</v>
      </c>
      <c r="J2054" s="35">
        <f t="shared" si="157"/>
        <v>1236.2008096300922</v>
      </c>
      <c r="K2054" s="45">
        <f t="shared" si="155"/>
        <v>22775444.482021358</v>
      </c>
    </row>
    <row r="2055" spans="2:11">
      <c r="B2055" s="43">
        <v>45600</v>
      </c>
      <c r="C2055" s="32" t="s">
        <v>27</v>
      </c>
      <c r="D2055" s="32" t="s">
        <v>134</v>
      </c>
      <c r="E2055" s="36">
        <f t="shared" si="158"/>
        <v>22775444.482021358</v>
      </c>
      <c r="F2055" s="36">
        <v>0</v>
      </c>
      <c r="G2055" s="58">
        <v>-1418.41</v>
      </c>
      <c r="H2055" s="35">
        <f t="shared" si="159"/>
        <v>-1418.41</v>
      </c>
      <c r="I2055" s="35">
        <f t="shared" si="156"/>
        <v>0</v>
      </c>
      <c r="J2055" s="35">
        <f t="shared" si="157"/>
        <v>1235.687324382001</v>
      </c>
      <c r="K2055" s="45">
        <f t="shared" si="155"/>
        <v>22772790.384696975</v>
      </c>
    </row>
    <row r="2056" spans="2:11">
      <c r="B2056" s="43">
        <v>45601</v>
      </c>
      <c r="C2056" s="32" t="s">
        <v>29</v>
      </c>
      <c r="D2056" s="32" t="s">
        <v>132</v>
      </c>
      <c r="E2056" s="36">
        <f t="shared" si="158"/>
        <v>22772790.384696975</v>
      </c>
      <c r="F2056" s="36">
        <v>17024.46</v>
      </c>
      <c r="G2056" s="58">
        <v>0</v>
      </c>
      <c r="H2056" s="35">
        <f t="shared" si="159"/>
        <v>17024.46</v>
      </c>
      <c r="I2056" s="35">
        <f t="shared" si="156"/>
        <v>0</v>
      </c>
      <c r="J2056" s="35">
        <f t="shared" si="157"/>
        <v>2471.0866513618871</v>
      </c>
      <c r="K2056" s="45">
        <f t="shared" ref="K2056:K2119" si="160">E2056+H2056+I2056-J2056</f>
        <v>22787343.758045614</v>
      </c>
    </row>
    <row r="2057" spans="2:11">
      <c r="B2057" s="43">
        <v>45601</v>
      </c>
      <c r="C2057" s="32" t="s">
        <v>29</v>
      </c>
      <c r="D2057" s="32" t="s">
        <v>132</v>
      </c>
      <c r="E2057" s="36">
        <f t="shared" si="158"/>
        <v>22787343.758045614</v>
      </c>
      <c r="F2057" s="36">
        <v>13333.57</v>
      </c>
      <c r="G2057" s="58">
        <v>0</v>
      </c>
      <c r="H2057" s="35">
        <f t="shared" si="159"/>
        <v>13333.57</v>
      </c>
      <c r="I2057" s="35">
        <f t="shared" si="156"/>
        <v>0</v>
      </c>
      <c r="J2057" s="35">
        <f t="shared" si="157"/>
        <v>1236.332922520123</v>
      </c>
      <c r="K2057" s="45">
        <f t="shared" si="160"/>
        <v>22799440.995123092</v>
      </c>
    </row>
    <row r="2058" spans="2:11">
      <c r="B2058" s="43">
        <v>45601</v>
      </c>
      <c r="C2058" s="32" t="s">
        <v>25</v>
      </c>
      <c r="D2058" s="32" t="s">
        <v>132</v>
      </c>
      <c r="E2058" s="36">
        <f t="shared" si="158"/>
        <v>22799440.995123092</v>
      </c>
      <c r="F2058" s="36">
        <v>10248.290000000001</v>
      </c>
      <c r="G2058" s="58">
        <v>0</v>
      </c>
      <c r="H2058" s="35">
        <f t="shared" si="159"/>
        <v>10248.290000000001</v>
      </c>
      <c r="I2058" s="35">
        <f t="shared" si="156"/>
        <v>0</v>
      </c>
      <c r="J2058" s="35">
        <f t="shared" si="157"/>
        <v>1236.9892610837232</v>
      </c>
      <c r="K2058" s="45">
        <f t="shared" si="160"/>
        <v>22808452.295862008</v>
      </c>
    </row>
    <row r="2059" spans="2:11">
      <c r="B2059" s="43">
        <v>45601</v>
      </c>
      <c r="C2059" s="32" t="s">
        <v>29</v>
      </c>
      <c r="D2059" s="32" t="s">
        <v>132</v>
      </c>
      <c r="E2059" s="36">
        <f t="shared" si="158"/>
        <v>22808452.295862008</v>
      </c>
      <c r="F2059" s="36">
        <v>14169.56</v>
      </c>
      <c r="G2059" s="58">
        <v>0</v>
      </c>
      <c r="H2059" s="35">
        <f t="shared" si="159"/>
        <v>14169.56</v>
      </c>
      <c r="I2059" s="35">
        <f t="shared" si="156"/>
        <v>0</v>
      </c>
      <c r="J2059" s="35">
        <f t="shared" si="157"/>
        <v>1237.4781714146748</v>
      </c>
      <c r="K2059" s="45">
        <f t="shared" si="160"/>
        <v>22821384.377690591</v>
      </c>
    </row>
    <row r="2060" spans="2:11">
      <c r="B2060" s="43">
        <v>45601</v>
      </c>
      <c r="C2060" s="32" t="s">
        <v>29</v>
      </c>
      <c r="D2060" s="32" t="s">
        <v>134</v>
      </c>
      <c r="E2060" s="36">
        <f t="shared" si="158"/>
        <v>22821384.377690591</v>
      </c>
      <c r="F2060" s="36">
        <v>0</v>
      </c>
      <c r="G2060" s="58">
        <v>-3635</v>
      </c>
      <c r="H2060" s="35">
        <f t="shared" si="159"/>
        <v>-3635</v>
      </c>
      <c r="I2060" s="35">
        <f t="shared" si="156"/>
        <v>0</v>
      </c>
      <c r="J2060" s="35">
        <f t="shared" si="157"/>
        <v>1238.1798046849306</v>
      </c>
      <c r="K2060" s="45">
        <f t="shared" si="160"/>
        <v>22816511.197885904</v>
      </c>
    </row>
    <row r="2061" spans="2:11">
      <c r="B2061" s="43">
        <v>45601</v>
      </c>
      <c r="C2061" s="32" t="s">
        <v>27</v>
      </c>
      <c r="D2061" s="32" t="s">
        <v>134</v>
      </c>
      <c r="E2061" s="36">
        <f t="shared" si="158"/>
        <v>22816511.197885904</v>
      </c>
      <c r="F2061" s="36">
        <v>0</v>
      </c>
      <c r="G2061" s="58">
        <v>-17102</v>
      </c>
      <c r="H2061" s="35">
        <f t="shared" si="159"/>
        <v>-17102</v>
      </c>
      <c r="I2061" s="35">
        <f t="shared" si="156"/>
        <v>0</v>
      </c>
      <c r="J2061" s="35">
        <f t="shared" si="157"/>
        <v>1237.9154091198368</v>
      </c>
      <c r="K2061" s="45">
        <f t="shared" si="160"/>
        <v>22798171.282476783</v>
      </c>
    </row>
    <row r="2062" spans="2:11">
      <c r="B2062" s="43">
        <v>45601</v>
      </c>
      <c r="C2062" s="32" t="s">
        <v>25</v>
      </c>
      <c r="D2062" s="32" t="s">
        <v>134</v>
      </c>
      <c r="E2062" s="36">
        <f t="shared" si="158"/>
        <v>22798171.282476783</v>
      </c>
      <c r="F2062" s="36">
        <v>0</v>
      </c>
      <c r="G2062" s="58">
        <v>-21427</v>
      </c>
      <c r="H2062" s="35">
        <f t="shared" si="159"/>
        <v>-21427</v>
      </c>
      <c r="I2062" s="35">
        <f t="shared" si="156"/>
        <v>0</v>
      </c>
      <c r="J2062" s="35">
        <f t="shared" si="157"/>
        <v>1236.9203725127936</v>
      </c>
      <c r="K2062" s="45">
        <f t="shared" si="160"/>
        <v>22775507.362104271</v>
      </c>
    </row>
    <row r="2063" spans="2:11">
      <c r="B2063" s="43">
        <v>45601</v>
      </c>
      <c r="C2063" s="32" t="s">
        <v>27</v>
      </c>
      <c r="D2063" s="32" t="s">
        <v>134</v>
      </c>
      <c r="E2063" s="36">
        <f t="shared" si="158"/>
        <v>22775507.362104271</v>
      </c>
      <c r="F2063" s="36">
        <v>0</v>
      </c>
      <c r="G2063" s="58">
        <v>-10098</v>
      </c>
      <c r="H2063" s="35">
        <f t="shared" si="159"/>
        <v>-10098</v>
      </c>
      <c r="I2063" s="35">
        <f t="shared" si="156"/>
        <v>0</v>
      </c>
      <c r="J2063" s="35">
        <f t="shared" si="157"/>
        <v>1235.6907359563163</v>
      </c>
      <c r="K2063" s="45">
        <f t="shared" si="160"/>
        <v>22764173.671368316</v>
      </c>
    </row>
    <row r="2064" spans="2:11">
      <c r="B2064" s="43">
        <v>45602</v>
      </c>
      <c r="C2064" s="32" t="s">
        <v>25</v>
      </c>
      <c r="D2064" s="32" t="s">
        <v>134</v>
      </c>
      <c r="E2064" s="36">
        <f t="shared" si="158"/>
        <v>22764173.671368316</v>
      </c>
      <c r="F2064" s="36">
        <v>0</v>
      </c>
      <c r="G2064" s="58">
        <v>-8955.16</v>
      </c>
      <c r="H2064" s="35">
        <f t="shared" si="159"/>
        <v>-8955.16</v>
      </c>
      <c r="I2064" s="35">
        <f t="shared" si="156"/>
        <v>0</v>
      </c>
      <c r="J2064" s="35">
        <f t="shared" si="157"/>
        <v>2470.1516475733588</v>
      </c>
      <c r="K2064" s="45">
        <f t="shared" si="160"/>
        <v>22752748.35972074</v>
      </c>
    </row>
    <row r="2065" spans="2:11">
      <c r="B2065" s="43">
        <v>45602</v>
      </c>
      <c r="C2065" s="32" t="s">
        <v>25</v>
      </c>
      <c r="D2065" s="32" t="s">
        <v>134</v>
      </c>
      <c r="E2065" s="36">
        <f t="shared" si="158"/>
        <v>22752748.35972074</v>
      </c>
      <c r="F2065" s="36">
        <v>0</v>
      </c>
      <c r="G2065" s="58">
        <v>-17804</v>
      </c>
      <c r="H2065" s="35">
        <f t="shared" si="159"/>
        <v>-17804</v>
      </c>
      <c r="I2065" s="35">
        <f t="shared" si="156"/>
        <v>0</v>
      </c>
      <c r="J2065" s="35">
        <f t="shared" si="157"/>
        <v>1234.455940702019</v>
      </c>
      <c r="K2065" s="45">
        <f t="shared" si="160"/>
        <v>22733709.903780039</v>
      </c>
    </row>
    <row r="2066" spans="2:11">
      <c r="B2066" s="43">
        <v>45603</v>
      </c>
      <c r="C2066" s="32" t="s">
        <v>27</v>
      </c>
      <c r="D2066" s="32" t="s">
        <v>132</v>
      </c>
      <c r="E2066" s="36">
        <f t="shared" si="158"/>
        <v>22733709.903780039</v>
      </c>
      <c r="F2066" s="36">
        <v>12808.9</v>
      </c>
      <c r="G2066" s="58">
        <v>0</v>
      </c>
      <c r="H2066" s="35">
        <f t="shared" si="159"/>
        <v>12808.9</v>
      </c>
      <c r="I2066" s="35">
        <f t="shared" si="156"/>
        <v>0</v>
      </c>
      <c r="J2066" s="35">
        <f t="shared" si="157"/>
        <v>2466.8460092143382</v>
      </c>
      <c r="K2066" s="45">
        <f t="shared" si="160"/>
        <v>22744051.957770824</v>
      </c>
    </row>
    <row r="2067" spans="2:11">
      <c r="B2067" s="43">
        <v>45603</v>
      </c>
      <c r="C2067" s="32" t="s">
        <v>29</v>
      </c>
      <c r="D2067" s="32" t="s">
        <v>132</v>
      </c>
      <c r="E2067" s="36">
        <f t="shared" si="158"/>
        <v>22744051.957770824</v>
      </c>
      <c r="F2067" s="36">
        <v>15608.77</v>
      </c>
      <c r="G2067" s="58">
        <v>0</v>
      </c>
      <c r="H2067" s="35">
        <f t="shared" si="159"/>
        <v>15608.77</v>
      </c>
      <c r="I2067" s="35">
        <f t="shared" si="156"/>
        <v>0</v>
      </c>
      <c r="J2067" s="35">
        <f t="shared" si="157"/>
        <v>1233.9841152820707</v>
      </c>
      <c r="K2067" s="45">
        <f t="shared" si="160"/>
        <v>22758426.743655544</v>
      </c>
    </row>
    <row r="2068" spans="2:11">
      <c r="B2068" s="43">
        <v>45603</v>
      </c>
      <c r="C2068" s="32" t="s">
        <v>29</v>
      </c>
      <c r="D2068" s="32" t="s">
        <v>132</v>
      </c>
      <c r="E2068" s="36">
        <f t="shared" si="158"/>
        <v>22758426.743655544</v>
      </c>
      <c r="F2068" s="36">
        <v>15593.73</v>
      </c>
      <c r="G2068" s="58">
        <v>0</v>
      </c>
      <c r="H2068" s="35">
        <f t="shared" si="159"/>
        <v>15593.73</v>
      </c>
      <c r="I2068" s="35">
        <f t="shared" ref="I2068:I2131" si="161">(($E2068*Daily_Interest)*(_xlfn.DAYS(B2068,B2067)+1))+((IF(DAY($B2067)&gt;Monthly_Cut_off_Date,0,Daily_Interest*H2068))*(_xlfn.DAYS(B2068,B2067)+1))</f>
        <v>0</v>
      </c>
      <c r="J2068" s="35">
        <f t="shared" ref="J2068:J2131" si="162">(($I2068+E2068)*Daily_Fees_Rate)*((_xlfn.DAYS(B2068,B2067)+1))</f>
        <v>1234.7640228146097</v>
      </c>
      <c r="K2068" s="45">
        <f t="shared" si="160"/>
        <v>22772785.709632728</v>
      </c>
    </row>
    <row r="2069" spans="2:11">
      <c r="B2069" s="43">
        <v>45603</v>
      </c>
      <c r="C2069" s="32" t="s">
        <v>29</v>
      </c>
      <c r="D2069" s="32" t="s">
        <v>132</v>
      </c>
      <c r="E2069" s="36">
        <f t="shared" ref="E2069:E2132" si="163">K2068</f>
        <v>22772785.709632728</v>
      </c>
      <c r="F2069" s="36">
        <v>14542.59</v>
      </c>
      <c r="G2069" s="58">
        <v>0</v>
      </c>
      <c r="H2069" s="35">
        <f t="shared" ref="H2069:H2132" si="164">SUM(F2069:G2069)</f>
        <v>14542.59</v>
      </c>
      <c r="I2069" s="35">
        <f t="shared" si="161"/>
        <v>0</v>
      </c>
      <c r="J2069" s="35">
        <f t="shared" si="162"/>
        <v>1235.5430720341867</v>
      </c>
      <c r="K2069" s="45">
        <f t="shared" si="160"/>
        <v>22786092.756560694</v>
      </c>
    </row>
    <row r="2070" spans="2:11">
      <c r="B2070" s="43">
        <v>45603</v>
      </c>
      <c r="C2070" s="32" t="s">
        <v>29</v>
      </c>
      <c r="D2070" s="32" t="s">
        <v>134</v>
      </c>
      <c r="E2070" s="36">
        <f t="shared" si="163"/>
        <v>22786092.756560694</v>
      </c>
      <c r="F2070" s="36">
        <v>0</v>
      </c>
      <c r="G2070" s="58">
        <v>-9469.4599999999991</v>
      </c>
      <c r="H2070" s="35">
        <f t="shared" si="164"/>
        <v>-9469.4599999999991</v>
      </c>
      <c r="I2070" s="35">
        <f t="shared" si="161"/>
        <v>0</v>
      </c>
      <c r="J2070" s="35">
        <f t="shared" si="162"/>
        <v>1236.2650491278423</v>
      </c>
      <c r="K2070" s="45">
        <f t="shared" si="160"/>
        <v>22775387.031511568</v>
      </c>
    </row>
    <row r="2071" spans="2:11">
      <c r="B2071" s="43">
        <v>45603</v>
      </c>
      <c r="C2071" s="32" t="s">
        <v>25</v>
      </c>
      <c r="D2071" s="32" t="s">
        <v>134</v>
      </c>
      <c r="E2071" s="36">
        <f t="shared" si="163"/>
        <v>22775387.031511568</v>
      </c>
      <c r="F2071" s="36">
        <v>0</v>
      </c>
      <c r="G2071" s="58">
        <v>-16159</v>
      </c>
      <c r="H2071" s="35">
        <f t="shared" si="164"/>
        <v>-16159</v>
      </c>
      <c r="I2071" s="35">
        <f t="shared" si="161"/>
        <v>0</v>
      </c>
      <c r="J2071" s="35">
        <f t="shared" si="162"/>
        <v>1235.6842073905068</v>
      </c>
      <c r="K2071" s="45">
        <f t="shared" si="160"/>
        <v>22757992.347304177</v>
      </c>
    </row>
    <row r="2072" spans="2:11">
      <c r="B2072" s="43">
        <v>45604</v>
      </c>
      <c r="C2072" s="32" t="s">
        <v>27</v>
      </c>
      <c r="D2072" s="32" t="s">
        <v>132</v>
      </c>
      <c r="E2072" s="36">
        <f t="shared" si="163"/>
        <v>22757992.347304177</v>
      </c>
      <c r="F2072" s="36">
        <v>18043.11</v>
      </c>
      <c r="G2072" s="58">
        <v>0</v>
      </c>
      <c r="H2072" s="35">
        <f t="shared" si="164"/>
        <v>18043.11</v>
      </c>
      <c r="I2072" s="35">
        <f t="shared" si="161"/>
        <v>0</v>
      </c>
      <c r="J2072" s="35">
        <f t="shared" si="162"/>
        <v>2469.4809090681247</v>
      </c>
      <c r="K2072" s="45">
        <f t="shared" si="160"/>
        <v>22773565.976395108</v>
      </c>
    </row>
    <row r="2073" spans="2:11">
      <c r="B2073" s="43">
        <v>45604</v>
      </c>
      <c r="C2073" s="32" t="s">
        <v>29</v>
      </c>
      <c r="D2073" s="32" t="s">
        <v>132</v>
      </c>
      <c r="E2073" s="36">
        <f t="shared" si="163"/>
        <v>22773565.976395108</v>
      </c>
      <c r="F2073" s="36">
        <v>17019.54</v>
      </c>
      <c r="G2073" s="58">
        <v>0</v>
      </c>
      <c r="H2073" s="35">
        <f t="shared" si="164"/>
        <v>17019.54</v>
      </c>
      <c r="I2073" s="35">
        <f t="shared" si="161"/>
        <v>0</v>
      </c>
      <c r="J2073" s="35">
        <f t="shared" si="162"/>
        <v>1235.5854055986829</v>
      </c>
      <c r="K2073" s="45">
        <f t="shared" si="160"/>
        <v>22789349.930989508</v>
      </c>
    </row>
    <row r="2074" spans="2:11">
      <c r="B2074" s="43">
        <v>45604</v>
      </c>
      <c r="C2074" s="32" t="s">
        <v>29</v>
      </c>
      <c r="D2074" s="32" t="s">
        <v>132</v>
      </c>
      <c r="E2074" s="36">
        <f t="shared" si="163"/>
        <v>22789349.930989508</v>
      </c>
      <c r="F2074" s="36">
        <v>17210.53</v>
      </c>
      <c r="G2074" s="58">
        <v>0</v>
      </c>
      <c r="H2074" s="35">
        <f t="shared" si="164"/>
        <v>17210.53</v>
      </c>
      <c r="I2074" s="35">
        <f t="shared" si="161"/>
        <v>0</v>
      </c>
      <c r="J2074" s="35">
        <f t="shared" si="162"/>
        <v>1236.4417679250612</v>
      </c>
      <c r="K2074" s="45">
        <f t="shared" si="160"/>
        <v>22805324.019221585</v>
      </c>
    </row>
    <row r="2075" spans="2:11">
      <c r="B2075" s="43">
        <v>45604</v>
      </c>
      <c r="C2075" s="32" t="s">
        <v>25</v>
      </c>
      <c r="D2075" s="32" t="s">
        <v>134</v>
      </c>
      <c r="E2075" s="36">
        <f t="shared" si="163"/>
        <v>22805324.019221585</v>
      </c>
      <c r="F2075" s="36">
        <v>0</v>
      </c>
      <c r="G2075" s="58">
        <v>-14103</v>
      </c>
      <c r="H2075" s="35">
        <f t="shared" si="164"/>
        <v>-14103</v>
      </c>
      <c r="I2075" s="35">
        <f t="shared" si="161"/>
        <v>0</v>
      </c>
      <c r="J2075" s="35">
        <f t="shared" si="162"/>
        <v>1237.3084459985678</v>
      </c>
      <c r="K2075" s="45">
        <f t="shared" si="160"/>
        <v>22789983.710775588</v>
      </c>
    </row>
    <row r="2076" spans="2:11">
      <c r="B2076" s="43">
        <v>45604</v>
      </c>
      <c r="C2076" s="32" t="s">
        <v>25</v>
      </c>
      <c r="D2076" s="32" t="s">
        <v>134</v>
      </c>
      <c r="E2076" s="36">
        <f t="shared" si="163"/>
        <v>22789983.710775588</v>
      </c>
      <c r="F2076" s="36">
        <v>0</v>
      </c>
      <c r="G2076" s="58">
        <v>-14917</v>
      </c>
      <c r="H2076" s="35">
        <f t="shared" si="164"/>
        <v>-14917</v>
      </c>
      <c r="I2076" s="35">
        <f t="shared" si="161"/>
        <v>0</v>
      </c>
      <c r="J2076" s="35">
        <f t="shared" si="162"/>
        <v>1236.4761538027428</v>
      </c>
      <c r="K2076" s="45">
        <f t="shared" si="160"/>
        <v>22773830.234621786</v>
      </c>
    </row>
    <row r="2077" spans="2:11">
      <c r="B2077" s="43">
        <v>45604</v>
      </c>
      <c r="C2077" s="32" t="s">
        <v>25</v>
      </c>
      <c r="D2077" s="32" t="s">
        <v>134</v>
      </c>
      <c r="E2077" s="36">
        <f t="shared" si="163"/>
        <v>22773830.234621786</v>
      </c>
      <c r="F2077" s="36">
        <v>0</v>
      </c>
      <c r="G2077" s="58">
        <v>-16055</v>
      </c>
      <c r="H2077" s="35">
        <f t="shared" si="164"/>
        <v>-16055</v>
      </c>
      <c r="I2077" s="35">
        <f t="shared" si="161"/>
        <v>0</v>
      </c>
      <c r="J2077" s="35">
        <f t="shared" si="162"/>
        <v>1235.5997429935612</v>
      </c>
      <c r="K2077" s="45">
        <f t="shared" si="160"/>
        <v>22756539.634878792</v>
      </c>
    </row>
    <row r="2078" spans="2:11">
      <c r="B2078" s="43">
        <v>45605</v>
      </c>
      <c r="C2078" s="32" t="s">
        <v>27</v>
      </c>
      <c r="D2078" s="32" t="s">
        <v>132</v>
      </c>
      <c r="E2078" s="36">
        <f t="shared" si="163"/>
        <v>22756539.634878792</v>
      </c>
      <c r="F2078" s="36">
        <v>10794.45</v>
      </c>
      <c r="G2078" s="58">
        <v>0</v>
      </c>
      <c r="H2078" s="35">
        <f t="shared" si="164"/>
        <v>10794.45</v>
      </c>
      <c r="I2078" s="35">
        <f t="shared" si="161"/>
        <v>0</v>
      </c>
      <c r="J2078" s="35">
        <f t="shared" si="162"/>
        <v>2469.3232745305036</v>
      </c>
      <c r="K2078" s="45">
        <f t="shared" si="160"/>
        <v>22764864.761604261</v>
      </c>
    </row>
    <row r="2079" spans="2:11">
      <c r="B2079" s="43">
        <v>45605</v>
      </c>
      <c r="C2079" s="32" t="s">
        <v>25</v>
      </c>
      <c r="D2079" s="32" t="s">
        <v>132</v>
      </c>
      <c r="E2079" s="36">
        <f t="shared" si="163"/>
        <v>22764864.761604261</v>
      </c>
      <c r="F2079" s="36">
        <v>16641.29</v>
      </c>
      <c r="G2079" s="58">
        <v>0</v>
      </c>
      <c r="H2079" s="35">
        <f t="shared" si="164"/>
        <v>16641.29</v>
      </c>
      <c r="I2079" s="35">
        <f t="shared" si="161"/>
        <v>0</v>
      </c>
      <c r="J2079" s="35">
        <f t="shared" si="162"/>
        <v>1235.1133190568698</v>
      </c>
      <c r="K2079" s="45">
        <f t="shared" si="160"/>
        <v>22780270.938285202</v>
      </c>
    </row>
    <row r="2080" spans="2:11">
      <c r="B2080" s="43">
        <v>45605</v>
      </c>
      <c r="C2080" s="32" t="s">
        <v>27</v>
      </c>
      <c r="D2080" s="32" t="s">
        <v>132</v>
      </c>
      <c r="E2080" s="36">
        <f t="shared" si="163"/>
        <v>22780270.938285202</v>
      </c>
      <c r="F2080" s="36">
        <v>15146.58</v>
      </c>
      <c r="G2080" s="58">
        <v>0</v>
      </c>
      <c r="H2080" s="35">
        <f t="shared" si="164"/>
        <v>15146.58</v>
      </c>
      <c r="I2080" s="35">
        <f t="shared" si="161"/>
        <v>0</v>
      </c>
      <c r="J2080" s="35">
        <f t="shared" si="162"/>
        <v>1235.9491849499309</v>
      </c>
      <c r="K2080" s="45">
        <f t="shared" si="160"/>
        <v>22794181.56910025</v>
      </c>
    </row>
    <row r="2081" spans="2:11">
      <c r="B2081" s="43">
        <v>45605</v>
      </c>
      <c r="C2081" s="32" t="s">
        <v>29</v>
      </c>
      <c r="D2081" s="32" t="s">
        <v>132</v>
      </c>
      <c r="E2081" s="36">
        <f t="shared" si="163"/>
        <v>22794181.56910025</v>
      </c>
      <c r="F2081" s="36">
        <v>13183.15</v>
      </c>
      <c r="G2081" s="58">
        <v>0</v>
      </c>
      <c r="H2081" s="35">
        <f t="shared" si="164"/>
        <v>13183.15</v>
      </c>
      <c r="I2081" s="35">
        <f t="shared" si="161"/>
        <v>0</v>
      </c>
      <c r="J2081" s="35">
        <f t="shared" si="162"/>
        <v>1236.7039096353649</v>
      </c>
      <c r="K2081" s="45">
        <f t="shared" si="160"/>
        <v>22806128.015190613</v>
      </c>
    </row>
    <row r="2082" spans="2:11">
      <c r="B2082" s="43">
        <v>45605</v>
      </c>
      <c r="C2082" s="32" t="s">
        <v>29</v>
      </c>
      <c r="D2082" s="32" t="s">
        <v>134</v>
      </c>
      <c r="E2082" s="36">
        <f t="shared" si="163"/>
        <v>22806128.015190613</v>
      </c>
      <c r="F2082" s="36">
        <v>0</v>
      </c>
      <c r="G2082" s="58">
        <v>-20222</v>
      </c>
      <c r="H2082" s="35">
        <f t="shared" si="164"/>
        <v>-20222</v>
      </c>
      <c r="I2082" s="35">
        <f t="shared" si="161"/>
        <v>0</v>
      </c>
      <c r="J2082" s="35">
        <f t="shared" si="162"/>
        <v>1237.3520669969885</v>
      </c>
      <c r="K2082" s="45">
        <f t="shared" si="160"/>
        <v>22784668.663123615</v>
      </c>
    </row>
    <row r="2083" spans="2:11">
      <c r="B2083" s="43">
        <v>45605</v>
      </c>
      <c r="C2083" s="32" t="s">
        <v>27</v>
      </c>
      <c r="D2083" s="32" t="s">
        <v>134</v>
      </c>
      <c r="E2083" s="36">
        <f t="shared" si="163"/>
        <v>22784668.663123615</v>
      </c>
      <c r="F2083" s="36">
        <v>0</v>
      </c>
      <c r="G2083" s="58">
        <v>-3246</v>
      </c>
      <c r="H2083" s="35">
        <f t="shared" si="164"/>
        <v>-3246</v>
      </c>
      <c r="I2083" s="35">
        <f t="shared" si="161"/>
        <v>0</v>
      </c>
      <c r="J2083" s="35">
        <f t="shared" si="162"/>
        <v>1236.1877845892589</v>
      </c>
      <c r="K2083" s="45">
        <f t="shared" si="160"/>
        <v>22780186.475339025</v>
      </c>
    </row>
    <row r="2084" spans="2:11">
      <c r="B2084" s="43">
        <v>45605</v>
      </c>
      <c r="C2084" s="32" t="s">
        <v>29</v>
      </c>
      <c r="D2084" s="32" t="s">
        <v>134</v>
      </c>
      <c r="E2084" s="36">
        <f t="shared" si="163"/>
        <v>22780186.475339025</v>
      </c>
      <c r="F2084" s="36">
        <v>0</v>
      </c>
      <c r="G2084" s="58">
        <v>-20383</v>
      </c>
      <c r="H2084" s="35">
        <f t="shared" si="164"/>
        <v>-20383</v>
      </c>
      <c r="I2084" s="35">
        <f t="shared" si="161"/>
        <v>0</v>
      </c>
      <c r="J2084" s="35">
        <f t="shared" si="162"/>
        <v>1235.9446023920777</v>
      </c>
      <c r="K2084" s="45">
        <f t="shared" si="160"/>
        <v>22758567.530736633</v>
      </c>
    </row>
    <row r="2085" spans="2:11">
      <c r="B2085" s="43">
        <v>45606</v>
      </c>
      <c r="C2085" s="32" t="s">
        <v>29</v>
      </c>
      <c r="D2085" s="32" t="s">
        <v>132</v>
      </c>
      <c r="E2085" s="36">
        <f t="shared" si="163"/>
        <v>22758567.530736633</v>
      </c>
      <c r="F2085" s="36">
        <v>15232.1</v>
      </c>
      <c r="G2085" s="58">
        <v>0</v>
      </c>
      <c r="H2085" s="35">
        <f t="shared" si="164"/>
        <v>15232.1</v>
      </c>
      <c r="I2085" s="35">
        <f t="shared" si="161"/>
        <v>0</v>
      </c>
      <c r="J2085" s="35">
        <f t="shared" si="162"/>
        <v>2469.5433225044235</v>
      </c>
      <c r="K2085" s="45">
        <f t="shared" si="160"/>
        <v>22771330.087414131</v>
      </c>
    </row>
    <row r="2086" spans="2:11">
      <c r="B2086" s="43">
        <v>45606</v>
      </c>
      <c r="C2086" s="32" t="s">
        <v>27</v>
      </c>
      <c r="D2086" s="32" t="s">
        <v>132</v>
      </c>
      <c r="E2086" s="36">
        <f t="shared" si="163"/>
        <v>22771330.087414131</v>
      </c>
      <c r="F2086" s="36">
        <v>16131.64</v>
      </c>
      <c r="G2086" s="58">
        <v>0</v>
      </c>
      <c r="H2086" s="35">
        <f t="shared" si="164"/>
        <v>16131.64</v>
      </c>
      <c r="I2086" s="35">
        <f t="shared" si="161"/>
        <v>0</v>
      </c>
      <c r="J2086" s="35">
        <f t="shared" si="162"/>
        <v>1235.464096893832</v>
      </c>
      <c r="K2086" s="45">
        <f t="shared" si="160"/>
        <v>22786226.263317239</v>
      </c>
    </row>
    <row r="2087" spans="2:11">
      <c r="B2087" s="43">
        <v>45606</v>
      </c>
      <c r="C2087" s="32" t="s">
        <v>25</v>
      </c>
      <c r="D2087" s="32" t="s">
        <v>132</v>
      </c>
      <c r="E2087" s="36">
        <f t="shared" si="163"/>
        <v>22786226.263317239</v>
      </c>
      <c r="F2087" s="36">
        <v>16737.87</v>
      </c>
      <c r="G2087" s="58">
        <v>0</v>
      </c>
      <c r="H2087" s="35">
        <f t="shared" si="164"/>
        <v>16737.87</v>
      </c>
      <c r="I2087" s="35">
        <f t="shared" si="161"/>
        <v>0</v>
      </c>
      <c r="J2087" s="35">
        <f t="shared" si="162"/>
        <v>1236.2722925696514</v>
      </c>
      <c r="K2087" s="45">
        <f t="shared" si="160"/>
        <v>22801727.86102467</v>
      </c>
    </row>
    <row r="2088" spans="2:11">
      <c r="B2088" s="43">
        <v>45606</v>
      </c>
      <c r="C2088" s="32" t="s">
        <v>29</v>
      </c>
      <c r="D2088" s="32" t="s">
        <v>134</v>
      </c>
      <c r="E2088" s="36">
        <f t="shared" si="163"/>
        <v>22801727.86102467</v>
      </c>
      <c r="F2088" s="36">
        <v>0</v>
      </c>
      <c r="G2088" s="58">
        <v>-13467.5</v>
      </c>
      <c r="H2088" s="35">
        <f t="shared" si="164"/>
        <v>-13467.5</v>
      </c>
      <c r="I2088" s="35">
        <f t="shared" si="161"/>
        <v>0</v>
      </c>
      <c r="J2088" s="35">
        <f t="shared" si="162"/>
        <v>1237.1133355538998</v>
      </c>
      <c r="K2088" s="45">
        <f t="shared" si="160"/>
        <v>22787023.247689117</v>
      </c>
    </row>
    <row r="2089" spans="2:11">
      <c r="B2089" s="43">
        <v>45606</v>
      </c>
      <c r="C2089" s="32" t="s">
        <v>25</v>
      </c>
      <c r="D2089" s="32" t="s">
        <v>134</v>
      </c>
      <c r="E2089" s="36">
        <f t="shared" si="163"/>
        <v>22787023.247689117</v>
      </c>
      <c r="F2089" s="36">
        <v>0</v>
      </c>
      <c r="G2089" s="58">
        <v>-11661.61</v>
      </c>
      <c r="H2089" s="35">
        <f t="shared" si="164"/>
        <v>-11661.61</v>
      </c>
      <c r="I2089" s="35">
        <f t="shared" si="161"/>
        <v>0</v>
      </c>
      <c r="J2089" s="35">
        <f t="shared" si="162"/>
        <v>1236.3155331521498</v>
      </c>
      <c r="K2089" s="45">
        <f t="shared" si="160"/>
        <v>22774125.322155964</v>
      </c>
    </row>
    <row r="2090" spans="2:11">
      <c r="B2090" s="43">
        <v>45607</v>
      </c>
      <c r="C2090" s="32" t="s">
        <v>29</v>
      </c>
      <c r="D2090" s="32" t="s">
        <v>132</v>
      </c>
      <c r="E2090" s="36">
        <f t="shared" si="163"/>
        <v>22774125.322155964</v>
      </c>
      <c r="F2090" s="36">
        <v>15015.73</v>
      </c>
      <c r="G2090" s="58">
        <v>0</v>
      </c>
      <c r="H2090" s="35">
        <f t="shared" si="164"/>
        <v>15015.73</v>
      </c>
      <c r="I2090" s="35">
        <f t="shared" si="161"/>
        <v>0</v>
      </c>
      <c r="J2090" s="35">
        <f t="shared" si="162"/>
        <v>2471.2315060801534</v>
      </c>
      <c r="K2090" s="45">
        <f t="shared" si="160"/>
        <v>22786669.820649885</v>
      </c>
    </row>
    <row r="2091" spans="2:11">
      <c r="B2091" s="43">
        <v>45607</v>
      </c>
      <c r="C2091" s="32" t="s">
        <v>25</v>
      </c>
      <c r="D2091" s="32" t="s">
        <v>134</v>
      </c>
      <c r="E2091" s="36">
        <f t="shared" si="163"/>
        <v>22786669.820649885</v>
      </c>
      <c r="F2091" s="36">
        <v>0</v>
      </c>
      <c r="G2091" s="58">
        <v>-4027</v>
      </c>
      <c r="H2091" s="35">
        <f t="shared" si="164"/>
        <v>-4027</v>
      </c>
      <c r="I2091" s="35">
        <f t="shared" si="161"/>
        <v>0</v>
      </c>
      <c r="J2091" s="35">
        <f t="shared" si="162"/>
        <v>1236.296357881484</v>
      </c>
      <c r="K2091" s="45">
        <f t="shared" si="160"/>
        <v>22781406.524292003</v>
      </c>
    </row>
    <row r="2092" spans="2:11">
      <c r="B2092" s="43">
        <v>45607</v>
      </c>
      <c r="C2092" s="32" t="s">
        <v>25</v>
      </c>
      <c r="D2092" s="32" t="s">
        <v>134</v>
      </c>
      <c r="E2092" s="36">
        <f t="shared" si="163"/>
        <v>22781406.524292003</v>
      </c>
      <c r="F2092" s="36">
        <v>0</v>
      </c>
      <c r="G2092" s="58">
        <v>-5909</v>
      </c>
      <c r="H2092" s="35">
        <f t="shared" si="164"/>
        <v>-5909</v>
      </c>
      <c r="I2092" s="35">
        <f t="shared" si="161"/>
        <v>0</v>
      </c>
      <c r="J2092" s="35">
        <f t="shared" si="162"/>
        <v>1236.0107964471492</v>
      </c>
      <c r="K2092" s="45">
        <f t="shared" si="160"/>
        <v>22774261.513495557</v>
      </c>
    </row>
    <row r="2093" spans="2:11">
      <c r="B2093" s="43">
        <v>45608</v>
      </c>
      <c r="C2093" s="32" t="s">
        <v>27</v>
      </c>
      <c r="D2093" s="32" t="s">
        <v>132</v>
      </c>
      <c r="E2093" s="36">
        <f t="shared" si="163"/>
        <v>22774261.513495557</v>
      </c>
      <c r="F2093" s="36">
        <v>14296.24</v>
      </c>
      <c r="G2093" s="58">
        <v>0</v>
      </c>
      <c r="H2093" s="35">
        <f t="shared" si="164"/>
        <v>14296.24</v>
      </c>
      <c r="I2093" s="35">
        <f t="shared" si="161"/>
        <v>0</v>
      </c>
      <c r="J2093" s="35">
        <f t="shared" si="162"/>
        <v>2471.2462842691948</v>
      </c>
      <c r="K2093" s="45">
        <f t="shared" si="160"/>
        <v>22786086.507211287</v>
      </c>
    </row>
    <row r="2094" spans="2:11">
      <c r="B2094" s="43">
        <v>45608</v>
      </c>
      <c r="C2094" s="32" t="s">
        <v>29</v>
      </c>
      <c r="D2094" s="32" t="s">
        <v>132</v>
      </c>
      <c r="E2094" s="36">
        <f t="shared" si="163"/>
        <v>22786086.507211287</v>
      </c>
      <c r="F2094" s="36">
        <v>8094.24</v>
      </c>
      <c r="G2094" s="58">
        <v>0</v>
      </c>
      <c r="H2094" s="35">
        <f t="shared" si="164"/>
        <v>8094.24</v>
      </c>
      <c r="I2094" s="35">
        <f t="shared" si="161"/>
        <v>0</v>
      </c>
      <c r="J2094" s="35">
        <f t="shared" si="162"/>
        <v>1236.264710067858</v>
      </c>
      <c r="K2094" s="45">
        <f t="shared" si="160"/>
        <v>22792944.482501216</v>
      </c>
    </row>
    <row r="2095" spans="2:11">
      <c r="B2095" s="43">
        <v>45608</v>
      </c>
      <c r="C2095" s="32" t="s">
        <v>29</v>
      </c>
      <c r="D2095" s="32" t="s">
        <v>132</v>
      </c>
      <c r="E2095" s="36">
        <f t="shared" si="163"/>
        <v>22792944.482501216</v>
      </c>
      <c r="F2095" s="36">
        <v>13044.49</v>
      </c>
      <c r="G2095" s="58">
        <v>0</v>
      </c>
      <c r="H2095" s="35">
        <f t="shared" si="164"/>
        <v>13044.49</v>
      </c>
      <c r="I2095" s="35">
        <f t="shared" si="161"/>
        <v>0</v>
      </c>
      <c r="J2095" s="35">
        <f t="shared" si="162"/>
        <v>1236.6367911986295</v>
      </c>
      <c r="K2095" s="45">
        <f t="shared" si="160"/>
        <v>22804752.335710015</v>
      </c>
    </row>
    <row r="2096" spans="2:11">
      <c r="B2096" s="43">
        <v>45608</v>
      </c>
      <c r="C2096" s="32" t="s">
        <v>25</v>
      </c>
      <c r="D2096" s="32" t="s">
        <v>134</v>
      </c>
      <c r="E2096" s="36">
        <f t="shared" si="163"/>
        <v>22804752.335710015</v>
      </c>
      <c r="F2096" s="36">
        <v>0</v>
      </c>
      <c r="G2096" s="58">
        <v>-10251.879999999999</v>
      </c>
      <c r="H2096" s="35">
        <f t="shared" si="164"/>
        <v>-10251.879999999999</v>
      </c>
      <c r="I2096" s="35">
        <f t="shared" si="161"/>
        <v>0</v>
      </c>
      <c r="J2096" s="35">
        <f t="shared" si="162"/>
        <v>1237.2774291694841</v>
      </c>
      <c r="K2096" s="45">
        <f t="shared" si="160"/>
        <v>22793263.178280845</v>
      </c>
    </row>
    <row r="2097" spans="2:11">
      <c r="B2097" s="43">
        <v>45609</v>
      </c>
      <c r="C2097" s="32" t="s">
        <v>27</v>
      </c>
      <c r="D2097" s="32" t="s">
        <v>132</v>
      </c>
      <c r="E2097" s="36">
        <f t="shared" si="163"/>
        <v>22793263.178280845</v>
      </c>
      <c r="F2097" s="36">
        <v>16420.78</v>
      </c>
      <c r="G2097" s="58">
        <v>0</v>
      </c>
      <c r="H2097" s="35">
        <f t="shared" si="164"/>
        <v>16420.78</v>
      </c>
      <c r="I2097" s="35">
        <f t="shared" si="161"/>
        <v>0</v>
      </c>
      <c r="J2097" s="35">
        <f t="shared" si="162"/>
        <v>2473.3081642325797</v>
      </c>
      <c r="K2097" s="45">
        <f t="shared" si="160"/>
        <v>22807210.650116615</v>
      </c>
    </row>
    <row r="2098" spans="2:11">
      <c r="B2098" s="43">
        <v>45609</v>
      </c>
      <c r="C2098" s="32" t="s">
        <v>25</v>
      </c>
      <c r="D2098" s="32" t="s">
        <v>132</v>
      </c>
      <c r="E2098" s="36">
        <f t="shared" si="163"/>
        <v>22807210.650116615</v>
      </c>
      <c r="F2098" s="36">
        <v>16183.36</v>
      </c>
      <c r="G2098" s="58">
        <v>0</v>
      </c>
      <c r="H2098" s="35">
        <f t="shared" si="164"/>
        <v>16183.36</v>
      </c>
      <c r="I2098" s="35">
        <f t="shared" si="161"/>
        <v>0</v>
      </c>
      <c r="J2098" s="35">
        <f t="shared" si="162"/>
        <v>1237.4108056203356</v>
      </c>
      <c r="K2098" s="45">
        <f t="shared" si="160"/>
        <v>22822156.599310994</v>
      </c>
    </row>
    <row r="2099" spans="2:11">
      <c r="B2099" s="43">
        <v>45609</v>
      </c>
      <c r="C2099" s="32" t="s">
        <v>25</v>
      </c>
      <c r="D2099" s="32" t="s">
        <v>132</v>
      </c>
      <c r="E2099" s="36">
        <f t="shared" si="163"/>
        <v>22822156.599310994</v>
      </c>
      <c r="F2099" s="36">
        <v>11975.74</v>
      </c>
      <c r="G2099" s="58">
        <v>0</v>
      </c>
      <c r="H2099" s="35">
        <f t="shared" si="164"/>
        <v>11975.74</v>
      </c>
      <c r="I2099" s="35">
        <f t="shared" si="161"/>
        <v>0</v>
      </c>
      <c r="J2099" s="35">
        <f t="shared" si="162"/>
        <v>1238.2217017582764</v>
      </c>
      <c r="K2099" s="45">
        <f t="shared" si="160"/>
        <v>22832894.117609233</v>
      </c>
    </row>
    <row r="2100" spans="2:11">
      <c r="B2100" s="43">
        <v>45609</v>
      </c>
      <c r="C2100" s="32" t="s">
        <v>25</v>
      </c>
      <c r="D2100" s="32" t="s">
        <v>132</v>
      </c>
      <c r="E2100" s="36">
        <f t="shared" si="163"/>
        <v>22832894.117609233</v>
      </c>
      <c r="F2100" s="36">
        <v>17521.93</v>
      </c>
      <c r="G2100" s="58">
        <v>0</v>
      </c>
      <c r="H2100" s="35">
        <f t="shared" si="164"/>
        <v>17521.93</v>
      </c>
      <c r="I2100" s="35">
        <f t="shared" si="161"/>
        <v>0</v>
      </c>
      <c r="J2100" s="35">
        <f t="shared" si="162"/>
        <v>1238.8042684461373</v>
      </c>
      <c r="K2100" s="45">
        <f t="shared" si="160"/>
        <v>22849177.243340787</v>
      </c>
    </row>
    <row r="2101" spans="2:11">
      <c r="B2101" s="43">
        <v>45609</v>
      </c>
      <c r="C2101" s="32" t="s">
        <v>27</v>
      </c>
      <c r="D2101" s="32" t="s">
        <v>132</v>
      </c>
      <c r="E2101" s="36">
        <f t="shared" si="163"/>
        <v>22849177.243340787</v>
      </c>
      <c r="F2101" s="36">
        <v>11489.66</v>
      </c>
      <c r="G2101" s="58">
        <v>0</v>
      </c>
      <c r="H2101" s="35">
        <f t="shared" si="164"/>
        <v>11489.66</v>
      </c>
      <c r="I2101" s="35">
        <f t="shared" si="161"/>
        <v>0</v>
      </c>
      <c r="J2101" s="35">
        <f t="shared" si="162"/>
        <v>1239.6877134249469</v>
      </c>
      <c r="K2101" s="45">
        <f t="shared" si="160"/>
        <v>22859427.215627361</v>
      </c>
    </row>
    <row r="2102" spans="2:11">
      <c r="B2102" s="43">
        <v>45609</v>
      </c>
      <c r="C2102" s="32" t="s">
        <v>27</v>
      </c>
      <c r="D2102" s="32" t="s">
        <v>132</v>
      </c>
      <c r="E2102" s="36">
        <f t="shared" si="163"/>
        <v>22859427.215627361</v>
      </c>
      <c r="F2102" s="36">
        <v>18601.240000000002</v>
      </c>
      <c r="G2102" s="58">
        <v>0</v>
      </c>
      <c r="H2102" s="35">
        <f t="shared" si="164"/>
        <v>18601.240000000002</v>
      </c>
      <c r="I2102" s="35">
        <f t="shared" si="161"/>
        <v>0</v>
      </c>
      <c r="J2102" s="35">
        <f t="shared" si="162"/>
        <v>1240.2438281844102</v>
      </c>
      <c r="K2102" s="45">
        <f t="shared" si="160"/>
        <v>22876788.211799175</v>
      </c>
    </row>
    <row r="2103" spans="2:11">
      <c r="B2103" s="43">
        <v>45609</v>
      </c>
      <c r="C2103" s="32" t="s">
        <v>27</v>
      </c>
      <c r="D2103" s="32" t="s">
        <v>134</v>
      </c>
      <c r="E2103" s="36">
        <f t="shared" si="163"/>
        <v>22876788.211799175</v>
      </c>
      <c r="F2103" s="36">
        <v>0</v>
      </c>
      <c r="G2103" s="58">
        <v>-13630</v>
      </c>
      <c r="H2103" s="35">
        <f t="shared" si="164"/>
        <v>-13630</v>
      </c>
      <c r="I2103" s="35">
        <f t="shared" si="161"/>
        <v>0</v>
      </c>
      <c r="J2103" s="35">
        <f t="shared" si="162"/>
        <v>1241.185753288225</v>
      </c>
      <c r="K2103" s="45">
        <f t="shared" si="160"/>
        <v>22861917.026045885</v>
      </c>
    </row>
    <row r="2104" spans="2:11">
      <c r="B2104" s="43">
        <v>45610</v>
      </c>
      <c r="C2104" s="32" t="s">
        <v>25</v>
      </c>
      <c r="D2104" s="32" t="s">
        <v>132</v>
      </c>
      <c r="E2104" s="36">
        <f t="shared" si="163"/>
        <v>22861917.026045885</v>
      </c>
      <c r="F2104" s="36">
        <v>14781.51</v>
      </c>
      <c r="G2104" s="58">
        <v>0</v>
      </c>
      <c r="H2104" s="35">
        <f t="shared" si="164"/>
        <v>14781.51</v>
      </c>
      <c r="I2104" s="35">
        <f t="shared" si="161"/>
        <v>0</v>
      </c>
      <c r="J2104" s="35">
        <f t="shared" si="162"/>
        <v>2480.7578269182218</v>
      </c>
      <c r="K2104" s="45">
        <f t="shared" si="160"/>
        <v>22874217.77821897</v>
      </c>
    </row>
    <row r="2105" spans="2:11">
      <c r="B2105" s="43">
        <v>45610</v>
      </c>
      <c r="C2105" s="32" t="s">
        <v>25</v>
      </c>
      <c r="D2105" s="32" t="s">
        <v>132</v>
      </c>
      <c r="E2105" s="36">
        <f t="shared" si="163"/>
        <v>22874217.77821897</v>
      </c>
      <c r="F2105" s="36">
        <v>17241.88</v>
      </c>
      <c r="G2105" s="58">
        <v>0</v>
      </c>
      <c r="H2105" s="35">
        <f t="shared" si="164"/>
        <v>17241.88</v>
      </c>
      <c r="I2105" s="35">
        <f t="shared" si="161"/>
        <v>0</v>
      </c>
      <c r="J2105" s="35">
        <f t="shared" si="162"/>
        <v>1241.0462937841203</v>
      </c>
      <c r="K2105" s="45">
        <f t="shared" si="160"/>
        <v>22890218.611925185</v>
      </c>
    </row>
    <row r="2106" spans="2:11">
      <c r="B2106" s="43">
        <v>45610</v>
      </c>
      <c r="C2106" s="32" t="s">
        <v>25</v>
      </c>
      <c r="D2106" s="32" t="s">
        <v>134</v>
      </c>
      <c r="E2106" s="36">
        <f t="shared" si="163"/>
        <v>22890218.611925185</v>
      </c>
      <c r="F2106" s="36">
        <v>0</v>
      </c>
      <c r="G2106" s="58">
        <v>-8279.2099999999991</v>
      </c>
      <c r="H2106" s="35">
        <f t="shared" si="164"/>
        <v>-8279.2099999999991</v>
      </c>
      <c r="I2106" s="35">
        <f t="shared" si="161"/>
        <v>0</v>
      </c>
      <c r="J2106" s="35">
        <f t="shared" si="162"/>
        <v>1241.9144229398837</v>
      </c>
      <c r="K2106" s="45">
        <f t="shared" si="160"/>
        <v>22880697.487502243</v>
      </c>
    </row>
    <row r="2107" spans="2:11">
      <c r="B2107" s="43">
        <v>45610</v>
      </c>
      <c r="C2107" s="32" t="s">
        <v>29</v>
      </c>
      <c r="D2107" s="32" t="s">
        <v>134</v>
      </c>
      <c r="E2107" s="36">
        <f t="shared" si="163"/>
        <v>22880697.487502243</v>
      </c>
      <c r="F2107" s="36">
        <v>0</v>
      </c>
      <c r="G2107" s="58">
        <v>-12859</v>
      </c>
      <c r="H2107" s="35">
        <f t="shared" si="164"/>
        <v>-12859</v>
      </c>
      <c r="I2107" s="35">
        <f t="shared" si="161"/>
        <v>0</v>
      </c>
      <c r="J2107" s="35">
        <f t="shared" si="162"/>
        <v>1241.3978519999584</v>
      </c>
      <c r="K2107" s="45">
        <f t="shared" si="160"/>
        <v>22866597.089650244</v>
      </c>
    </row>
    <row r="2108" spans="2:11">
      <c r="B2108" s="43">
        <v>45611</v>
      </c>
      <c r="C2108" s="32" t="s">
        <v>29</v>
      </c>
      <c r="D2108" s="32" t="s">
        <v>132</v>
      </c>
      <c r="E2108" s="36">
        <f t="shared" si="163"/>
        <v>22866597.089650244</v>
      </c>
      <c r="F2108" s="36">
        <v>21812.080000000002</v>
      </c>
      <c r="G2108" s="58">
        <v>0</v>
      </c>
      <c r="H2108" s="35">
        <f t="shared" si="164"/>
        <v>21812.080000000002</v>
      </c>
      <c r="I2108" s="35">
        <f t="shared" si="161"/>
        <v>0</v>
      </c>
      <c r="J2108" s="35">
        <f t="shared" si="162"/>
        <v>2481.2656629148164</v>
      </c>
      <c r="K2108" s="45">
        <f t="shared" si="160"/>
        <v>22885927.903987326</v>
      </c>
    </row>
    <row r="2109" spans="2:11">
      <c r="B2109" s="43">
        <v>45611</v>
      </c>
      <c r="C2109" s="32" t="s">
        <v>29</v>
      </c>
      <c r="D2109" s="32" t="s">
        <v>134</v>
      </c>
      <c r="E2109" s="36">
        <f t="shared" si="163"/>
        <v>22885927.903987326</v>
      </c>
      <c r="F2109" s="36">
        <v>0</v>
      </c>
      <c r="G2109" s="58">
        <v>-8727.4699999999993</v>
      </c>
      <c r="H2109" s="35">
        <f t="shared" si="164"/>
        <v>-8727.4699999999993</v>
      </c>
      <c r="I2109" s="35">
        <f t="shared" si="161"/>
        <v>0</v>
      </c>
      <c r="J2109" s="35">
        <f t="shared" si="162"/>
        <v>1241.6816295287333</v>
      </c>
      <c r="K2109" s="45">
        <f t="shared" si="160"/>
        <v>22875958.7523578</v>
      </c>
    </row>
    <row r="2110" spans="2:11">
      <c r="B2110" s="43">
        <v>45611</v>
      </c>
      <c r="C2110" s="32" t="s">
        <v>27</v>
      </c>
      <c r="D2110" s="32" t="s">
        <v>134</v>
      </c>
      <c r="E2110" s="36">
        <f t="shared" si="163"/>
        <v>22875958.7523578</v>
      </c>
      <c r="F2110" s="36">
        <v>0</v>
      </c>
      <c r="G2110" s="58">
        <v>-7004.14</v>
      </c>
      <c r="H2110" s="35">
        <f t="shared" si="164"/>
        <v>-7004.14</v>
      </c>
      <c r="I2110" s="35">
        <f t="shared" si="161"/>
        <v>0</v>
      </c>
      <c r="J2110" s="35">
        <f t="shared" si="162"/>
        <v>1241.1407507628689</v>
      </c>
      <c r="K2110" s="45">
        <f t="shared" si="160"/>
        <v>22867713.471607037</v>
      </c>
    </row>
    <row r="2111" spans="2:11">
      <c r="B2111" s="43">
        <v>45611</v>
      </c>
      <c r="C2111" s="32" t="s">
        <v>29</v>
      </c>
      <c r="D2111" s="32" t="s">
        <v>134</v>
      </c>
      <c r="E2111" s="36">
        <f t="shared" si="163"/>
        <v>22867713.471607037</v>
      </c>
      <c r="F2111" s="36">
        <v>0</v>
      </c>
      <c r="G2111" s="58">
        <v>-20127</v>
      </c>
      <c r="H2111" s="35">
        <f t="shared" si="164"/>
        <v>-20127</v>
      </c>
      <c r="I2111" s="35">
        <f t="shared" si="161"/>
        <v>0</v>
      </c>
      <c r="J2111" s="35">
        <f t="shared" si="162"/>
        <v>1240.6934010341849</v>
      </c>
      <c r="K2111" s="45">
        <f t="shared" si="160"/>
        <v>22846345.778206002</v>
      </c>
    </row>
    <row r="2112" spans="2:11">
      <c r="B2112" s="43">
        <v>45611</v>
      </c>
      <c r="C2112" s="32" t="s">
        <v>27</v>
      </c>
      <c r="D2112" s="32" t="s">
        <v>134</v>
      </c>
      <c r="E2112" s="36">
        <f t="shared" si="163"/>
        <v>22846345.778206002</v>
      </c>
      <c r="F2112" s="36">
        <v>0</v>
      </c>
      <c r="G2112" s="58">
        <v>-13359</v>
      </c>
      <c r="H2112" s="35">
        <f t="shared" si="164"/>
        <v>-13359</v>
      </c>
      <c r="I2112" s="35">
        <f t="shared" si="161"/>
        <v>0</v>
      </c>
      <c r="J2112" s="35">
        <f t="shared" si="162"/>
        <v>1239.5340915898498</v>
      </c>
      <c r="K2112" s="45">
        <f t="shared" si="160"/>
        <v>22831747.244114414</v>
      </c>
    </row>
    <row r="2113" spans="2:11">
      <c r="B2113" s="43">
        <v>45612</v>
      </c>
      <c r="C2113" s="32" t="s">
        <v>27</v>
      </c>
      <c r="D2113" s="32" t="s">
        <v>132</v>
      </c>
      <c r="E2113" s="36">
        <f t="shared" si="163"/>
        <v>22831747.244114414</v>
      </c>
      <c r="F2113" s="36">
        <v>17557.3</v>
      </c>
      <c r="G2113" s="58">
        <v>0</v>
      </c>
      <c r="H2113" s="35">
        <f t="shared" si="164"/>
        <v>17557.3</v>
      </c>
      <c r="I2113" s="35">
        <f t="shared" si="161"/>
        <v>0</v>
      </c>
      <c r="J2113" s="35">
        <f t="shared" si="162"/>
        <v>2477.4840890869782</v>
      </c>
      <c r="K2113" s="45">
        <f t="shared" si="160"/>
        <v>22846827.060025327</v>
      </c>
    </row>
    <row r="2114" spans="2:11">
      <c r="B2114" s="43">
        <v>45612</v>
      </c>
      <c r="C2114" s="32" t="s">
        <v>29</v>
      </c>
      <c r="D2114" s="32" t="s">
        <v>132</v>
      </c>
      <c r="E2114" s="36">
        <f t="shared" si="163"/>
        <v>22846827.060025327</v>
      </c>
      <c r="F2114" s="36">
        <v>12733.85</v>
      </c>
      <c r="G2114" s="58">
        <v>0</v>
      </c>
      <c r="H2114" s="35">
        <f t="shared" si="164"/>
        <v>12733.85</v>
      </c>
      <c r="I2114" s="35">
        <f t="shared" si="161"/>
        <v>0</v>
      </c>
      <c r="J2114" s="35">
        <f t="shared" si="162"/>
        <v>1239.5602036529563</v>
      </c>
      <c r="K2114" s="45">
        <f t="shared" si="160"/>
        <v>22858321.349821676</v>
      </c>
    </row>
    <row r="2115" spans="2:11">
      <c r="B2115" s="43">
        <v>45612</v>
      </c>
      <c r="C2115" s="32" t="s">
        <v>25</v>
      </c>
      <c r="D2115" s="32" t="s">
        <v>134</v>
      </c>
      <c r="E2115" s="36">
        <f t="shared" si="163"/>
        <v>22858321.349821676</v>
      </c>
      <c r="F2115" s="36">
        <v>0</v>
      </c>
      <c r="G2115" s="58">
        <v>-10003.67</v>
      </c>
      <c r="H2115" s="35">
        <f t="shared" si="164"/>
        <v>-10003.67</v>
      </c>
      <c r="I2115" s="35">
        <f t="shared" si="161"/>
        <v>0</v>
      </c>
      <c r="J2115" s="35">
        <f t="shared" si="162"/>
        <v>1240.1838291639901</v>
      </c>
      <c r="K2115" s="45">
        <f t="shared" si="160"/>
        <v>22847077.495992512</v>
      </c>
    </row>
    <row r="2116" spans="2:11">
      <c r="B2116" s="43">
        <v>45612</v>
      </c>
      <c r="C2116" s="32" t="s">
        <v>29</v>
      </c>
      <c r="D2116" s="32" t="s">
        <v>134</v>
      </c>
      <c r="E2116" s="36">
        <f t="shared" si="163"/>
        <v>22847077.495992512</v>
      </c>
      <c r="F2116" s="36">
        <v>0</v>
      </c>
      <c r="G2116" s="58">
        <v>-6162.56</v>
      </c>
      <c r="H2116" s="35">
        <f t="shared" si="164"/>
        <v>-6162.56</v>
      </c>
      <c r="I2116" s="35">
        <f t="shared" si="161"/>
        <v>0</v>
      </c>
      <c r="J2116" s="35">
        <f t="shared" si="162"/>
        <v>1239.5737911177571</v>
      </c>
      <c r="K2116" s="45">
        <f t="shared" si="160"/>
        <v>22839675.362201396</v>
      </c>
    </row>
    <row r="2117" spans="2:11">
      <c r="B2117" s="43">
        <v>45612</v>
      </c>
      <c r="C2117" s="32" t="s">
        <v>29</v>
      </c>
      <c r="D2117" s="32" t="s">
        <v>134</v>
      </c>
      <c r="E2117" s="36">
        <f t="shared" si="163"/>
        <v>22839675.362201396</v>
      </c>
      <c r="F2117" s="36">
        <v>0</v>
      </c>
      <c r="G2117" s="58">
        <v>-17176</v>
      </c>
      <c r="H2117" s="35">
        <f t="shared" si="164"/>
        <v>-17176</v>
      </c>
      <c r="I2117" s="35">
        <f t="shared" si="161"/>
        <v>0</v>
      </c>
      <c r="J2117" s="35">
        <f t="shared" si="162"/>
        <v>1239.1721865340887</v>
      </c>
      <c r="K2117" s="45">
        <f t="shared" si="160"/>
        <v>22821260.190014862</v>
      </c>
    </row>
    <row r="2118" spans="2:11">
      <c r="B2118" s="43">
        <v>45612</v>
      </c>
      <c r="C2118" s="32" t="s">
        <v>29</v>
      </c>
      <c r="D2118" s="32" t="s">
        <v>134</v>
      </c>
      <c r="E2118" s="36">
        <f t="shared" si="163"/>
        <v>22821260.190014862</v>
      </c>
      <c r="F2118" s="36">
        <v>0</v>
      </c>
      <c r="G2118" s="58">
        <v>-19243</v>
      </c>
      <c r="H2118" s="35">
        <f t="shared" si="164"/>
        <v>-19243</v>
      </c>
      <c r="I2118" s="35">
        <f t="shared" si="161"/>
        <v>0</v>
      </c>
      <c r="J2118" s="35">
        <f t="shared" si="162"/>
        <v>1238.1730668521359</v>
      </c>
      <c r="K2118" s="45">
        <f t="shared" si="160"/>
        <v>22800779.016948011</v>
      </c>
    </row>
    <row r="2119" spans="2:11">
      <c r="B2119" s="43">
        <v>45612</v>
      </c>
      <c r="C2119" s="32" t="s">
        <v>27</v>
      </c>
      <c r="D2119" s="32" t="s">
        <v>134</v>
      </c>
      <c r="E2119" s="36">
        <f t="shared" si="163"/>
        <v>22800779.016948011</v>
      </c>
      <c r="F2119" s="36">
        <v>0</v>
      </c>
      <c r="G2119" s="58">
        <v>-6198</v>
      </c>
      <c r="H2119" s="35">
        <f t="shared" si="164"/>
        <v>-6198</v>
      </c>
      <c r="I2119" s="35">
        <f t="shared" si="161"/>
        <v>0</v>
      </c>
      <c r="J2119" s="35">
        <f t="shared" si="162"/>
        <v>1237.0618557858861</v>
      </c>
      <c r="K2119" s="45">
        <f t="shared" si="160"/>
        <v>22793343.955092225</v>
      </c>
    </row>
    <row r="2120" spans="2:11">
      <c r="B2120" s="43">
        <v>45613</v>
      </c>
      <c r="C2120" s="32" t="s">
        <v>29</v>
      </c>
      <c r="D2120" s="32" t="s">
        <v>132</v>
      </c>
      <c r="E2120" s="36">
        <f t="shared" si="163"/>
        <v>22793343.955092225</v>
      </c>
      <c r="F2120" s="36">
        <v>16212.15</v>
      </c>
      <c r="G2120" s="58">
        <v>0</v>
      </c>
      <c r="H2120" s="35">
        <f t="shared" si="164"/>
        <v>16212.15</v>
      </c>
      <c r="I2120" s="35">
        <f t="shared" si="161"/>
        <v>0</v>
      </c>
      <c r="J2120" s="35">
        <f t="shared" si="162"/>
        <v>2473.3169293639921</v>
      </c>
      <c r="K2120" s="45">
        <f t="shared" ref="K2120:K2183" si="165">E2120+H2120+I2120-J2120</f>
        <v>22807082.788162861</v>
      </c>
    </row>
    <row r="2121" spans="2:11">
      <c r="B2121" s="43">
        <v>45613</v>
      </c>
      <c r="C2121" s="32" t="s">
        <v>25</v>
      </c>
      <c r="D2121" s="32" t="s">
        <v>132</v>
      </c>
      <c r="E2121" s="36">
        <f t="shared" si="163"/>
        <v>22807082.788162861</v>
      </c>
      <c r="F2121" s="36">
        <v>14789.5</v>
      </c>
      <c r="G2121" s="58">
        <v>0</v>
      </c>
      <c r="H2121" s="35">
        <f t="shared" si="164"/>
        <v>14789.5</v>
      </c>
      <c r="I2121" s="35">
        <f t="shared" si="161"/>
        <v>0</v>
      </c>
      <c r="J2121" s="35">
        <f t="shared" si="162"/>
        <v>1237.403868438686</v>
      </c>
      <c r="K2121" s="45">
        <f t="shared" si="165"/>
        <v>22820634.88429442</v>
      </c>
    </row>
    <row r="2122" spans="2:11">
      <c r="B2122" s="43">
        <v>45613</v>
      </c>
      <c r="C2122" s="32" t="s">
        <v>29</v>
      </c>
      <c r="D2122" s="32" t="s">
        <v>132</v>
      </c>
      <c r="E2122" s="36">
        <f t="shared" si="163"/>
        <v>22820634.88429442</v>
      </c>
      <c r="F2122" s="36">
        <v>14038.96</v>
      </c>
      <c r="G2122" s="58">
        <v>0</v>
      </c>
      <c r="H2122" s="35">
        <f t="shared" si="164"/>
        <v>14038.96</v>
      </c>
      <c r="I2122" s="35">
        <f t="shared" si="161"/>
        <v>0</v>
      </c>
      <c r="J2122" s="35">
        <f t="shared" si="162"/>
        <v>1238.1391407369629</v>
      </c>
      <c r="K2122" s="45">
        <f t="shared" si="165"/>
        <v>22833435.705153685</v>
      </c>
    </row>
    <row r="2123" spans="2:11">
      <c r="B2123" s="43">
        <v>45613</v>
      </c>
      <c r="C2123" s="32" t="s">
        <v>29</v>
      </c>
      <c r="D2123" s="32" t="s">
        <v>132</v>
      </c>
      <c r="E2123" s="36">
        <f t="shared" si="163"/>
        <v>22833435.705153685</v>
      </c>
      <c r="F2123" s="36">
        <v>15673.36</v>
      </c>
      <c r="G2123" s="58">
        <v>0</v>
      </c>
      <c r="H2123" s="35">
        <f t="shared" si="164"/>
        <v>15673.36</v>
      </c>
      <c r="I2123" s="35">
        <f t="shared" si="161"/>
        <v>0</v>
      </c>
      <c r="J2123" s="35">
        <f t="shared" si="162"/>
        <v>1238.8336524111462</v>
      </c>
      <c r="K2123" s="45">
        <f t="shared" si="165"/>
        <v>22847870.231501274</v>
      </c>
    </row>
    <row r="2124" spans="2:11">
      <c r="B2124" s="43">
        <v>45613</v>
      </c>
      <c r="C2124" s="32" t="s">
        <v>29</v>
      </c>
      <c r="D2124" s="32" t="s">
        <v>132</v>
      </c>
      <c r="E2124" s="36">
        <f t="shared" si="163"/>
        <v>22847870.231501274</v>
      </c>
      <c r="F2124" s="36">
        <v>18639.29</v>
      </c>
      <c r="G2124" s="58">
        <v>0</v>
      </c>
      <c r="H2124" s="35">
        <f t="shared" si="164"/>
        <v>18639.29</v>
      </c>
      <c r="I2124" s="35">
        <f t="shared" si="161"/>
        <v>0</v>
      </c>
      <c r="J2124" s="35">
        <f t="shared" si="162"/>
        <v>1239.6168011771454</v>
      </c>
      <c r="K2124" s="45">
        <f t="shared" si="165"/>
        <v>22865269.904700097</v>
      </c>
    </row>
    <row r="2125" spans="2:11">
      <c r="B2125" s="43">
        <v>45613</v>
      </c>
      <c r="C2125" s="32" t="s">
        <v>29</v>
      </c>
      <c r="D2125" s="32" t="s">
        <v>134</v>
      </c>
      <c r="E2125" s="36">
        <f t="shared" si="163"/>
        <v>22865269.904700097</v>
      </c>
      <c r="F2125" s="36">
        <v>0</v>
      </c>
      <c r="G2125" s="58">
        <v>-1987.43</v>
      </c>
      <c r="H2125" s="35">
        <f t="shared" si="164"/>
        <v>-1987.43</v>
      </c>
      <c r="I2125" s="35">
        <f t="shared" si="161"/>
        <v>0</v>
      </c>
      <c r="J2125" s="35">
        <f t="shared" si="162"/>
        <v>1240.5608247125431</v>
      </c>
      <c r="K2125" s="45">
        <f t="shared" si="165"/>
        <v>22862041.913875386</v>
      </c>
    </row>
    <row r="2126" spans="2:11">
      <c r="B2126" s="43">
        <v>45613</v>
      </c>
      <c r="C2126" s="32" t="s">
        <v>25</v>
      </c>
      <c r="D2126" s="32" t="s">
        <v>134</v>
      </c>
      <c r="E2126" s="36">
        <f t="shared" si="163"/>
        <v>22862041.913875386</v>
      </c>
      <c r="F2126" s="36">
        <v>0</v>
      </c>
      <c r="G2126" s="58">
        <v>-19393</v>
      </c>
      <c r="H2126" s="35">
        <f t="shared" si="164"/>
        <v>-19393</v>
      </c>
      <c r="I2126" s="35">
        <f t="shared" si="161"/>
        <v>0</v>
      </c>
      <c r="J2126" s="35">
        <f t="shared" si="162"/>
        <v>1240.3856892789202</v>
      </c>
      <c r="K2126" s="45">
        <f t="shared" si="165"/>
        <v>22841408.528186109</v>
      </c>
    </row>
    <row r="2127" spans="2:11">
      <c r="B2127" s="43">
        <v>45613</v>
      </c>
      <c r="C2127" s="32" t="s">
        <v>29</v>
      </c>
      <c r="D2127" s="32" t="s">
        <v>134</v>
      </c>
      <c r="E2127" s="36">
        <f t="shared" si="163"/>
        <v>22841408.528186109</v>
      </c>
      <c r="F2127" s="36">
        <v>0</v>
      </c>
      <c r="G2127" s="58">
        <v>-8269</v>
      </c>
      <c r="H2127" s="35">
        <f t="shared" si="164"/>
        <v>-8269</v>
      </c>
      <c r="I2127" s="35">
        <f t="shared" si="161"/>
        <v>0</v>
      </c>
      <c r="J2127" s="35">
        <f t="shared" si="162"/>
        <v>1239.2662198795215</v>
      </c>
      <c r="K2127" s="45">
        <f t="shared" si="165"/>
        <v>22831900.261966228</v>
      </c>
    </row>
    <row r="2128" spans="2:11">
      <c r="B2128" s="43">
        <v>45613</v>
      </c>
      <c r="C2128" s="32" t="s">
        <v>25</v>
      </c>
      <c r="D2128" s="32" t="s">
        <v>134</v>
      </c>
      <c r="E2128" s="36">
        <f t="shared" si="163"/>
        <v>22831900.261966228</v>
      </c>
      <c r="F2128" s="36">
        <v>0</v>
      </c>
      <c r="G2128" s="58">
        <v>-10675</v>
      </c>
      <c r="H2128" s="35">
        <f t="shared" si="164"/>
        <v>-10675</v>
      </c>
      <c r="I2128" s="35">
        <f t="shared" si="161"/>
        <v>0</v>
      </c>
      <c r="J2128" s="35">
        <f t="shared" si="162"/>
        <v>1238.7503465645559</v>
      </c>
      <c r="K2128" s="45">
        <f t="shared" si="165"/>
        <v>22819986.511619665</v>
      </c>
    </row>
    <row r="2129" spans="2:11">
      <c r="B2129" s="43">
        <v>45613</v>
      </c>
      <c r="C2129" s="32" t="s">
        <v>27</v>
      </c>
      <c r="D2129" s="32" t="s">
        <v>134</v>
      </c>
      <c r="E2129" s="36">
        <f t="shared" si="163"/>
        <v>22819986.511619665</v>
      </c>
      <c r="F2129" s="36">
        <v>0</v>
      </c>
      <c r="G2129" s="58">
        <v>-13183</v>
      </c>
      <c r="H2129" s="35">
        <f t="shared" si="164"/>
        <v>-13183</v>
      </c>
      <c r="I2129" s="35">
        <f t="shared" si="161"/>
        <v>0</v>
      </c>
      <c r="J2129" s="35">
        <f t="shared" si="162"/>
        <v>1238.1039631185281</v>
      </c>
      <c r="K2129" s="45">
        <f t="shared" si="165"/>
        <v>22805565.407656547</v>
      </c>
    </row>
    <row r="2130" spans="2:11">
      <c r="B2130" s="43">
        <v>45614</v>
      </c>
      <c r="C2130" s="32" t="s">
        <v>29</v>
      </c>
      <c r="D2130" s="32" t="s">
        <v>132</v>
      </c>
      <c r="E2130" s="36">
        <f t="shared" si="163"/>
        <v>22805565.407656547</v>
      </c>
      <c r="F2130" s="36">
        <v>20658.560000000001</v>
      </c>
      <c r="G2130" s="58">
        <v>0</v>
      </c>
      <c r="H2130" s="35">
        <f t="shared" si="164"/>
        <v>20658.560000000001</v>
      </c>
      <c r="I2130" s="35">
        <f t="shared" si="161"/>
        <v>0</v>
      </c>
      <c r="J2130" s="35">
        <f t="shared" si="162"/>
        <v>2474.643085174579</v>
      </c>
      <c r="K2130" s="45">
        <f t="shared" si="165"/>
        <v>22823749.324571371</v>
      </c>
    </row>
    <row r="2131" spans="2:11">
      <c r="B2131" s="43">
        <v>45614</v>
      </c>
      <c r="C2131" s="32" t="s">
        <v>25</v>
      </c>
      <c r="D2131" s="32" t="s">
        <v>132</v>
      </c>
      <c r="E2131" s="36">
        <f t="shared" si="163"/>
        <v>22823749.324571371</v>
      </c>
      <c r="F2131" s="36">
        <v>15178.89</v>
      </c>
      <c r="G2131" s="58">
        <v>0</v>
      </c>
      <c r="H2131" s="35">
        <f t="shared" si="164"/>
        <v>15178.89</v>
      </c>
      <c r="I2131" s="35">
        <f t="shared" si="161"/>
        <v>0</v>
      </c>
      <c r="J2131" s="35">
        <f t="shared" si="162"/>
        <v>1238.3081154577774</v>
      </c>
      <c r="K2131" s="45">
        <f t="shared" si="165"/>
        <v>22837689.906455915</v>
      </c>
    </row>
    <row r="2132" spans="2:11">
      <c r="B2132" s="43">
        <v>45614</v>
      </c>
      <c r="C2132" s="32" t="s">
        <v>29</v>
      </c>
      <c r="D2132" s="32" t="s">
        <v>132</v>
      </c>
      <c r="E2132" s="36">
        <f t="shared" si="163"/>
        <v>22837689.906455915</v>
      </c>
      <c r="F2132" s="36">
        <v>14072.65</v>
      </c>
      <c r="G2132" s="58">
        <v>0</v>
      </c>
      <c r="H2132" s="35">
        <f t="shared" si="164"/>
        <v>14072.65</v>
      </c>
      <c r="I2132" s="35">
        <f t="shared" ref="I2132:I2195" si="166">(($E2132*Daily_Interest)*(_xlfn.DAYS(B2132,B2131)+1))+((IF(DAY($B2131)&gt;Monthly_Cut_off_Date,0,Daily_Interest*H2132))*(_xlfn.DAYS(B2132,B2131)+1))</f>
        <v>0</v>
      </c>
      <c r="J2132" s="35">
        <f t="shared" ref="J2132:J2195" si="167">(($I2132+E2132)*Daily_Fees_Rate)*((_xlfn.DAYS(B2132,B2131)+1))</f>
        <v>1239.0644651458301</v>
      </c>
      <c r="K2132" s="45">
        <f t="shared" si="165"/>
        <v>22850523.491990767</v>
      </c>
    </row>
    <row r="2133" spans="2:11">
      <c r="B2133" s="43">
        <v>45614</v>
      </c>
      <c r="C2133" s="32" t="s">
        <v>25</v>
      </c>
      <c r="D2133" s="32" t="s">
        <v>132</v>
      </c>
      <c r="E2133" s="36">
        <f t="shared" ref="E2133:E2196" si="168">K2132</f>
        <v>22850523.491990767</v>
      </c>
      <c r="F2133" s="36">
        <v>17515.47</v>
      </c>
      <c r="G2133" s="58">
        <v>0</v>
      </c>
      <c r="H2133" s="35">
        <f t="shared" ref="H2133:H2196" si="169">SUM(F2133:G2133)</f>
        <v>17515.47</v>
      </c>
      <c r="I2133" s="35">
        <f t="shared" si="166"/>
        <v>0</v>
      </c>
      <c r="J2133" s="35">
        <f t="shared" si="167"/>
        <v>1239.7607544755206</v>
      </c>
      <c r="K2133" s="45">
        <f t="shared" si="165"/>
        <v>22866799.201236289</v>
      </c>
    </row>
    <row r="2134" spans="2:11">
      <c r="B2134" s="43">
        <v>45614</v>
      </c>
      <c r="C2134" s="32" t="s">
        <v>25</v>
      </c>
      <c r="D2134" s="32" t="s">
        <v>134</v>
      </c>
      <c r="E2134" s="36">
        <f t="shared" si="168"/>
        <v>22866799.201236289</v>
      </c>
      <c r="F2134" s="36">
        <v>0</v>
      </c>
      <c r="G2134" s="58">
        <v>-10345.459999999999</v>
      </c>
      <c r="H2134" s="35">
        <f t="shared" si="169"/>
        <v>-10345.459999999999</v>
      </c>
      <c r="I2134" s="35">
        <f t="shared" si="166"/>
        <v>0</v>
      </c>
      <c r="J2134" s="35">
        <f t="shared" si="167"/>
        <v>1240.6437970710622</v>
      </c>
      <c r="K2134" s="45">
        <f t="shared" si="165"/>
        <v>22855213.097439218</v>
      </c>
    </row>
    <row r="2135" spans="2:11">
      <c r="B2135" s="43">
        <v>45614</v>
      </c>
      <c r="C2135" s="32" t="s">
        <v>25</v>
      </c>
      <c r="D2135" s="32" t="s">
        <v>134</v>
      </c>
      <c r="E2135" s="36">
        <f t="shared" si="168"/>
        <v>22855213.097439218</v>
      </c>
      <c r="F2135" s="36">
        <v>0</v>
      </c>
      <c r="G2135" s="58">
        <v>-18178</v>
      </c>
      <c r="H2135" s="35">
        <f t="shared" si="169"/>
        <v>-18178</v>
      </c>
      <c r="I2135" s="35">
        <f t="shared" si="166"/>
        <v>0</v>
      </c>
      <c r="J2135" s="35">
        <f t="shared" si="167"/>
        <v>1240.0151901689087</v>
      </c>
      <c r="K2135" s="45">
        <f t="shared" si="165"/>
        <v>22835795.082249049</v>
      </c>
    </row>
    <row r="2136" spans="2:11">
      <c r="B2136" s="43">
        <v>45614</v>
      </c>
      <c r="C2136" s="32" t="s">
        <v>27</v>
      </c>
      <c r="D2136" s="32" t="s">
        <v>134</v>
      </c>
      <c r="E2136" s="36">
        <f t="shared" si="168"/>
        <v>22835795.082249049</v>
      </c>
      <c r="F2136" s="36">
        <v>0</v>
      </c>
      <c r="G2136" s="58">
        <v>-6821</v>
      </c>
      <c r="H2136" s="35">
        <f t="shared" si="169"/>
        <v>-6821</v>
      </c>
      <c r="I2136" s="35">
        <f t="shared" si="166"/>
        <v>0</v>
      </c>
      <c r="J2136" s="35">
        <f t="shared" si="167"/>
        <v>1238.9616609939196</v>
      </c>
      <c r="K2136" s="45">
        <f t="shared" si="165"/>
        <v>22827735.120588057</v>
      </c>
    </row>
    <row r="2137" spans="2:11">
      <c r="B2137" s="43">
        <v>45615</v>
      </c>
      <c r="C2137" s="32" t="s">
        <v>25</v>
      </c>
      <c r="D2137" s="32" t="s">
        <v>132</v>
      </c>
      <c r="E2137" s="36">
        <f t="shared" si="168"/>
        <v>22827735.120588057</v>
      </c>
      <c r="F2137" s="36">
        <v>14092.59</v>
      </c>
      <c r="G2137" s="58">
        <v>0</v>
      </c>
      <c r="H2137" s="35">
        <f t="shared" si="169"/>
        <v>14092.59</v>
      </c>
      <c r="I2137" s="35">
        <f t="shared" si="166"/>
        <v>0</v>
      </c>
      <c r="J2137" s="35">
        <f t="shared" si="167"/>
        <v>2477.0487315957744</v>
      </c>
      <c r="K2137" s="45">
        <f t="shared" si="165"/>
        <v>22839350.661856461</v>
      </c>
    </row>
    <row r="2138" spans="2:11">
      <c r="B2138" s="43">
        <v>45615</v>
      </c>
      <c r="C2138" s="32" t="s">
        <v>29</v>
      </c>
      <c r="D2138" s="32" t="s">
        <v>134</v>
      </c>
      <c r="E2138" s="36">
        <f t="shared" si="168"/>
        <v>22839350.661856461</v>
      </c>
      <c r="F2138" s="36">
        <v>0</v>
      </c>
      <c r="G2138" s="58">
        <v>-8764.4</v>
      </c>
      <c r="H2138" s="35">
        <f t="shared" si="169"/>
        <v>-8764.4</v>
      </c>
      <c r="I2138" s="35">
        <f t="shared" si="166"/>
        <v>0</v>
      </c>
      <c r="J2138" s="35">
        <f t="shared" si="167"/>
        <v>1239.1545698372654</v>
      </c>
      <c r="K2138" s="45">
        <f t="shared" si="165"/>
        <v>22829347.107286625</v>
      </c>
    </row>
    <row r="2139" spans="2:11">
      <c r="B2139" s="43">
        <v>45615</v>
      </c>
      <c r="C2139" s="32" t="s">
        <v>29</v>
      </c>
      <c r="D2139" s="32" t="s">
        <v>134</v>
      </c>
      <c r="E2139" s="36">
        <f t="shared" si="168"/>
        <v>22829347.107286625</v>
      </c>
      <c r="F2139" s="36">
        <v>0</v>
      </c>
      <c r="G2139" s="58">
        <v>-7076.26</v>
      </c>
      <c r="H2139" s="35">
        <f t="shared" si="169"/>
        <v>-7076.26</v>
      </c>
      <c r="I2139" s="35">
        <f t="shared" si="166"/>
        <v>0</v>
      </c>
      <c r="J2139" s="35">
        <f t="shared" si="167"/>
        <v>1238.6118245314397</v>
      </c>
      <c r="K2139" s="45">
        <f t="shared" si="165"/>
        <v>22821032.235462092</v>
      </c>
    </row>
    <row r="2140" spans="2:11">
      <c r="B2140" s="43">
        <v>45615</v>
      </c>
      <c r="C2140" s="32" t="s">
        <v>25</v>
      </c>
      <c r="D2140" s="32" t="s">
        <v>134</v>
      </c>
      <c r="E2140" s="36">
        <f t="shared" si="168"/>
        <v>22821032.235462092</v>
      </c>
      <c r="F2140" s="36">
        <v>0</v>
      </c>
      <c r="G2140" s="58">
        <v>-18291</v>
      </c>
      <c r="H2140" s="35">
        <f t="shared" si="169"/>
        <v>-18291</v>
      </c>
      <c r="I2140" s="35">
        <f t="shared" si="166"/>
        <v>0</v>
      </c>
      <c r="J2140" s="35">
        <f t="shared" si="167"/>
        <v>1238.1606991219862</v>
      </c>
      <c r="K2140" s="45">
        <f t="shared" si="165"/>
        <v>22801503.07476297</v>
      </c>
    </row>
    <row r="2141" spans="2:11">
      <c r="B2141" s="43">
        <v>45615</v>
      </c>
      <c r="C2141" s="32" t="s">
        <v>27</v>
      </c>
      <c r="D2141" s="32" t="s">
        <v>134</v>
      </c>
      <c r="E2141" s="36">
        <f t="shared" si="168"/>
        <v>22801503.07476297</v>
      </c>
      <c r="F2141" s="36">
        <v>0</v>
      </c>
      <c r="G2141" s="58">
        <v>-9288</v>
      </c>
      <c r="H2141" s="35">
        <f t="shared" si="169"/>
        <v>-9288</v>
      </c>
      <c r="I2141" s="35">
        <f t="shared" si="166"/>
        <v>0</v>
      </c>
      <c r="J2141" s="35">
        <f t="shared" si="167"/>
        <v>1237.1011397201589</v>
      </c>
      <c r="K2141" s="45">
        <f t="shared" si="165"/>
        <v>22790977.97362325</v>
      </c>
    </row>
    <row r="2142" spans="2:11">
      <c r="B2142" s="43">
        <v>45615</v>
      </c>
      <c r="C2142" s="32" t="s">
        <v>27</v>
      </c>
      <c r="D2142" s="32" t="s">
        <v>134</v>
      </c>
      <c r="E2142" s="36">
        <f t="shared" si="168"/>
        <v>22790977.97362325</v>
      </c>
      <c r="F2142" s="36">
        <v>0</v>
      </c>
      <c r="G2142" s="58">
        <v>-10569</v>
      </c>
      <c r="H2142" s="35">
        <f t="shared" si="169"/>
        <v>-10569</v>
      </c>
      <c r="I2142" s="35">
        <f t="shared" si="166"/>
        <v>0</v>
      </c>
      <c r="J2142" s="35">
        <f t="shared" si="167"/>
        <v>1236.5300977773129</v>
      </c>
      <c r="K2142" s="45">
        <f t="shared" si="165"/>
        <v>22779172.443525471</v>
      </c>
    </row>
    <row r="2143" spans="2:11">
      <c r="B2143" s="43">
        <v>45616</v>
      </c>
      <c r="C2143" s="32" t="s">
        <v>25</v>
      </c>
      <c r="D2143" s="32" t="s">
        <v>132</v>
      </c>
      <c r="E2143" s="36">
        <f t="shared" si="168"/>
        <v>22779172.443525471</v>
      </c>
      <c r="F2143" s="36">
        <v>15842.98</v>
      </c>
      <c r="G2143" s="58">
        <v>0</v>
      </c>
      <c r="H2143" s="35">
        <f t="shared" si="169"/>
        <v>15842.98</v>
      </c>
      <c r="I2143" s="35">
        <f t="shared" si="166"/>
        <v>0</v>
      </c>
      <c r="J2143" s="35">
        <f t="shared" si="167"/>
        <v>2471.7791716948327</v>
      </c>
      <c r="K2143" s="45">
        <f t="shared" si="165"/>
        <v>22792543.644353777</v>
      </c>
    </row>
    <row r="2144" spans="2:11">
      <c r="B2144" s="43">
        <v>45616</v>
      </c>
      <c r="C2144" s="32" t="s">
        <v>27</v>
      </c>
      <c r="D2144" s="32" t="s">
        <v>134</v>
      </c>
      <c r="E2144" s="36">
        <f t="shared" si="168"/>
        <v>22792543.644353777</v>
      </c>
      <c r="F2144" s="36">
        <v>0</v>
      </c>
      <c r="G2144" s="58">
        <v>-21049</v>
      </c>
      <c r="H2144" s="35">
        <f t="shared" si="169"/>
        <v>-21049</v>
      </c>
      <c r="I2144" s="35">
        <f t="shared" si="166"/>
        <v>0</v>
      </c>
      <c r="J2144" s="35">
        <f t="shared" si="167"/>
        <v>1236.6150436266639</v>
      </c>
      <c r="K2144" s="45">
        <f t="shared" si="165"/>
        <v>22770258.029310152</v>
      </c>
    </row>
    <row r="2145" spans="2:11">
      <c r="B2145" s="43">
        <v>45617</v>
      </c>
      <c r="C2145" s="32" t="s">
        <v>27</v>
      </c>
      <c r="D2145" s="32" t="s">
        <v>132</v>
      </c>
      <c r="E2145" s="36">
        <f t="shared" si="168"/>
        <v>22770258.029310152</v>
      </c>
      <c r="F2145" s="36">
        <v>21182.240000000002</v>
      </c>
      <c r="G2145" s="58">
        <v>0</v>
      </c>
      <c r="H2145" s="35">
        <f t="shared" si="169"/>
        <v>21182.240000000002</v>
      </c>
      <c r="I2145" s="35">
        <f t="shared" si="166"/>
        <v>0</v>
      </c>
      <c r="J2145" s="35">
        <f t="shared" si="167"/>
        <v>2470.8118642371137</v>
      </c>
      <c r="K2145" s="45">
        <f t="shared" si="165"/>
        <v>22788969.457445912</v>
      </c>
    </row>
    <row r="2146" spans="2:11">
      <c r="B2146" s="43">
        <v>45617</v>
      </c>
      <c r="C2146" s="32" t="s">
        <v>25</v>
      </c>
      <c r="D2146" s="32" t="s">
        <v>132</v>
      </c>
      <c r="E2146" s="36">
        <f t="shared" si="168"/>
        <v>22788969.457445912</v>
      </c>
      <c r="F2146" s="36">
        <v>11370.92</v>
      </c>
      <c r="G2146" s="58">
        <v>0</v>
      </c>
      <c r="H2146" s="35">
        <f t="shared" si="169"/>
        <v>11370.92</v>
      </c>
      <c r="I2146" s="35">
        <f t="shared" si="166"/>
        <v>0</v>
      </c>
      <c r="J2146" s="35">
        <f t="shared" si="167"/>
        <v>1236.4211252396701</v>
      </c>
      <c r="K2146" s="45">
        <f t="shared" si="165"/>
        <v>22799103.956320673</v>
      </c>
    </row>
    <row r="2147" spans="2:11">
      <c r="B2147" s="43">
        <v>45617</v>
      </c>
      <c r="C2147" s="32" t="s">
        <v>29</v>
      </c>
      <c r="D2147" s="32" t="s">
        <v>132</v>
      </c>
      <c r="E2147" s="36">
        <f t="shared" si="168"/>
        <v>22799103.956320673</v>
      </c>
      <c r="F2147" s="36">
        <v>19413.509999999998</v>
      </c>
      <c r="G2147" s="58">
        <v>0</v>
      </c>
      <c r="H2147" s="35">
        <f t="shared" si="169"/>
        <v>19413.509999999998</v>
      </c>
      <c r="I2147" s="35">
        <f t="shared" si="166"/>
        <v>0</v>
      </c>
      <c r="J2147" s="35">
        <f t="shared" si="167"/>
        <v>1236.9709749608639</v>
      </c>
      <c r="K2147" s="45">
        <f t="shared" si="165"/>
        <v>22817280.495345715</v>
      </c>
    </row>
    <row r="2148" spans="2:11">
      <c r="B2148" s="43">
        <v>45617</v>
      </c>
      <c r="C2148" s="32" t="s">
        <v>29</v>
      </c>
      <c r="D2148" s="32" t="s">
        <v>132</v>
      </c>
      <c r="E2148" s="36">
        <f t="shared" si="168"/>
        <v>22817280.495345715</v>
      </c>
      <c r="F2148" s="36">
        <v>13069.45</v>
      </c>
      <c r="G2148" s="58">
        <v>0</v>
      </c>
      <c r="H2148" s="35">
        <f t="shared" si="169"/>
        <v>13069.45</v>
      </c>
      <c r="I2148" s="35">
        <f t="shared" si="166"/>
        <v>0</v>
      </c>
      <c r="J2148" s="35">
        <f t="shared" si="167"/>
        <v>1237.9571475421328</v>
      </c>
      <c r="K2148" s="45">
        <f t="shared" si="165"/>
        <v>22829111.988198172</v>
      </c>
    </row>
    <row r="2149" spans="2:11">
      <c r="B2149" s="43">
        <v>45617</v>
      </c>
      <c r="C2149" s="32" t="s">
        <v>29</v>
      </c>
      <c r="D2149" s="32" t="s">
        <v>132</v>
      </c>
      <c r="E2149" s="36">
        <f t="shared" si="168"/>
        <v>22829111.988198172</v>
      </c>
      <c r="F2149" s="36">
        <v>18520.419999999998</v>
      </c>
      <c r="G2149" s="58">
        <v>0</v>
      </c>
      <c r="H2149" s="35">
        <f t="shared" si="169"/>
        <v>18520.419999999998</v>
      </c>
      <c r="I2149" s="35">
        <f t="shared" si="166"/>
        <v>0</v>
      </c>
      <c r="J2149" s="35">
        <f t="shared" si="167"/>
        <v>1238.59906808765</v>
      </c>
      <c r="K2149" s="45">
        <f t="shared" si="165"/>
        <v>22846393.809130087</v>
      </c>
    </row>
    <row r="2150" spans="2:11">
      <c r="B2150" s="43">
        <v>45617</v>
      </c>
      <c r="C2150" s="32" t="s">
        <v>27</v>
      </c>
      <c r="D2150" s="32" t="s">
        <v>134</v>
      </c>
      <c r="E2150" s="36">
        <f t="shared" si="168"/>
        <v>22846393.809130087</v>
      </c>
      <c r="F2150" s="36">
        <v>0</v>
      </c>
      <c r="G2150" s="58">
        <v>-8055.72</v>
      </c>
      <c r="H2150" s="35">
        <f t="shared" si="169"/>
        <v>-8055.72</v>
      </c>
      <c r="I2150" s="35">
        <f t="shared" si="166"/>
        <v>0</v>
      </c>
      <c r="J2150" s="35">
        <f t="shared" si="167"/>
        <v>1239.536697519412</v>
      </c>
      <c r="K2150" s="45">
        <f t="shared" si="165"/>
        <v>22837098.552432571</v>
      </c>
    </row>
    <row r="2151" spans="2:11">
      <c r="B2151" s="43">
        <v>45618</v>
      </c>
      <c r="C2151" s="32" t="s">
        <v>27</v>
      </c>
      <c r="D2151" s="32" t="s">
        <v>132</v>
      </c>
      <c r="E2151" s="36">
        <f t="shared" si="168"/>
        <v>22837098.552432571</v>
      </c>
      <c r="F2151" s="36">
        <v>13823.68</v>
      </c>
      <c r="G2151" s="58">
        <v>0</v>
      </c>
      <c r="H2151" s="35">
        <f t="shared" si="169"/>
        <v>13823.68</v>
      </c>
      <c r="I2151" s="35">
        <f t="shared" si="166"/>
        <v>0</v>
      </c>
      <c r="J2151" s="35">
        <f t="shared" si="167"/>
        <v>2478.0647621766147</v>
      </c>
      <c r="K2151" s="45">
        <f t="shared" si="165"/>
        <v>22848444.167670395</v>
      </c>
    </row>
    <row r="2152" spans="2:11">
      <c r="B2152" s="43">
        <v>45618</v>
      </c>
      <c r="C2152" s="32" t="s">
        <v>29</v>
      </c>
      <c r="D2152" s="32" t="s">
        <v>132</v>
      </c>
      <c r="E2152" s="36">
        <f t="shared" si="168"/>
        <v>22848444.167670395</v>
      </c>
      <c r="F2152" s="36">
        <v>15342.68</v>
      </c>
      <c r="G2152" s="58">
        <v>0</v>
      </c>
      <c r="H2152" s="35">
        <f t="shared" si="169"/>
        <v>15342.68</v>
      </c>
      <c r="I2152" s="35">
        <f t="shared" si="166"/>
        <v>0</v>
      </c>
      <c r="J2152" s="35">
        <f t="shared" si="167"/>
        <v>1239.6479402247166</v>
      </c>
      <c r="K2152" s="45">
        <f t="shared" si="165"/>
        <v>22862547.199730169</v>
      </c>
    </row>
    <row r="2153" spans="2:11">
      <c r="B2153" s="43">
        <v>45618</v>
      </c>
      <c r="C2153" s="32" t="s">
        <v>25</v>
      </c>
      <c r="D2153" s="32" t="s">
        <v>134</v>
      </c>
      <c r="E2153" s="36">
        <f t="shared" si="168"/>
        <v>22862547.199730169</v>
      </c>
      <c r="F2153" s="36">
        <v>0</v>
      </c>
      <c r="G2153" s="58">
        <v>-4571.37</v>
      </c>
      <c r="H2153" s="35">
        <f t="shared" si="169"/>
        <v>-4571.37</v>
      </c>
      <c r="I2153" s="35">
        <f t="shared" si="166"/>
        <v>0</v>
      </c>
      <c r="J2153" s="35">
        <f t="shared" si="167"/>
        <v>1240.4131036868557</v>
      </c>
      <c r="K2153" s="45">
        <f t="shared" si="165"/>
        <v>22856735.416626479</v>
      </c>
    </row>
    <row r="2154" spans="2:11">
      <c r="B2154" s="43">
        <v>45618</v>
      </c>
      <c r="C2154" s="32" t="s">
        <v>29</v>
      </c>
      <c r="D2154" s="32" t="s">
        <v>134</v>
      </c>
      <c r="E2154" s="36">
        <f t="shared" si="168"/>
        <v>22856735.416626479</v>
      </c>
      <c r="F2154" s="36">
        <v>0</v>
      </c>
      <c r="G2154" s="58">
        <v>-6325</v>
      </c>
      <c r="H2154" s="35">
        <f t="shared" si="169"/>
        <v>-6325</v>
      </c>
      <c r="I2154" s="35">
        <f t="shared" si="166"/>
        <v>0</v>
      </c>
      <c r="J2154" s="35">
        <f t="shared" si="167"/>
        <v>1240.0977839696507</v>
      </c>
      <c r="K2154" s="45">
        <f t="shared" si="165"/>
        <v>22849170.318842512</v>
      </c>
    </row>
    <row r="2155" spans="2:11">
      <c r="B2155" s="43">
        <v>45618</v>
      </c>
      <c r="C2155" s="32" t="s">
        <v>25</v>
      </c>
      <c r="D2155" s="32" t="s">
        <v>134</v>
      </c>
      <c r="E2155" s="36">
        <f t="shared" si="168"/>
        <v>22849170.318842512</v>
      </c>
      <c r="F2155" s="36">
        <v>0</v>
      </c>
      <c r="G2155" s="58">
        <v>-13477</v>
      </c>
      <c r="H2155" s="35">
        <f t="shared" si="169"/>
        <v>-13477</v>
      </c>
      <c r="I2155" s="35">
        <f t="shared" si="166"/>
        <v>0</v>
      </c>
      <c r="J2155" s="35">
        <f t="shared" si="167"/>
        <v>1239.6873377345953</v>
      </c>
      <c r="K2155" s="45">
        <f t="shared" si="165"/>
        <v>22834453.631504778</v>
      </c>
    </row>
    <row r="2156" spans="2:11">
      <c r="B2156" s="43">
        <v>45618</v>
      </c>
      <c r="C2156" s="32" t="s">
        <v>27</v>
      </c>
      <c r="D2156" s="32" t="s">
        <v>134</v>
      </c>
      <c r="E2156" s="36">
        <f t="shared" si="168"/>
        <v>22834453.631504778</v>
      </c>
      <c r="F2156" s="36">
        <v>0</v>
      </c>
      <c r="G2156" s="58">
        <v>-14082</v>
      </c>
      <c r="H2156" s="35">
        <f t="shared" si="169"/>
        <v>-14082</v>
      </c>
      <c r="I2156" s="35">
        <f t="shared" si="166"/>
        <v>0</v>
      </c>
      <c r="J2156" s="35">
        <f t="shared" si="167"/>
        <v>1238.8888802548968</v>
      </c>
      <c r="K2156" s="45">
        <f t="shared" si="165"/>
        <v>22819132.742624521</v>
      </c>
    </row>
    <row r="2157" spans="2:11">
      <c r="B2157" s="43">
        <v>45618</v>
      </c>
      <c r="C2157" s="32" t="s">
        <v>27</v>
      </c>
      <c r="D2157" s="32" t="s">
        <v>134</v>
      </c>
      <c r="E2157" s="36">
        <f t="shared" si="168"/>
        <v>22819132.742624521</v>
      </c>
      <c r="F2157" s="36">
        <v>0</v>
      </c>
      <c r="G2157" s="58">
        <v>-20672</v>
      </c>
      <c r="H2157" s="35">
        <f t="shared" si="169"/>
        <v>-20672</v>
      </c>
      <c r="I2157" s="35">
        <f t="shared" si="166"/>
        <v>0</v>
      </c>
      <c r="J2157" s="35">
        <f t="shared" si="167"/>
        <v>1238.0576416723723</v>
      </c>
      <c r="K2157" s="45">
        <f t="shared" si="165"/>
        <v>22797222.684982847</v>
      </c>
    </row>
    <row r="2158" spans="2:11">
      <c r="B2158" s="43">
        <v>45618</v>
      </c>
      <c r="C2158" s="32" t="s">
        <v>25</v>
      </c>
      <c r="D2158" s="32" t="s">
        <v>134</v>
      </c>
      <c r="E2158" s="36">
        <f t="shared" si="168"/>
        <v>22797222.684982847</v>
      </c>
      <c r="F2158" s="36">
        <v>0</v>
      </c>
      <c r="G2158" s="58">
        <v>-12188</v>
      </c>
      <c r="H2158" s="35">
        <f t="shared" si="169"/>
        <v>-12188</v>
      </c>
      <c r="I2158" s="35">
        <f t="shared" si="166"/>
        <v>0</v>
      </c>
      <c r="J2158" s="35">
        <f t="shared" si="167"/>
        <v>1236.8689061231862</v>
      </c>
      <c r="K2158" s="45">
        <f t="shared" si="165"/>
        <v>22783797.816076726</v>
      </c>
    </row>
    <row r="2159" spans="2:11">
      <c r="B2159" s="43">
        <v>45619</v>
      </c>
      <c r="C2159" s="32" t="s">
        <v>25</v>
      </c>
      <c r="D2159" s="32" t="s">
        <v>132</v>
      </c>
      <c r="E2159" s="36">
        <f t="shared" si="168"/>
        <v>22783797.816076726</v>
      </c>
      <c r="F2159" s="36">
        <v>13254.96</v>
      </c>
      <c r="G2159" s="58">
        <v>0</v>
      </c>
      <c r="H2159" s="35">
        <f t="shared" si="169"/>
        <v>13254.96</v>
      </c>
      <c r="I2159" s="35">
        <f t="shared" si="166"/>
        <v>0</v>
      </c>
      <c r="J2159" s="35">
        <f t="shared" si="167"/>
        <v>2472.281073138437</v>
      </c>
      <c r="K2159" s="45">
        <f t="shared" si="165"/>
        <v>22794580.495003588</v>
      </c>
    </row>
    <row r="2160" spans="2:11">
      <c r="B2160" s="43">
        <v>45619</v>
      </c>
      <c r="C2160" s="32" t="s">
        <v>25</v>
      </c>
      <c r="D2160" s="32" t="s">
        <v>132</v>
      </c>
      <c r="E2160" s="36">
        <f t="shared" si="168"/>
        <v>22794580.495003588</v>
      </c>
      <c r="F2160" s="36">
        <v>16257.06</v>
      </c>
      <c r="G2160" s="58">
        <v>0</v>
      </c>
      <c r="H2160" s="35">
        <f t="shared" si="169"/>
        <v>16257.06</v>
      </c>
      <c r="I2160" s="35">
        <f t="shared" si="166"/>
        <v>0</v>
      </c>
      <c r="J2160" s="35">
        <f t="shared" si="167"/>
        <v>1236.7255534580579</v>
      </c>
      <c r="K2160" s="45">
        <f t="shared" si="165"/>
        <v>22809600.82945013</v>
      </c>
    </row>
    <row r="2161" spans="2:11">
      <c r="B2161" s="43">
        <v>45619</v>
      </c>
      <c r="C2161" s="32" t="s">
        <v>25</v>
      </c>
      <c r="D2161" s="32" t="s">
        <v>132</v>
      </c>
      <c r="E2161" s="36">
        <f t="shared" si="168"/>
        <v>22809600.82945013</v>
      </c>
      <c r="F2161" s="36">
        <v>10758.86</v>
      </c>
      <c r="G2161" s="58">
        <v>0</v>
      </c>
      <c r="H2161" s="35">
        <f t="shared" si="169"/>
        <v>10758.86</v>
      </c>
      <c r="I2161" s="35">
        <f t="shared" si="166"/>
        <v>0</v>
      </c>
      <c r="J2161" s="35">
        <f t="shared" si="167"/>
        <v>1237.5404853860921</v>
      </c>
      <c r="K2161" s="45">
        <f t="shared" si="165"/>
        <v>22819122.148964744</v>
      </c>
    </row>
    <row r="2162" spans="2:11">
      <c r="B2162" s="43">
        <v>45619</v>
      </c>
      <c r="C2162" s="32" t="s">
        <v>27</v>
      </c>
      <c r="D2162" s="32" t="s">
        <v>132</v>
      </c>
      <c r="E2162" s="36">
        <f t="shared" si="168"/>
        <v>22819122.148964744</v>
      </c>
      <c r="F2162" s="36">
        <v>14325.7</v>
      </c>
      <c r="G2162" s="58">
        <v>0</v>
      </c>
      <c r="H2162" s="35">
        <f t="shared" si="169"/>
        <v>14325.7</v>
      </c>
      <c r="I2162" s="35">
        <f t="shared" si="166"/>
        <v>0</v>
      </c>
      <c r="J2162" s="35">
        <f t="shared" si="167"/>
        <v>1238.0570669107638</v>
      </c>
      <c r="K2162" s="45">
        <f t="shared" si="165"/>
        <v>22832209.791897833</v>
      </c>
    </row>
    <row r="2163" spans="2:11">
      <c r="B2163" s="43">
        <v>45619</v>
      </c>
      <c r="C2163" s="32" t="s">
        <v>25</v>
      </c>
      <c r="D2163" s="32" t="s">
        <v>132</v>
      </c>
      <c r="E2163" s="36">
        <f t="shared" si="168"/>
        <v>22832209.791897833</v>
      </c>
      <c r="F2163" s="36">
        <v>9694.68</v>
      </c>
      <c r="G2163" s="58">
        <v>0</v>
      </c>
      <c r="H2163" s="35">
        <f t="shared" si="169"/>
        <v>9694.68</v>
      </c>
      <c r="I2163" s="35">
        <f t="shared" si="166"/>
        <v>0</v>
      </c>
      <c r="J2163" s="35">
        <f t="shared" si="167"/>
        <v>1238.7671401868845</v>
      </c>
      <c r="K2163" s="45">
        <f t="shared" si="165"/>
        <v>22840665.704757646</v>
      </c>
    </row>
    <row r="2164" spans="2:11">
      <c r="B2164" s="43">
        <v>45619</v>
      </c>
      <c r="C2164" s="32" t="s">
        <v>29</v>
      </c>
      <c r="D2164" s="32" t="s">
        <v>134</v>
      </c>
      <c r="E2164" s="36">
        <f t="shared" si="168"/>
        <v>22840665.704757646</v>
      </c>
      <c r="F2164" s="36">
        <v>0</v>
      </c>
      <c r="G2164" s="58">
        <v>-12951.27</v>
      </c>
      <c r="H2164" s="35">
        <f t="shared" si="169"/>
        <v>-12951.27</v>
      </c>
      <c r="I2164" s="35">
        <f t="shared" si="166"/>
        <v>0</v>
      </c>
      <c r="J2164" s="35">
        <f t="shared" si="167"/>
        <v>1239.2259178122872</v>
      </c>
      <c r="K2164" s="45">
        <f t="shared" si="165"/>
        <v>22826475.208839834</v>
      </c>
    </row>
    <row r="2165" spans="2:11">
      <c r="B2165" s="43">
        <v>45619</v>
      </c>
      <c r="C2165" s="32" t="s">
        <v>27</v>
      </c>
      <c r="D2165" s="32" t="s">
        <v>134</v>
      </c>
      <c r="E2165" s="36">
        <f t="shared" si="168"/>
        <v>22826475.208839834</v>
      </c>
      <c r="F2165" s="36">
        <v>0</v>
      </c>
      <c r="G2165" s="58">
        <v>-1907.25</v>
      </c>
      <c r="H2165" s="35">
        <f t="shared" si="169"/>
        <v>-1907.25</v>
      </c>
      <c r="I2165" s="35">
        <f t="shared" si="166"/>
        <v>0</v>
      </c>
      <c r="J2165" s="35">
        <f t="shared" si="167"/>
        <v>1238.4560089770862</v>
      </c>
      <c r="K2165" s="45">
        <f t="shared" si="165"/>
        <v>22823329.502830856</v>
      </c>
    </row>
    <row r="2166" spans="2:11">
      <c r="B2166" s="43">
        <v>45619</v>
      </c>
      <c r="C2166" s="32" t="s">
        <v>29</v>
      </c>
      <c r="D2166" s="32" t="s">
        <v>134</v>
      </c>
      <c r="E2166" s="36">
        <f t="shared" si="168"/>
        <v>22823329.502830856</v>
      </c>
      <c r="F2166" s="36">
        <v>0</v>
      </c>
      <c r="G2166" s="58">
        <v>-19273</v>
      </c>
      <c r="H2166" s="35">
        <f t="shared" si="169"/>
        <v>-19273</v>
      </c>
      <c r="I2166" s="35">
        <f t="shared" si="166"/>
        <v>0</v>
      </c>
      <c r="J2166" s="35">
        <f t="shared" si="167"/>
        <v>1238.2853379263152</v>
      </c>
      <c r="K2166" s="45">
        <f t="shared" si="165"/>
        <v>22802818.217492931</v>
      </c>
    </row>
    <row r="2167" spans="2:11">
      <c r="B2167" s="43">
        <v>45620</v>
      </c>
      <c r="C2167" s="32" t="s">
        <v>29</v>
      </c>
      <c r="D2167" s="32" t="s">
        <v>132</v>
      </c>
      <c r="E2167" s="36">
        <f t="shared" si="168"/>
        <v>22802818.217492931</v>
      </c>
      <c r="F2167" s="36">
        <v>14895.86</v>
      </c>
      <c r="G2167" s="58">
        <v>0</v>
      </c>
      <c r="H2167" s="35">
        <f t="shared" si="169"/>
        <v>14895.86</v>
      </c>
      <c r="I2167" s="35">
        <f t="shared" si="166"/>
        <v>0</v>
      </c>
      <c r="J2167" s="35">
        <f t="shared" si="167"/>
        <v>2474.3449862228304</v>
      </c>
      <c r="K2167" s="45">
        <f t="shared" si="165"/>
        <v>22815239.732506707</v>
      </c>
    </row>
    <row r="2168" spans="2:11">
      <c r="B2168" s="43">
        <v>45620</v>
      </c>
      <c r="C2168" s="32" t="s">
        <v>25</v>
      </c>
      <c r="D2168" s="32" t="s">
        <v>132</v>
      </c>
      <c r="E2168" s="36">
        <f t="shared" si="168"/>
        <v>22815239.732506707</v>
      </c>
      <c r="F2168" s="36">
        <v>15392.22</v>
      </c>
      <c r="G2168" s="58">
        <v>0</v>
      </c>
      <c r="H2168" s="35">
        <f t="shared" si="169"/>
        <v>15392.22</v>
      </c>
      <c r="I2168" s="35">
        <f t="shared" si="166"/>
        <v>0</v>
      </c>
      <c r="J2168" s="35">
        <f t="shared" si="167"/>
        <v>1237.8464254539547</v>
      </c>
      <c r="K2168" s="45">
        <f t="shared" si="165"/>
        <v>22829394.106081251</v>
      </c>
    </row>
    <row r="2169" spans="2:11">
      <c r="B2169" s="43">
        <v>45620</v>
      </c>
      <c r="C2169" s="32" t="s">
        <v>25</v>
      </c>
      <c r="D2169" s="32" t="s">
        <v>132</v>
      </c>
      <c r="E2169" s="36">
        <f t="shared" si="168"/>
        <v>22829394.106081251</v>
      </c>
      <c r="F2169" s="36">
        <v>16071.05</v>
      </c>
      <c r="G2169" s="58">
        <v>0</v>
      </c>
      <c r="H2169" s="35">
        <f t="shared" si="169"/>
        <v>16071.05</v>
      </c>
      <c r="I2169" s="35">
        <f t="shared" si="166"/>
        <v>0</v>
      </c>
      <c r="J2169" s="35">
        <f t="shared" si="167"/>
        <v>1238.6143744625651</v>
      </c>
      <c r="K2169" s="45">
        <f t="shared" si="165"/>
        <v>22844226.541706789</v>
      </c>
    </row>
    <row r="2170" spans="2:11">
      <c r="B2170" s="43">
        <v>45620</v>
      </c>
      <c r="C2170" s="32" t="s">
        <v>27</v>
      </c>
      <c r="D2170" s="32" t="s">
        <v>132</v>
      </c>
      <c r="E2170" s="36">
        <f t="shared" si="168"/>
        <v>22844226.541706789</v>
      </c>
      <c r="F2170" s="36">
        <v>19488.13</v>
      </c>
      <c r="G2170" s="58">
        <v>0</v>
      </c>
      <c r="H2170" s="35">
        <f t="shared" si="169"/>
        <v>19488.13</v>
      </c>
      <c r="I2170" s="35">
        <f t="shared" si="166"/>
        <v>0</v>
      </c>
      <c r="J2170" s="35">
        <f t="shared" si="167"/>
        <v>1239.4191118939973</v>
      </c>
      <c r="K2170" s="45">
        <f t="shared" si="165"/>
        <v>22862475.252594896</v>
      </c>
    </row>
    <row r="2171" spans="2:11">
      <c r="B2171" s="43">
        <v>45620</v>
      </c>
      <c r="C2171" s="32" t="s">
        <v>29</v>
      </c>
      <c r="D2171" s="32" t="s">
        <v>132</v>
      </c>
      <c r="E2171" s="36">
        <f t="shared" si="168"/>
        <v>22862475.252594896</v>
      </c>
      <c r="F2171" s="36">
        <v>17650.98</v>
      </c>
      <c r="G2171" s="58">
        <v>0</v>
      </c>
      <c r="H2171" s="35">
        <f t="shared" si="169"/>
        <v>17650.98</v>
      </c>
      <c r="I2171" s="35">
        <f t="shared" si="166"/>
        <v>0</v>
      </c>
      <c r="J2171" s="35">
        <f t="shared" si="167"/>
        <v>1240.4092001773915</v>
      </c>
      <c r="K2171" s="45">
        <f t="shared" si="165"/>
        <v>22878885.82339472</v>
      </c>
    </row>
    <row r="2172" spans="2:11">
      <c r="B2172" s="43">
        <v>45620</v>
      </c>
      <c r="C2172" s="32" t="s">
        <v>25</v>
      </c>
      <c r="D2172" s="32" t="s">
        <v>134</v>
      </c>
      <c r="E2172" s="36">
        <f t="shared" si="168"/>
        <v>22878885.82339472</v>
      </c>
      <c r="F2172" s="36">
        <v>0</v>
      </c>
      <c r="G2172" s="58">
        <v>-8356</v>
      </c>
      <c r="H2172" s="35">
        <f t="shared" si="169"/>
        <v>-8356</v>
      </c>
      <c r="I2172" s="35">
        <f t="shared" si="166"/>
        <v>0</v>
      </c>
      <c r="J2172" s="35">
        <f t="shared" si="167"/>
        <v>1241.2995597196268</v>
      </c>
      <c r="K2172" s="45">
        <f t="shared" si="165"/>
        <v>22869288.523835</v>
      </c>
    </row>
    <row r="2173" spans="2:11">
      <c r="B2173" s="43">
        <v>45620</v>
      </c>
      <c r="C2173" s="32" t="s">
        <v>25</v>
      </c>
      <c r="D2173" s="32" t="s">
        <v>134</v>
      </c>
      <c r="E2173" s="36">
        <f t="shared" si="168"/>
        <v>22869288.523835</v>
      </c>
      <c r="F2173" s="36">
        <v>0</v>
      </c>
      <c r="G2173" s="58">
        <v>-5248</v>
      </c>
      <c r="H2173" s="35">
        <f t="shared" si="169"/>
        <v>-5248</v>
      </c>
      <c r="I2173" s="35">
        <f t="shared" si="166"/>
        <v>0</v>
      </c>
      <c r="J2173" s="35">
        <f t="shared" si="167"/>
        <v>1240.7788558789794</v>
      </c>
      <c r="K2173" s="45">
        <f t="shared" si="165"/>
        <v>22862799.744979121</v>
      </c>
    </row>
    <row r="2174" spans="2:11">
      <c r="B2174" s="43">
        <v>45620</v>
      </c>
      <c r="C2174" s="32" t="s">
        <v>25</v>
      </c>
      <c r="D2174" s="32" t="s">
        <v>134</v>
      </c>
      <c r="E2174" s="36">
        <f t="shared" si="168"/>
        <v>22862799.744979121</v>
      </c>
      <c r="F2174" s="36">
        <v>0</v>
      </c>
      <c r="G2174" s="58">
        <v>-14672</v>
      </c>
      <c r="H2174" s="35">
        <f t="shared" si="169"/>
        <v>-14672</v>
      </c>
      <c r="I2174" s="35">
        <f t="shared" si="166"/>
        <v>0</v>
      </c>
      <c r="J2174" s="35">
        <f t="shared" si="167"/>
        <v>1240.4268055912557</v>
      </c>
      <c r="K2174" s="45">
        <f t="shared" si="165"/>
        <v>22846887.318173528</v>
      </c>
    </row>
    <row r="2175" spans="2:11">
      <c r="B2175" s="43">
        <v>45621</v>
      </c>
      <c r="C2175" s="32" t="s">
        <v>29</v>
      </c>
      <c r="D2175" s="32" t="s">
        <v>132</v>
      </c>
      <c r="E2175" s="36">
        <f t="shared" si="168"/>
        <v>22846887.318173528</v>
      </c>
      <c r="F2175" s="36">
        <v>17572.98</v>
      </c>
      <c r="G2175" s="58">
        <v>0</v>
      </c>
      <c r="H2175" s="35">
        <f t="shared" si="169"/>
        <v>17572.98</v>
      </c>
      <c r="I2175" s="35">
        <f t="shared" si="166"/>
        <v>0</v>
      </c>
      <c r="J2175" s="35">
        <f t="shared" si="167"/>
        <v>2479.1269459471218</v>
      </c>
      <c r="K2175" s="45">
        <f t="shared" si="165"/>
        <v>22861981.171227582</v>
      </c>
    </row>
    <row r="2176" spans="2:11">
      <c r="B2176" s="43">
        <v>45621</v>
      </c>
      <c r="C2176" s="32" t="s">
        <v>25</v>
      </c>
      <c r="D2176" s="32" t="s">
        <v>134</v>
      </c>
      <c r="E2176" s="36">
        <f t="shared" si="168"/>
        <v>22861981.171227582</v>
      </c>
      <c r="F2176" s="36">
        <v>0</v>
      </c>
      <c r="G2176" s="58">
        <v>-14445</v>
      </c>
      <c r="H2176" s="35">
        <f t="shared" si="169"/>
        <v>-14445</v>
      </c>
      <c r="I2176" s="35">
        <f t="shared" si="166"/>
        <v>0</v>
      </c>
      <c r="J2176" s="35">
        <f t="shared" si="167"/>
        <v>1240.3823936716708</v>
      </c>
      <c r="K2176" s="45">
        <f t="shared" si="165"/>
        <v>22846295.788833909</v>
      </c>
    </row>
    <row r="2177" spans="2:11">
      <c r="B2177" s="43">
        <v>45621</v>
      </c>
      <c r="C2177" s="32" t="s">
        <v>29</v>
      </c>
      <c r="D2177" s="32" t="s">
        <v>134</v>
      </c>
      <c r="E2177" s="36">
        <f t="shared" si="168"/>
        <v>22846295.788833909</v>
      </c>
      <c r="F2177" s="36">
        <v>0</v>
      </c>
      <c r="G2177" s="58">
        <v>-6508</v>
      </c>
      <c r="H2177" s="35">
        <f t="shared" si="169"/>
        <v>-6508</v>
      </c>
      <c r="I2177" s="35">
        <f t="shared" si="166"/>
        <v>0</v>
      </c>
      <c r="J2177" s="35">
        <f t="shared" si="167"/>
        <v>1239.5313794042106</v>
      </c>
      <c r="K2177" s="45">
        <f t="shared" si="165"/>
        <v>22838548.257454503</v>
      </c>
    </row>
    <row r="2178" spans="2:11">
      <c r="B2178" s="43">
        <v>45622</v>
      </c>
      <c r="C2178" s="32" t="s">
        <v>27</v>
      </c>
      <c r="D2178" s="32" t="s">
        <v>132</v>
      </c>
      <c r="E2178" s="36">
        <f t="shared" si="168"/>
        <v>22838548.257454503</v>
      </c>
      <c r="F2178" s="36">
        <v>15672.28</v>
      </c>
      <c r="G2178" s="58">
        <v>0</v>
      </c>
      <c r="H2178" s="35">
        <f t="shared" si="169"/>
        <v>15672.28</v>
      </c>
      <c r="I2178" s="35">
        <f t="shared" si="166"/>
        <v>0</v>
      </c>
      <c r="J2178" s="35">
        <f t="shared" si="167"/>
        <v>2478.2220703794123</v>
      </c>
      <c r="K2178" s="45">
        <f t="shared" si="165"/>
        <v>22851742.315384123</v>
      </c>
    </row>
    <row r="2179" spans="2:11">
      <c r="B2179" s="43">
        <v>45622</v>
      </c>
      <c r="C2179" s="32" t="s">
        <v>27</v>
      </c>
      <c r="D2179" s="32" t="s">
        <v>132</v>
      </c>
      <c r="E2179" s="36">
        <f t="shared" si="168"/>
        <v>22851742.315384123</v>
      </c>
      <c r="F2179" s="36">
        <v>14941.09</v>
      </c>
      <c r="G2179" s="58">
        <v>0</v>
      </c>
      <c r="H2179" s="35">
        <f t="shared" si="169"/>
        <v>14941.09</v>
      </c>
      <c r="I2179" s="35">
        <f t="shared" si="166"/>
        <v>0</v>
      </c>
      <c r="J2179" s="35">
        <f t="shared" si="167"/>
        <v>1239.8268820375542</v>
      </c>
      <c r="K2179" s="45">
        <f t="shared" si="165"/>
        <v>22865443.578502085</v>
      </c>
    </row>
    <row r="2180" spans="2:11">
      <c r="B2180" s="43">
        <v>45622</v>
      </c>
      <c r="C2180" s="32" t="s">
        <v>25</v>
      </c>
      <c r="D2180" s="32" t="s">
        <v>134</v>
      </c>
      <c r="E2180" s="36">
        <f t="shared" si="168"/>
        <v>22865443.578502085</v>
      </c>
      <c r="F2180" s="36">
        <v>0</v>
      </c>
      <c r="G2180" s="58">
        <v>-9235.33</v>
      </c>
      <c r="H2180" s="35">
        <f t="shared" si="169"/>
        <v>-9235.33</v>
      </c>
      <c r="I2180" s="35">
        <f t="shared" si="166"/>
        <v>0</v>
      </c>
      <c r="J2180" s="35">
        <f t="shared" si="167"/>
        <v>1240.5702474272507</v>
      </c>
      <c r="K2180" s="45">
        <f t="shared" si="165"/>
        <v>22854967.67825466</v>
      </c>
    </row>
    <row r="2181" spans="2:11">
      <c r="B2181" s="43">
        <v>45622</v>
      </c>
      <c r="C2181" s="32" t="s">
        <v>29</v>
      </c>
      <c r="D2181" s="32" t="s">
        <v>134</v>
      </c>
      <c r="E2181" s="36">
        <f t="shared" si="168"/>
        <v>22854967.67825466</v>
      </c>
      <c r="F2181" s="36">
        <v>0</v>
      </c>
      <c r="G2181" s="58">
        <v>-1718</v>
      </c>
      <c r="H2181" s="35">
        <f t="shared" si="169"/>
        <v>-1718</v>
      </c>
      <c r="I2181" s="35">
        <f t="shared" si="166"/>
        <v>0</v>
      </c>
      <c r="J2181" s="35">
        <f t="shared" si="167"/>
        <v>1240.0018748908792</v>
      </c>
      <c r="K2181" s="45">
        <f t="shared" si="165"/>
        <v>22852009.67637977</v>
      </c>
    </row>
    <row r="2182" spans="2:11">
      <c r="B2182" s="43">
        <v>45622</v>
      </c>
      <c r="C2182" s="32" t="s">
        <v>27</v>
      </c>
      <c r="D2182" s="32" t="s">
        <v>134</v>
      </c>
      <c r="E2182" s="36">
        <f t="shared" si="168"/>
        <v>22852009.67637977</v>
      </c>
      <c r="F2182" s="36">
        <v>0</v>
      </c>
      <c r="G2182" s="58">
        <v>-6210</v>
      </c>
      <c r="H2182" s="35">
        <f t="shared" si="169"/>
        <v>-6210</v>
      </c>
      <c r="I2182" s="35">
        <f t="shared" si="166"/>
        <v>0</v>
      </c>
      <c r="J2182" s="35">
        <f t="shared" si="167"/>
        <v>1239.8413877739238</v>
      </c>
      <c r="K2182" s="45">
        <f t="shared" si="165"/>
        <v>22844559.834991995</v>
      </c>
    </row>
    <row r="2183" spans="2:11">
      <c r="B2183" s="43">
        <v>45622</v>
      </c>
      <c r="C2183" s="32" t="s">
        <v>27</v>
      </c>
      <c r="D2183" s="32" t="s">
        <v>134</v>
      </c>
      <c r="E2183" s="36">
        <f t="shared" si="168"/>
        <v>22844559.834991995</v>
      </c>
      <c r="F2183" s="36">
        <v>0</v>
      </c>
      <c r="G2183" s="58">
        <v>-14910</v>
      </c>
      <c r="H2183" s="35">
        <f t="shared" si="169"/>
        <v>-14910</v>
      </c>
      <c r="I2183" s="35">
        <f t="shared" si="166"/>
        <v>0</v>
      </c>
      <c r="J2183" s="35">
        <f t="shared" si="167"/>
        <v>1239.437194802902</v>
      </c>
      <c r="K2183" s="45">
        <f t="shared" si="165"/>
        <v>22828410.397797193</v>
      </c>
    </row>
    <row r="2184" spans="2:11">
      <c r="B2184" s="43">
        <v>45622</v>
      </c>
      <c r="C2184" s="32" t="s">
        <v>27</v>
      </c>
      <c r="D2184" s="32" t="s">
        <v>134</v>
      </c>
      <c r="E2184" s="36">
        <f t="shared" si="168"/>
        <v>22828410.397797193</v>
      </c>
      <c r="F2184" s="36">
        <v>0</v>
      </c>
      <c r="G2184" s="58">
        <v>-19771</v>
      </c>
      <c r="H2184" s="35">
        <f t="shared" si="169"/>
        <v>-19771</v>
      </c>
      <c r="I2184" s="35">
        <f t="shared" si="166"/>
        <v>0</v>
      </c>
      <c r="J2184" s="35">
        <f t="shared" si="167"/>
        <v>1238.5610031284311</v>
      </c>
      <c r="K2184" s="45">
        <f t="shared" ref="K2184:K2247" si="170">E2184+H2184+I2184-J2184</f>
        <v>22807400.836794063</v>
      </c>
    </row>
    <row r="2185" spans="2:11">
      <c r="B2185" s="43">
        <v>45623</v>
      </c>
      <c r="C2185" s="32" t="s">
        <v>27</v>
      </c>
      <c r="D2185" s="32" t="s">
        <v>134</v>
      </c>
      <c r="E2185" s="36">
        <f t="shared" si="168"/>
        <v>22807400.836794063</v>
      </c>
      <c r="F2185" s="36">
        <v>0</v>
      </c>
      <c r="G2185" s="58">
        <v>-5061.63</v>
      </c>
      <c r="H2185" s="35">
        <f t="shared" si="169"/>
        <v>-5061.63</v>
      </c>
      <c r="I2185" s="35">
        <f t="shared" si="166"/>
        <v>0</v>
      </c>
      <c r="J2185" s="35">
        <f t="shared" si="167"/>
        <v>2474.8422484902999</v>
      </c>
      <c r="K2185" s="45">
        <f t="shared" si="170"/>
        <v>22799864.364545573</v>
      </c>
    </row>
    <row r="2186" spans="2:11">
      <c r="B2186" s="43">
        <v>45623</v>
      </c>
      <c r="C2186" s="32" t="s">
        <v>29</v>
      </c>
      <c r="D2186" s="32" t="s">
        <v>134</v>
      </c>
      <c r="E2186" s="36">
        <f t="shared" si="168"/>
        <v>22799864.364545573</v>
      </c>
      <c r="F2186" s="36">
        <v>0</v>
      </c>
      <c r="G2186" s="58">
        <v>-7201</v>
      </c>
      <c r="H2186" s="35">
        <f t="shared" si="169"/>
        <v>-7201</v>
      </c>
      <c r="I2186" s="35">
        <f t="shared" si="166"/>
        <v>0</v>
      </c>
      <c r="J2186" s="35">
        <f t="shared" si="167"/>
        <v>1237.0122310955403</v>
      </c>
      <c r="K2186" s="45">
        <f t="shared" si="170"/>
        <v>22791426.352314476</v>
      </c>
    </row>
    <row r="2187" spans="2:11">
      <c r="B2187" s="43">
        <v>45623</v>
      </c>
      <c r="C2187" s="32" t="s">
        <v>29</v>
      </c>
      <c r="D2187" s="32" t="s">
        <v>134</v>
      </c>
      <c r="E2187" s="36">
        <f t="shared" si="168"/>
        <v>22791426.352314476</v>
      </c>
      <c r="F2187" s="36">
        <v>0</v>
      </c>
      <c r="G2187" s="58">
        <v>-3567</v>
      </c>
      <c r="H2187" s="35">
        <f t="shared" si="169"/>
        <v>-3567</v>
      </c>
      <c r="I2187" s="35">
        <f t="shared" si="166"/>
        <v>0</v>
      </c>
      <c r="J2187" s="35">
        <f t="shared" si="167"/>
        <v>1236.5544246731374</v>
      </c>
      <c r="K2187" s="45">
        <f t="shared" si="170"/>
        <v>22786622.797889803</v>
      </c>
    </row>
    <row r="2188" spans="2:11">
      <c r="B2188" s="43">
        <v>45623</v>
      </c>
      <c r="C2188" s="32" t="s">
        <v>29</v>
      </c>
      <c r="D2188" s="32" t="s">
        <v>134</v>
      </c>
      <c r="E2188" s="36">
        <f t="shared" si="168"/>
        <v>22786622.797889803</v>
      </c>
      <c r="F2188" s="36">
        <v>0</v>
      </c>
      <c r="G2188" s="58">
        <v>-15015</v>
      </c>
      <c r="H2188" s="35">
        <f t="shared" si="169"/>
        <v>-15015</v>
      </c>
      <c r="I2188" s="35">
        <f t="shared" si="166"/>
        <v>0</v>
      </c>
      <c r="J2188" s="35">
        <f t="shared" si="167"/>
        <v>1236.2938066501069</v>
      </c>
      <c r="K2188" s="45">
        <f t="shared" si="170"/>
        <v>22770371.504083153</v>
      </c>
    </row>
    <row r="2189" spans="2:11">
      <c r="B2189" s="43">
        <v>45623</v>
      </c>
      <c r="C2189" s="32" t="s">
        <v>27</v>
      </c>
      <c r="D2189" s="32" t="s">
        <v>134</v>
      </c>
      <c r="E2189" s="36">
        <f t="shared" si="168"/>
        <v>22770371.504083153</v>
      </c>
      <c r="F2189" s="36">
        <v>0</v>
      </c>
      <c r="G2189" s="58">
        <v>-19934</v>
      </c>
      <c r="H2189" s="35">
        <f t="shared" si="169"/>
        <v>-19934</v>
      </c>
      <c r="I2189" s="35">
        <f t="shared" si="166"/>
        <v>0</v>
      </c>
      <c r="J2189" s="35">
        <f t="shared" si="167"/>
        <v>1235.4120887201873</v>
      </c>
      <c r="K2189" s="45">
        <f t="shared" si="170"/>
        <v>22749202.091994431</v>
      </c>
    </row>
    <row r="2190" spans="2:11">
      <c r="B2190" s="43">
        <v>45623</v>
      </c>
      <c r="C2190" s="32" t="s">
        <v>25</v>
      </c>
      <c r="D2190" s="32" t="s">
        <v>134</v>
      </c>
      <c r="E2190" s="36">
        <f t="shared" si="168"/>
        <v>22749202.091994431</v>
      </c>
      <c r="F2190" s="36">
        <v>0</v>
      </c>
      <c r="G2190" s="58">
        <v>-3000</v>
      </c>
      <c r="H2190" s="35">
        <f t="shared" si="169"/>
        <v>-3000</v>
      </c>
      <c r="I2190" s="35">
        <f t="shared" si="166"/>
        <v>0</v>
      </c>
      <c r="J2190" s="35">
        <f t="shared" si="167"/>
        <v>1234.2635370770656</v>
      </c>
      <c r="K2190" s="45">
        <f t="shared" si="170"/>
        <v>22744967.828457355</v>
      </c>
    </row>
    <row r="2191" spans="2:11">
      <c r="B2191" s="43">
        <v>45624</v>
      </c>
      <c r="C2191" s="32" t="s">
        <v>29</v>
      </c>
      <c r="D2191" s="32" t="s">
        <v>132</v>
      </c>
      <c r="E2191" s="36">
        <f t="shared" si="168"/>
        <v>22744967.828457355</v>
      </c>
      <c r="F2191" s="36">
        <v>10452.77</v>
      </c>
      <c r="G2191" s="58">
        <v>0</v>
      </c>
      <c r="H2191" s="35">
        <f t="shared" si="169"/>
        <v>10452.77</v>
      </c>
      <c r="I2191" s="35">
        <f t="shared" si="166"/>
        <v>0</v>
      </c>
      <c r="J2191" s="35">
        <f t="shared" si="167"/>
        <v>2468.0676121414372</v>
      </c>
      <c r="K2191" s="45">
        <f t="shared" si="170"/>
        <v>22752952.530845214</v>
      </c>
    </row>
    <row r="2192" spans="2:11">
      <c r="B2192" s="43">
        <v>45624</v>
      </c>
      <c r="C2192" s="32" t="s">
        <v>29</v>
      </c>
      <c r="D2192" s="32" t="s">
        <v>132</v>
      </c>
      <c r="E2192" s="36">
        <f t="shared" si="168"/>
        <v>22752952.530845214</v>
      </c>
      <c r="F2192" s="36">
        <v>14498.65</v>
      </c>
      <c r="G2192" s="58">
        <v>0</v>
      </c>
      <c r="H2192" s="35">
        <f t="shared" si="169"/>
        <v>14498.65</v>
      </c>
      <c r="I2192" s="35">
        <f t="shared" si="166"/>
        <v>0</v>
      </c>
      <c r="J2192" s="35">
        <f t="shared" si="167"/>
        <v>1234.4670180564353</v>
      </c>
      <c r="K2192" s="45">
        <f t="shared" si="170"/>
        <v>22766216.713827156</v>
      </c>
    </row>
    <row r="2193" spans="2:11">
      <c r="B2193" s="43">
        <v>45624</v>
      </c>
      <c r="C2193" s="32" t="s">
        <v>29</v>
      </c>
      <c r="D2193" s="32" t="s">
        <v>132</v>
      </c>
      <c r="E2193" s="36">
        <f t="shared" si="168"/>
        <v>22766216.713827156</v>
      </c>
      <c r="F2193" s="36">
        <v>21489.759999999998</v>
      </c>
      <c r="G2193" s="58">
        <v>0</v>
      </c>
      <c r="H2193" s="35">
        <f t="shared" si="169"/>
        <v>21489.759999999998</v>
      </c>
      <c r="I2193" s="35">
        <f t="shared" si="166"/>
        <v>0</v>
      </c>
      <c r="J2193" s="35">
        <f t="shared" si="167"/>
        <v>1235.1866695561903</v>
      </c>
      <c r="K2193" s="45">
        <f t="shared" si="170"/>
        <v>22786471.287157603</v>
      </c>
    </row>
    <row r="2194" spans="2:11">
      <c r="B2194" s="43">
        <v>45624</v>
      </c>
      <c r="C2194" s="32" t="s">
        <v>27</v>
      </c>
      <c r="D2194" s="32" t="s">
        <v>134</v>
      </c>
      <c r="E2194" s="36">
        <f t="shared" si="168"/>
        <v>22786471.287157603</v>
      </c>
      <c r="F2194" s="36">
        <v>0</v>
      </c>
      <c r="G2194" s="58">
        <v>-10347.43</v>
      </c>
      <c r="H2194" s="35">
        <f t="shared" si="169"/>
        <v>-10347.43</v>
      </c>
      <c r="I2194" s="35">
        <f t="shared" si="166"/>
        <v>0</v>
      </c>
      <c r="J2194" s="35">
        <f t="shared" si="167"/>
        <v>1236.2855863981845</v>
      </c>
      <c r="K2194" s="45">
        <f t="shared" si="170"/>
        <v>22774887.571571205</v>
      </c>
    </row>
    <row r="2195" spans="2:11">
      <c r="B2195" s="43">
        <v>45624</v>
      </c>
      <c r="C2195" s="32" t="s">
        <v>27</v>
      </c>
      <c r="D2195" s="32" t="s">
        <v>134</v>
      </c>
      <c r="E2195" s="36">
        <f t="shared" si="168"/>
        <v>22774887.571571205</v>
      </c>
      <c r="F2195" s="36">
        <v>0</v>
      </c>
      <c r="G2195" s="58">
        <v>-10870</v>
      </c>
      <c r="H2195" s="35">
        <f t="shared" si="169"/>
        <v>-10870</v>
      </c>
      <c r="I2195" s="35">
        <f t="shared" si="166"/>
        <v>0</v>
      </c>
      <c r="J2195" s="35">
        <f t="shared" si="167"/>
        <v>1235.6571090689865</v>
      </c>
      <c r="K2195" s="45">
        <f t="shared" si="170"/>
        <v>22762781.914462134</v>
      </c>
    </row>
    <row r="2196" spans="2:11">
      <c r="B2196" s="43">
        <v>45624</v>
      </c>
      <c r="C2196" s="32" t="s">
        <v>29</v>
      </c>
      <c r="D2196" s="32" t="s">
        <v>134</v>
      </c>
      <c r="E2196" s="36">
        <f t="shared" si="168"/>
        <v>22762781.914462134</v>
      </c>
      <c r="F2196" s="36">
        <v>0</v>
      </c>
      <c r="G2196" s="58">
        <v>-21125</v>
      </c>
      <c r="H2196" s="35">
        <f t="shared" si="169"/>
        <v>-21125</v>
      </c>
      <c r="I2196" s="35">
        <f t="shared" ref="I2196:I2259" si="171">(($E2196*Daily_Interest)*(_xlfn.DAYS(B2196,B2195)+1))+((IF(DAY($B2195)&gt;Monthly_Cut_off_Date,0,Daily_Interest*H2196))*(_xlfn.DAYS(B2196,B2195)+1))</f>
        <v>0</v>
      </c>
      <c r="J2196" s="35">
        <f t="shared" ref="J2196:J2259" si="172">(($I2196+E2196)*Daily_Fees_Rate)*((_xlfn.DAYS(B2196,B2195)+1))</f>
        <v>1235.0003136745079</v>
      </c>
      <c r="K2196" s="45">
        <f t="shared" si="170"/>
        <v>22740421.914148461</v>
      </c>
    </row>
    <row r="2197" spans="2:11">
      <c r="B2197" s="43">
        <v>45625</v>
      </c>
      <c r="C2197" s="32" t="s">
        <v>29</v>
      </c>
      <c r="D2197" s="32" t="s">
        <v>132</v>
      </c>
      <c r="E2197" s="36">
        <f t="shared" ref="E2197:E2260" si="173">K2196</f>
        <v>22740421.914148461</v>
      </c>
      <c r="F2197" s="36">
        <v>18147.03</v>
      </c>
      <c r="G2197" s="58">
        <v>0</v>
      </c>
      <c r="H2197" s="35">
        <f t="shared" ref="H2197:H2260" si="174">SUM(F2197:G2197)</f>
        <v>18147.03</v>
      </c>
      <c r="I2197" s="35">
        <f t="shared" si="171"/>
        <v>0</v>
      </c>
      <c r="J2197" s="35">
        <f t="shared" si="172"/>
        <v>2467.5743327506739</v>
      </c>
      <c r="K2197" s="45">
        <f t="shared" si="170"/>
        <v>22756101.369815711</v>
      </c>
    </row>
    <row r="2198" spans="2:11">
      <c r="B2198" s="43">
        <v>45625</v>
      </c>
      <c r="C2198" s="32" t="s">
        <v>27</v>
      </c>
      <c r="D2198" s="32" t="s">
        <v>132</v>
      </c>
      <c r="E2198" s="36">
        <f t="shared" si="173"/>
        <v>22756101.369815711</v>
      </c>
      <c r="F2198" s="36">
        <v>21896.69</v>
      </c>
      <c r="G2198" s="58">
        <v>0</v>
      </c>
      <c r="H2198" s="35">
        <f t="shared" si="174"/>
        <v>21896.69</v>
      </c>
      <c r="I2198" s="35">
        <f t="shared" si="171"/>
        <v>0</v>
      </c>
      <c r="J2198" s="35">
        <f t="shared" si="172"/>
        <v>1234.6378590868019</v>
      </c>
      <c r="K2198" s="45">
        <f t="shared" si="170"/>
        <v>22776763.421956625</v>
      </c>
    </row>
    <row r="2199" spans="2:11">
      <c r="B2199" s="43">
        <v>45625</v>
      </c>
      <c r="C2199" s="32" t="s">
        <v>29</v>
      </c>
      <c r="D2199" s="32" t="s">
        <v>132</v>
      </c>
      <c r="E2199" s="36">
        <f t="shared" si="173"/>
        <v>22776763.421956625</v>
      </c>
      <c r="F2199" s="36">
        <v>14863.24</v>
      </c>
      <c r="G2199" s="58">
        <v>0</v>
      </c>
      <c r="H2199" s="35">
        <f t="shared" si="174"/>
        <v>14863.24</v>
      </c>
      <c r="I2199" s="35">
        <f t="shared" si="171"/>
        <v>0</v>
      </c>
      <c r="J2199" s="35">
        <f t="shared" si="172"/>
        <v>1235.7588837915623</v>
      </c>
      <c r="K2199" s="45">
        <f t="shared" si="170"/>
        <v>22790390.90307283</v>
      </c>
    </row>
    <row r="2200" spans="2:11">
      <c r="B2200" s="43">
        <v>45625</v>
      </c>
      <c r="C2200" s="32" t="s">
        <v>25</v>
      </c>
      <c r="D2200" s="32" t="s">
        <v>132</v>
      </c>
      <c r="E2200" s="36">
        <f t="shared" si="173"/>
        <v>22790390.90307283</v>
      </c>
      <c r="F2200" s="36">
        <v>14666.32</v>
      </c>
      <c r="G2200" s="58">
        <v>0</v>
      </c>
      <c r="H2200" s="35">
        <f t="shared" si="174"/>
        <v>14666.32</v>
      </c>
      <c r="I2200" s="35">
        <f t="shared" si="171"/>
        <v>0</v>
      </c>
      <c r="J2200" s="35">
        <f t="shared" si="172"/>
        <v>1236.4982461206639</v>
      </c>
      <c r="K2200" s="45">
        <f t="shared" si="170"/>
        <v>22803820.724826708</v>
      </c>
    </row>
    <row r="2201" spans="2:11">
      <c r="B2201" s="43">
        <v>45625</v>
      </c>
      <c r="C2201" s="32" t="s">
        <v>27</v>
      </c>
      <c r="D2201" s="32" t="s">
        <v>134</v>
      </c>
      <c r="E2201" s="36">
        <f t="shared" si="173"/>
        <v>22803820.724826708</v>
      </c>
      <c r="F2201" s="36">
        <v>0</v>
      </c>
      <c r="G2201" s="58">
        <v>-6601</v>
      </c>
      <c r="H2201" s="35">
        <f t="shared" si="174"/>
        <v>-6601</v>
      </c>
      <c r="I2201" s="35">
        <f t="shared" si="171"/>
        <v>0</v>
      </c>
      <c r="J2201" s="35">
        <f t="shared" si="172"/>
        <v>1237.2268843926008</v>
      </c>
      <c r="K2201" s="45">
        <f t="shared" si="170"/>
        <v>22795982.497942317</v>
      </c>
    </row>
    <row r="2202" spans="2:11">
      <c r="B2202" s="43">
        <v>45625</v>
      </c>
      <c r="C2202" s="32" t="s">
        <v>27</v>
      </c>
      <c r="D2202" s="32" t="s">
        <v>134</v>
      </c>
      <c r="E2202" s="36">
        <f t="shared" si="173"/>
        <v>22795982.497942317</v>
      </c>
      <c r="F2202" s="36">
        <v>0</v>
      </c>
      <c r="G2202" s="58">
        <v>-14084</v>
      </c>
      <c r="H2202" s="35">
        <f t="shared" si="174"/>
        <v>-14084</v>
      </c>
      <c r="I2202" s="35">
        <f t="shared" si="171"/>
        <v>0</v>
      </c>
      <c r="J2202" s="35">
        <f t="shared" si="172"/>
        <v>1236.801619471237</v>
      </c>
      <c r="K2202" s="45">
        <f t="shared" si="170"/>
        <v>22780661.696322847</v>
      </c>
    </row>
    <row r="2203" spans="2:11">
      <c r="B2203" s="43">
        <v>45625</v>
      </c>
      <c r="C2203" s="32" t="s">
        <v>25</v>
      </c>
      <c r="D2203" s="32" t="s">
        <v>134</v>
      </c>
      <c r="E2203" s="36">
        <f t="shared" si="173"/>
        <v>22780661.696322847</v>
      </c>
      <c r="F2203" s="36">
        <v>0</v>
      </c>
      <c r="G2203" s="58">
        <v>-13510</v>
      </c>
      <c r="H2203" s="35">
        <f t="shared" si="174"/>
        <v>-13510</v>
      </c>
      <c r="I2203" s="35">
        <f t="shared" si="171"/>
        <v>0</v>
      </c>
      <c r="J2203" s="35">
        <f t="shared" si="172"/>
        <v>1235.9703856230681</v>
      </c>
      <c r="K2203" s="45">
        <f t="shared" si="170"/>
        <v>22765915.725937225</v>
      </c>
    </row>
    <row r="2204" spans="2:11">
      <c r="B2204" s="43">
        <v>45626</v>
      </c>
      <c r="C2204" s="32" t="s">
        <v>29</v>
      </c>
      <c r="D2204" s="32" t="s">
        <v>132</v>
      </c>
      <c r="E2204" s="36">
        <f t="shared" si="173"/>
        <v>22765915.725937225</v>
      </c>
      <c r="F2204" s="36">
        <v>11992.41</v>
      </c>
      <c r="G2204" s="58">
        <v>0</v>
      </c>
      <c r="H2204" s="35">
        <f t="shared" si="174"/>
        <v>11992.41</v>
      </c>
      <c r="I2204" s="35">
        <f t="shared" si="171"/>
        <v>0</v>
      </c>
      <c r="J2204" s="35">
        <f t="shared" si="172"/>
        <v>2470.3406787688536</v>
      </c>
      <c r="K2204" s="45">
        <f t="shared" si="170"/>
        <v>22775437.795258455</v>
      </c>
    </row>
    <row r="2205" spans="2:11">
      <c r="B2205" s="43">
        <v>45626</v>
      </c>
      <c r="C2205" s="32" t="s">
        <v>25</v>
      </c>
      <c r="D2205" s="32" t="s">
        <v>132</v>
      </c>
      <c r="E2205" s="36">
        <f t="shared" si="173"/>
        <v>22775437.795258455</v>
      </c>
      <c r="F2205" s="36">
        <v>10804.3</v>
      </c>
      <c r="G2205" s="58">
        <v>0</v>
      </c>
      <c r="H2205" s="35">
        <f t="shared" si="174"/>
        <v>10804.3</v>
      </c>
      <c r="I2205" s="35">
        <f t="shared" si="171"/>
        <v>0</v>
      </c>
      <c r="J2205" s="35">
        <f t="shared" si="172"/>
        <v>1235.6869615900403</v>
      </c>
      <c r="K2205" s="45">
        <f t="shared" si="170"/>
        <v>22785006.408296864</v>
      </c>
    </row>
    <row r="2206" spans="2:11">
      <c r="B2206" s="43">
        <v>45626</v>
      </c>
      <c r="C2206" s="32" t="s">
        <v>27</v>
      </c>
      <c r="D2206" s="32" t="s">
        <v>132</v>
      </c>
      <c r="E2206" s="36">
        <f t="shared" si="173"/>
        <v>22785006.408296864</v>
      </c>
      <c r="F2206" s="36">
        <v>14235.07</v>
      </c>
      <c r="G2206" s="58">
        <v>0</v>
      </c>
      <c r="H2206" s="35">
        <f t="shared" si="174"/>
        <v>14235.07</v>
      </c>
      <c r="I2206" s="35">
        <f t="shared" si="171"/>
        <v>0</v>
      </c>
      <c r="J2206" s="35">
        <f t="shared" si="172"/>
        <v>1236.2061090364409</v>
      </c>
      <c r="K2206" s="45">
        <f t="shared" si="170"/>
        <v>22798005.272187829</v>
      </c>
    </row>
    <row r="2207" spans="2:11">
      <c r="B2207" s="43">
        <v>45626</v>
      </c>
      <c r="C2207" s="32" t="s">
        <v>29</v>
      </c>
      <c r="D2207" s="32" t="s">
        <v>132</v>
      </c>
      <c r="E2207" s="36">
        <f t="shared" si="173"/>
        <v>22798005.272187829</v>
      </c>
      <c r="F2207" s="36">
        <v>10777.46</v>
      </c>
      <c r="G2207" s="58">
        <v>0</v>
      </c>
      <c r="H2207" s="35">
        <f t="shared" si="174"/>
        <v>10777.46</v>
      </c>
      <c r="I2207" s="35">
        <f t="shared" si="171"/>
        <v>0</v>
      </c>
      <c r="J2207" s="35">
        <f t="shared" si="172"/>
        <v>1236.9113655838646</v>
      </c>
      <c r="K2207" s="45">
        <f t="shared" si="170"/>
        <v>22807545.820822246</v>
      </c>
    </row>
    <row r="2208" spans="2:11">
      <c r="B2208" s="43">
        <v>45626</v>
      </c>
      <c r="C2208" s="32" t="s">
        <v>27</v>
      </c>
      <c r="D2208" s="32" t="s">
        <v>132</v>
      </c>
      <c r="E2208" s="36">
        <f t="shared" si="173"/>
        <v>22807545.820822246</v>
      </c>
      <c r="F2208" s="36">
        <v>10831.28</v>
      </c>
      <c r="G2208" s="58">
        <v>0</v>
      </c>
      <c r="H2208" s="35">
        <f t="shared" si="174"/>
        <v>10831.28</v>
      </c>
      <c r="I2208" s="35">
        <f t="shared" si="171"/>
        <v>0</v>
      </c>
      <c r="J2208" s="35">
        <f t="shared" si="172"/>
        <v>1237.4289903891458</v>
      </c>
      <c r="K2208" s="45">
        <f t="shared" si="170"/>
        <v>22817139.671831857</v>
      </c>
    </row>
    <row r="2209" spans="2:11">
      <c r="B2209" s="43">
        <v>45626</v>
      </c>
      <c r="C2209" s="32" t="s">
        <v>29</v>
      </c>
      <c r="D2209" s="32" t="s">
        <v>134</v>
      </c>
      <c r="E2209" s="36">
        <f t="shared" si="173"/>
        <v>22817139.671831857</v>
      </c>
      <c r="F2209" s="36">
        <v>0</v>
      </c>
      <c r="G2209" s="58">
        <v>-14013.59</v>
      </c>
      <c r="H2209" s="35">
        <f t="shared" si="174"/>
        <v>-14013.59</v>
      </c>
      <c r="I2209" s="35">
        <f t="shared" si="171"/>
        <v>0</v>
      </c>
      <c r="J2209" s="35">
        <f t="shared" si="172"/>
        <v>1237.9495071278616</v>
      </c>
      <c r="K2209" s="45">
        <f t="shared" si="170"/>
        <v>22801888.132324729</v>
      </c>
    </row>
    <row r="2210" spans="2:11">
      <c r="B2210" s="43">
        <v>45626</v>
      </c>
      <c r="C2210" s="32" t="s">
        <v>25</v>
      </c>
      <c r="D2210" s="32" t="s">
        <v>134</v>
      </c>
      <c r="E2210" s="36">
        <f t="shared" si="173"/>
        <v>22801888.132324729</v>
      </c>
      <c r="F2210" s="36">
        <v>0</v>
      </c>
      <c r="G2210" s="58">
        <v>-4946.96</v>
      </c>
      <c r="H2210" s="35">
        <f t="shared" si="174"/>
        <v>-4946.96</v>
      </c>
      <c r="I2210" s="35">
        <f t="shared" si="171"/>
        <v>0</v>
      </c>
      <c r="J2210" s="35">
        <f t="shared" si="172"/>
        <v>1237.1220311125792</v>
      </c>
      <c r="K2210" s="45">
        <f t="shared" si="170"/>
        <v>22795704.050293617</v>
      </c>
    </row>
    <row r="2211" spans="2:11">
      <c r="B2211" s="43">
        <v>45626</v>
      </c>
      <c r="C2211" s="32" t="s">
        <v>25</v>
      </c>
      <c r="D2211" s="32" t="s">
        <v>134</v>
      </c>
      <c r="E2211" s="36">
        <f t="shared" si="173"/>
        <v>22795704.050293617</v>
      </c>
      <c r="F2211" s="36">
        <v>0</v>
      </c>
      <c r="G2211" s="58">
        <v>-20167</v>
      </c>
      <c r="H2211" s="35">
        <f t="shared" si="174"/>
        <v>-20167</v>
      </c>
      <c r="I2211" s="35">
        <f t="shared" si="171"/>
        <v>0</v>
      </c>
      <c r="J2211" s="35">
        <f t="shared" si="172"/>
        <v>1236.7865122257879</v>
      </c>
      <c r="K2211" s="45">
        <f t="shared" si="170"/>
        <v>22774300.263781391</v>
      </c>
    </row>
    <row r="2212" spans="2:11">
      <c r="B2212" s="43">
        <v>45627</v>
      </c>
      <c r="C2212" s="32" t="s">
        <v>27</v>
      </c>
      <c r="D2212" s="32" t="s">
        <v>132</v>
      </c>
      <c r="E2212" s="36">
        <f t="shared" si="173"/>
        <v>22774300.263781391</v>
      </c>
      <c r="F2212" s="36">
        <v>16712.669999999998</v>
      </c>
      <c r="G2212" s="58">
        <v>0</v>
      </c>
      <c r="H2212" s="35">
        <f t="shared" si="174"/>
        <v>16712.669999999998</v>
      </c>
      <c r="I2212" s="35">
        <f t="shared" si="171"/>
        <v>0</v>
      </c>
      <c r="J2212" s="35">
        <f t="shared" si="172"/>
        <v>2471.2504890817117</v>
      </c>
      <c r="K2212" s="45">
        <f t="shared" si="170"/>
        <v>22788541.683292311</v>
      </c>
    </row>
    <row r="2213" spans="2:11">
      <c r="B2213" s="43">
        <v>45627</v>
      </c>
      <c r="C2213" s="32" t="s">
        <v>27</v>
      </c>
      <c r="D2213" s="32" t="s">
        <v>132</v>
      </c>
      <c r="E2213" s="36">
        <f t="shared" si="173"/>
        <v>22788541.683292311</v>
      </c>
      <c r="F2213" s="36">
        <v>12628.58</v>
      </c>
      <c r="G2213" s="58">
        <v>0</v>
      </c>
      <c r="H2213" s="35">
        <f t="shared" si="174"/>
        <v>12628.58</v>
      </c>
      <c r="I2213" s="35">
        <f t="shared" si="171"/>
        <v>0</v>
      </c>
      <c r="J2213" s="35">
        <f t="shared" si="172"/>
        <v>1236.3979162480862</v>
      </c>
      <c r="K2213" s="45">
        <f t="shared" si="170"/>
        <v>22799933.865376059</v>
      </c>
    </row>
    <row r="2214" spans="2:11">
      <c r="B2214" s="43">
        <v>45627</v>
      </c>
      <c r="C2214" s="32" t="s">
        <v>27</v>
      </c>
      <c r="D2214" s="32" t="s">
        <v>132</v>
      </c>
      <c r="E2214" s="36">
        <f t="shared" si="173"/>
        <v>22799933.865376059</v>
      </c>
      <c r="F2214" s="36">
        <v>14923.34</v>
      </c>
      <c r="G2214" s="58">
        <v>0</v>
      </c>
      <c r="H2214" s="35">
        <f t="shared" si="174"/>
        <v>14923.34</v>
      </c>
      <c r="I2214" s="35">
        <f t="shared" si="171"/>
        <v>0</v>
      </c>
      <c r="J2214" s="35">
        <f t="shared" si="172"/>
        <v>1237.0160018801382</v>
      </c>
      <c r="K2214" s="45">
        <f t="shared" si="170"/>
        <v>22813620.189374179</v>
      </c>
    </row>
    <row r="2215" spans="2:11">
      <c r="B2215" s="43">
        <v>45627</v>
      </c>
      <c r="C2215" s="32" t="s">
        <v>29</v>
      </c>
      <c r="D2215" s="32" t="s">
        <v>132</v>
      </c>
      <c r="E2215" s="36">
        <f t="shared" si="173"/>
        <v>22813620.189374179</v>
      </c>
      <c r="F2215" s="36">
        <v>14935.9</v>
      </c>
      <c r="G2215" s="58">
        <v>0</v>
      </c>
      <c r="H2215" s="35">
        <f t="shared" si="174"/>
        <v>14935.9</v>
      </c>
      <c r="I2215" s="35">
        <f t="shared" si="171"/>
        <v>0</v>
      </c>
      <c r="J2215" s="35">
        <f t="shared" si="172"/>
        <v>1237.758556744225</v>
      </c>
      <c r="K2215" s="45">
        <f t="shared" si="170"/>
        <v>22827318.330817431</v>
      </c>
    </row>
    <row r="2216" spans="2:11">
      <c r="B2216" s="43">
        <v>45627</v>
      </c>
      <c r="C2216" s="32" t="s">
        <v>27</v>
      </c>
      <c r="D2216" s="32" t="s">
        <v>134</v>
      </c>
      <c r="E2216" s="36">
        <f t="shared" si="173"/>
        <v>22827318.330817431</v>
      </c>
      <c r="F2216" s="36">
        <v>0</v>
      </c>
      <c r="G2216" s="58">
        <v>-13258</v>
      </c>
      <c r="H2216" s="35">
        <f t="shared" si="174"/>
        <v>-13258</v>
      </c>
      <c r="I2216" s="35">
        <f t="shared" si="171"/>
        <v>0</v>
      </c>
      <c r="J2216" s="35">
        <f t="shared" si="172"/>
        <v>1238.5017527666948</v>
      </c>
      <c r="K2216" s="45">
        <f t="shared" si="170"/>
        <v>22812821.829064663</v>
      </c>
    </row>
    <row r="2217" spans="2:11">
      <c r="B2217" s="43">
        <v>45627</v>
      </c>
      <c r="C2217" s="32" t="s">
        <v>29</v>
      </c>
      <c r="D2217" s="32" t="s">
        <v>134</v>
      </c>
      <c r="E2217" s="36">
        <f t="shared" si="173"/>
        <v>22812821.829064663</v>
      </c>
      <c r="F2217" s="36">
        <v>0</v>
      </c>
      <c r="G2217" s="58">
        <v>-12936</v>
      </c>
      <c r="H2217" s="35">
        <f t="shared" si="174"/>
        <v>-12936</v>
      </c>
      <c r="I2217" s="35">
        <f t="shared" si="171"/>
        <v>0</v>
      </c>
      <c r="J2217" s="35">
        <f t="shared" si="172"/>
        <v>1237.7152415098928</v>
      </c>
      <c r="K2217" s="45">
        <f t="shared" si="170"/>
        <v>22798648.113823153</v>
      </c>
    </row>
    <row r="2218" spans="2:11">
      <c r="B2218" s="43">
        <v>45627</v>
      </c>
      <c r="C2218" s="32" t="s">
        <v>25</v>
      </c>
      <c r="D2218" s="32" t="s">
        <v>134</v>
      </c>
      <c r="E2218" s="36">
        <f t="shared" si="173"/>
        <v>22798648.113823153</v>
      </c>
      <c r="F2218" s="36">
        <v>0</v>
      </c>
      <c r="G2218" s="58">
        <v>-8316</v>
      </c>
      <c r="H2218" s="35">
        <f t="shared" si="174"/>
        <v>-8316</v>
      </c>
      <c r="I2218" s="35">
        <f t="shared" si="171"/>
        <v>0</v>
      </c>
      <c r="J2218" s="35">
        <f t="shared" si="172"/>
        <v>1236.9462431143991</v>
      </c>
      <c r="K2218" s="45">
        <f t="shared" si="170"/>
        <v>22789095.167580038</v>
      </c>
    </row>
    <row r="2219" spans="2:11">
      <c r="B2219" s="43">
        <v>45627</v>
      </c>
      <c r="C2219" s="32" t="s">
        <v>27</v>
      </c>
      <c r="D2219" s="32" t="s">
        <v>134</v>
      </c>
      <c r="E2219" s="36">
        <f t="shared" si="173"/>
        <v>22789095.167580038</v>
      </c>
      <c r="F2219" s="36">
        <v>0</v>
      </c>
      <c r="G2219" s="58">
        <v>-1501</v>
      </c>
      <c r="H2219" s="35">
        <f t="shared" si="174"/>
        <v>-1501</v>
      </c>
      <c r="I2219" s="35">
        <f t="shared" si="171"/>
        <v>0</v>
      </c>
      <c r="J2219" s="35">
        <f t="shared" si="172"/>
        <v>1236.4279456738182</v>
      </c>
      <c r="K2219" s="45">
        <f t="shared" si="170"/>
        <v>22786357.739634365</v>
      </c>
    </row>
    <row r="2220" spans="2:11">
      <c r="B2220" s="43">
        <v>45627</v>
      </c>
      <c r="C2220" s="32" t="s">
        <v>27</v>
      </c>
      <c r="D2220" s="32" t="s">
        <v>134</v>
      </c>
      <c r="E2220" s="36">
        <f t="shared" si="173"/>
        <v>22786357.739634365</v>
      </c>
      <c r="F2220" s="36">
        <v>0</v>
      </c>
      <c r="G2220" s="58">
        <v>-14743</v>
      </c>
      <c r="H2220" s="35">
        <f t="shared" si="174"/>
        <v>-14743</v>
      </c>
      <c r="I2220" s="35">
        <f t="shared" si="171"/>
        <v>0</v>
      </c>
      <c r="J2220" s="35">
        <f t="shared" si="172"/>
        <v>1236.2794258494721</v>
      </c>
      <c r="K2220" s="45">
        <f t="shared" si="170"/>
        <v>22770378.460208517</v>
      </c>
    </row>
    <row r="2221" spans="2:11">
      <c r="B2221" s="43">
        <v>45627</v>
      </c>
      <c r="C2221" s="32" t="s">
        <v>25</v>
      </c>
      <c r="D2221" s="32" t="s">
        <v>134</v>
      </c>
      <c r="E2221" s="36">
        <f t="shared" si="173"/>
        <v>22770378.460208517</v>
      </c>
      <c r="F2221" s="36">
        <v>0</v>
      </c>
      <c r="G2221" s="58">
        <v>-15346</v>
      </c>
      <c r="H2221" s="35">
        <f t="shared" si="174"/>
        <v>-15346</v>
      </c>
      <c r="I2221" s="35">
        <f t="shared" si="171"/>
        <v>0</v>
      </c>
      <c r="J2221" s="35">
        <f t="shared" si="172"/>
        <v>1235.4124661264746</v>
      </c>
      <c r="K2221" s="45">
        <f t="shared" si="170"/>
        <v>22753797.047742389</v>
      </c>
    </row>
    <row r="2222" spans="2:11">
      <c r="B2222" s="43">
        <v>45627</v>
      </c>
      <c r="C2222" s="32" t="s">
        <v>25</v>
      </c>
      <c r="D2222" s="32" t="s">
        <v>134</v>
      </c>
      <c r="E2222" s="36">
        <f t="shared" si="173"/>
        <v>22753797.047742389</v>
      </c>
      <c r="F2222" s="36">
        <v>0</v>
      </c>
      <c r="G2222" s="58">
        <v>-21313</v>
      </c>
      <c r="H2222" s="35">
        <f t="shared" si="174"/>
        <v>-21313</v>
      </c>
      <c r="I2222" s="35">
        <f t="shared" si="171"/>
        <v>0</v>
      </c>
      <c r="J2222" s="35">
        <f t="shared" si="172"/>
        <v>1234.5128375277475</v>
      </c>
      <c r="K2222" s="45">
        <f t="shared" si="170"/>
        <v>22731249.53490486</v>
      </c>
    </row>
    <row r="2223" spans="2:11">
      <c r="B2223" s="43">
        <v>45627</v>
      </c>
      <c r="C2223" s="32" t="s">
        <v>25</v>
      </c>
      <c r="D2223" s="32" t="s">
        <v>134</v>
      </c>
      <c r="E2223" s="36">
        <f t="shared" si="173"/>
        <v>22731249.53490486</v>
      </c>
      <c r="F2223" s="36">
        <v>0</v>
      </c>
      <c r="G2223" s="58">
        <v>-21301</v>
      </c>
      <c r="H2223" s="35">
        <f t="shared" si="174"/>
        <v>-21301</v>
      </c>
      <c r="I2223" s="35">
        <f t="shared" si="171"/>
        <v>0</v>
      </c>
      <c r="J2223" s="35">
        <f t="shared" si="172"/>
        <v>1233.289516690621</v>
      </c>
      <c r="K2223" s="45">
        <f t="shared" si="170"/>
        <v>22708715.245388169</v>
      </c>
    </row>
    <row r="2224" spans="2:11">
      <c r="B2224" s="43">
        <v>45627</v>
      </c>
      <c r="C2224" s="32" t="s">
        <v>25</v>
      </c>
      <c r="D2224" s="32" t="s">
        <v>134</v>
      </c>
      <c r="E2224" s="36">
        <f t="shared" si="173"/>
        <v>22708715.245388169</v>
      </c>
      <c r="F2224" s="36">
        <v>0</v>
      </c>
      <c r="G2224" s="58">
        <v>-4801</v>
      </c>
      <c r="H2224" s="35">
        <f t="shared" si="174"/>
        <v>-4801</v>
      </c>
      <c r="I2224" s="35">
        <f t="shared" si="171"/>
        <v>0</v>
      </c>
      <c r="J2224" s="35">
        <f t="shared" si="172"/>
        <v>1232.0669132880087</v>
      </c>
      <c r="K2224" s="45">
        <f t="shared" si="170"/>
        <v>22702682.178474881</v>
      </c>
    </row>
    <row r="2225" spans="2:11">
      <c r="B2225" s="43">
        <v>45627</v>
      </c>
      <c r="C2225" s="32" t="s">
        <v>29</v>
      </c>
      <c r="D2225" s="32" t="s">
        <v>134</v>
      </c>
      <c r="E2225" s="36">
        <f t="shared" si="173"/>
        <v>22702682.178474881</v>
      </c>
      <c r="F2225" s="36">
        <v>0</v>
      </c>
      <c r="G2225" s="58">
        <v>-11237</v>
      </c>
      <c r="H2225" s="35">
        <f t="shared" si="174"/>
        <v>-11237</v>
      </c>
      <c r="I2225" s="35">
        <f t="shared" si="171"/>
        <v>0</v>
      </c>
      <c r="J2225" s="35">
        <f t="shared" si="172"/>
        <v>1231.7395877634603</v>
      </c>
      <c r="K2225" s="45">
        <f t="shared" si="170"/>
        <v>22690213.438887116</v>
      </c>
    </row>
    <row r="2226" spans="2:11">
      <c r="B2226" s="43">
        <v>45628</v>
      </c>
      <c r="C2226" s="32" t="s">
        <v>25</v>
      </c>
      <c r="D2226" s="32" t="s">
        <v>132</v>
      </c>
      <c r="E2226" s="36">
        <f t="shared" si="173"/>
        <v>22690213.438887116</v>
      </c>
      <c r="F2226" s="36">
        <v>13231.91</v>
      </c>
      <c r="G2226" s="58">
        <v>0</v>
      </c>
      <c r="H2226" s="35">
        <f t="shared" si="174"/>
        <v>13231.91</v>
      </c>
      <c r="I2226" s="35">
        <f t="shared" si="171"/>
        <v>0</v>
      </c>
      <c r="J2226" s="35">
        <f t="shared" si="172"/>
        <v>2462.1261864801618</v>
      </c>
      <c r="K2226" s="45">
        <f t="shared" si="170"/>
        <v>22700983.222700637</v>
      </c>
    </row>
    <row r="2227" spans="2:11">
      <c r="B2227" s="43">
        <v>45628</v>
      </c>
      <c r="C2227" s="32" t="s">
        <v>29</v>
      </c>
      <c r="D2227" s="32" t="s">
        <v>132</v>
      </c>
      <c r="E2227" s="36">
        <f t="shared" si="173"/>
        <v>22700983.222700637</v>
      </c>
      <c r="F2227" s="36">
        <v>12004.94</v>
      </c>
      <c r="G2227" s="58">
        <v>0</v>
      </c>
      <c r="H2227" s="35">
        <f t="shared" si="174"/>
        <v>12004.94</v>
      </c>
      <c r="I2227" s="35">
        <f t="shared" si="171"/>
        <v>0</v>
      </c>
      <c r="J2227" s="35">
        <f t="shared" si="172"/>
        <v>1231.6474105013842</v>
      </c>
      <c r="K2227" s="45">
        <f t="shared" si="170"/>
        <v>22711756.515290137</v>
      </c>
    </row>
    <row r="2228" spans="2:11">
      <c r="B2228" s="43">
        <v>45628</v>
      </c>
      <c r="C2228" s="32" t="s">
        <v>29</v>
      </c>
      <c r="D2228" s="32" t="s">
        <v>134</v>
      </c>
      <c r="E2228" s="36">
        <f t="shared" si="173"/>
        <v>22711756.515290137</v>
      </c>
      <c r="F2228" s="36">
        <v>0</v>
      </c>
      <c r="G2228" s="58">
        <v>-4178</v>
      </c>
      <c r="H2228" s="35">
        <f t="shared" si="174"/>
        <v>-4178</v>
      </c>
      <c r="I2228" s="35">
        <f t="shared" si="171"/>
        <v>0</v>
      </c>
      <c r="J2228" s="35">
        <f t="shared" si="172"/>
        <v>1232.2319181321886</v>
      </c>
      <c r="K2228" s="45">
        <f t="shared" si="170"/>
        <v>22706346.283372004</v>
      </c>
    </row>
    <row r="2229" spans="2:11">
      <c r="B2229" s="43">
        <v>45628</v>
      </c>
      <c r="C2229" s="32" t="s">
        <v>27</v>
      </c>
      <c r="D2229" s="32" t="s">
        <v>134</v>
      </c>
      <c r="E2229" s="36">
        <f t="shared" si="173"/>
        <v>22706346.283372004</v>
      </c>
      <c r="F2229" s="36">
        <v>0</v>
      </c>
      <c r="G2229" s="58">
        <v>-21314</v>
      </c>
      <c r="H2229" s="35">
        <f t="shared" si="174"/>
        <v>-21314</v>
      </c>
      <c r="I2229" s="35">
        <f t="shared" si="171"/>
        <v>0</v>
      </c>
      <c r="J2229" s="35">
        <f t="shared" si="172"/>
        <v>1231.938384673007</v>
      </c>
      <c r="K2229" s="45">
        <f t="shared" si="170"/>
        <v>22683800.344987329</v>
      </c>
    </row>
    <row r="2230" spans="2:11">
      <c r="B2230" s="43">
        <v>45628</v>
      </c>
      <c r="C2230" s="32" t="s">
        <v>25</v>
      </c>
      <c r="D2230" s="32" t="s">
        <v>134</v>
      </c>
      <c r="E2230" s="36">
        <f t="shared" si="173"/>
        <v>22683800.344987329</v>
      </c>
      <c r="F2230" s="36">
        <v>0</v>
      </c>
      <c r="G2230" s="58">
        <v>-1447</v>
      </c>
      <c r="H2230" s="35">
        <f t="shared" si="174"/>
        <v>-1447</v>
      </c>
      <c r="I2230" s="35">
        <f t="shared" si="171"/>
        <v>0</v>
      </c>
      <c r="J2230" s="35">
        <f t="shared" si="172"/>
        <v>1230.7151492582061</v>
      </c>
      <c r="K2230" s="45">
        <f t="shared" si="170"/>
        <v>22681122.629838072</v>
      </c>
    </row>
    <row r="2231" spans="2:11">
      <c r="B2231" s="43">
        <v>45628</v>
      </c>
      <c r="C2231" s="32" t="s">
        <v>25</v>
      </c>
      <c r="D2231" s="32" t="s">
        <v>134</v>
      </c>
      <c r="E2231" s="36">
        <f t="shared" si="173"/>
        <v>22681122.629838072</v>
      </c>
      <c r="F2231" s="36">
        <v>0</v>
      </c>
      <c r="G2231" s="58">
        <v>-17873</v>
      </c>
      <c r="H2231" s="35">
        <f t="shared" si="174"/>
        <v>-17873</v>
      </c>
      <c r="I2231" s="35">
        <f t="shared" si="171"/>
        <v>0</v>
      </c>
      <c r="J2231" s="35">
        <f t="shared" si="172"/>
        <v>1230.5698691662697</v>
      </c>
      <c r="K2231" s="45">
        <f t="shared" si="170"/>
        <v>22662019.059968904</v>
      </c>
    </row>
    <row r="2232" spans="2:11">
      <c r="B2232" s="43">
        <v>45629</v>
      </c>
      <c r="C2232" s="32" t="s">
        <v>27</v>
      </c>
      <c r="D2232" s="32" t="s">
        <v>132</v>
      </c>
      <c r="E2232" s="36">
        <f t="shared" si="173"/>
        <v>22662019.059968904</v>
      </c>
      <c r="F2232" s="36">
        <v>17862.009999999998</v>
      </c>
      <c r="G2232" s="58">
        <v>0</v>
      </c>
      <c r="H2232" s="35">
        <f t="shared" si="174"/>
        <v>17862.009999999998</v>
      </c>
      <c r="I2232" s="35">
        <f t="shared" si="171"/>
        <v>0</v>
      </c>
      <c r="J2232" s="35">
        <f t="shared" si="172"/>
        <v>2459.0668005985331</v>
      </c>
      <c r="K2232" s="45">
        <f t="shared" si="170"/>
        <v>22677422.003168307</v>
      </c>
    </row>
    <row r="2233" spans="2:11">
      <c r="B2233" s="43">
        <v>45629</v>
      </c>
      <c r="C2233" s="32" t="s">
        <v>29</v>
      </c>
      <c r="D2233" s="32" t="s">
        <v>132</v>
      </c>
      <c r="E2233" s="36">
        <f t="shared" si="173"/>
        <v>22677422.003168307</v>
      </c>
      <c r="F2233" s="36">
        <v>18567.05</v>
      </c>
      <c r="G2233" s="58">
        <v>0</v>
      </c>
      <c r="H2233" s="35">
        <f t="shared" si="174"/>
        <v>18567.05</v>
      </c>
      <c r="I2233" s="35">
        <f t="shared" si="171"/>
        <v>0</v>
      </c>
      <c r="J2233" s="35">
        <f t="shared" si="172"/>
        <v>1230.3690907589939</v>
      </c>
      <c r="K2233" s="45">
        <f t="shared" si="170"/>
        <v>22694758.68407755</v>
      </c>
    </row>
    <row r="2234" spans="2:11">
      <c r="B2234" s="43">
        <v>45629</v>
      </c>
      <c r="C2234" s="32" t="s">
        <v>29</v>
      </c>
      <c r="D2234" s="32" t="s">
        <v>132</v>
      </c>
      <c r="E2234" s="36">
        <f t="shared" si="173"/>
        <v>22694758.68407755</v>
      </c>
      <c r="F2234" s="36">
        <v>16898.8</v>
      </c>
      <c r="G2234" s="58">
        <v>0</v>
      </c>
      <c r="H2234" s="35">
        <f t="shared" si="174"/>
        <v>16898.8</v>
      </c>
      <c r="I2234" s="35">
        <f t="shared" si="171"/>
        <v>0</v>
      </c>
      <c r="J2234" s="35">
        <f t="shared" si="172"/>
        <v>1231.3096966322764</v>
      </c>
      <c r="K2234" s="45">
        <f t="shared" si="170"/>
        <v>22710426.174380917</v>
      </c>
    </row>
    <row r="2235" spans="2:11">
      <c r="B2235" s="43">
        <v>45629</v>
      </c>
      <c r="C2235" s="32" t="s">
        <v>25</v>
      </c>
      <c r="D2235" s="32" t="s">
        <v>132</v>
      </c>
      <c r="E2235" s="36">
        <f t="shared" si="173"/>
        <v>22710426.174380917</v>
      </c>
      <c r="F2235" s="36">
        <v>16916.189999999999</v>
      </c>
      <c r="G2235" s="58">
        <v>0</v>
      </c>
      <c r="H2235" s="35">
        <f t="shared" si="174"/>
        <v>16916.189999999999</v>
      </c>
      <c r="I2235" s="35">
        <f t="shared" si="171"/>
        <v>0</v>
      </c>
      <c r="J2235" s="35">
        <f t="shared" si="172"/>
        <v>1232.1597401599902</v>
      </c>
      <c r="K2235" s="45">
        <f t="shared" si="170"/>
        <v>22726110.204640757</v>
      </c>
    </row>
    <row r="2236" spans="2:11">
      <c r="B2236" s="43">
        <v>45629</v>
      </c>
      <c r="C2236" s="32" t="s">
        <v>27</v>
      </c>
      <c r="D2236" s="32" t="s">
        <v>134</v>
      </c>
      <c r="E2236" s="36">
        <f t="shared" si="173"/>
        <v>22726110.204640757</v>
      </c>
      <c r="F2236" s="36">
        <v>0</v>
      </c>
      <c r="G2236" s="58">
        <v>-10029.1</v>
      </c>
      <c r="H2236" s="35">
        <f t="shared" si="174"/>
        <v>-10029.1</v>
      </c>
      <c r="I2236" s="35">
        <f t="shared" si="171"/>
        <v>0</v>
      </c>
      <c r="J2236" s="35">
        <f t="shared" si="172"/>
        <v>1233.0106810670977</v>
      </c>
      <c r="K2236" s="45">
        <f t="shared" si="170"/>
        <v>22714848.093959689</v>
      </c>
    </row>
    <row r="2237" spans="2:11">
      <c r="B2237" s="43">
        <v>45629</v>
      </c>
      <c r="C2237" s="32" t="s">
        <v>27</v>
      </c>
      <c r="D2237" s="32" t="s">
        <v>134</v>
      </c>
      <c r="E2237" s="36">
        <f t="shared" si="173"/>
        <v>22714848.093959689</v>
      </c>
      <c r="F2237" s="36">
        <v>0</v>
      </c>
      <c r="G2237" s="58">
        <v>-8032</v>
      </c>
      <c r="H2237" s="35">
        <f t="shared" si="174"/>
        <v>-8032</v>
      </c>
      <c r="I2237" s="35">
        <f t="shared" si="171"/>
        <v>0</v>
      </c>
      <c r="J2237" s="35">
        <f t="shared" si="172"/>
        <v>1232.3996524908885</v>
      </c>
      <c r="K2237" s="45">
        <f t="shared" si="170"/>
        <v>22705583.694307197</v>
      </c>
    </row>
    <row r="2238" spans="2:11">
      <c r="B2238" s="43">
        <v>45629</v>
      </c>
      <c r="C2238" s="32" t="s">
        <v>25</v>
      </c>
      <c r="D2238" s="32" t="s">
        <v>134</v>
      </c>
      <c r="E2238" s="36">
        <f t="shared" si="173"/>
        <v>22705583.694307197</v>
      </c>
      <c r="F2238" s="36">
        <v>0</v>
      </c>
      <c r="G2238" s="58">
        <v>-7271</v>
      </c>
      <c r="H2238" s="35">
        <f t="shared" si="174"/>
        <v>-7271</v>
      </c>
      <c r="I2238" s="35">
        <f t="shared" si="171"/>
        <v>0</v>
      </c>
      <c r="J2238" s="35">
        <f t="shared" si="172"/>
        <v>1231.8970102163269</v>
      </c>
      <c r="K2238" s="45">
        <f t="shared" si="170"/>
        <v>22697080.797296982</v>
      </c>
    </row>
    <row r="2239" spans="2:11">
      <c r="B2239" s="43">
        <v>45629</v>
      </c>
      <c r="C2239" s="32" t="s">
        <v>29</v>
      </c>
      <c r="D2239" s="32" t="s">
        <v>134</v>
      </c>
      <c r="E2239" s="36">
        <f t="shared" si="173"/>
        <v>22697080.797296982</v>
      </c>
      <c r="F2239" s="36">
        <v>0</v>
      </c>
      <c r="G2239" s="58">
        <v>-13550</v>
      </c>
      <c r="H2239" s="35">
        <f t="shared" si="174"/>
        <v>-13550</v>
      </c>
      <c r="I2239" s="35">
        <f t="shared" si="171"/>
        <v>0</v>
      </c>
      <c r="J2239" s="35">
        <f t="shared" si="172"/>
        <v>1231.4356834543248</v>
      </c>
      <c r="K2239" s="45">
        <f t="shared" si="170"/>
        <v>22682299.361613527</v>
      </c>
    </row>
    <row r="2240" spans="2:11">
      <c r="B2240" s="43">
        <v>45629</v>
      </c>
      <c r="C2240" s="32" t="s">
        <v>25</v>
      </c>
      <c r="D2240" s="32" t="s">
        <v>134</v>
      </c>
      <c r="E2240" s="36">
        <f t="shared" si="173"/>
        <v>22682299.361613527</v>
      </c>
      <c r="F2240" s="36">
        <v>0</v>
      </c>
      <c r="G2240" s="58">
        <v>-9145</v>
      </c>
      <c r="H2240" s="35">
        <f t="shared" si="174"/>
        <v>-9145</v>
      </c>
      <c r="I2240" s="35">
        <f t="shared" si="171"/>
        <v>0</v>
      </c>
      <c r="J2240" s="35">
        <f t="shared" si="172"/>
        <v>1230.6337130372544</v>
      </c>
      <c r="K2240" s="45">
        <f t="shared" si="170"/>
        <v>22671923.72790049</v>
      </c>
    </row>
    <row r="2241" spans="2:11">
      <c r="B2241" s="43">
        <v>45630</v>
      </c>
      <c r="C2241" s="32" t="s">
        <v>27</v>
      </c>
      <c r="D2241" s="32" t="s">
        <v>132</v>
      </c>
      <c r="E2241" s="36">
        <f t="shared" si="173"/>
        <v>22671923.72790049</v>
      </c>
      <c r="F2241" s="36">
        <v>17272.52</v>
      </c>
      <c r="G2241" s="58">
        <v>0</v>
      </c>
      <c r="H2241" s="35">
        <f t="shared" si="174"/>
        <v>17272.52</v>
      </c>
      <c r="I2241" s="35">
        <f t="shared" si="171"/>
        <v>0</v>
      </c>
      <c r="J2241" s="35">
        <f t="shared" si="172"/>
        <v>2460.1415609725782</v>
      </c>
      <c r="K2241" s="45">
        <f t="shared" si="170"/>
        <v>22686736.106339518</v>
      </c>
    </row>
    <row r="2242" spans="2:11">
      <c r="B2242" s="43">
        <v>45630</v>
      </c>
      <c r="C2242" s="32" t="s">
        <v>29</v>
      </c>
      <c r="D2242" s="32" t="s">
        <v>134</v>
      </c>
      <c r="E2242" s="36">
        <f t="shared" si="173"/>
        <v>22686736.106339518</v>
      </c>
      <c r="F2242" s="36">
        <v>0</v>
      </c>
      <c r="G2242" s="58">
        <v>-3325.29</v>
      </c>
      <c r="H2242" s="35">
        <f t="shared" si="174"/>
        <v>-3325.29</v>
      </c>
      <c r="I2242" s="35">
        <f t="shared" si="171"/>
        <v>0</v>
      </c>
      <c r="J2242" s="35">
        <f t="shared" si="172"/>
        <v>1230.8744297101498</v>
      </c>
      <c r="K2242" s="45">
        <f t="shared" si="170"/>
        <v>22682179.941909809</v>
      </c>
    </row>
    <row r="2243" spans="2:11">
      <c r="B2243" s="43">
        <v>45630</v>
      </c>
      <c r="C2243" s="32" t="s">
        <v>25</v>
      </c>
      <c r="D2243" s="32" t="s">
        <v>134</v>
      </c>
      <c r="E2243" s="36">
        <f t="shared" si="173"/>
        <v>22682179.941909809</v>
      </c>
      <c r="F2243" s="36">
        <v>0</v>
      </c>
      <c r="G2243" s="58">
        <v>-2718.17</v>
      </c>
      <c r="H2243" s="35">
        <f t="shared" si="174"/>
        <v>-2718.17</v>
      </c>
      <c r="I2243" s="35">
        <f t="shared" si="171"/>
        <v>0</v>
      </c>
      <c r="J2243" s="35">
        <f t="shared" si="172"/>
        <v>1230.6272338919503</v>
      </c>
      <c r="K2243" s="45">
        <f t="shared" si="170"/>
        <v>22678231.144675914</v>
      </c>
    </row>
    <row r="2244" spans="2:11">
      <c r="B2244" s="43">
        <v>45630</v>
      </c>
      <c r="C2244" s="32" t="s">
        <v>25</v>
      </c>
      <c r="D2244" s="32" t="s">
        <v>134</v>
      </c>
      <c r="E2244" s="36">
        <f t="shared" si="173"/>
        <v>22678231.144675914</v>
      </c>
      <c r="F2244" s="36">
        <v>0</v>
      </c>
      <c r="G2244" s="58">
        <v>-7445</v>
      </c>
      <c r="H2244" s="35">
        <f t="shared" si="174"/>
        <v>-7445</v>
      </c>
      <c r="I2244" s="35">
        <f t="shared" si="171"/>
        <v>0</v>
      </c>
      <c r="J2244" s="35">
        <f t="shared" si="172"/>
        <v>1230.412990929872</v>
      </c>
      <c r="K2244" s="45">
        <f t="shared" si="170"/>
        <v>22669555.731684983</v>
      </c>
    </row>
    <row r="2245" spans="2:11">
      <c r="B2245" s="43">
        <v>45631</v>
      </c>
      <c r="C2245" s="32" t="s">
        <v>27</v>
      </c>
      <c r="D2245" s="32" t="s">
        <v>132</v>
      </c>
      <c r="E2245" s="36">
        <f t="shared" si="173"/>
        <v>22669555.731684983</v>
      </c>
      <c r="F2245" s="36">
        <v>14655.79</v>
      </c>
      <c r="G2245" s="58">
        <v>0</v>
      </c>
      <c r="H2245" s="35">
        <f t="shared" si="174"/>
        <v>14655.79</v>
      </c>
      <c r="I2245" s="35">
        <f t="shared" si="171"/>
        <v>0</v>
      </c>
      <c r="J2245" s="35">
        <f t="shared" si="172"/>
        <v>2459.8846085420782</v>
      </c>
      <c r="K2245" s="45">
        <f t="shared" si="170"/>
        <v>22681751.637076441</v>
      </c>
    </row>
    <row r="2246" spans="2:11">
      <c r="B2246" s="43">
        <v>45631</v>
      </c>
      <c r="C2246" s="32" t="s">
        <v>29</v>
      </c>
      <c r="D2246" s="32" t="s">
        <v>132</v>
      </c>
      <c r="E2246" s="36">
        <f t="shared" si="173"/>
        <v>22681751.637076441</v>
      </c>
      <c r="F2246" s="36">
        <v>15696.15</v>
      </c>
      <c r="G2246" s="58">
        <v>0</v>
      </c>
      <c r="H2246" s="35">
        <f t="shared" si="174"/>
        <v>15696.15</v>
      </c>
      <c r="I2246" s="35">
        <f t="shared" si="171"/>
        <v>0</v>
      </c>
      <c r="J2246" s="35">
        <f t="shared" si="172"/>
        <v>1230.6039961082054</v>
      </c>
      <c r="K2246" s="45">
        <f t="shared" si="170"/>
        <v>22696217.18308033</v>
      </c>
    </row>
    <row r="2247" spans="2:11">
      <c r="B2247" s="43">
        <v>45631</v>
      </c>
      <c r="C2247" s="32" t="s">
        <v>27</v>
      </c>
      <c r="D2247" s="32" t="s">
        <v>132</v>
      </c>
      <c r="E2247" s="36">
        <f t="shared" si="173"/>
        <v>22696217.18308033</v>
      </c>
      <c r="F2247" s="36">
        <v>18565.18</v>
      </c>
      <c r="G2247" s="58">
        <v>0</v>
      </c>
      <c r="H2247" s="35">
        <f t="shared" si="174"/>
        <v>18565.18</v>
      </c>
      <c r="I2247" s="35">
        <f t="shared" si="171"/>
        <v>0</v>
      </c>
      <c r="J2247" s="35">
        <f t="shared" si="172"/>
        <v>1231.3888278532622</v>
      </c>
      <c r="K2247" s="45">
        <f t="shared" si="170"/>
        <v>22713550.974252477</v>
      </c>
    </row>
    <row r="2248" spans="2:11">
      <c r="B2248" s="43">
        <v>45631</v>
      </c>
      <c r="C2248" s="32" t="s">
        <v>25</v>
      </c>
      <c r="D2248" s="32" t="s">
        <v>132</v>
      </c>
      <c r="E2248" s="36">
        <f t="shared" si="173"/>
        <v>22713550.974252477</v>
      </c>
      <c r="F2248" s="36">
        <v>14267.53</v>
      </c>
      <c r="G2248" s="58">
        <v>0</v>
      </c>
      <c r="H2248" s="35">
        <f t="shared" si="174"/>
        <v>14267.53</v>
      </c>
      <c r="I2248" s="35">
        <f t="shared" si="171"/>
        <v>0</v>
      </c>
      <c r="J2248" s="35">
        <f t="shared" si="172"/>
        <v>1232.32927694315</v>
      </c>
      <c r="K2248" s="45">
        <f t="shared" ref="K2248:K2311" si="175">E2248+H2248+I2248-J2248</f>
        <v>22726586.174975537</v>
      </c>
    </row>
    <row r="2249" spans="2:11">
      <c r="B2249" s="43">
        <v>45631</v>
      </c>
      <c r="C2249" s="32" t="s">
        <v>29</v>
      </c>
      <c r="D2249" s="32" t="s">
        <v>132</v>
      </c>
      <c r="E2249" s="36">
        <f t="shared" si="173"/>
        <v>22726586.174975537</v>
      </c>
      <c r="F2249" s="36">
        <v>14597.95</v>
      </c>
      <c r="G2249" s="58">
        <v>0</v>
      </c>
      <c r="H2249" s="35">
        <f t="shared" si="174"/>
        <v>14597.95</v>
      </c>
      <c r="I2249" s="35">
        <f t="shared" si="171"/>
        <v>0</v>
      </c>
      <c r="J2249" s="35">
        <f t="shared" si="172"/>
        <v>1233.0365049543082</v>
      </c>
      <c r="K2249" s="45">
        <f t="shared" si="175"/>
        <v>22739951.088470582</v>
      </c>
    </row>
    <row r="2250" spans="2:11">
      <c r="B2250" s="43">
        <v>45631</v>
      </c>
      <c r="C2250" s="32" t="s">
        <v>29</v>
      </c>
      <c r="D2250" s="32" t="s">
        <v>134</v>
      </c>
      <c r="E2250" s="36">
        <f t="shared" si="173"/>
        <v>22739951.088470582</v>
      </c>
      <c r="F2250" s="36">
        <v>0</v>
      </c>
      <c r="G2250" s="58">
        <v>-11342.77</v>
      </c>
      <c r="H2250" s="35">
        <f t="shared" si="174"/>
        <v>-11342.77</v>
      </c>
      <c r="I2250" s="35">
        <f t="shared" si="171"/>
        <v>0</v>
      </c>
      <c r="J2250" s="35">
        <f t="shared" si="172"/>
        <v>1233.7616216127481</v>
      </c>
      <c r="K2250" s="45">
        <f t="shared" si="175"/>
        <v>22727374.556848969</v>
      </c>
    </row>
    <row r="2251" spans="2:11">
      <c r="B2251" s="43">
        <v>45631</v>
      </c>
      <c r="C2251" s="32" t="s">
        <v>27</v>
      </c>
      <c r="D2251" s="32" t="s">
        <v>134</v>
      </c>
      <c r="E2251" s="36">
        <f t="shared" si="173"/>
        <v>22727374.556848969</v>
      </c>
      <c r="F2251" s="36">
        <v>0</v>
      </c>
      <c r="G2251" s="58">
        <v>-2223</v>
      </c>
      <c r="H2251" s="35">
        <f t="shared" si="174"/>
        <v>-2223</v>
      </c>
      <c r="I2251" s="35">
        <f t="shared" si="171"/>
        <v>0</v>
      </c>
      <c r="J2251" s="35">
        <f t="shared" si="172"/>
        <v>1233.079278806144</v>
      </c>
      <c r="K2251" s="45">
        <f t="shared" si="175"/>
        <v>22723918.477570165</v>
      </c>
    </row>
    <row r="2252" spans="2:11">
      <c r="B2252" s="43">
        <v>45631</v>
      </c>
      <c r="C2252" s="32" t="s">
        <v>25</v>
      </c>
      <c r="D2252" s="32" t="s">
        <v>134</v>
      </c>
      <c r="E2252" s="36">
        <f t="shared" si="173"/>
        <v>22723918.477570165</v>
      </c>
      <c r="F2252" s="36">
        <v>0</v>
      </c>
      <c r="G2252" s="58">
        <v>-2953</v>
      </c>
      <c r="H2252" s="35">
        <f t="shared" si="174"/>
        <v>-2953</v>
      </c>
      <c r="I2252" s="35">
        <f t="shared" si="171"/>
        <v>0</v>
      </c>
      <c r="J2252" s="35">
        <f t="shared" si="172"/>
        <v>1232.8917683775221</v>
      </c>
      <c r="K2252" s="45">
        <f t="shared" si="175"/>
        <v>22719732.585801788</v>
      </c>
    </row>
    <row r="2253" spans="2:11">
      <c r="B2253" s="43">
        <v>45632</v>
      </c>
      <c r="C2253" s="32" t="s">
        <v>25</v>
      </c>
      <c r="D2253" s="32" t="s">
        <v>132</v>
      </c>
      <c r="E2253" s="36">
        <f t="shared" si="173"/>
        <v>22719732.585801788</v>
      </c>
      <c r="F2253" s="36">
        <v>13764.37</v>
      </c>
      <c r="G2253" s="58">
        <v>0</v>
      </c>
      <c r="H2253" s="35">
        <f t="shared" si="174"/>
        <v>13764.37</v>
      </c>
      <c r="I2253" s="35">
        <f t="shared" si="171"/>
        <v>0</v>
      </c>
      <c r="J2253" s="35">
        <f t="shared" si="172"/>
        <v>2465.3293235866909</v>
      </c>
      <c r="K2253" s="45">
        <f t="shared" si="175"/>
        <v>22731031.626478203</v>
      </c>
    </row>
    <row r="2254" spans="2:11">
      <c r="B2254" s="43">
        <v>45632</v>
      </c>
      <c r="C2254" s="32" t="s">
        <v>29</v>
      </c>
      <c r="D2254" s="32" t="s">
        <v>132</v>
      </c>
      <c r="E2254" s="36">
        <f t="shared" si="173"/>
        <v>22731031.626478203</v>
      </c>
      <c r="F2254" s="36">
        <v>17994.03</v>
      </c>
      <c r="G2254" s="58">
        <v>0</v>
      </c>
      <c r="H2254" s="35">
        <f t="shared" si="174"/>
        <v>17994.03</v>
      </c>
      <c r="I2254" s="35">
        <f t="shared" si="171"/>
        <v>0</v>
      </c>
      <c r="J2254" s="35">
        <f t="shared" si="172"/>
        <v>1233.2776940155065</v>
      </c>
      <c r="K2254" s="45">
        <f t="shared" si="175"/>
        <v>22747792.378784187</v>
      </c>
    </row>
    <row r="2255" spans="2:11">
      <c r="B2255" s="43">
        <v>45632</v>
      </c>
      <c r="C2255" s="32" t="s">
        <v>25</v>
      </c>
      <c r="D2255" s="32" t="s">
        <v>132</v>
      </c>
      <c r="E2255" s="36">
        <f t="shared" si="173"/>
        <v>22747792.378784187</v>
      </c>
      <c r="F2255" s="36">
        <v>20017.72</v>
      </c>
      <c r="G2255" s="58">
        <v>0</v>
      </c>
      <c r="H2255" s="35">
        <f t="shared" si="174"/>
        <v>20017.72</v>
      </c>
      <c r="I2255" s="35">
        <f t="shared" si="171"/>
        <v>0</v>
      </c>
      <c r="J2255" s="35">
        <f t="shared" si="172"/>
        <v>1234.187052741215</v>
      </c>
      <c r="K2255" s="45">
        <f t="shared" si="175"/>
        <v>22766575.911731444</v>
      </c>
    </row>
    <row r="2256" spans="2:11">
      <c r="B2256" s="43">
        <v>45632</v>
      </c>
      <c r="C2256" s="32" t="s">
        <v>25</v>
      </c>
      <c r="D2256" s="32" t="s">
        <v>132</v>
      </c>
      <c r="E2256" s="36">
        <f t="shared" si="173"/>
        <v>22766575.911731444</v>
      </c>
      <c r="F2256" s="36">
        <v>14918.09</v>
      </c>
      <c r="G2256" s="58">
        <v>0</v>
      </c>
      <c r="H2256" s="35">
        <f t="shared" si="174"/>
        <v>14918.09</v>
      </c>
      <c r="I2256" s="35">
        <f t="shared" si="171"/>
        <v>0</v>
      </c>
      <c r="J2256" s="35">
        <f t="shared" si="172"/>
        <v>1235.2061579265544</v>
      </c>
      <c r="K2256" s="45">
        <f t="shared" si="175"/>
        <v>22780258.795573518</v>
      </c>
    </row>
    <row r="2257" spans="2:11">
      <c r="B2257" s="43">
        <v>45632</v>
      </c>
      <c r="C2257" s="32" t="s">
        <v>25</v>
      </c>
      <c r="D2257" s="32" t="s">
        <v>132</v>
      </c>
      <c r="E2257" s="36">
        <f t="shared" si="173"/>
        <v>22780258.795573518</v>
      </c>
      <c r="F2257" s="36">
        <v>14766.49</v>
      </c>
      <c r="G2257" s="58">
        <v>0</v>
      </c>
      <c r="H2257" s="35">
        <f t="shared" si="174"/>
        <v>14766.49</v>
      </c>
      <c r="I2257" s="35">
        <f t="shared" si="171"/>
        <v>0</v>
      </c>
      <c r="J2257" s="35">
        <f t="shared" si="172"/>
        <v>1235.9485261441314</v>
      </c>
      <c r="K2257" s="45">
        <f t="shared" si="175"/>
        <v>22793789.337047372</v>
      </c>
    </row>
    <row r="2258" spans="2:11">
      <c r="B2258" s="43">
        <v>45633</v>
      </c>
      <c r="C2258" s="32" t="s">
        <v>25</v>
      </c>
      <c r="D2258" s="32" t="s">
        <v>132</v>
      </c>
      <c r="E2258" s="36">
        <f t="shared" si="173"/>
        <v>22793789.337047372</v>
      </c>
      <c r="F2258" s="36">
        <v>19758.05</v>
      </c>
      <c r="G2258" s="58">
        <v>0</v>
      </c>
      <c r="H2258" s="35">
        <f t="shared" si="174"/>
        <v>19758.05</v>
      </c>
      <c r="I2258" s="35">
        <f t="shared" si="171"/>
        <v>0</v>
      </c>
      <c r="J2258" s="35">
        <f t="shared" si="172"/>
        <v>2473.3652579783393</v>
      </c>
      <c r="K2258" s="45">
        <f t="shared" si="175"/>
        <v>22811074.021789394</v>
      </c>
    </row>
    <row r="2259" spans="2:11">
      <c r="B2259" s="43">
        <v>45633</v>
      </c>
      <c r="C2259" s="32" t="s">
        <v>25</v>
      </c>
      <c r="D2259" s="32" t="s">
        <v>132</v>
      </c>
      <c r="E2259" s="36">
        <f t="shared" si="173"/>
        <v>22811074.021789394</v>
      </c>
      <c r="F2259" s="36">
        <v>16523.97</v>
      </c>
      <c r="G2259" s="58">
        <v>0</v>
      </c>
      <c r="H2259" s="35">
        <f t="shared" si="174"/>
        <v>16523.97</v>
      </c>
      <c r="I2259" s="35">
        <f t="shared" si="171"/>
        <v>0</v>
      </c>
      <c r="J2259" s="35">
        <f t="shared" si="172"/>
        <v>1237.6204137976513</v>
      </c>
      <c r="K2259" s="45">
        <f t="shared" si="175"/>
        <v>22826360.371375594</v>
      </c>
    </row>
    <row r="2260" spans="2:11">
      <c r="B2260" s="43">
        <v>45633</v>
      </c>
      <c r="C2260" s="32" t="s">
        <v>29</v>
      </c>
      <c r="D2260" s="32" t="s">
        <v>134</v>
      </c>
      <c r="E2260" s="36">
        <f t="shared" si="173"/>
        <v>22826360.371375594</v>
      </c>
      <c r="F2260" s="36">
        <v>0</v>
      </c>
      <c r="G2260" s="58">
        <v>-6656.86</v>
      </c>
      <c r="H2260" s="35">
        <f t="shared" si="174"/>
        <v>-6656.86</v>
      </c>
      <c r="I2260" s="35">
        <f t="shared" ref="I2260:I2323" si="176">(($E2260*Daily_Interest)*(_xlfn.DAYS(B2260,B2259)+1))+((IF(DAY($B2259)&gt;Monthly_Cut_off_Date,0,Daily_Interest*H2260))*(_xlfn.DAYS(B2260,B2259)+1))</f>
        <v>0</v>
      </c>
      <c r="J2260" s="35">
        <f t="shared" ref="J2260:J2323" si="177">(($I2260+E2260)*Daily_Fees_Rate)*((_xlfn.DAYS(B2260,B2259)+1))</f>
        <v>1238.4497784423086</v>
      </c>
      <c r="K2260" s="45">
        <f t="shared" si="175"/>
        <v>22818465.061597154</v>
      </c>
    </row>
    <row r="2261" spans="2:11">
      <c r="B2261" s="43">
        <v>45633</v>
      </c>
      <c r="C2261" s="32" t="s">
        <v>27</v>
      </c>
      <c r="D2261" s="32" t="s">
        <v>134</v>
      </c>
      <c r="E2261" s="36">
        <f t="shared" ref="E2261:E2324" si="178">K2260</f>
        <v>22818465.061597154</v>
      </c>
      <c r="F2261" s="36">
        <v>0</v>
      </c>
      <c r="G2261" s="58">
        <v>-18443</v>
      </c>
      <c r="H2261" s="35">
        <f t="shared" ref="H2261:H2324" si="179">SUM(F2261:G2261)</f>
        <v>-18443</v>
      </c>
      <c r="I2261" s="35">
        <f t="shared" si="176"/>
        <v>0</v>
      </c>
      <c r="J2261" s="35">
        <f t="shared" si="177"/>
        <v>1238.0214164745325</v>
      </c>
      <c r="K2261" s="45">
        <f t="shared" si="175"/>
        <v>22798784.040180679</v>
      </c>
    </row>
    <row r="2262" spans="2:11">
      <c r="B2262" s="43">
        <v>45633</v>
      </c>
      <c r="C2262" s="32" t="s">
        <v>27</v>
      </c>
      <c r="D2262" s="32" t="s">
        <v>134</v>
      </c>
      <c r="E2262" s="36">
        <f t="shared" si="178"/>
        <v>22798784.040180679</v>
      </c>
      <c r="F2262" s="36">
        <v>0</v>
      </c>
      <c r="G2262" s="58">
        <v>-16046</v>
      </c>
      <c r="H2262" s="35">
        <f t="shared" si="179"/>
        <v>-16046</v>
      </c>
      <c r="I2262" s="35">
        <f t="shared" si="176"/>
        <v>0</v>
      </c>
      <c r="J2262" s="35">
        <f t="shared" si="177"/>
        <v>1236.9536178322526</v>
      </c>
      <c r="K2262" s="45">
        <f t="shared" si="175"/>
        <v>22781501.086562846</v>
      </c>
    </row>
    <row r="2263" spans="2:11">
      <c r="B2263" s="43">
        <v>45634</v>
      </c>
      <c r="C2263" s="32" t="s">
        <v>29</v>
      </c>
      <c r="D2263" s="32" t="s">
        <v>132</v>
      </c>
      <c r="E2263" s="36">
        <f t="shared" si="178"/>
        <v>22781501.086562846</v>
      </c>
      <c r="F2263" s="36">
        <v>14358.03</v>
      </c>
      <c r="G2263" s="58">
        <v>0</v>
      </c>
      <c r="H2263" s="35">
        <f t="shared" si="179"/>
        <v>14358.03</v>
      </c>
      <c r="I2263" s="35">
        <f t="shared" si="176"/>
        <v>0</v>
      </c>
      <c r="J2263" s="35">
        <f t="shared" si="177"/>
        <v>2472.0318538926763</v>
      </c>
      <c r="K2263" s="45">
        <f t="shared" si="175"/>
        <v>22793387.084708955</v>
      </c>
    </row>
    <row r="2264" spans="2:11">
      <c r="B2264" s="43">
        <v>45634</v>
      </c>
      <c r="C2264" s="32" t="s">
        <v>29</v>
      </c>
      <c r="D2264" s="32" t="s">
        <v>132</v>
      </c>
      <c r="E2264" s="36">
        <f t="shared" si="178"/>
        <v>22793387.084708955</v>
      </c>
      <c r="F2264" s="36">
        <v>19642.52</v>
      </c>
      <c r="G2264" s="58">
        <v>0</v>
      </c>
      <c r="H2264" s="35">
        <f t="shared" si="179"/>
        <v>19642.52</v>
      </c>
      <c r="I2264" s="35">
        <f t="shared" si="176"/>
        <v>0</v>
      </c>
      <c r="J2264" s="35">
        <f t="shared" si="177"/>
        <v>1236.660804689926</v>
      </c>
      <c r="K2264" s="45">
        <f t="shared" si="175"/>
        <v>22811792.943904266</v>
      </c>
    </row>
    <row r="2265" spans="2:11">
      <c r="B2265" s="43">
        <v>45634</v>
      </c>
      <c r="C2265" s="32" t="s">
        <v>29</v>
      </c>
      <c r="D2265" s="32" t="s">
        <v>132</v>
      </c>
      <c r="E2265" s="36">
        <f t="shared" si="178"/>
        <v>22811792.943904266</v>
      </c>
      <c r="F2265" s="36">
        <v>12345.59</v>
      </c>
      <c r="G2265" s="58">
        <v>0</v>
      </c>
      <c r="H2265" s="35">
        <f t="shared" si="179"/>
        <v>12345.59</v>
      </c>
      <c r="I2265" s="35">
        <f t="shared" si="176"/>
        <v>0</v>
      </c>
      <c r="J2265" s="35">
        <f t="shared" si="177"/>
        <v>1237.6594190932567</v>
      </c>
      <c r="K2265" s="45">
        <f t="shared" si="175"/>
        <v>22822900.874485172</v>
      </c>
    </row>
    <row r="2266" spans="2:11">
      <c r="B2266" s="43">
        <v>45634</v>
      </c>
      <c r="C2266" s="32" t="s">
        <v>25</v>
      </c>
      <c r="D2266" s="32" t="s">
        <v>132</v>
      </c>
      <c r="E2266" s="36">
        <f t="shared" si="178"/>
        <v>22822900.874485172</v>
      </c>
      <c r="F2266" s="36">
        <v>13601.89</v>
      </c>
      <c r="G2266" s="58">
        <v>0</v>
      </c>
      <c r="H2266" s="35">
        <f t="shared" si="179"/>
        <v>13601.89</v>
      </c>
      <c r="I2266" s="35">
        <f t="shared" si="176"/>
        <v>0</v>
      </c>
      <c r="J2266" s="35">
        <f t="shared" si="177"/>
        <v>1238.2620825903305</v>
      </c>
      <c r="K2266" s="45">
        <f t="shared" si="175"/>
        <v>22835264.502402581</v>
      </c>
    </row>
    <row r="2267" spans="2:11">
      <c r="B2267" s="43">
        <v>45634</v>
      </c>
      <c r="C2267" s="32" t="s">
        <v>29</v>
      </c>
      <c r="D2267" s="32" t="s">
        <v>134</v>
      </c>
      <c r="E2267" s="36">
        <f t="shared" si="178"/>
        <v>22835264.502402581</v>
      </c>
      <c r="F2267" s="36">
        <v>0</v>
      </c>
      <c r="G2267" s="58">
        <v>-12314.72</v>
      </c>
      <c r="H2267" s="35">
        <f t="shared" si="179"/>
        <v>-12314.72</v>
      </c>
      <c r="I2267" s="35">
        <f t="shared" si="176"/>
        <v>0</v>
      </c>
      <c r="J2267" s="35">
        <f t="shared" si="177"/>
        <v>1238.9328742542637</v>
      </c>
      <c r="K2267" s="45">
        <f t="shared" si="175"/>
        <v>22821710.849528328</v>
      </c>
    </row>
    <row r="2268" spans="2:11">
      <c r="B2268" s="43">
        <v>45634</v>
      </c>
      <c r="C2268" s="32" t="s">
        <v>29</v>
      </c>
      <c r="D2268" s="32" t="s">
        <v>134</v>
      </c>
      <c r="E2268" s="36">
        <f t="shared" si="178"/>
        <v>22821710.849528328</v>
      </c>
      <c r="F2268" s="36">
        <v>0</v>
      </c>
      <c r="G2268" s="58">
        <v>-8240.92</v>
      </c>
      <c r="H2268" s="35">
        <f t="shared" si="179"/>
        <v>-8240.92</v>
      </c>
      <c r="I2268" s="35">
        <f t="shared" si="176"/>
        <v>0</v>
      </c>
      <c r="J2268" s="35">
        <f t="shared" si="177"/>
        <v>1238.1975174945303</v>
      </c>
      <c r="K2268" s="45">
        <f t="shared" si="175"/>
        <v>22812231.73201083</v>
      </c>
    </row>
    <row r="2269" spans="2:11">
      <c r="B2269" s="43">
        <v>45634</v>
      </c>
      <c r="C2269" s="32" t="s">
        <v>25</v>
      </c>
      <c r="D2269" s="32" t="s">
        <v>134</v>
      </c>
      <c r="E2269" s="36">
        <f t="shared" si="178"/>
        <v>22812231.73201083</v>
      </c>
      <c r="F2269" s="36">
        <v>0</v>
      </c>
      <c r="G2269" s="58">
        <v>-8041.41</v>
      </c>
      <c r="H2269" s="35">
        <f t="shared" si="179"/>
        <v>-8041.41</v>
      </c>
      <c r="I2269" s="35">
        <f t="shared" si="176"/>
        <v>0</v>
      </c>
      <c r="J2269" s="35">
        <f t="shared" si="177"/>
        <v>1237.6832256495591</v>
      </c>
      <c r="K2269" s="45">
        <f t="shared" si="175"/>
        <v>22802952.63878518</v>
      </c>
    </row>
    <row r="2270" spans="2:11">
      <c r="B2270" s="43">
        <v>45634</v>
      </c>
      <c r="C2270" s="32" t="s">
        <v>27</v>
      </c>
      <c r="D2270" s="32" t="s">
        <v>134</v>
      </c>
      <c r="E2270" s="36">
        <f t="shared" si="178"/>
        <v>22802952.63878518</v>
      </c>
      <c r="F2270" s="36">
        <v>0</v>
      </c>
      <c r="G2270" s="58">
        <v>-13091</v>
      </c>
      <c r="H2270" s="35">
        <f t="shared" si="179"/>
        <v>-13091</v>
      </c>
      <c r="I2270" s="35">
        <f t="shared" si="176"/>
        <v>0</v>
      </c>
      <c r="J2270" s="35">
        <f t="shared" si="177"/>
        <v>1237.1797861715831</v>
      </c>
      <c r="K2270" s="45">
        <f t="shared" si="175"/>
        <v>22788624.458999008</v>
      </c>
    </row>
    <row r="2271" spans="2:11">
      <c r="B2271" s="43">
        <v>45634</v>
      </c>
      <c r="C2271" s="32" t="s">
        <v>27</v>
      </c>
      <c r="D2271" s="32" t="s">
        <v>134</v>
      </c>
      <c r="E2271" s="36">
        <f t="shared" si="178"/>
        <v>22788624.458999008</v>
      </c>
      <c r="F2271" s="36">
        <v>0</v>
      </c>
      <c r="G2271" s="58">
        <v>-4433</v>
      </c>
      <c r="H2271" s="35">
        <f t="shared" si="179"/>
        <v>-4433</v>
      </c>
      <c r="I2271" s="35">
        <f t="shared" si="176"/>
        <v>0</v>
      </c>
      <c r="J2271" s="35">
        <f t="shared" si="177"/>
        <v>1236.4024072643476</v>
      </c>
      <c r="K2271" s="45">
        <f t="shared" si="175"/>
        <v>22782955.056591742</v>
      </c>
    </row>
    <row r="2272" spans="2:11">
      <c r="B2272" s="43">
        <v>45634</v>
      </c>
      <c r="C2272" s="32" t="s">
        <v>27</v>
      </c>
      <c r="D2272" s="32" t="s">
        <v>134</v>
      </c>
      <c r="E2272" s="36">
        <f t="shared" si="178"/>
        <v>22782955.056591742</v>
      </c>
      <c r="F2272" s="36">
        <v>0</v>
      </c>
      <c r="G2272" s="58">
        <v>-8387</v>
      </c>
      <c r="H2272" s="35">
        <f t="shared" si="179"/>
        <v>-8387</v>
      </c>
      <c r="I2272" s="35">
        <f t="shared" si="176"/>
        <v>0</v>
      </c>
      <c r="J2272" s="35">
        <f t="shared" si="177"/>
        <v>1236.0948124467357</v>
      </c>
      <c r="K2272" s="45">
        <f t="shared" si="175"/>
        <v>22773331.961779296</v>
      </c>
    </row>
    <row r="2273" spans="2:11">
      <c r="B2273" s="43">
        <v>45635</v>
      </c>
      <c r="C2273" s="32" t="s">
        <v>25</v>
      </c>
      <c r="D2273" s="32" t="s">
        <v>132</v>
      </c>
      <c r="E2273" s="36">
        <f t="shared" si="178"/>
        <v>22773331.961779296</v>
      </c>
      <c r="F2273" s="36">
        <v>16419.71</v>
      </c>
      <c r="G2273" s="58">
        <v>0</v>
      </c>
      <c r="H2273" s="35">
        <f t="shared" si="179"/>
        <v>16419.71</v>
      </c>
      <c r="I2273" s="35">
        <f t="shared" si="176"/>
        <v>0</v>
      </c>
      <c r="J2273" s="35">
        <f t="shared" si="177"/>
        <v>2471.1454181566542</v>
      </c>
      <c r="K2273" s="45">
        <f t="shared" si="175"/>
        <v>22787280.526361141</v>
      </c>
    </row>
    <row r="2274" spans="2:11">
      <c r="B2274" s="43">
        <v>45635</v>
      </c>
      <c r="C2274" s="32" t="s">
        <v>27</v>
      </c>
      <c r="D2274" s="32" t="s">
        <v>132</v>
      </c>
      <c r="E2274" s="36">
        <f t="shared" si="178"/>
        <v>22787280.526361141</v>
      </c>
      <c r="F2274" s="36">
        <v>17270.97</v>
      </c>
      <c r="G2274" s="58">
        <v>0</v>
      </c>
      <c r="H2274" s="35">
        <f t="shared" si="179"/>
        <v>17270.97</v>
      </c>
      <c r="I2274" s="35">
        <f t="shared" si="176"/>
        <v>0</v>
      </c>
      <c r="J2274" s="35">
        <f t="shared" si="177"/>
        <v>1236.3294918695792</v>
      </c>
      <c r="K2274" s="45">
        <f t="shared" si="175"/>
        <v>22803315.166869272</v>
      </c>
    </row>
    <row r="2275" spans="2:11">
      <c r="B2275" s="43">
        <v>45635</v>
      </c>
      <c r="C2275" s="32" t="s">
        <v>27</v>
      </c>
      <c r="D2275" s="32" t="s">
        <v>132</v>
      </c>
      <c r="E2275" s="36">
        <f t="shared" si="178"/>
        <v>22803315.166869272</v>
      </c>
      <c r="F2275" s="36">
        <v>14950.73</v>
      </c>
      <c r="G2275" s="58">
        <v>0</v>
      </c>
      <c r="H2275" s="35">
        <f t="shared" si="179"/>
        <v>14950.73</v>
      </c>
      <c r="I2275" s="35">
        <f t="shared" si="176"/>
        <v>0</v>
      </c>
      <c r="J2275" s="35">
        <f t="shared" si="177"/>
        <v>1237.199455221669</v>
      </c>
      <c r="K2275" s="45">
        <f t="shared" si="175"/>
        <v>22817028.697414052</v>
      </c>
    </row>
    <row r="2276" spans="2:11">
      <c r="B2276" s="43">
        <v>45635</v>
      </c>
      <c r="C2276" s="32" t="s">
        <v>29</v>
      </c>
      <c r="D2276" s="32" t="s">
        <v>132</v>
      </c>
      <c r="E2276" s="36">
        <f t="shared" si="178"/>
        <v>22817028.697414052</v>
      </c>
      <c r="F2276" s="36">
        <v>17197.919999999998</v>
      </c>
      <c r="G2276" s="58">
        <v>0</v>
      </c>
      <c r="H2276" s="35">
        <f t="shared" si="179"/>
        <v>17197.919999999998</v>
      </c>
      <c r="I2276" s="35">
        <f t="shared" si="176"/>
        <v>0</v>
      </c>
      <c r="J2276" s="35">
        <f t="shared" si="177"/>
        <v>1237.9434861836153</v>
      </c>
      <c r="K2276" s="45">
        <f t="shared" si="175"/>
        <v>22832988.67392787</v>
      </c>
    </row>
    <row r="2277" spans="2:11">
      <c r="B2277" s="43">
        <v>45635</v>
      </c>
      <c r="C2277" s="32" t="s">
        <v>29</v>
      </c>
      <c r="D2277" s="32" t="s">
        <v>132</v>
      </c>
      <c r="E2277" s="36">
        <f t="shared" si="178"/>
        <v>22832988.67392787</v>
      </c>
      <c r="F2277" s="36">
        <v>15539.68</v>
      </c>
      <c r="G2277" s="58">
        <v>0</v>
      </c>
      <c r="H2277" s="35">
        <f t="shared" si="179"/>
        <v>15539.68</v>
      </c>
      <c r="I2277" s="35">
        <f t="shared" si="176"/>
        <v>0</v>
      </c>
      <c r="J2277" s="35">
        <f t="shared" si="177"/>
        <v>1238.809398622388</v>
      </c>
      <c r="K2277" s="45">
        <f t="shared" si="175"/>
        <v>22847289.544529248</v>
      </c>
    </row>
    <row r="2278" spans="2:11">
      <c r="B2278" s="43">
        <v>45635</v>
      </c>
      <c r="C2278" s="32" t="s">
        <v>25</v>
      </c>
      <c r="D2278" s="32" t="s">
        <v>132</v>
      </c>
      <c r="E2278" s="36">
        <f t="shared" si="178"/>
        <v>22847289.544529248</v>
      </c>
      <c r="F2278" s="36">
        <v>15529.32</v>
      </c>
      <c r="G2278" s="58">
        <v>0</v>
      </c>
      <c r="H2278" s="35">
        <f t="shared" si="179"/>
        <v>15529.32</v>
      </c>
      <c r="I2278" s="35">
        <f t="shared" si="176"/>
        <v>0</v>
      </c>
      <c r="J2278" s="35">
        <f t="shared" si="177"/>
        <v>1239.5852958631071</v>
      </c>
      <c r="K2278" s="45">
        <f t="shared" si="175"/>
        <v>22861579.279233385</v>
      </c>
    </row>
    <row r="2279" spans="2:11">
      <c r="B2279" s="43">
        <v>45635</v>
      </c>
      <c r="C2279" s="32" t="s">
        <v>25</v>
      </c>
      <c r="D2279" s="32" t="s">
        <v>134</v>
      </c>
      <c r="E2279" s="36">
        <f t="shared" si="178"/>
        <v>22861579.279233385</v>
      </c>
      <c r="F2279" s="36">
        <v>0</v>
      </c>
      <c r="G2279" s="58">
        <v>-16516</v>
      </c>
      <c r="H2279" s="35">
        <f t="shared" si="179"/>
        <v>-16516</v>
      </c>
      <c r="I2279" s="35">
        <f t="shared" si="176"/>
        <v>0</v>
      </c>
      <c r="J2279" s="35">
        <f t="shared" si="177"/>
        <v>1240.3605889229909</v>
      </c>
      <c r="K2279" s="45">
        <f t="shared" si="175"/>
        <v>22843822.918644462</v>
      </c>
    </row>
    <row r="2280" spans="2:11">
      <c r="B2280" s="43">
        <v>45635</v>
      </c>
      <c r="C2280" s="32" t="s">
        <v>27</v>
      </c>
      <c r="D2280" s="32" t="s">
        <v>134</v>
      </c>
      <c r="E2280" s="36">
        <f t="shared" si="178"/>
        <v>22843822.918644462</v>
      </c>
      <c r="F2280" s="36">
        <v>0</v>
      </c>
      <c r="G2280" s="58">
        <v>-19670</v>
      </c>
      <c r="H2280" s="35">
        <f t="shared" si="179"/>
        <v>-19670</v>
      </c>
      <c r="I2280" s="35">
        <f t="shared" si="176"/>
        <v>0</v>
      </c>
      <c r="J2280" s="35">
        <f t="shared" si="177"/>
        <v>1239.3972132257918</v>
      </c>
      <c r="K2280" s="45">
        <f t="shared" si="175"/>
        <v>22822913.521431237</v>
      </c>
    </row>
    <row r="2281" spans="2:11">
      <c r="B2281" s="43">
        <v>45635</v>
      </c>
      <c r="C2281" s="32" t="s">
        <v>29</v>
      </c>
      <c r="D2281" s="32" t="s">
        <v>134</v>
      </c>
      <c r="E2281" s="36">
        <f t="shared" si="178"/>
        <v>22822913.521431237</v>
      </c>
      <c r="F2281" s="36">
        <v>0</v>
      </c>
      <c r="G2281" s="58">
        <v>-4150</v>
      </c>
      <c r="H2281" s="35">
        <f t="shared" si="179"/>
        <v>-4150</v>
      </c>
      <c r="I2281" s="35">
        <f t="shared" si="176"/>
        <v>0</v>
      </c>
      <c r="J2281" s="35">
        <f t="shared" si="177"/>
        <v>1238.2627687534898</v>
      </c>
      <c r="K2281" s="45">
        <f t="shared" si="175"/>
        <v>22817525.258662485</v>
      </c>
    </row>
    <row r="2282" spans="2:11">
      <c r="B2282" s="43">
        <v>45635</v>
      </c>
      <c r="C2282" s="32" t="s">
        <v>27</v>
      </c>
      <c r="D2282" s="32" t="s">
        <v>134</v>
      </c>
      <c r="E2282" s="36">
        <f t="shared" si="178"/>
        <v>22817525.258662485</v>
      </c>
      <c r="F2282" s="36">
        <v>0</v>
      </c>
      <c r="G2282" s="58">
        <v>-15871</v>
      </c>
      <c r="H2282" s="35">
        <f t="shared" si="179"/>
        <v>-15871</v>
      </c>
      <c r="I2282" s="35">
        <f t="shared" si="176"/>
        <v>0</v>
      </c>
      <c r="J2282" s="35">
        <f t="shared" si="177"/>
        <v>1237.9704272358942</v>
      </c>
      <c r="K2282" s="45">
        <f t="shared" si="175"/>
        <v>22800416.288235247</v>
      </c>
    </row>
    <row r="2283" spans="2:11">
      <c r="B2283" s="43">
        <v>45635</v>
      </c>
      <c r="C2283" s="32" t="s">
        <v>29</v>
      </c>
      <c r="D2283" s="32" t="s">
        <v>134</v>
      </c>
      <c r="E2283" s="36">
        <f t="shared" si="178"/>
        <v>22800416.288235247</v>
      </c>
      <c r="F2283" s="36">
        <v>0</v>
      </c>
      <c r="G2283" s="58">
        <v>-14509</v>
      </c>
      <c r="H2283" s="35">
        <f t="shared" si="179"/>
        <v>-14509</v>
      </c>
      <c r="I2283" s="35">
        <f t="shared" si="176"/>
        <v>0</v>
      </c>
      <c r="J2283" s="35">
        <f t="shared" si="177"/>
        <v>1237.0421758506425</v>
      </c>
      <c r="K2283" s="45">
        <f t="shared" si="175"/>
        <v>22784670.246059395</v>
      </c>
    </row>
    <row r="2284" spans="2:11">
      <c r="B2284" s="43">
        <v>45635</v>
      </c>
      <c r="C2284" s="32" t="s">
        <v>29</v>
      </c>
      <c r="D2284" s="32" t="s">
        <v>134</v>
      </c>
      <c r="E2284" s="36">
        <f t="shared" si="178"/>
        <v>22784670.246059395</v>
      </c>
      <c r="F2284" s="36">
        <v>0</v>
      </c>
      <c r="G2284" s="58">
        <v>-11429</v>
      </c>
      <c r="H2284" s="35">
        <f t="shared" si="179"/>
        <v>-11429</v>
      </c>
      <c r="I2284" s="35">
        <f t="shared" si="176"/>
        <v>0</v>
      </c>
      <c r="J2284" s="35">
        <f t="shared" si="177"/>
        <v>1236.1878704718279</v>
      </c>
      <c r="K2284" s="45">
        <f t="shared" si="175"/>
        <v>22772005.058188923</v>
      </c>
    </row>
    <row r="2285" spans="2:11">
      <c r="B2285" s="43">
        <v>45635</v>
      </c>
      <c r="C2285" s="32" t="s">
        <v>25</v>
      </c>
      <c r="D2285" s="32" t="s">
        <v>134</v>
      </c>
      <c r="E2285" s="36">
        <f t="shared" si="178"/>
        <v>22772005.058188923</v>
      </c>
      <c r="F2285" s="36">
        <v>0</v>
      </c>
      <c r="G2285" s="58">
        <v>-9554</v>
      </c>
      <c r="H2285" s="35">
        <f t="shared" si="179"/>
        <v>-9554</v>
      </c>
      <c r="I2285" s="35">
        <f t="shared" si="176"/>
        <v>0</v>
      </c>
      <c r="J2285" s="35">
        <f t="shared" si="177"/>
        <v>1235.5007175987055</v>
      </c>
      <c r="K2285" s="45">
        <f t="shared" si="175"/>
        <v>22761215.557471324</v>
      </c>
    </row>
    <row r="2286" spans="2:11">
      <c r="B2286" s="43">
        <v>45635</v>
      </c>
      <c r="C2286" s="32" t="s">
        <v>25</v>
      </c>
      <c r="D2286" s="32" t="s">
        <v>134</v>
      </c>
      <c r="E2286" s="36">
        <f t="shared" si="178"/>
        <v>22761215.557471324</v>
      </c>
      <c r="F2286" s="36">
        <v>0</v>
      </c>
      <c r="G2286" s="58">
        <v>-14807</v>
      </c>
      <c r="H2286" s="35">
        <f t="shared" si="179"/>
        <v>-14807</v>
      </c>
      <c r="I2286" s="35">
        <f t="shared" si="176"/>
        <v>0</v>
      </c>
      <c r="J2286" s="35">
        <f t="shared" si="177"/>
        <v>1234.9153305919372</v>
      </c>
      <c r="K2286" s="45">
        <f t="shared" si="175"/>
        <v>22745173.642140731</v>
      </c>
    </row>
    <row r="2287" spans="2:11">
      <c r="B2287" s="43">
        <v>45636</v>
      </c>
      <c r="C2287" s="32" t="s">
        <v>25</v>
      </c>
      <c r="D2287" s="32" t="s">
        <v>132</v>
      </c>
      <c r="E2287" s="36">
        <f t="shared" si="178"/>
        <v>22745173.642140731</v>
      </c>
      <c r="F2287" s="36">
        <v>20646.07</v>
      </c>
      <c r="G2287" s="58">
        <v>0</v>
      </c>
      <c r="H2287" s="35">
        <f t="shared" si="179"/>
        <v>20646.07</v>
      </c>
      <c r="I2287" s="35">
        <f t="shared" si="176"/>
        <v>0</v>
      </c>
      <c r="J2287" s="35">
        <f t="shared" si="177"/>
        <v>2468.0899450851416</v>
      </c>
      <c r="K2287" s="45">
        <f t="shared" si="175"/>
        <v>22763351.622195646</v>
      </c>
    </row>
    <row r="2288" spans="2:11">
      <c r="B2288" s="43">
        <v>45636</v>
      </c>
      <c r="C2288" s="32" t="s">
        <v>29</v>
      </c>
      <c r="D2288" s="32" t="s">
        <v>132</v>
      </c>
      <c r="E2288" s="36">
        <f t="shared" si="178"/>
        <v>22763351.622195646</v>
      </c>
      <c r="F2288" s="36">
        <v>17229.79</v>
      </c>
      <c r="G2288" s="58">
        <v>0</v>
      </c>
      <c r="H2288" s="35">
        <f t="shared" si="179"/>
        <v>17229.79</v>
      </c>
      <c r="I2288" s="35">
        <f t="shared" si="176"/>
        <v>0</v>
      </c>
      <c r="J2288" s="35">
        <f t="shared" si="177"/>
        <v>1235.0312233072686</v>
      </c>
      <c r="K2288" s="45">
        <f t="shared" si="175"/>
        <v>22779346.380972337</v>
      </c>
    </row>
    <row r="2289" spans="2:11">
      <c r="B2289" s="43">
        <v>45636</v>
      </c>
      <c r="C2289" s="32" t="s">
        <v>27</v>
      </c>
      <c r="D2289" s="32" t="s">
        <v>132</v>
      </c>
      <c r="E2289" s="36">
        <f t="shared" si="178"/>
        <v>22779346.380972337</v>
      </c>
      <c r="F2289" s="36">
        <v>10545.31</v>
      </c>
      <c r="G2289" s="58">
        <v>0</v>
      </c>
      <c r="H2289" s="35">
        <f t="shared" si="179"/>
        <v>10545.31</v>
      </c>
      <c r="I2289" s="35">
        <f t="shared" si="176"/>
        <v>0</v>
      </c>
      <c r="J2289" s="35">
        <f t="shared" si="177"/>
        <v>1235.8990228662415</v>
      </c>
      <c r="K2289" s="45">
        <f t="shared" si="175"/>
        <v>22788655.79194947</v>
      </c>
    </row>
    <row r="2290" spans="2:11">
      <c r="B2290" s="43">
        <v>45636</v>
      </c>
      <c r="C2290" s="32" t="s">
        <v>27</v>
      </c>
      <c r="D2290" s="32" t="s">
        <v>134</v>
      </c>
      <c r="E2290" s="36">
        <f t="shared" si="178"/>
        <v>22788655.79194947</v>
      </c>
      <c r="F2290" s="36">
        <v>0</v>
      </c>
      <c r="G2290" s="58">
        <v>-14623</v>
      </c>
      <c r="H2290" s="35">
        <f t="shared" si="179"/>
        <v>-14623</v>
      </c>
      <c r="I2290" s="35">
        <f t="shared" si="176"/>
        <v>0</v>
      </c>
      <c r="J2290" s="35">
        <f t="shared" si="177"/>
        <v>1236.404107241257</v>
      </c>
      <c r="K2290" s="45">
        <f t="shared" si="175"/>
        <v>22772796.387842227</v>
      </c>
    </row>
    <row r="2291" spans="2:11">
      <c r="B2291" s="43">
        <v>45636</v>
      </c>
      <c r="C2291" s="32" t="s">
        <v>27</v>
      </c>
      <c r="D2291" s="32" t="s">
        <v>134</v>
      </c>
      <c r="E2291" s="36">
        <f t="shared" si="178"/>
        <v>22772796.387842227</v>
      </c>
      <c r="F2291" s="36">
        <v>0</v>
      </c>
      <c r="G2291" s="58">
        <v>-13132</v>
      </c>
      <c r="H2291" s="35">
        <f t="shared" si="179"/>
        <v>-13132</v>
      </c>
      <c r="I2291" s="35">
        <f t="shared" si="176"/>
        <v>0</v>
      </c>
      <c r="J2291" s="35">
        <f t="shared" si="177"/>
        <v>1235.5436513830612</v>
      </c>
      <c r="K2291" s="45">
        <f t="shared" si="175"/>
        <v>22758428.844190843</v>
      </c>
    </row>
    <row r="2292" spans="2:11">
      <c r="B2292" s="43">
        <v>45636</v>
      </c>
      <c r="C2292" s="32" t="s">
        <v>27</v>
      </c>
      <c r="D2292" s="32" t="s">
        <v>134</v>
      </c>
      <c r="E2292" s="36">
        <f t="shared" si="178"/>
        <v>22758428.844190843</v>
      </c>
      <c r="F2292" s="36">
        <v>0</v>
      </c>
      <c r="G2292" s="58">
        <v>-20929</v>
      </c>
      <c r="H2292" s="35">
        <f t="shared" si="179"/>
        <v>-20929</v>
      </c>
      <c r="I2292" s="35">
        <f t="shared" si="176"/>
        <v>0</v>
      </c>
      <c r="J2292" s="35">
        <f t="shared" si="177"/>
        <v>1234.7641367796673</v>
      </c>
      <c r="K2292" s="45">
        <f t="shared" si="175"/>
        <v>22736265.080054063</v>
      </c>
    </row>
    <row r="2293" spans="2:11">
      <c r="B2293" s="43">
        <v>45637</v>
      </c>
      <c r="C2293" s="32" t="s">
        <v>27</v>
      </c>
      <c r="D2293" s="32" t="s">
        <v>132</v>
      </c>
      <c r="E2293" s="36">
        <f t="shared" si="178"/>
        <v>22736265.080054063</v>
      </c>
      <c r="F2293" s="36">
        <v>12681.52</v>
      </c>
      <c r="G2293" s="58">
        <v>0</v>
      </c>
      <c r="H2293" s="35">
        <f t="shared" si="179"/>
        <v>12681.52</v>
      </c>
      <c r="I2293" s="35">
        <f t="shared" si="176"/>
        <v>0</v>
      </c>
      <c r="J2293" s="35">
        <f t="shared" si="177"/>
        <v>2467.1232726447724</v>
      </c>
      <c r="K2293" s="45">
        <f t="shared" si="175"/>
        <v>22746479.476781417</v>
      </c>
    </row>
    <row r="2294" spans="2:11">
      <c r="B2294" s="43">
        <v>45637</v>
      </c>
      <c r="C2294" s="32" t="s">
        <v>29</v>
      </c>
      <c r="D2294" s="32" t="s">
        <v>132</v>
      </c>
      <c r="E2294" s="36">
        <f t="shared" si="178"/>
        <v>22746479.476781417</v>
      </c>
      <c r="F2294" s="36">
        <v>20264.38</v>
      </c>
      <c r="G2294" s="58">
        <v>0</v>
      </c>
      <c r="H2294" s="35">
        <f t="shared" si="179"/>
        <v>20264.38</v>
      </c>
      <c r="I2294" s="35">
        <f t="shared" si="176"/>
        <v>0</v>
      </c>
      <c r="J2294" s="35">
        <f t="shared" si="177"/>
        <v>1234.1158209211617</v>
      </c>
      <c r="K2294" s="45">
        <f t="shared" si="175"/>
        <v>22765509.740960494</v>
      </c>
    </row>
    <row r="2295" spans="2:11">
      <c r="B2295" s="43">
        <v>45637</v>
      </c>
      <c r="C2295" s="32" t="s">
        <v>27</v>
      </c>
      <c r="D2295" s="32" t="s">
        <v>132</v>
      </c>
      <c r="E2295" s="36">
        <f t="shared" si="178"/>
        <v>22765509.740960494</v>
      </c>
      <c r="F2295" s="36">
        <v>10993.97</v>
      </c>
      <c r="G2295" s="58">
        <v>0</v>
      </c>
      <c r="H2295" s="35">
        <f t="shared" si="179"/>
        <v>10993.97</v>
      </c>
      <c r="I2295" s="35">
        <f t="shared" si="176"/>
        <v>0</v>
      </c>
      <c r="J2295" s="35">
        <f t="shared" si="177"/>
        <v>1235.148312569976</v>
      </c>
      <c r="K2295" s="45">
        <f t="shared" si="175"/>
        <v>22775268.562647924</v>
      </c>
    </row>
    <row r="2296" spans="2:11">
      <c r="B2296" s="43">
        <v>45637</v>
      </c>
      <c r="C2296" s="32" t="s">
        <v>27</v>
      </c>
      <c r="D2296" s="32" t="s">
        <v>132</v>
      </c>
      <c r="E2296" s="36">
        <f t="shared" si="178"/>
        <v>22775268.562647924</v>
      </c>
      <c r="F2296" s="36">
        <v>14076.67</v>
      </c>
      <c r="G2296" s="58">
        <v>0</v>
      </c>
      <c r="H2296" s="35">
        <f t="shared" si="179"/>
        <v>14076.67</v>
      </c>
      <c r="I2296" s="35">
        <f t="shared" si="176"/>
        <v>0</v>
      </c>
      <c r="J2296" s="35">
        <f t="shared" si="177"/>
        <v>1235.6777798332641</v>
      </c>
      <c r="K2296" s="45">
        <f t="shared" si="175"/>
        <v>22788109.554868091</v>
      </c>
    </row>
    <row r="2297" spans="2:11">
      <c r="B2297" s="43">
        <v>45637</v>
      </c>
      <c r="C2297" s="32" t="s">
        <v>27</v>
      </c>
      <c r="D2297" s="32" t="s">
        <v>132</v>
      </c>
      <c r="E2297" s="36">
        <f t="shared" si="178"/>
        <v>22788109.554868091</v>
      </c>
      <c r="F2297" s="36">
        <v>18585.14</v>
      </c>
      <c r="G2297" s="58">
        <v>0</v>
      </c>
      <c r="H2297" s="35">
        <f t="shared" si="179"/>
        <v>18585.14</v>
      </c>
      <c r="I2297" s="35">
        <f t="shared" si="176"/>
        <v>0</v>
      </c>
      <c r="J2297" s="35">
        <f t="shared" si="177"/>
        <v>1236.3744710144822</v>
      </c>
      <c r="K2297" s="45">
        <f t="shared" si="175"/>
        <v>22805458.320397075</v>
      </c>
    </row>
    <row r="2298" spans="2:11">
      <c r="B2298" s="43">
        <v>45637</v>
      </c>
      <c r="C2298" s="32" t="s">
        <v>29</v>
      </c>
      <c r="D2298" s="32" t="s">
        <v>132</v>
      </c>
      <c r="E2298" s="36">
        <f t="shared" si="178"/>
        <v>22805458.320397075</v>
      </c>
      <c r="F2298" s="36">
        <v>15360.09</v>
      </c>
      <c r="G2298" s="58">
        <v>0</v>
      </c>
      <c r="H2298" s="35">
        <f t="shared" si="179"/>
        <v>15360.09</v>
      </c>
      <c r="I2298" s="35">
        <f t="shared" si="176"/>
        <v>0</v>
      </c>
      <c r="J2298" s="35">
        <f t="shared" si="177"/>
        <v>1237.3157325417715</v>
      </c>
      <c r="K2298" s="45">
        <f t="shared" si="175"/>
        <v>22819581.094664533</v>
      </c>
    </row>
    <row r="2299" spans="2:11">
      <c r="B2299" s="43">
        <v>45637</v>
      </c>
      <c r="C2299" s="32" t="s">
        <v>29</v>
      </c>
      <c r="D2299" s="32" t="s">
        <v>134</v>
      </c>
      <c r="E2299" s="36">
        <f t="shared" si="178"/>
        <v>22819581.094664533</v>
      </c>
      <c r="F2299" s="36">
        <v>0</v>
      </c>
      <c r="G2299" s="58">
        <v>-10594.84</v>
      </c>
      <c r="H2299" s="35">
        <f t="shared" si="179"/>
        <v>-10594.84</v>
      </c>
      <c r="I2299" s="35">
        <f t="shared" si="176"/>
        <v>0</v>
      </c>
      <c r="J2299" s="35">
        <f t="shared" si="177"/>
        <v>1238.0819671222287</v>
      </c>
      <c r="K2299" s="45">
        <f t="shared" si="175"/>
        <v>22807748.17269741</v>
      </c>
    </row>
    <row r="2300" spans="2:11">
      <c r="B2300" s="43">
        <v>45637</v>
      </c>
      <c r="C2300" s="32" t="s">
        <v>25</v>
      </c>
      <c r="D2300" s="32" t="s">
        <v>134</v>
      </c>
      <c r="E2300" s="36">
        <f t="shared" si="178"/>
        <v>22807748.17269741</v>
      </c>
      <c r="F2300" s="36">
        <v>0</v>
      </c>
      <c r="G2300" s="58">
        <v>-9017.68</v>
      </c>
      <c r="H2300" s="35">
        <f t="shared" si="179"/>
        <v>-9017.68</v>
      </c>
      <c r="I2300" s="35">
        <f t="shared" si="176"/>
        <v>0</v>
      </c>
      <c r="J2300" s="35">
        <f t="shared" si="177"/>
        <v>1237.4399690397447</v>
      </c>
      <c r="K2300" s="45">
        <f t="shared" si="175"/>
        <v>22797493.05272837</v>
      </c>
    </row>
    <row r="2301" spans="2:11">
      <c r="B2301" s="43">
        <v>45637</v>
      </c>
      <c r="C2301" s="32" t="s">
        <v>27</v>
      </c>
      <c r="D2301" s="32" t="s">
        <v>134</v>
      </c>
      <c r="E2301" s="36">
        <f t="shared" si="178"/>
        <v>22797493.05272837</v>
      </c>
      <c r="F2301" s="36">
        <v>0</v>
      </c>
      <c r="G2301" s="58">
        <v>-21614</v>
      </c>
      <c r="H2301" s="35">
        <f t="shared" si="179"/>
        <v>-21614</v>
      </c>
      <c r="I2301" s="35">
        <f t="shared" si="176"/>
        <v>0</v>
      </c>
      <c r="J2301" s="35">
        <f t="shared" si="177"/>
        <v>1236.8835749915074</v>
      </c>
      <c r="K2301" s="45">
        <f t="shared" si="175"/>
        <v>22774642.169153377</v>
      </c>
    </row>
    <row r="2302" spans="2:11">
      <c r="B2302" s="43">
        <v>45638</v>
      </c>
      <c r="C2302" s="32" t="s">
        <v>29</v>
      </c>
      <c r="D2302" s="32" t="s">
        <v>132</v>
      </c>
      <c r="E2302" s="36">
        <f t="shared" si="178"/>
        <v>22774642.169153377</v>
      </c>
      <c r="F2302" s="36">
        <v>11689.23</v>
      </c>
      <c r="G2302" s="58">
        <v>0</v>
      </c>
      <c r="H2302" s="35">
        <f t="shared" si="179"/>
        <v>11689.23</v>
      </c>
      <c r="I2302" s="35">
        <f t="shared" si="176"/>
        <v>0</v>
      </c>
      <c r="J2302" s="35">
        <f t="shared" si="177"/>
        <v>2471.2875894012805</v>
      </c>
      <c r="K2302" s="45">
        <f t="shared" si="175"/>
        <v>22783860.111563977</v>
      </c>
    </row>
    <row r="2303" spans="2:11">
      <c r="B2303" s="43">
        <v>45638</v>
      </c>
      <c r="C2303" s="32" t="s">
        <v>25</v>
      </c>
      <c r="D2303" s="32" t="s">
        <v>132</v>
      </c>
      <c r="E2303" s="36">
        <f t="shared" si="178"/>
        <v>22783860.111563977</v>
      </c>
      <c r="F2303" s="36">
        <v>7226.87</v>
      </c>
      <c r="G2303" s="58">
        <v>0</v>
      </c>
      <c r="H2303" s="35">
        <f t="shared" si="179"/>
        <v>7226.87</v>
      </c>
      <c r="I2303" s="35">
        <f t="shared" si="176"/>
        <v>0</v>
      </c>
      <c r="J2303" s="35">
        <f t="shared" si="177"/>
        <v>1236.1439164261526</v>
      </c>
      <c r="K2303" s="45">
        <f t="shared" si="175"/>
        <v>22789850.837647554</v>
      </c>
    </row>
    <row r="2304" spans="2:11">
      <c r="B2304" s="43">
        <v>45638</v>
      </c>
      <c r="C2304" s="32" t="s">
        <v>25</v>
      </c>
      <c r="D2304" s="32" t="s">
        <v>134</v>
      </c>
      <c r="E2304" s="36">
        <f t="shared" si="178"/>
        <v>22789850.837647554</v>
      </c>
      <c r="F2304" s="36">
        <v>0</v>
      </c>
      <c r="G2304" s="58">
        <v>-13023.02</v>
      </c>
      <c r="H2304" s="35">
        <f t="shared" si="179"/>
        <v>-13023.02</v>
      </c>
      <c r="I2304" s="35">
        <f t="shared" si="176"/>
        <v>0</v>
      </c>
      <c r="J2304" s="35">
        <f t="shared" si="177"/>
        <v>1236.468944738604</v>
      </c>
      <c r="K2304" s="45">
        <f t="shared" si="175"/>
        <v>22775591.348702814</v>
      </c>
    </row>
    <row r="2305" spans="2:11">
      <c r="B2305" s="43">
        <v>45638</v>
      </c>
      <c r="C2305" s="32" t="s">
        <v>27</v>
      </c>
      <c r="D2305" s="32" t="s">
        <v>134</v>
      </c>
      <c r="E2305" s="36">
        <f t="shared" si="178"/>
        <v>22775591.348702814</v>
      </c>
      <c r="F2305" s="36">
        <v>0</v>
      </c>
      <c r="G2305" s="58">
        <v>-16997</v>
      </c>
      <c r="H2305" s="35">
        <f t="shared" si="179"/>
        <v>-16997</v>
      </c>
      <c r="I2305" s="35">
        <f t="shared" si="176"/>
        <v>0</v>
      </c>
      <c r="J2305" s="35">
        <f t="shared" si="177"/>
        <v>1235.6952926698118</v>
      </c>
      <c r="K2305" s="45">
        <f t="shared" si="175"/>
        <v>22757358.653410144</v>
      </c>
    </row>
    <row r="2306" spans="2:11">
      <c r="B2306" s="43">
        <v>45638</v>
      </c>
      <c r="C2306" s="32" t="s">
        <v>27</v>
      </c>
      <c r="D2306" s="32" t="s">
        <v>134</v>
      </c>
      <c r="E2306" s="36">
        <f t="shared" si="178"/>
        <v>22757358.653410144</v>
      </c>
      <c r="F2306" s="36">
        <v>0</v>
      </c>
      <c r="G2306" s="58">
        <v>-13426</v>
      </c>
      <c r="H2306" s="35">
        <f t="shared" si="179"/>
        <v>-13426</v>
      </c>
      <c r="I2306" s="35">
        <f t="shared" si="176"/>
        <v>0</v>
      </c>
      <c r="J2306" s="35">
        <f t="shared" si="177"/>
        <v>1234.7060733164747</v>
      </c>
      <c r="K2306" s="45">
        <f t="shared" si="175"/>
        <v>22742697.947336826</v>
      </c>
    </row>
    <row r="2307" spans="2:11">
      <c r="B2307" s="43">
        <v>45639</v>
      </c>
      <c r="C2307" s="32" t="s">
        <v>27</v>
      </c>
      <c r="D2307" s="32" t="s">
        <v>132</v>
      </c>
      <c r="E2307" s="36">
        <f t="shared" si="178"/>
        <v>22742697.947336826</v>
      </c>
      <c r="F2307" s="36">
        <v>15192.84</v>
      </c>
      <c r="G2307" s="58">
        <v>0</v>
      </c>
      <c r="H2307" s="35">
        <f t="shared" si="179"/>
        <v>15192.84</v>
      </c>
      <c r="I2307" s="35">
        <f t="shared" si="176"/>
        <v>0</v>
      </c>
      <c r="J2307" s="35">
        <f t="shared" si="177"/>
        <v>2467.8213062280042</v>
      </c>
      <c r="K2307" s="45">
        <f t="shared" si="175"/>
        <v>22755422.966030598</v>
      </c>
    </row>
    <row r="2308" spans="2:11">
      <c r="B2308" s="43">
        <v>45639</v>
      </c>
      <c r="C2308" s="32" t="s">
        <v>25</v>
      </c>
      <c r="D2308" s="32" t="s">
        <v>132</v>
      </c>
      <c r="E2308" s="36">
        <f t="shared" si="178"/>
        <v>22755422.966030598</v>
      </c>
      <c r="F2308" s="36">
        <v>18603.64</v>
      </c>
      <c r="G2308" s="58">
        <v>0</v>
      </c>
      <c r="H2308" s="35">
        <f t="shared" si="179"/>
        <v>18603.64</v>
      </c>
      <c r="I2308" s="35">
        <f t="shared" si="176"/>
        <v>0</v>
      </c>
      <c r="J2308" s="35">
        <f t="shared" si="177"/>
        <v>1234.6010521231117</v>
      </c>
      <c r="K2308" s="45">
        <f t="shared" si="175"/>
        <v>22772792.004978474</v>
      </c>
    </row>
    <row r="2309" spans="2:11">
      <c r="B2309" s="43">
        <v>45639</v>
      </c>
      <c r="C2309" s="32" t="s">
        <v>27</v>
      </c>
      <c r="D2309" s="32" t="s">
        <v>132</v>
      </c>
      <c r="E2309" s="36">
        <f t="shared" si="178"/>
        <v>22772792.004978474</v>
      </c>
      <c r="F2309" s="36">
        <v>17127.009999999998</v>
      </c>
      <c r="G2309" s="58">
        <v>0</v>
      </c>
      <c r="H2309" s="35">
        <f t="shared" si="179"/>
        <v>17127.009999999998</v>
      </c>
      <c r="I2309" s="35">
        <f t="shared" si="176"/>
        <v>0</v>
      </c>
      <c r="J2309" s="35">
        <f t="shared" si="177"/>
        <v>1235.5434135897137</v>
      </c>
      <c r="K2309" s="45">
        <f t="shared" si="175"/>
        <v>22788683.471564885</v>
      </c>
    </row>
    <row r="2310" spans="2:11">
      <c r="B2310" s="43">
        <v>45639</v>
      </c>
      <c r="C2310" s="32" t="s">
        <v>27</v>
      </c>
      <c r="D2310" s="32" t="s">
        <v>132</v>
      </c>
      <c r="E2310" s="36">
        <f t="shared" si="178"/>
        <v>22788683.471564885</v>
      </c>
      <c r="F2310" s="36">
        <v>14388.98</v>
      </c>
      <c r="G2310" s="58">
        <v>0</v>
      </c>
      <c r="H2310" s="35">
        <f t="shared" si="179"/>
        <v>14388.98</v>
      </c>
      <c r="I2310" s="35">
        <f t="shared" si="176"/>
        <v>0</v>
      </c>
      <c r="J2310" s="35">
        <f t="shared" si="177"/>
        <v>1236.4056090055778</v>
      </c>
      <c r="K2310" s="45">
        <f t="shared" si="175"/>
        <v>22801836.045955881</v>
      </c>
    </row>
    <row r="2311" spans="2:11">
      <c r="B2311" s="43">
        <v>45639</v>
      </c>
      <c r="C2311" s="32" t="s">
        <v>29</v>
      </c>
      <c r="D2311" s="32" t="s">
        <v>134</v>
      </c>
      <c r="E2311" s="36">
        <f t="shared" si="178"/>
        <v>22801836.045955881</v>
      </c>
      <c r="F2311" s="36">
        <v>0</v>
      </c>
      <c r="G2311" s="58">
        <v>-20395</v>
      </c>
      <c r="H2311" s="35">
        <f t="shared" si="179"/>
        <v>-20395</v>
      </c>
      <c r="I2311" s="35">
        <f t="shared" si="176"/>
        <v>0</v>
      </c>
      <c r="J2311" s="35">
        <f t="shared" si="177"/>
        <v>1237.1192051538671</v>
      </c>
      <c r="K2311" s="45">
        <f t="shared" si="175"/>
        <v>22780203.926750727</v>
      </c>
    </row>
    <row r="2312" spans="2:11">
      <c r="B2312" s="43">
        <v>45639</v>
      </c>
      <c r="C2312" s="32" t="s">
        <v>25</v>
      </c>
      <c r="D2312" s="32" t="s">
        <v>134</v>
      </c>
      <c r="E2312" s="36">
        <f t="shared" si="178"/>
        <v>22780203.926750727</v>
      </c>
      <c r="F2312" s="36">
        <v>0</v>
      </c>
      <c r="G2312" s="58">
        <v>-4746</v>
      </c>
      <c r="H2312" s="35">
        <f t="shared" si="179"/>
        <v>-4746</v>
      </c>
      <c r="I2312" s="35">
        <f t="shared" si="176"/>
        <v>0</v>
      </c>
      <c r="J2312" s="35">
        <f t="shared" si="177"/>
        <v>1235.9455492226982</v>
      </c>
      <c r="K2312" s="45">
        <f t="shared" ref="K2312:K2375" si="180">E2312+H2312+I2312-J2312</f>
        <v>22774221.981201503</v>
      </c>
    </row>
    <row r="2313" spans="2:11">
      <c r="B2313" s="43">
        <v>45639</v>
      </c>
      <c r="C2313" s="32" t="s">
        <v>29</v>
      </c>
      <c r="D2313" s="32" t="s">
        <v>134</v>
      </c>
      <c r="E2313" s="36">
        <f t="shared" si="178"/>
        <v>22774221.981201503</v>
      </c>
      <c r="F2313" s="36">
        <v>0</v>
      </c>
      <c r="G2313" s="58">
        <v>-6641</v>
      </c>
      <c r="H2313" s="35">
        <f t="shared" si="179"/>
        <v>-6641</v>
      </c>
      <c r="I2313" s="35">
        <f t="shared" si="176"/>
        <v>0</v>
      </c>
      <c r="J2313" s="35">
        <f t="shared" si="177"/>
        <v>1235.620997300291</v>
      </c>
      <c r="K2313" s="45">
        <f t="shared" si="180"/>
        <v>22766345.360204205</v>
      </c>
    </row>
    <row r="2314" spans="2:11">
      <c r="B2314" s="43">
        <v>45640</v>
      </c>
      <c r="C2314" s="32" t="s">
        <v>25</v>
      </c>
      <c r="D2314" s="32" t="s">
        <v>132</v>
      </c>
      <c r="E2314" s="36">
        <f t="shared" si="178"/>
        <v>22766345.360204205</v>
      </c>
      <c r="F2314" s="36">
        <v>13702.33</v>
      </c>
      <c r="G2314" s="58">
        <v>0</v>
      </c>
      <c r="H2314" s="35">
        <f t="shared" si="179"/>
        <v>13702.33</v>
      </c>
      <c r="I2314" s="35">
        <f t="shared" si="176"/>
        <v>0</v>
      </c>
      <c r="J2314" s="35">
        <f t="shared" si="177"/>
        <v>2470.387298593836</v>
      </c>
      <c r="K2314" s="45">
        <f t="shared" si="180"/>
        <v>22777577.302905608</v>
      </c>
    </row>
    <row r="2315" spans="2:11">
      <c r="B2315" s="43">
        <v>45640</v>
      </c>
      <c r="C2315" s="32" t="s">
        <v>29</v>
      </c>
      <c r="D2315" s="32" t="s">
        <v>134</v>
      </c>
      <c r="E2315" s="36">
        <f t="shared" si="178"/>
        <v>22777577.302905608</v>
      </c>
      <c r="F2315" s="36">
        <v>0</v>
      </c>
      <c r="G2315" s="58">
        <v>-5031</v>
      </c>
      <c r="H2315" s="35">
        <f t="shared" si="179"/>
        <v>-5031</v>
      </c>
      <c r="I2315" s="35">
        <f t="shared" si="176"/>
        <v>0</v>
      </c>
      <c r="J2315" s="35">
        <f t="shared" si="177"/>
        <v>1235.8030411019943</v>
      </c>
      <c r="K2315" s="45">
        <f t="shared" si="180"/>
        <v>22771310.499864507</v>
      </c>
    </row>
    <row r="2316" spans="2:11">
      <c r="B2316" s="43">
        <v>45641</v>
      </c>
      <c r="C2316" s="32" t="s">
        <v>25</v>
      </c>
      <c r="D2316" s="32" t="s">
        <v>132</v>
      </c>
      <c r="E2316" s="36">
        <f t="shared" si="178"/>
        <v>22771310.499864507</v>
      </c>
      <c r="F2316" s="36">
        <v>11286.55</v>
      </c>
      <c r="G2316" s="58">
        <v>0</v>
      </c>
      <c r="H2316" s="35">
        <f t="shared" si="179"/>
        <v>11286.55</v>
      </c>
      <c r="I2316" s="35">
        <f t="shared" si="176"/>
        <v>0</v>
      </c>
      <c r="J2316" s="35">
        <f t="shared" si="177"/>
        <v>2470.9260683330494</v>
      </c>
      <c r="K2316" s="45">
        <f t="shared" si="180"/>
        <v>22780126.123796176</v>
      </c>
    </row>
    <row r="2317" spans="2:11">
      <c r="B2317" s="43">
        <v>45641</v>
      </c>
      <c r="C2317" s="32" t="s">
        <v>27</v>
      </c>
      <c r="D2317" s="32" t="s">
        <v>132</v>
      </c>
      <c r="E2317" s="36">
        <f t="shared" si="178"/>
        <v>22780126.123796176</v>
      </c>
      <c r="F2317" s="36">
        <v>12900.82</v>
      </c>
      <c r="G2317" s="58">
        <v>0</v>
      </c>
      <c r="H2317" s="35">
        <f t="shared" si="179"/>
        <v>12900.82</v>
      </c>
      <c r="I2317" s="35">
        <f t="shared" si="176"/>
        <v>0</v>
      </c>
      <c r="J2317" s="35">
        <f t="shared" si="177"/>
        <v>1235.9413280043236</v>
      </c>
      <c r="K2317" s="45">
        <f t="shared" si="180"/>
        <v>22791791.002468172</v>
      </c>
    </row>
    <row r="2318" spans="2:11">
      <c r="B2318" s="43">
        <v>45641</v>
      </c>
      <c r="C2318" s="32" t="s">
        <v>29</v>
      </c>
      <c r="D2318" s="32" t="s">
        <v>132</v>
      </c>
      <c r="E2318" s="36">
        <f t="shared" si="178"/>
        <v>22791791.002468172</v>
      </c>
      <c r="F2318" s="36">
        <v>11789.75</v>
      </c>
      <c r="G2318" s="58">
        <v>0</v>
      </c>
      <c r="H2318" s="35">
        <f t="shared" si="179"/>
        <v>11789.75</v>
      </c>
      <c r="I2318" s="35">
        <f t="shared" si="176"/>
        <v>0</v>
      </c>
      <c r="J2318" s="35">
        <f t="shared" si="177"/>
        <v>1236.5742088566301</v>
      </c>
      <c r="K2318" s="45">
        <f t="shared" si="180"/>
        <v>22802344.178259317</v>
      </c>
    </row>
    <row r="2319" spans="2:11">
      <c r="B2319" s="43">
        <v>45641</v>
      </c>
      <c r="C2319" s="32" t="s">
        <v>25</v>
      </c>
      <c r="D2319" s="32" t="s">
        <v>132</v>
      </c>
      <c r="E2319" s="36">
        <f t="shared" si="178"/>
        <v>22802344.178259317</v>
      </c>
      <c r="F2319" s="36">
        <v>11560.96</v>
      </c>
      <c r="G2319" s="58">
        <v>0</v>
      </c>
      <c r="H2319" s="35">
        <f t="shared" si="179"/>
        <v>11560.96</v>
      </c>
      <c r="I2319" s="35">
        <f t="shared" si="176"/>
        <v>0</v>
      </c>
      <c r="J2319" s="35">
        <f t="shared" si="177"/>
        <v>1237.1467739965722</v>
      </c>
      <c r="K2319" s="45">
        <f t="shared" si="180"/>
        <v>22812667.99148532</v>
      </c>
    </row>
    <row r="2320" spans="2:11">
      <c r="B2320" s="43">
        <v>45642</v>
      </c>
      <c r="C2320" s="32" t="s">
        <v>27</v>
      </c>
      <c r="D2320" s="32" t="s">
        <v>132</v>
      </c>
      <c r="E2320" s="36">
        <f t="shared" si="178"/>
        <v>22812667.99148532</v>
      </c>
      <c r="F2320" s="36">
        <v>16152.2</v>
      </c>
      <c r="G2320" s="58">
        <v>0</v>
      </c>
      <c r="H2320" s="35">
        <f t="shared" si="179"/>
        <v>16152.2</v>
      </c>
      <c r="I2320" s="35">
        <f t="shared" si="176"/>
        <v>0</v>
      </c>
      <c r="J2320" s="35">
        <f t="shared" si="177"/>
        <v>2475.4137900286164</v>
      </c>
      <c r="K2320" s="45">
        <f t="shared" si="180"/>
        <v>22826344.777695291</v>
      </c>
    </row>
    <row r="2321" spans="2:11">
      <c r="B2321" s="43">
        <v>45642</v>
      </c>
      <c r="C2321" s="32" t="s">
        <v>27</v>
      </c>
      <c r="D2321" s="32" t="s">
        <v>132</v>
      </c>
      <c r="E2321" s="36">
        <f t="shared" si="178"/>
        <v>22826344.777695291</v>
      </c>
      <c r="F2321" s="36">
        <v>15880.67</v>
      </c>
      <c r="G2321" s="58">
        <v>0</v>
      </c>
      <c r="H2321" s="35">
        <f t="shared" si="179"/>
        <v>15880.67</v>
      </c>
      <c r="I2321" s="35">
        <f t="shared" si="176"/>
        <v>0</v>
      </c>
      <c r="J2321" s="35">
        <f t="shared" si="177"/>
        <v>1238.4489324033605</v>
      </c>
      <c r="K2321" s="45">
        <f t="shared" si="180"/>
        <v>22840986.998762891</v>
      </c>
    </row>
    <row r="2322" spans="2:11">
      <c r="B2322" s="43">
        <v>45642</v>
      </c>
      <c r="C2322" s="32" t="s">
        <v>25</v>
      </c>
      <c r="D2322" s="32" t="s">
        <v>134</v>
      </c>
      <c r="E2322" s="36">
        <f t="shared" si="178"/>
        <v>22840986.998762891</v>
      </c>
      <c r="F2322" s="36">
        <v>0</v>
      </c>
      <c r="G2322" s="58">
        <v>-13985</v>
      </c>
      <c r="H2322" s="35">
        <f t="shared" si="179"/>
        <v>-13985</v>
      </c>
      <c r="I2322" s="35">
        <f t="shared" si="176"/>
        <v>0</v>
      </c>
      <c r="J2322" s="35">
        <f t="shared" si="177"/>
        <v>1239.2433496973156</v>
      </c>
      <c r="K2322" s="45">
        <f t="shared" si="180"/>
        <v>22825762.755413193</v>
      </c>
    </row>
    <row r="2323" spans="2:11">
      <c r="B2323" s="43">
        <v>45642</v>
      </c>
      <c r="C2323" s="32" t="s">
        <v>27</v>
      </c>
      <c r="D2323" s="32" t="s">
        <v>134</v>
      </c>
      <c r="E2323" s="36">
        <f t="shared" si="178"/>
        <v>22825762.755413193</v>
      </c>
      <c r="F2323" s="36">
        <v>0</v>
      </c>
      <c r="G2323" s="58">
        <v>-2130</v>
      </c>
      <c r="H2323" s="35">
        <f t="shared" si="179"/>
        <v>-2130</v>
      </c>
      <c r="I2323" s="35">
        <f t="shared" si="176"/>
        <v>0</v>
      </c>
      <c r="J2323" s="35">
        <f t="shared" si="177"/>
        <v>1238.4173546417469</v>
      </c>
      <c r="K2323" s="45">
        <f t="shared" si="180"/>
        <v>22822394.33805855</v>
      </c>
    </row>
    <row r="2324" spans="2:11">
      <c r="B2324" s="43">
        <v>45643</v>
      </c>
      <c r="C2324" s="32" t="s">
        <v>25</v>
      </c>
      <c r="D2324" s="32" t="s">
        <v>132</v>
      </c>
      <c r="E2324" s="36">
        <f t="shared" si="178"/>
        <v>22822394.33805855</v>
      </c>
      <c r="F2324" s="36">
        <v>18151.96</v>
      </c>
      <c r="G2324" s="58">
        <v>0</v>
      </c>
      <c r="H2324" s="35">
        <f t="shared" si="179"/>
        <v>18151.96</v>
      </c>
      <c r="I2324" s="35">
        <f t="shared" ref="I2324:I2387" si="181">(($E2324*Daily_Interest)*(_xlfn.DAYS(B2324,B2323)+1))+((IF(DAY($B2323)&gt;Monthly_Cut_off_Date,0,Daily_Interest*H2324))*(_xlfn.DAYS(B2324,B2323)+1))</f>
        <v>0</v>
      </c>
      <c r="J2324" s="35">
        <f t="shared" ref="J2324:J2387" si="182">(($I2324+E2324)*Daily_Fees_Rate)*((_xlfn.DAYS(B2324,B2323)+1))</f>
        <v>2476.469200664626</v>
      </c>
      <c r="K2324" s="45">
        <f t="shared" si="180"/>
        <v>22838069.828857888</v>
      </c>
    </row>
    <row r="2325" spans="2:11">
      <c r="B2325" s="43">
        <v>45643</v>
      </c>
      <c r="C2325" s="32" t="s">
        <v>27</v>
      </c>
      <c r="D2325" s="32" t="s">
        <v>134</v>
      </c>
      <c r="E2325" s="36">
        <f t="shared" ref="E2325:E2388" si="183">K2324</f>
        <v>22838069.828857888</v>
      </c>
      <c r="F2325" s="36">
        <v>0</v>
      </c>
      <c r="G2325" s="58">
        <v>-12717.19</v>
      </c>
      <c r="H2325" s="35">
        <f t="shared" ref="H2325:H2388" si="184">SUM(F2325:G2325)</f>
        <v>-12717.19</v>
      </c>
      <c r="I2325" s="35">
        <f t="shared" si="181"/>
        <v>0</v>
      </c>
      <c r="J2325" s="35">
        <f t="shared" si="182"/>
        <v>1239.0850779288974</v>
      </c>
      <c r="K2325" s="45">
        <f t="shared" si="180"/>
        <v>22824113.553779956</v>
      </c>
    </row>
    <row r="2326" spans="2:11">
      <c r="B2326" s="43">
        <v>45643</v>
      </c>
      <c r="C2326" s="32" t="s">
        <v>25</v>
      </c>
      <c r="D2326" s="32" t="s">
        <v>134</v>
      </c>
      <c r="E2326" s="36">
        <f t="shared" si="183"/>
        <v>22824113.553779956</v>
      </c>
      <c r="F2326" s="36">
        <v>0</v>
      </c>
      <c r="G2326" s="58">
        <v>-7761.9</v>
      </c>
      <c r="H2326" s="35">
        <f t="shared" si="184"/>
        <v>-7761.9</v>
      </c>
      <c r="I2326" s="35">
        <f t="shared" si="181"/>
        <v>0</v>
      </c>
      <c r="J2326" s="35">
        <f t="shared" si="182"/>
        <v>1238.3278768027897</v>
      </c>
      <c r="K2326" s="45">
        <f t="shared" si="180"/>
        <v>22815113.325903155</v>
      </c>
    </row>
    <row r="2327" spans="2:11">
      <c r="B2327" s="43">
        <v>45643</v>
      </c>
      <c r="C2327" s="32" t="s">
        <v>27</v>
      </c>
      <c r="D2327" s="32" t="s">
        <v>134</v>
      </c>
      <c r="E2327" s="36">
        <f t="shared" si="183"/>
        <v>22815113.325903155</v>
      </c>
      <c r="F2327" s="36">
        <v>0</v>
      </c>
      <c r="G2327" s="58">
        <v>-10607</v>
      </c>
      <c r="H2327" s="35">
        <f t="shared" si="184"/>
        <v>-10607</v>
      </c>
      <c r="I2327" s="35">
        <f t="shared" si="181"/>
        <v>0</v>
      </c>
      <c r="J2327" s="35">
        <f t="shared" si="182"/>
        <v>1237.8395672326869</v>
      </c>
      <c r="K2327" s="45">
        <f t="shared" si="180"/>
        <v>22803268.486335922</v>
      </c>
    </row>
    <row r="2328" spans="2:11">
      <c r="B2328" s="43">
        <v>45643</v>
      </c>
      <c r="C2328" s="32" t="s">
        <v>25</v>
      </c>
      <c r="D2328" s="32" t="s">
        <v>134</v>
      </c>
      <c r="E2328" s="36">
        <f t="shared" si="183"/>
        <v>22803268.486335922</v>
      </c>
      <c r="F2328" s="36">
        <v>0</v>
      </c>
      <c r="G2328" s="58">
        <v>-9801</v>
      </c>
      <c r="H2328" s="35">
        <f t="shared" si="184"/>
        <v>-9801</v>
      </c>
      <c r="I2328" s="35">
        <f t="shared" si="181"/>
        <v>0</v>
      </c>
      <c r="J2328" s="35">
        <f t="shared" si="182"/>
        <v>1237.1969225578873</v>
      </c>
      <c r="K2328" s="45">
        <f t="shared" si="180"/>
        <v>22792230.289413363</v>
      </c>
    </row>
    <row r="2329" spans="2:11">
      <c r="B2329" s="43">
        <v>45644</v>
      </c>
      <c r="C2329" s="32" t="s">
        <v>25</v>
      </c>
      <c r="D2329" s="32" t="s">
        <v>132</v>
      </c>
      <c r="E2329" s="36">
        <f t="shared" si="183"/>
        <v>22792230.289413363</v>
      </c>
      <c r="F2329" s="36">
        <v>14340.98</v>
      </c>
      <c r="G2329" s="58">
        <v>0</v>
      </c>
      <c r="H2329" s="35">
        <f t="shared" si="184"/>
        <v>14340.98</v>
      </c>
      <c r="I2329" s="35">
        <f t="shared" si="181"/>
        <v>0</v>
      </c>
      <c r="J2329" s="35">
        <f t="shared" si="182"/>
        <v>2473.1960849550887</v>
      </c>
      <c r="K2329" s="45">
        <f t="shared" si="180"/>
        <v>22804098.073328409</v>
      </c>
    </row>
    <row r="2330" spans="2:11">
      <c r="B2330" s="43">
        <v>45644</v>
      </c>
      <c r="C2330" s="32" t="s">
        <v>27</v>
      </c>
      <c r="D2330" s="32" t="s">
        <v>132</v>
      </c>
      <c r="E2330" s="36">
        <f t="shared" si="183"/>
        <v>22804098.073328409</v>
      </c>
      <c r="F2330" s="36">
        <v>13014.64</v>
      </c>
      <c r="G2330" s="58">
        <v>0</v>
      </c>
      <c r="H2330" s="35">
        <f t="shared" si="184"/>
        <v>13014.64</v>
      </c>
      <c r="I2330" s="35">
        <f t="shared" si="181"/>
        <v>0</v>
      </c>
      <c r="J2330" s="35">
        <f t="shared" si="182"/>
        <v>1237.2419320035601</v>
      </c>
      <c r="K2330" s="45">
        <f t="shared" si="180"/>
        <v>22815875.471396405</v>
      </c>
    </row>
    <row r="2331" spans="2:11">
      <c r="B2331" s="43">
        <v>45644</v>
      </c>
      <c r="C2331" s="32" t="s">
        <v>29</v>
      </c>
      <c r="D2331" s="32" t="s">
        <v>134</v>
      </c>
      <c r="E2331" s="36">
        <f t="shared" si="183"/>
        <v>22815875.471396405</v>
      </c>
      <c r="F2331" s="36">
        <v>0</v>
      </c>
      <c r="G2331" s="58">
        <v>-16226</v>
      </c>
      <c r="H2331" s="35">
        <f t="shared" si="184"/>
        <v>-16226</v>
      </c>
      <c r="I2331" s="35">
        <f t="shared" si="181"/>
        <v>0</v>
      </c>
      <c r="J2331" s="35">
        <f t="shared" si="182"/>
        <v>1237.8809176232837</v>
      </c>
      <c r="K2331" s="45">
        <f t="shared" si="180"/>
        <v>22798411.590478782</v>
      </c>
    </row>
    <row r="2332" spans="2:11">
      <c r="B2332" s="43">
        <v>45644</v>
      </c>
      <c r="C2332" s="32" t="s">
        <v>25</v>
      </c>
      <c r="D2332" s="32" t="s">
        <v>134</v>
      </c>
      <c r="E2332" s="36">
        <f t="shared" si="183"/>
        <v>22798411.590478782</v>
      </c>
      <c r="F2332" s="36">
        <v>0</v>
      </c>
      <c r="G2332" s="58">
        <v>-16724</v>
      </c>
      <c r="H2332" s="35">
        <f t="shared" si="184"/>
        <v>-16724</v>
      </c>
      <c r="I2332" s="35">
        <f t="shared" si="181"/>
        <v>0</v>
      </c>
      <c r="J2332" s="35">
        <f t="shared" si="182"/>
        <v>1236.9334104823602</v>
      </c>
      <c r="K2332" s="45">
        <f t="shared" si="180"/>
        <v>22780450.657068301</v>
      </c>
    </row>
    <row r="2333" spans="2:11">
      <c r="B2333" s="43">
        <v>45645</v>
      </c>
      <c r="C2333" s="32" t="s">
        <v>25</v>
      </c>
      <c r="D2333" s="32" t="s">
        <v>132</v>
      </c>
      <c r="E2333" s="36">
        <f t="shared" si="183"/>
        <v>22780450.657068301</v>
      </c>
      <c r="F2333" s="36">
        <v>16764.95</v>
      </c>
      <c r="G2333" s="58">
        <v>0</v>
      </c>
      <c r="H2333" s="35">
        <f t="shared" si="184"/>
        <v>16764.95</v>
      </c>
      <c r="I2333" s="35">
        <f t="shared" si="181"/>
        <v>0</v>
      </c>
      <c r="J2333" s="35">
        <f t="shared" si="182"/>
        <v>2471.9178712731414</v>
      </c>
      <c r="K2333" s="45">
        <f t="shared" si="180"/>
        <v>22794743.689197026</v>
      </c>
    </row>
    <row r="2334" spans="2:11">
      <c r="B2334" s="43">
        <v>45645</v>
      </c>
      <c r="C2334" s="32" t="s">
        <v>29</v>
      </c>
      <c r="D2334" s="32" t="s">
        <v>134</v>
      </c>
      <c r="E2334" s="36">
        <f t="shared" si="183"/>
        <v>22794743.689197026</v>
      </c>
      <c r="F2334" s="36">
        <v>0</v>
      </c>
      <c r="G2334" s="58">
        <v>-12365.24</v>
      </c>
      <c r="H2334" s="35">
        <f t="shared" si="184"/>
        <v>-12365.24</v>
      </c>
      <c r="I2334" s="35">
        <f t="shared" si="181"/>
        <v>0</v>
      </c>
      <c r="J2334" s="35">
        <f t="shared" si="182"/>
        <v>1236.7344075990343</v>
      </c>
      <c r="K2334" s="45">
        <f t="shared" si="180"/>
        <v>22781141.714789428</v>
      </c>
    </row>
    <row r="2335" spans="2:11">
      <c r="B2335" s="43">
        <v>45645</v>
      </c>
      <c r="C2335" s="32" t="s">
        <v>27</v>
      </c>
      <c r="D2335" s="32" t="s">
        <v>134</v>
      </c>
      <c r="E2335" s="36">
        <f t="shared" si="183"/>
        <v>22781141.714789428</v>
      </c>
      <c r="F2335" s="36">
        <v>0</v>
      </c>
      <c r="G2335" s="58">
        <v>-8500.9</v>
      </c>
      <c r="H2335" s="35">
        <f t="shared" si="184"/>
        <v>-8500.9</v>
      </c>
      <c r="I2335" s="35">
        <f t="shared" si="181"/>
        <v>0</v>
      </c>
      <c r="J2335" s="35">
        <f t="shared" si="182"/>
        <v>1235.9964291426618</v>
      </c>
      <c r="K2335" s="45">
        <f t="shared" si="180"/>
        <v>22771404.818360288</v>
      </c>
    </row>
    <row r="2336" spans="2:11">
      <c r="B2336" s="43">
        <v>45645</v>
      </c>
      <c r="C2336" s="32" t="s">
        <v>27</v>
      </c>
      <c r="D2336" s="32" t="s">
        <v>134</v>
      </c>
      <c r="E2336" s="36">
        <f t="shared" si="183"/>
        <v>22771404.818360288</v>
      </c>
      <c r="F2336" s="36">
        <v>0</v>
      </c>
      <c r="G2336" s="58">
        <v>-14928</v>
      </c>
      <c r="H2336" s="35">
        <f t="shared" si="184"/>
        <v>-14928</v>
      </c>
      <c r="I2336" s="35">
        <f t="shared" si="181"/>
        <v>0</v>
      </c>
      <c r="J2336" s="35">
        <f t="shared" si="182"/>
        <v>1235.4681514396379</v>
      </c>
      <c r="K2336" s="45">
        <f t="shared" si="180"/>
        <v>22755241.350208849</v>
      </c>
    </row>
    <row r="2337" spans="2:11">
      <c r="B2337" s="43">
        <v>45645</v>
      </c>
      <c r="C2337" s="32" t="s">
        <v>25</v>
      </c>
      <c r="D2337" s="32" t="s">
        <v>134</v>
      </c>
      <c r="E2337" s="36">
        <f t="shared" si="183"/>
        <v>22755241.350208849</v>
      </c>
      <c r="F2337" s="36">
        <v>0</v>
      </c>
      <c r="G2337" s="58">
        <v>-4559</v>
      </c>
      <c r="H2337" s="35">
        <f t="shared" si="184"/>
        <v>-4559</v>
      </c>
      <c r="I2337" s="35">
        <f t="shared" si="181"/>
        <v>0</v>
      </c>
      <c r="J2337" s="35">
        <f t="shared" si="182"/>
        <v>1234.5911985121747</v>
      </c>
      <c r="K2337" s="45">
        <f t="shared" si="180"/>
        <v>22749447.759010337</v>
      </c>
    </row>
    <row r="2338" spans="2:11">
      <c r="B2338" s="43">
        <v>45646</v>
      </c>
      <c r="C2338" s="32" t="s">
        <v>29</v>
      </c>
      <c r="D2338" s="32" t="s">
        <v>132</v>
      </c>
      <c r="E2338" s="36">
        <f t="shared" si="183"/>
        <v>22749447.759010337</v>
      </c>
      <c r="F2338" s="36">
        <v>16025.27</v>
      </c>
      <c r="G2338" s="58">
        <v>0</v>
      </c>
      <c r="H2338" s="35">
        <f t="shared" si="184"/>
        <v>16025.27</v>
      </c>
      <c r="I2338" s="35">
        <f t="shared" si="181"/>
        <v>0</v>
      </c>
      <c r="J2338" s="35">
        <f t="shared" si="182"/>
        <v>2468.5537316024911</v>
      </c>
      <c r="K2338" s="45">
        <f t="shared" si="180"/>
        <v>22763004.475278735</v>
      </c>
    </row>
    <row r="2339" spans="2:11">
      <c r="B2339" s="43">
        <v>45646</v>
      </c>
      <c r="C2339" s="32" t="s">
        <v>29</v>
      </c>
      <c r="D2339" s="32" t="s">
        <v>132</v>
      </c>
      <c r="E2339" s="36">
        <f t="shared" si="183"/>
        <v>22763004.475278735</v>
      </c>
      <c r="F2339" s="36">
        <v>17165.02</v>
      </c>
      <c r="G2339" s="58">
        <v>0</v>
      </c>
      <c r="H2339" s="35">
        <f t="shared" si="184"/>
        <v>17165.02</v>
      </c>
      <c r="I2339" s="35">
        <f t="shared" si="181"/>
        <v>0</v>
      </c>
      <c r="J2339" s="35">
        <f t="shared" si="182"/>
        <v>1235.0123887661794</v>
      </c>
      <c r="K2339" s="45">
        <f t="shared" si="180"/>
        <v>22778934.482889969</v>
      </c>
    </row>
    <row r="2340" spans="2:11">
      <c r="B2340" s="43">
        <v>45646</v>
      </c>
      <c r="C2340" s="32" t="s">
        <v>29</v>
      </c>
      <c r="D2340" s="32" t="s">
        <v>134</v>
      </c>
      <c r="E2340" s="36">
        <f t="shared" si="183"/>
        <v>22778934.482889969</v>
      </c>
      <c r="F2340" s="36">
        <v>0</v>
      </c>
      <c r="G2340" s="58">
        <v>-3614.9</v>
      </c>
      <c r="H2340" s="35">
        <f t="shared" si="184"/>
        <v>-3614.9</v>
      </c>
      <c r="I2340" s="35">
        <f t="shared" si="181"/>
        <v>0</v>
      </c>
      <c r="J2340" s="35">
        <f t="shared" si="182"/>
        <v>1235.8766752347947</v>
      </c>
      <c r="K2340" s="45">
        <f t="shared" si="180"/>
        <v>22774083.706214737</v>
      </c>
    </row>
    <row r="2341" spans="2:11">
      <c r="B2341" s="43">
        <v>45646</v>
      </c>
      <c r="C2341" s="32" t="s">
        <v>29</v>
      </c>
      <c r="D2341" s="32" t="s">
        <v>134</v>
      </c>
      <c r="E2341" s="36">
        <f t="shared" si="183"/>
        <v>22774083.706214737</v>
      </c>
      <c r="F2341" s="36">
        <v>0</v>
      </c>
      <c r="G2341" s="58">
        <v>-2366.15</v>
      </c>
      <c r="H2341" s="35">
        <f t="shared" si="184"/>
        <v>-2366.15</v>
      </c>
      <c r="I2341" s="35">
        <f t="shared" si="181"/>
        <v>0</v>
      </c>
      <c r="J2341" s="35">
        <f t="shared" si="182"/>
        <v>1235.6134951569823</v>
      </c>
      <c r="K2341" s="45">
        <f t="shared" si="180"/>
        <v>22770481.942719582</v>
      </c>
    </row>
    <row r="2342" spans="2:11">
      <c r="B2342" s="43">
        <v>45647</v>
      </c>
      <c r="C2342" s="32" t="s">
        <v>29</v>
      </c>
      <c r="D2342" s="32" t="s">
        <v>132</v>
      </c>
      <c r="E2342" s="36">
        <f t="shared" si="183"/>
        <v>22770481.942719582</v>
      </c>
      <c r="F2342" s="36">
        <v>13819.98</v>
      </c>
      <c r="G2342" s="58">
        <v>0</v>
      </c>
      <c r="H2342" s="35">
        <f t="shared" si="184"/>
        <v>13819.98</v>
      </c>
      <c r="I2342" s="35">
        <f t="shared" si="181"/>
        <v>0</v>
      </c>
      <c r="J2342" s="35">
        <f t="shared" si="182"/>
        <v>2470.8361611909677</v>
      </c>
      <c r="K2342" s="45">
        <f t="shared" si="180"/>
        <v>22781831.08655839</v>
      </c>
    </row>
    <row r="2343" spans="2:11">
      <c r="B2343" s="43">
        <v>45647</v>
      </c>
      <c r="C2343" s="32" t="s">
        <v>25</v>
      </c>
      <c r="D2343" s="32" t="s">
        <v>134</v>
      </c>
      <c r="E2343" s="36">
        <f t="shared" si="183"/>
        <v>22781831.08655839</v>
      </c>
      <c r="F2343" s="36">
        <v>0</v>
      </c>
      <c r="G2343" s="58">
        <v>-10529</v>
      </c>
      <c r="H2343" s="35">
        <f t="shared" si="184"/>
        <v>-10529</v>
      </c>
      <c r="I2343" s="35">
        <f t="shared" si="181"/>
        <v>0</v>
      </c>
      <c r="J2343" s="35">
        <f t="shared" si="182"/>
        <v>1236.0338311770049</v>
      </c>
      <c r="K2343" s="45">
        <f t="shared" si="180"/>
        <v>22770066.052727215</v>
      </c>
    </row>
    <row r="2344" spans="2:11">
      <c r="B2344" s="43">
        <v>45647</v>
      </c>
      <c r="C2344" s="32" t="s">
        <v>29</v>
      </c>
      <c r="D2344" s="32" t="s">
        <v>134</v>
      </c>
      <c r="E2344" s="36">
        <f t="shared" si="183"/>
        <v>22770066.052727215</v>
      </c>
      <c r="F2344" s="36">
        <v>0</v>
      </c>
      <c r="G2344" s="58">
        <v>-3464</v>
      </c>
      <c r="H2344" s="35">
        <f t="shared" si="184"/>
        <v>-3464</v>
      </c>
      <c r="I2344" s="35">
        <f t="shared" si="181"/>
        <v>0</v>
      </c>
      <c r="J2344" s="35">
        <f t="shared" si="182"/>
        <v>1235.3955163819815</v>
      </c>
      <c r="K2344" s="45">
        <f t="shared" si="180"/>
        <v>22765366.657210834</v>
      </c>
    </row>
    <row r="2345" spans="2:11">
      <c r="B2345" s="43">
        <v>45647</v>
      </c>
      <c r="C2345" s="32" t="s">
        <v>25</v>
      </c>
      <c r="D2345" s="32" t="s">
        <v>134</v>
      </c>
      <c r="E2345" s="36">
        <f t="shared" si="183"/>
        <v>22765366.657210834</v>
      </c>
      <c r="F2345" s="36">
        <v>0</v>
      </c>
      <c r="G2345" s="58">
        <v>-2290</v>
      </c>
      <c r="H2345" s="35">
        <f t="shared" si="184"/>
        <v>-2290</v>
      </c>
      <c r="I2345" s="35">
        <f t="shared" si="181"/>
        <v>0</v>
      </c>
      <c r="J2345" s="35">
        <f t="shared" si="182"/>
        <v>1235.1405495260576</v>
      </c>
      <c r="K2345" s="45">
        <f t="shared" si="180"/>
        <v>22761841.516661309</v>
      </c>
    </row>
    <row r="2346" spans="2:11">
      <c r="B2346" s="43">
        <v>45648</v>
      </c>
      <c r="C2346" s="32" t="s">
        <v>25</v>
      </c>
      <c r="D2346" s="32" t="s">
        <v>132</v>
      </c>
      <c r="E2346" s="36">
        <f t="shared" si="183"/>
        <v>22761841.516661309</v>
      </c>
      <c r="F2346" s="36">
        <v>17488.22</v>
      </c>
      <c r="G2346" s="58">
        <v>0</v>
      </c>
      <c r="H2346" s="35">
        <f t="shared" si="184"/>
        <v>17488.22</v>
      </c>
      <c r="I2346" s="35">
        <f t="shared" si="181"/>
        <v>0</v>
      </c>
      <c r="J2346" s="35">
        <f t="shared" si="182"/>
        <v>2469.8985843225209</v>
      </c>
      <c r="K2346" s="45">
        <f t="shared" si="180"/>
        <v>22776859.838076986</v>
      </c>
    </row>
    <row r="2347" spans="2:11">
      <c r="B2347" s="43">
        <v>45648</v>
      </c>
      <c r="C2347" s="32" t="s">
        <v>25</v>
      </c>
      <c r="D2347" s="32" t="s">
        <v>132</v>
      </c>
      <c r="E2347" s="36">
        <f t="shared" si="183"/>
        <v>22776859.838076986</v>
      </c>
      <c r="F2347" s="36">
        <v>14832.69</v>
      </c>
      <c r="G2347" s="58">
        <v>0</v>
      </c>
      <c r="H2347" s="35">
        <f t="shared" si="184"/>
        <v>14832.69</v>
      </c>
      <c r="I2347" s="35">
        <f t="shared" si="181"/>
        <v>0</v>
      </c>
      <c r="J2347" s="35">
        <f t="shared" si="182"/>
        <v>1235.7641148718117</v>
      </c>
      <c r="K2347" s="45">
        <f t="shared" si="180"/>
        <v>22790456.763962116</v>
      </c>
    </row>
    <row r="2348" spans="2:11">
      <c r="B2348" s="43">
        <v>45648</v>
      </c>
      <c r="C2348" s="32" t="s">
        <v>27</v>
      </c>
      <c r="D2348" s="32" t="s">
        <v>132</v>
      </c>
      <c r="E2348" s="36">
        <f t="shared" si="183"/>
        <v>22790456.763962116</v>
      </c>
      <c r="F2348" s="36">
        <v>13801.09</v>
      </c>
      <c r="G2348" s="58">
        <v>0</v>
      </c>
      <c r="H2348" s="35">
        <f t="shared" si="184"/>
        <v>13801.09</v>
      </c>
      <c r="I2348" s="35">
        <f t="shared" si="181"/>
        <v>0</v>
      </c>
      <c r="J2348" s="35">
        <f t="shared" si="182"/>
        <v>1236.5018194193597</v>
      </c>
      <c r="K2348" s="45">
        <f t="shared" si="180"/>
        <v>22803021.352142695</v>
      </c>
    </row>
    <row r="2349" spans="2:11">
      <c r="B2349" s="43">
        <v>45648</v>
      </c>
      <c r="C2349" s="32" t="s">
        <v>27</v>
      </c>
      <c r="D2349" s="32" t="s">
        <v>132</v>
      </c>
      <c r="E2349" s="36">
        <f t="shared" si="183"/>
        <v>22803021.352142695</v>
      </c>
      <c r="F2349" s="36">
        <v>20316.75</v>
      </c>
      <c r="G2349" s="58">
        <v>0</v>
      </c>
      <c r="H2349" s="35">
        <f t="shared" si="184"/>
        <v>20316.75</v>
      </c>
      <c r="I2349" s="35">
        <f t="shared" si="181"/>
        <v>0</v>
      </c>
      <c r="J2349" s="35">
        <f t="shared" si="182"/>
        <v>1237.1835142316422</v>
      </c>
      <c r="K2349" s="45">
        <f t="shared" si="180"/>
        <v>22822100.918628465</v>
      </c>
    </row>
    <row r="2350" spans="2:11">
      <c r="B2350" s="43">
        <v>45648</v>
      </c>
      <c r="C2350" s="32" t="s">
        <v>25</v>
      </c>
      <c r="D2350" s="32" t="s">
        <v>134</v>
      </c>
      <c r="E2350" s="36">
        <f t="shared" si="183"/>
        <v>22822100.918628465</v>
      </c>
      <c r="F2350" s="36">
        <v>0</v>
      </c>
      <c r="G2350" s="58">
        <v>-8367.0400000000009</v>
      </c>
      <c r="H2350" s="35">
        <f t="shared" si="184"/>
        <v>-8367.0400000000009</v>
      </c>
      <c r="I2350" s="35">
        <f t="shared" si="181"/>
        <v>0</v>
      </c>
      <c r="J2350" s="35">
        <f t="shared" si="182"/>
        <v>1238.2186807891942</v>
      </c>
      <c r="K2350" s="45">
        <f t="shared" si="180"/>
        <v>22812495.659947678</v>
      </c>
    </row>
    <row r="2351" spans="2:11">
      <c r="B2351" s="43">
        <v>45648</v>
      </c>
      <c r="C2351" s="32" t="s">
        <v>25</v>
      </c>
      <c r="D2351" s="32" t="s">
        <v>134</v>
      </c>
      <c r="E2351" s="36">
        <f t="shared" si="183"/>
        <v>22812495.659947678</v>
      </c>
      <c r="F2351" s="36">
        <v>0</v>
      </c>
      <c r="G2351" s="58">
        <v>-5402.89</v>
      </c>
      <c r="H2351" s="35">
        <f t="shared" si="184"/>
        <v>-5402.89</v>
      </c>
      <c r="I2351" s="35">
        <f t="shared" si="181"/>
        <v>0</v>
      </c>
      <c r="J2351" s="35">
        <f t="shared" si="182"/>
        <v>1237.6975451244816</v>
      </c>
      <c r="K2351" s="45">
        <f t="shared" si="180"/>
        <v>22805855.072402552</v>
      </c>
    </row>
    <row r="2352" spans="2:11">
      <c r="B2352" s="43">
        <v>45648</v>
      </c>
      <c r="C2352" s="32" t="s">
        <v>29</v>
      </c>
      <c r="D2352" s="32" t="s">
        <v>134</v>
      </c>
      <c r="E2352" s="36">
        <f t="shared" si="183"/>
        <v>22805855.072402552</v>
      </c>
      <c r="F2352" s="36">
        <v>0</v>
      </c>
      <c r="G2352" s="58">
        <v>-10739</v>
      </c>
      <c r="H2352" s="35">
        <f t="shared" si="184"/>
        <v>-10739</v>
      </c>
      <c r="I2352" s="35">
        <f t="shared" si="181"/>
        <v>0</v>
      </c>
      <c r="J2352" s="35">
        <f t="shared" si="182"/>
        <v>1237.3372584191031</v>
      </c>
      <c r="K2352" s="45">
        <f t="shared" si="180"/>
        <v>22793878.735144131</v>
      </c>
    </row>
    <row r="2353" spans="2:11">
      <c r="B2353" s="43">
        <v>45649</v>
      </c>
      <c r="C2353" s="32" t="s">
        <v>29</v>
      </c>
      <c r="D2353" s="32" t="s">
        <v>132</v>
      </c>
      <c r="E2353" s="36">
        <f t="shared" si="183"/>
        <v>22793878.735144131</v>
      </c>
      <c r="F2353" s="36">
        <v>15904.64</v>
      </c>
      <c r="G2353" s="58">
        <v>0</v>
      </c>
      <c r="H2353" s="35">
        <f t="shared" si="184"/>
        <v>15904.64</v>
      </c>
      <c r="I2353" s="35">
        <f t="shared" si="181"/>
        <v>0</v>
      </c>
      <c r="J2353" s="35">
        <f t="shared" si="182"/>
        <v>2473.3749586096556</v>
      </c>
      <c r="K2353" s="45">
        <f t="shared" si="180"/>
        <v>22807310.000185523</v>
      </c>
    </row>
    <row r="2354" spans="2:11">
      <c r="B2354" s="43">
        <v>45649</v>
      </c>
      <c r="C2354" s="32" t="s">
        <v>29</v>
      </c>
      <c r="D2354" s="32" t="s">
        <v>132</v>
      </c>
      <c r="E2354" s="36">
        <f t="shared" si="183"/>
        <v>22807310.000185523</v>
      </c>
      <c r="F2354" s="36">
        <v>14279.02</v>
      </c>
      <c r="G2354" s="58">
        <v>0</v>
      </c>
      <c r="H2354" s="35">
        <f t="shared" si="184"/>
        <v>14279.02</v>
      </c>
      <c r="I2354" s="35">
        <f t="shared" si="181"/>
        <v>0</v>
      </c>
      <c r="J2354" s="35">
        <f t="shared" si="182"/>
        <v>1237.4161958826826</v>
      </c>
      <c r="K2354" s="45">
        <f t="shared" si="180"/>
        <v>22820351.603989638</v>
      </c>
    </row>
    <row r="2355" spans="2:11">
      <c r="B2355" s="43">
        <v>45649</v>
      </c>
      <c r="C2355" s="32" t="s">
        <v>27</v>
      </c>
      <c r="D2355" s="32" t="s">
        <v>132</v>
      </c>
      <c r="E2355" s="36">
        <f t="shared" si="183"/>
        <v>22820351.603989638</v>
      </c>
      <c r="F2355" s="36">
        <v>15559.83</v>
      </c>
      <c r="G2355" s="58">
        <v>0</v>
      </c>
      <c r="H2355" s="35">
        <f t="shared" si="184"/>
        <v>15559.83</v>
      </c>
      <c r="I2355" s="35">
        <f t="shared" si="181"/>
        <v>0</v>
      </c>
      <c r="J2355" s="35">
        <f t="shared" si="182"/>
        <v>1238.1237712945733</v>
      </c>
      <c r="K2355" s="45">
        <f t="shared" si="180"/>
        <v>22834673.310218342</v>
      </c>
    </row>
    <row r="2356" spans="2:11">
      <c r="B2356" s="43">
        <v>45649</v>
      </c>
      <c r="C2356" s="32" t="s">
        <v>27</v>
      </c>
      <c r="D2356" s="32" t="s">
        <v>132</v>
      </c>
      <c r="E2356" s="36">
        <f t="shared" si="183"/>
        <v>22834673.310218342</v>
      </c>
      <c r="F2356" s="36">
        <v>15671.74</v>
      </c>
      <c r="G2356" s="58">
        <v>0</v>
      </c>
      <c r="H2356" s="35">
        <f t="shared" si="184"/>
        <v>15671.74</v>
      </c>
      <c r="I2356" s="35">
        <f t="shared" si="181"/>
        <v>0</v>
      </c>
      <c r="J2356" s="35">
        <f t="shared" si="182"/>
        <v>1238.9007989773613</v>
      </c>
      <c r="K2356" s="45">
        <f t="shared" si="180"/>
        <v>22849106.149419364</v>
      </c>
    </row>
    <row r="2357" spans="2:11">
      <c r="B2357" s="43">
        <v>45649</v>
      </c>
      <c r="C2357" s="32" t="s">
        <v>25</v>
      </c>
      <c r="D2357" s="32" t="s">
        <v>132</v>
      </c>
      <c r="E2357" s="36">
        <f t="shared" si="183"/>
        <v>22849106.149419364</v>
      </c>
      <c r="F2357" s="36">
        <v>16309.68</v>
      </c>
      <c r="G2357" s="58">
        <v>0</v>
      </c>
      <c r="H2357" s="35">
        <f t="shared" si="184"/>
        <v>16309.68</v>
      </c>
      <c r="I2357" s="35">
        <f t="shared" si="181"/>
        <v>0</v>
      </c>
      <c r="J2357" s="35">
        <f t="shared" si="182"/>
        <v>1239.6838562068097</v>
      </c>
      <c r="K2357" s="45">
        <f t="shared" si="180"/>
        <v>22864176.145563155</v>
      </c>
    </row>
    <row r="2358" spans="2:11">
      <c r="B2358" s="43">
        <v>45650</v>
      </c>
      <c r="C2358" s="32" t="s">
        <v>25</v>
      </c>
      <c r="D2358" s="32" t="s">
        <v>132</v>
      </c>
      <c r="E2358" s="36">
        <f t="shared" si="183"/>
        <v>22864176.145563155</v>
      </c>
      <c r="F2358" s="36">
        <v>15682.38</v>
      </c>
      <c r="G2358" s="58">
        <v>0</v>
      </c>
      <c r="H2358" s="35">
        <f t="shared" si="184"/>
        <v>15682.38</v>
      </c>
      <c r="I2358" s="35">
        <f t="shared" si="181"/>
        <v>0</v>
      </c>
      <c r="J2358" s="35">
        <f t="shared" si="182"/>
        <v>2481.0029650848078</v>
      </c>
      <c r="K2358" s="45">
        <f t="shared" si="180"/>
        <v>22877377.522598069</v>
      </c>
    </row>
    <row r="2359" spans="2:11">
      <c r="B2359" s="43">
        <v>45650</v>
      </c>
      <c r="C2359" s="32" t="s">
        <v>25</v>
      </c>
      <c r="D2359" s="32" t="s">
        <v>132</v>
      </c>
      <c r="E2359" s="36">
        <f t="shared" si="183"/>
        <v>22877377.522598069</v>
      </c>
      <c r="F2359" s="36">
        <v>16877</v>
      </c>
      <c r="G2359" s="58">
        <v>0</v>
      </c>
      <c r="H2359" s="35">
        <f t="shared" si="184"/>
        <v>16877</v>
      </c>
      <c r="I2359" s="35">
        <f t="shared" si="181"/>
        <v>0</v>
      </c>
      <c r="J2359" s="35">
        <f t="shared" si="182"/>
        <v>1241.2177264901043</v>
      </c>
      <c r="K2359" s="45">
        <f t="shared" si="180"/>
        <v>22893013.304871578</v>
      </c>
    </row>
    <row r="2360" spans="2:11">
      <c r="B2360" s="43">
        <v>45650</v>
      </c>
      <c r="C2360" s="32" t="s">
        <v>25</v>
      </c>
      <c r="D2360" s="32" t="s">
        <v>132</v>
      </c>
      <c r="E2360" s="36">
        <f t="shared" si="183"/>
        <v>22893013.304871578</v>
      </c>
      <c r="F2360" s="36">
        <v>14439.39</v>
      </c>
      <c r="G2360" s="58">
        <v>0</v>
      </c>
      <c r="H2360" s="35">
        <f t="shared" si="184"/>
        <v>14439.39</v>
      </c>
      <c r="I2360" s="35">
        <f t="shared" si="181"/>
        <v>0</v>
      </c>
      <c r="J2360" s="35">
        <f t="shared" si="182"/>
        <v>1242.066049690884</v>
      </c>
      <c r="K2360" s="45">
        <f t="shared" si="180"/>
        <v>22906210.628821887</v>
      </c>
    </row>
    <row r="2361" spans="2:11">
      <c r="B2361" s="43">
        <v>45650</v>
      </c>
      <c r="C2361" s="32" t="s">
        <v>25</v>
      </c>
      <c r="D2361" s="32" t="s">
        <v>132</v>
      </c>
      <c r="E2361" s="36">
        <f t="shared" si="183"/>
        <v>22906210.628821887</v>
      </c>
      <c r="F2361" s="36">
        <v>17988.8</v>
      </c>
      <c r="G2361" s="58">
        <v>0</v>
      </c>
      <c r="H2361" s="35">
        <f t="shared" si="184"/>
        <v>17988.8</v>
      </c>
      <c r="I2361" s="35">
        <f t="shared" si="181"/>
        <v>0</v>
      </c>
      <c r="J2361" s="35">
        <f t="shared" si="182"/>
        <v>1242.7820737374855</v>
      </c>
      <c r="K2361" s="45">
        <f t="shared" si="180"/>
        <v>22922956.646748152</v>
      </c>
    </row>
    <row r="2362" spans="2:11">
      <c r="B2362" s="43">
        <v>45650</v>
      </c>
      <c r="C2362" s="32" t="s">
        <v>25</v>
      </c>
      <c r="D2362" s="32" t="s">
        <v>132</v>
      </c>
      <c r="E2362" s="36">
        <f t="shared" si="183"/>
        <v>22922956.646748152</v>
      </c>
      <c r="F2362" s="36">
        <v>12517.23</v>
      </c>
      <c r="G2362" s="58">
        <v>0</v>
      </c>
      <c r="H2362" s="35">
        <f t="shared" si="184"/>
        <v>12517.23</v>
      </c>
      <c r="I2362" s="35">
        <f t="shared" si="181"/>
        <v>0</v>
      </c>
      <c r="J2362" s="35">
        <f t="shared" si="182"/>
        <v>1243.6906330458094</v>
      </c>
      <c r="K2362" s="45">
        <f t="shared" si="180"/>
        <v>22934230.186115105</v>
      </c>
    </row>
    <row r="2363" spans="2:11">
      <c r="B2363" s="43">
        <v>45650</v>
      </c>
      <c r="C2363" s="32" t="s">
        <v>25</v>
      </c>
      <c r="D2363" s="32" t="s">
        <v>134</v>
      </c>
      <c r="E2363" s="36">
        <f t="shared" si="183"/>
        <v>22934230.186115105</v>
      </c>
      <c r="F2363" s="36">
        <v>0</v>
      </c>
      <c r="G2363" s="58">
        <v>-9459.84</v>
      </c>
      <c r="H2363" s="35">
        <f t="shared" si="184"/>
        <v>-9459.84</v>
      </c>
      <c r="I2363" s="35">
        <f t="shared" si="181"/>
        <v>0</v>
      </c>
      <c r="J2363" s="35">
        <f t="shared" si="182"/>
        <v>1244.3022816881735</v>
      </c>
      <c r="K2363" s="45">
        <f t="shared" si="180"/>
        <v>22923526.043833416</v>
      </c>
    </row>
    <row r="2364" spans="2:11">
      <c r="B2364" s="43">
        <v>45650</v>
      </c>
      <c r="C2364" s="32" t="s">
        <v>29</v>
      </c>
      <c r="D2364" s="32" t="s">
        <v>134</v>
      </c>
      <c r="E2364" s="36">
        <f t="shared" si="183"/>
        <v>22923526.043833416</v>
      </c>
      <c r="F2364" s="36">
        <v>0</v>
      </c>
      <c r="G2364" s="58">
        <v>-6749</v>
      </c>
      <c r="H2364" s="35">
        <f t="shared" si="184"/>
        <v>-6749</v>
      </c>
      <c r="I2364" s="35">
        <f t="shared" si="181"/>
        <v>0</v>
      </c>
      <c r="J2364" s="35">
        <f t="shared" si="182"/>
        <v>1243.7215258242734</v>
      </c>
      <c r="K2364" s="45">
        <f t="shared" si="180"/>
        <v>22915533.32230759</v>
      </c>
    </row>
    <row r="2365" spans="2:11">
      <c r="B2365" s="43">
        <v>45650</v>
      </c>
      <c r="C2365" s="32" t="s">
        <v>25</v>
      </c>
      <c r="D2365" s="32" t="s">
        <v>134</v>
      </c>
      <c r="E2365" s="36">
        <f t="shared" si="183"/>
        <v>22915533.32230759</v>
      </c>
      <c r="F2365" s="36">
        <v>0</v>
      </c>
      <c r="G2365" s="58">
        <v>-13062</v>
      </c>
      <c r="H2365" s="35">
        <f t="shared" si="184"/>
        <v>-13062</v>
      </c>
      <c r="I2365" s="35">
        <f t="shared" si="181"/>
        <v>0</v>
      </c>
      <c r="J2365" s="35">
        <f t="shared" si="182"/>
        <v>1243.2878787582601</v>
      </c>
      <c r="K2365" s="45">
        <f t="shared" si="180"/>
        <v>22901228.034428831</v>
      </c>
    </row>
    <row r="2366" spans="2:11">
      <c r="B2366" s="43">
        <v>45651</v>
      </c>
      <c r="C2366" s="32" t="s">
        <v>29</v>
      </c>
      <c r="D2366" s="32" t="s">
        <v>132</v>
      </c>
      <c r="E2366" s="36">
        <f t="shared" si="183"/>
        <v>22901228.034428831</v>
      </c>
      <c r="F2366" s="36">
        <v>14193.33</v>
      </c>
      <c r="G2366" s="58">
        <v>0</v>
      </c>
      <c r="H2366" s="35">
        <f t="shared" si="184"/>
        <v>14193.33</v>
      </c>
      <c r="I2366" s="35">
        <f t="shared" si="181"/>
        <v>0</v>
      </c>
      <c r="J2366" s="35">
        <f t="shared" si="182"/>
        <v>2485.0234837141475</v>
      </c>
      <c r="K2366" s="45">
        <f t="shared" si="180"/>
        <v>22912936.340945113</v>
      </c>
    </row>
    <row r="2367" spans="2:11">
      <c r="B2367" s="43">
        <v>45651</v>
      </c>
      <c r="C2367" s="32" t="s">
        <v>29</v>
      </c>
      <c r="D2367" s="32" t="s">
        <v>134</v>
      </c>
      <c r="E2367" s="36">
        <f t="shared" si="183"/>
        <v>22912936.340945113</v>
      </c>
      <c r="F2367" s="36">
        <v>0</v>
      </c>
      <c r="G2367" s="58">
        <v>-7411.77</v>
      </c>
      <c r="H2367" s="35">
        <f t="shared" si="184"/>
        <v>-7411.77</v>
      </c>
      <c r="I2367" s="35">
        <f t="shared" si="181"/>
        <v>0</v>
      </c>
      <c r="J2367" s="35">
        <f t="shared" si="182"/>
        <v>1243.1469788977195</v>
      </c>
      <c r="K2367" s="45">
        <f t="shared" si="180"/>
        <v>22904281.423966218</v>
      </c>
    </row>
    <row r="2368" spans="2:11">
      <c r="B2368" s="43">
        <v>45651</v>
      </c>
      <c r="C2368" s="32" t="s">
        <v>29</v>
      </c>
      <c r="D2368" s="32" t="s">
        <v>134</v>
      </c>
      <c r="E2368" s="36">
        <f t="shared" si="183"/>
        <v>22904281.423966218</v>
      </c>
      <c r="F2368" s="36">
        <v>0</v>
      </c>
      <c r="G2368" s="58">
        <v>-12055</v>
      </c>
      <c r="H2368" s="35">
        <f t="shared" si="184"/>
        <v>-12055</v>
      </c>
      <c r="I2368" s="35">
        <f t="shared" si="181"/>
        <v>0</v>
      </c>
      <c r="J2368" s="35">
        <f t="shared" si="182"/>
        <v>1242.6774042550448</v>
      </c>
      <c r="K2368" s="45">
        <f t="shared" si="180"/>
        <v>22890983.746561963</v>
      </c>
    </row>
    <row r="2369" spans="2:11">
      <c r="B2369" s="43">
        <v>45651</v>
      </c>
      <c r="C2369" s="32" t="s">
        <v>29</v>
      </c>
      <c r="D2369" s="32" t="s">
        <v>134</v>
      </c>
      <c r="E2369" s="36">
        <f t="shared" si="183"/>
        <v>22890983.746561963</v>
      </c>
      <c r="F2369" s="36">
        <v>0</v>
      </c>
      <c r="G2369" s="58">
        <v>-19643</v>
      </c>
      <c r="H2369" s="35">
        <f t="shared" si="184"/>
        <v>-19643</v>
      </c>
      <c r="I2369" s="35">
        <f t="shared" si="181"/>
        <v>0</v>
      </c>
      <c r="J2369" s="35">
        <f t="shared" si="182"/>
        <v>1241.9559355071954</v>
      </c>
      <c r="K2369" s="45">
        <f t="shared" si="180"/>
        <v>22870098.790626455</v>
      </c>
    </row>
    <row r="2370" spans="2:11">
      <c r="B2370" s="43">
        <v>45651</v>
      </c>
      <c r="C2370" s="32" t="s">
        <v>27</v>
      </c>
      <c r="D2370" s="32" t="s">
        <v>134</v>
      </c>
      <c r="E2370" s="36">
        <f t="shared" si="183"/>
        <v>22870098.790626455</v>
      </c>
      <c r="F2370" s="36">
        <v>0</v>
      </c>
      <c r="G2370" s="58">
        <v>-5720</v>
      </c>
      <c r="H2370" s="35">
        <f t="shared" si="184"/>
        <v>-5720</v>
      </c>
      <c r="I2370" s="35">
        <f t="shared" si="181"/>
        <v>0</v>
      </c>
      <c r="J2370" s="35">
        <f t="shared" si="182"/>
        <v>1240.8228171024084</v>
      </c>
      <c r="K2370" s="45">
        <f t="shared" si="180"/>
        <v>22863137.967809353</v>
      </c>
    </row>
    <row r="2371" spans="2:11">
      <c r="B2371" s="43">
        <v>45651</v>
      </c>
      <c r="C2371" s="32" t="s">
        <v>25</v>
      </c>
      <c r="D2371" s="32" t="s">
        <v>134</v>
      </c>
      <c r="E2371" s="36">
        <f t="shared" si="183"/>
        <v>22863137.967809353</v>
      </c>
      <c r="F2371" s="36">
        <v>0</v>
      </c>
      <c r="G2371" s="58">
        <v>-8342</v>
      </c>
      <c r="H2371" s="35">
        <f t="shared" si="184"/>
        <v>-8342</v>
      </c>
      <c r="I2371" s="35">
        <f t="shared" si="181"/>
        <v>0</v>
      </c>
      <c r="J2371" s="35">
        <f t="shared" si="182"/>
        <v>1240.4451559538343</v>
      </c>
      <c r="K2371" s="45">
        <f t="shared" si="180"/>
        <v>22853555.522653401</v>
      </c>
    </row>
    <row r="2372" spans="2:11">
      <c r="B2372" s="43">
        <v>45652</v>
      </c>
      <c r="C2372" s="32" t="s">
        <v>25</v>
      </c>
      <c r="D2372" s="32" t="s">
        <v>132</v>
      </c>
      <c r="E2372" s="36">
        <f t="shared" si="183"/>
        <v>22853555.522653401</v>
      </c>
      <c r="F2372" s="36">
        <v>13844.06</v>
      </c>
      <c r="G2372" s="58">
        <v>0</v>
      </c>
      <c r="H2372" s="35">
        <f t="shared" si="184"/>
        <v>13844.06</v>
      </c>
      <c r="I2372" s="35">
        <f t="shared" si="181"/>
        <v>0</v>
      </c>
      <c r="J2372" s="35">
        <f t="shared" si="182"/>
        <v>2479.8505160850104</v>
      </c>
      <c r="K2372" s="45">
        <f t="shared" si="180"/>
        <v>22864919.732137315</v>
      </c>
    </row>
    <row r="2373" spans="2:11">
      <c r="B2373" s="43">
        <v>45652</v>
      </c>
      <c r="C2373" s="32" t="s">
        <v>27</v>
      </c>
      <c r="D2373" s="32" t="s">
        <v>132</v>
      </c>
      <c r="E2373" s="36">
        <f t="shared" si="183"/>
        <v>22864919.732137315</v>
      </c>
      <c r="F2373" s="36">
        <v>14833.36</v>
      </c>
      <c r="G2373" s="58">
        <v>0</v>
      </c>
      <c r="H2373" s="35">
        <f t="shared" si="184"/>
        <v>14833.36</v>
      </c>
      <c r="I2373" s="35">
        <f t="shared" si="181"/>
        <v>0</v>
      </c>
      <c r="J2373" s="35">
        <f t="shared" si="182"/>
        <v>1240.5418260142951</v>
      </c>
      <c r="K2373" s="45">
        <f t="shared" si="180"/>
        <v>22878512.550311301</v>
      </c>
    </row>
    <row r="2374" spans="2:11">
      <c r="B2374" s="43">
        <v>45652</v>
      </c>
      <c r="C2374" s="32" t="s">
        <v>25</v>
      </c>
      <c r="D2374" s="32" t="s">
        <v>132</v>
      </c>
      <c r="E2374" s="36">
        <f t="shared" si="183"/>
        <v>22878512.550311301</v>
      </c>
      <c r="F2374" s="36">
        <v>22680.25</v>
      </c>
      <c r="G2374" s="58">
        <v>0</v>
      </c>
      <c r="H2374" s="35">
        <f t="shared" si="184"/>
        <v>22680.25</v>
      </c>
      <c r="I2374" s="35">
        <f t="shared" si="181"/>
        <v>0</v>
      </c>
      <c r="J2374" s="35">
        <f t="shared" si="182"/>
        <v>1241.2793076969681</v>
      </c>
      <c r="K2374" s="45">
        <f t="shared" si="180"/>
        <v>22899951.521003604</v>
      </c>
    </row>
    <row r="2375" spans="2:11">
      <c r="B2375" s="43">
        <v>45652</v>
      </c>
      <c r="C2375" s="32" t="s">
        <v>29</v>
      </c>
      <c r="D2375" s="32" t="s">
        <v>132</v>
      </c>
      <c r="E2375" s="36">
        <f t="shared" si="183"/>
        <v>22899951.521003604</v>
      </c>
      <c r="F2375" s="36">
        <v>17952.97</v>
      </c>
      <c r="G2375" s="58">
        <v>0</v>
      </c>
      <c r="H2375" s="35">
        <f t="shared" si="184"/>
        <v>17952.97</v>
      </c>
      <c r="I2375" s="35">
        <f t="shared" si="181"/>
        <v>0</v>
      </c>
      <c r="J2375" s="35">
        <f t="shared" si="182"/>
        <v>1242.4424843082165</v>
      </c>
      <c r="K2375" s="45">
        <f t="shared" si="180"/>
        <v>22916662.048519295</v>
      </c>
    </row>
    <row r="2376" spans="2:11">
      <c r="B2376" s="43">
        <v>45652</v>
      </c>
      <c r="C2376" s="32" t="s">
        <v>27</v>
      </c>
      <c r="D2376" s="32" t="s">
        <v>132</v>
      </c>
      <c r="E2376" s="36">
        <f t="shared" si="183"/>
        <v>22916662.048519295</v>
      </c>
      <c r="F2376" s="36">
        <v>17045.669999999998</v>
      </c>
      <c r="G2376" s="58">
        <v>0</v>
      </c>
      <c r="H2376" s="35">
        <f t="shared" si="184"/>
        <v>17045.669999999998</v>
      </c>
      <c r="I2376" s="35">
        <f t="shared" si="181"/>
        <v>0</v>
      </c>
      <c r="J2376" s="35">
        <f t="shared" si="182"/>
        <v>1243.3491180756134</v>
      </c>
      <c r="K2376" s="45">
        <f t="shared" ref="K2376:K2419" si="185">E2376+H2376+I2376-J2376</f>
        <v>22932464.36940122</v>
      </c>
    </row>
    <row r="2377" spans="2:11">
      <c r="B2377" s="43">
        <v>45652</v>
      </c>
      <c r="C2377" s="32" t="s">
        <v>27</v>
      </c>
      <c r="D2377" s="32" t="s">
        <v>132</v>
      </c>
      <c r="E2377" s="36">
        <f t="shared" si="183"/>
        <v>22932464.36940122</v>
      </c>
      <c r="F2377" s="36">
        <v>14326.1</v>
      </c>
      <c r="G2377" s="58">
        <v>0</v>
      </c>
      <c r="H2377" s="35">
        <f t="shared" si="184"/>
        <v>14326.1</v>
      </c>
      <c r="I2377" s="35">
        <f t="shared" si="181"/>
        <v>0</v>
      </c>
      <c r="J2377" s="35">
        <f t="shared" si="182"/>
        <v>1244.2064768694245</v>
      </c>
      <c r="K2377" s="45">
        <f t="shared" si="185"/>
        <v>22945546.262924351</v>
      </c>
    </row>
    <row r="2378" spans="2:11">
      <c r="B2378" s="43">
        <v>45652</v>
      </c>
      <c r="C2378" s="32" t="s">
        <v>25</v>
      </c>
      <c r="D2378" s="32" t="s">
        <v>132</v>
      </c>
      <c r="E2378" s="36">
        <f t="shared" si="183"/>
        <v>22945546.262924351</v>
      </c>
      <c r="F2378" s="36">
        <v>15063.81</v>
      </c>
      <c r="G2378" s="58">
        <v>0</v>
      </c>
      <c r="H2378" s="35">
        <f t="shared" si="184"/>
        <v>15063.81</v>
      </c>
      <c r="I2378" s="35">
        <f t="shared" si="181"/>
        <v>0</v>
      </c>
      <c r="J2378" s="35">
        <f t="shared" si="182"/>
        <v>1244.9162382098982</v>
      </c>
      <c r="K2378" s="45">
        <f t="shared" si="185"/>
        <v>22959365.156686138</v>
      </c>
    </row>
    <row r="2379" spans="2:11">
      <c r="B2379" s="43">
        <v>45652</v>
      </c>
      <c r="C2379" s="32" t="s">
        <v>27</v>
      </c>
      <c r="D2379" s="32" t="s">
        <v>134</v>
      </c>
      <c r="E2379" s="36">
        <f t="shared" si="183"/>
        <v>22959365.156686138</v>
      </c>
      <c r="F2379" s="36">
        <v>0</v>
      </c>
      <c r="G2379" s="58">
        <v>-12690.92</v>
      </c>
      <c r="H2379" s="35">
        <f t="shared" si="184"/>
        <v>-12690.92</v>
      </c>
      <c r="I2379" s="35">
        <f t="shared" si="181"/>
        <v>0</v>
      </c>
      <c r="J2379" s="35">
        <f t="shared" si="182"/>
        <v>1245.6659856790159</v>
      </c>
      <c r="K2379" s="45">
        <f t="shared" si="185"/>
        <v>22945428.570700459</v>
      </c>
    </row>
    <row r="2380" spans="2:11">
      <c r="B2380" s="43">
        <v>45652</v>
      </c>
      <c r="C2380" s="32" t="s">
        <v>25</v>
      </c>
      <c r="D2380" s="32" t="s">
        <v>134</v>
      </c>
      <c r="E2380" s="36">
        <f t="shared" si="183"/>
        <v>22945428.570700459</v>
      </c>
      <c r="F2380" s="36">
        <v>0</v>
      </c>
      <c r="G2380" s="58">
        <v>-8594.67</v>
      </c>
      <c r="H2380" s="35">
        <f t="shared" si="184"/>
        <v>-8594.67</v>
      </c>
      <c r="I2380" s="35">
        <f t="shared" si="181"/>
        <v>0</v>
      </c>
      <c r="J2380" s="35">
        <f t="shared" si="182"/>
        <v>1244.9098527894357</v>
      </c>
      <c r="K2380" s="45">
        <f t="shared" si="185"/>
        <v>22935588.99084767</v>
      </c>
    </row>
    <row r="2381" spans="2:11">
      <c r="B2381" s="43">
        <v>45652</v>
      </c>
      <c r="C2381" s="32" t="s">
        <v>25</v>
      </c>
      <c r="D2381" s="32" t="s">
        <v>134</v>
      </c>
      <c r="E2381" s="36">
        <f t="shared" si="183"/>
        <v>22935588.99084767</v>
      </c>
      <c r="F2381" s="36">
        <v>0</v>
      </c>
      <c r="G2381" s="58">
        <v>-12737</v>
      </c>
      <c r="H2381" s="35">
        <f t="shared" si="184"/>
        <v>-12737</v>
      </c>
      <c r="I2381" s="35">
        <f t="shared" si="181"/>
        <v>0</v>
      </c>
      <c r="J2381" s="35">
        <f t="shared" si="182"/>
        <v>1244.3760039720862</v>
      </c>
      <c r="K2381" s="45">
        <f t="shared" si="185"/>
        <v>22921607.614843696</v>
      </c>
    </row>
    <row r="2382" spans="2:11">
      <c r="B2382" s="43">
        <v>45653</v>
      </c>
      <c r="C2382" s="32" t="s">
        <v>29</v>
      </c>
      <c r="D2382" s="32" t="s">
        <v>132</v>
      </c>
      <c r="E2382" s="36">
        <f t="shared" si="183"/>
        <v>22921607.614843696</v>
      </c>
      <c r="F2382" s="36">
        <v>11865.57</v>
      </c>
      <c r="G2382" s="58">
        <v>0</v>
      </c>
      <c r="H2382" s="35">
        <f t="shared" si="184"/>
        <v>11865.57</v>
      </c>
      <c r="I2382" s="35">
        <f t="shared" si="181"/>
        <v>0</v>
      </c>
      <c r="J2382" s="35">
        <f t="shared" si="182"/>
        <v>2487.2348819781637</v>
      </c>
      <c r="K2382" s="45">
        <f t="shared" si="185"/>
        <v>22930985.949961718</v>
      </c>
    </row>
    <row r="2383" spans="2:11">
      <c r="B2383" s="43">
        <v>45653</v>
      </c>
      <c r="C2383" s="32" t="s">
        <v>27</v>
      </c>
      <c r="D2383" s="32" t="s">
        <v>134</v>
      </c>
      <c r="E2383" s="36">
        <f t="shared" si="183"/>
        <v>22930985.949961718</v>
      </c>
      <c r="F2383" s="36">
        <v>0</v>
      </c>
      <c r="G2383" s="58">
        <v>-956.76</v>
      </c>
      <c r="H2383" s="35">
        <f t="shared" si="184"/>
        <v>-956.76</v>
      </c>
      <c r="I2383" s="35">
        <f t="shared" si="181"/>
        <v>0</v>
      </c>
      <c r="J2383" s="35">
        <f t="shared" si="182"/>
        <v>1244.1262648602601</v>
      </c>
      <c r="K2383" s="45">
        <f t="shared" si="185"/>
        <v>22928785.063696858</v>
      </c>
    </row>
    <row r="2384" spans="2:11">
      <c r="B2384" s="43">
        <v>45654</v>
      </c>
      <c r="C2384" s="32" t="s">
        <v>29</v>
      </c>
      <c r="D2384" s="32" t="s">
        <v>132</v>
      </c>
      <c r="E2384" s="36">
        <f t="shared" si="183"/>
        <v>22928785.063696858</v>
      </c>
      <c r="F2384" s="36">
        <v>14856.87</v>
      </c>
      <c r="G2384" s="58">
        <v>0</v>
      </c>
      <c r="H2384" s="35">
        <f t="shared" si="184"/>
        <v>14856.87</v>
      </c>
      <c r="I2384" s="35">
        <f t="shared" si="181"/>
        <v>0</v>
      </c>
      <c r="J2384" s="35">
        <f t="shared" si="182"/>
        <v>2488.0137104727078</v>
      </c>
      <c r="K2384" s="45">
        <f t="shared" si="185"/>
        <v>22941153.919986386</v>
      </c>
    </row>
    <row r="2385" spans="2:11">
      <c r="B2385" s="43">
        <v>45654</v>
      </c>
      <c r="C2385" s="32" t="s">
        <v>27</v>
      </c>
      <c r="D2385" s="32" t="s">
        <v>134</v>
      </c>
      <c r="E2385" s="36">
        <f t="shared" si="183"/>
        <v>22941153.919986386</v>
      </c>
      <c r="F2385" s="36">
        <v>0</v>
      </c>
      <c r="G2385" s="58">
        <v>-11820.57</v>
      </c>
      <c r="H2385" s="35">
        <f t="shared" si="184"/>
        <v>-11820.57</v>
      </c>
      <c r="I2385" s="35">
        <f t="shared" si="181"/>
        <v>0</v>
      </c>
      <c r="J2385" s="35">
        <f t="shared" si="182"/>
        <v>1244.6779305668986</v>
      </c>
      <c r="K2385" s="45">
        <f t="shared" si="185"/>
        <v>22928088.672055818</v>
      </c>
    </row>
    <row r="2386" spans="2:11">
      <c r="B2386" s="43">
        <v>45654</v>
      </c>
      <c r="C2386" s="32" t="s">
        <v>29</v>
      </c>
      <c r="D2386" s="32" t="s">
        <v>134</v>
      </c>
      <c r="E2386" s="36">
        <f t="shared" si="183"/>
        <v>22928088.672055818</v>
      </c>
      <c r="F2386" s="36">
        <v>0</v>
      </c>
      <c r="G2386" s="58">
        <v>-9130.32</v>
      </c>
      <c r="H2386" s="35">
        <f t="shared" si="184"/>
        <v>-9130.32</v>
      </c>
      <c r="I2386" s="35">
        <f t="shared" si="181"/>
        <v>0</v>
      </c>
      <c r="J2386" s="35">
        <f t="shared" si="182"/>
        <v>1243.9690723371302</v>
      </c>
      <c r="K2386" s="45">
        <f t="shared" si="185"/>
        <v>22917714.38298348</v>
      </c>
    </row>
    <row r="2387" spans="2:11">
      <c r="B2387" s="43">
        <v>45654</v>
      </c>
      <c r="C2387" s="32" t="s">
        <v>27</v>
      </c>
      <c r="D2387" s="32" t="s">
        <v>134</v>
      </c>
      <c r="E2387" s="36">
        <f t="shared" si="183"/>
        <v>22917714.38298348</v>
      </c>
      <c r="F2387" s="36">
        <v>0</v>
      </c>
      <c r="G2387" s="58">
        <v>-8776.36</v>
      </c>
      <c r="H2387" s="35">
        <f t="shared" si="184"/>
        <v>-8776.36</v>
      </c>
      <c r="I2387" s="35">
        <f t="shared" si="181"/>
        <v>0</v>
      </c>
      <c r="J2387" s="35">
        <f t="shared" si="182"/>
        <v>1243.4062127399759</v>
      </c>
      <c r="K2387" s="45">
        <f t="shared" si="185"/>
        <v>22907694.616770741</v>
      </c>
    </row>
    <row r="2388" spans="2:11">
      <c r="B2388" s="43">
        <v>45654</v>
      </c>
      <c r="C2388" s="32" t="s">
        <v>29</v>
      </c>
      <c r="D2388" s="32" t="s">
        <v>134</v>
      </c>
      <c r="E2388" s="36">
        <f t="shared" si="183"/>
        <v>22907694.616770741</v>
      </c>
      <c r="F2388" s="36">
        <v>0</v>
      </c>
      <c r="G2388" s="58">
        <v>-4406.34</v>
      </c>
      <c r="H2388" s="35">
        <f t="shared" si="184"/>
        <v>-4406.34</v>
      </c>
      <c r="I2388" s="35">
        <f t="shared" ref="I2388:I2451" si="186">(($E2388*Daily_Interest)*(_xlfn.DAYS(B2388,B2387)+1))+((IF(DAY($B2387)&gt;Monthly_Cut_off_Date,0,Daily_Interest*H2388))*(_xlfn.DAYS(B2388,B2387)+1))</f>
        <v>0</v>
      </c>
      <c r="J2388" s="35">
        <f t="shared" ref="J2388:J2419" si="187">(($I2388+E2388)*Daily_Fees_Rate)*((_xlfn.DAYS(B2388,B2387)+1))</f>
        <v>1242.8625878674898</v>
      </c>
      <c r="K2388" s="45">
        <f t="shared" si="185"/>
        <v>22902045.414182872</v>
      </c>
    </row>
    <row r="2389" spans="2:11">
      <c r="B2389" s="43">
        <v>45654</v>
      </c>
      <c r="C2389" s="32" t="s">
        <v>29</v>
      </c>
      <c r="D2389" s="32" t="s">
        <v>134</v>
      </c>
      <c r="E2389" s="36">
        <f t="shared" ref="E2389:E2419" si="188">K2388</f>
        <v>22902045.414182872</v>
      </c>
      <c r="F2389" s="36">
        <v>0</v>
      </c>
      <c r="G2389" s="58">
        <v>-3509.11</v>
      </c>
      <c r="H2389" s="35">
        <f t="shared" ref="H2389:H2419" si="189">SUM(F2389:G2389)</f>
        <v>-3509.11</v>
      </c>
      <c r="I2389" s="35">
        <f t="shared" si="186"/>
        <v>0</v>
      </c>
      <c r="J2389" s="35">
        <f t="shared" si="187"/>
        <v>1242.5560889960318</v>
      </c>
      <c r="K2389" s="45">
        <f t="shared" si="185"/>
        <v>22897293.748093877</v>
      </c>
    </row>
    <row r="2390" spans="2:11">
      <c r="B2390" s="43">
        <v>45654</v>
      </c>
      <c r="C2390" s="32" t="s">
        <v>29</v>
      </c>
      <c r="D2390" s="32" t="s">
        <v>134</v>
      </c>
      <c r="E2390" s="36">
        <f t="shared" si="188"/>
        <v>22897293.748093877</v>
      </c>
      <c r="F2390" s="36">
        <v>0</v>
      </c>
      <c r="G2390" s="58">
        <v>-8990</v>
      </c>
      <c r="H2390" s="35">
        <f t="shared" si="189"/>
        <v>-8990</v>
      </c>
      <c r="I2390" s="35">
        <f t="shared" si="186"/>
        <v>0</v>
      </c>
      <c r="J2390" s="35">
        <f t="shared" si="187"/>
        <v>1242.2982861873752</v>
      </c>
      <c r="K2390" s="45">
        <f t="shared" si="185"/>
        <v>22887061.449807689</v>
      </c>
    </row>
    <row r="2391" spans="2:11">
      <c r="B2391" s="43">
        <v>45655</v>
      </c>
      <c r="C2391" s="32" t="s">
        <v>25</v>
      </c>
      <c r="D2391" s="32" t="s">
        <v>132</v>
      </c>
      <c r="E2391" s="36">
        <f t="shared" si="188"/>
        <v>22887061.449807689</v>
      </c>
      <c r="F2391" s="36">
        <v>10177.549999999999</v>
      </c>
      <c r="G2391" s="58">
        <v>0</v>
      </c>
      <c r="H2391" s="35">
        <f t="shared" si="189"/>
        <v>10177.549999999999</v>
      </c>
      <c r="I2391" s="35">
        <f t="shared" si="186"/>
        <v>0</v>
      </c>
      <c r="J2391" s="35">
        <f t="shared" si="187"/>
        <v>2483.4862606702723</v>
      </c>
      <c r="K2391" s="45">
        <f t="shared" si="185"/>
        <v>22894755.513547018</v>
      </c>
    </row>
    <row r="2392" spans="2:11">
      <c r="B2392" s="43">
        <v>45655</v>
      </c>
      <c r="C2392" s="32" t="s">
        <v>25</v>
      </c>
      <c r="D2392" s="32" t="s">
        <v>132</v>
      </c>
      <c r="E2392" s="36">
        <f t="shared" si="188"/>
        <v>22894755.513547018</v>
      </c>
      <c r="F2392" s="36">
        <v>23160.51</v>
      </c>
      <c r="G2392" s="58">
        <v>0</v>
      </c>
      <c r="H2392" s="35">
        <f t="shared" si="189"/>
        <v>23160.51</v>
      </c>
      <c r="I2392" s="35">
        <f t="shared" si="186"/>
        <v>0</v>
      </c>
      <c r="J2392" s="35">
        <f t="shared" si="187"/>
        <v>1242.1605736497193</v>
      </c>
      <c r="K2392" s="45">
        <f t="shared" si="185"/>
        <v>22916673.86297337</v>
      </c>
    </row>
    <row r="2393" spans="2:11">
      <c r="B2393" s="43">
        <v>45655</v>
      </c>
      <c r="C2393" s="32" t="s">
        <v>29</v>
      </c>
      <c r="D2393" s="32" t="s">
        <v>132</v>
      </c>
      <c r="E2393" s="36">
        <f t="shared" si="188"/>
        <v>22916673.86297337</v>
      </c>
      <c r="F2393" s="36">
        <v>15731.06</v>
      </c>
      <c r="G2393" s="58">
        <v>0</v>
      </c>
      <c r="H2393" s="35">
        <f t="shared" si="189"/>
        <v>15731.06</v>
      </c>
      <c r="I2393" s="35">
        <f t="shared" si="186"/>
        <v>0</v>
      </c>
      <c r="J2393" s="35">
        <f t="shared" si="187"/>
        <v>1243.3497590717161</v>
      </c>
      <c r="K2393" s="45">
        <f t="shared" si="185"/>
        <v>22931161.573214296</v>
      </c>
    </row>
    <row r="2394" spans="2:11">
      <c r="B2394" s="43">
        <v>45655</v>
      </c>
      <c r="C2394" s="32" t="s">
        <v>25</v>
      </c>
      <c r="D2394" s="32" t="s">
        <v>134</v>
      </c>
      <c r="E2394" s="36">
        <f t="shared" si="188"/>
        <v>22931161.573214296</v>
      </c>
      <c r="F2394" s="36">
        <v>0</v>
      </c>
      <c r="G2394" s="58">
        <v>-8488.0400000000009</v>
      </c>
      <c r="H2394" s="35">
        <f t="shared" si="189"/>
        <v>-8488.0400000000009</v>
      </c>
      <c r="I2394" s="35">
        <f t="shared" si="186"/>
        <v>0</v>
      </c>
      <c r="J2394" s="35">
        <f t="shared" si="187"/>
        <v>1244.1357933428874</v>
      </c>
      <c r="K2394" s="45">
        <f t="shared" si="185"/>
        <v>22921429.397420954</v>
      </c>
    </row>
    <row r="2395" spans="2:11">
      <c r="B2395" s="43">
        <v>45655</v>
      </c>
      <c r="C2395" s="32" t="s">
        <v>25</v>
      </c>
      <c r="D2395" s="32" t="s">
        <v>134</v>
      </c>
      <c r="E2395" s="36">
        <f t="shared" si="188"/>
        <v>22921429.397420954</v>
      </c>
      <c r="F2395" s="36">
        <v>0</v>
      </c>
      <c r="G2395" s="58">
        <v>-19397</v>
      </c>
      <c r="H2395" s="35">
        <f t="shared" si="189"/>
        <v>-19397</v>
      </c>
      <c r="I2395" s="35">
        <f t="shared" si="186"/>
        <v>0</v>
      </c>
      <c r="J2395" s="35">
        <f t="shared" si="187"/>
        <v>1243.6077717591163</v>
      </c>
      <c r="K2395" s="45">
        <f t="shared" si="185"/>
        <v>22900788.789649196</v>
      </c>
    </row>
    <row r="2396" spans="2:11">
      <c r="B2396" s="43">
        <v>45655</v>
      </c>
      <c r="C2396" s="32" t="s">
        <v>25</v>
      </c>
      <c r="D2396" s="32" t="s">
        <v>134</v>
      </c>
      <c r="E2396" s="36">
        <f t="shared" si="188"/>
        <v>22900788.789649196</v>
      </c>
      <c r="F2396" s="36">
        <v>0</v>
      </c>
      <c r="G2396" s="58">
        <v>-9822</v>
      </c>
      <c r="H2396" s="35">
        <f t="shared" si="189"/>
        <v>-9822</v>
      </c>
      <c r="I2396" s="35">
        <f t="shared" si="186"/>
        <v>0</v>
      </c>
      <c r="J2396" s="35">
        <f t="shared" si="187"/>
        <v>1242.487910523862</v>
      </c>
      <c r="K2396" s="45">
        <f t="shared" si="185"/>
        <v>22889724.301738672</v>
      </c>
    </row>
    <row r="2397" spans="2:11">
      <c r="B2397" s="43">
        <v>45655</v>
      </c>
      <c r="C2397" s="32" t="s">
        <v>29</v>
      </c>
      <c r="D2397" s="32" t="s">
        <v>134</v>
      </c>
      <c r="E2397" s="36">
        <f t="shared" si="188"/>
        <v>22889724.301738672</v>
      </c>
      <c r="F2397" s="36">
        <v>0</v>
      </c>
      <c r="G2397" s="58">
        <v>-20673</v>
      </c>
      <c r="H2397" s="35">
        <f t="shared" si="189"/>
        <v>-20673</v>
      </c>
      <c r="I2397" s="35">
        <f t="shared" si="186"/>
        <v>0</v>
      </c>
      <c r="J2397" s="35">
        <f t="shared" si="187"/>
        <v>1241.8876040195212</v>
      </c>
      <c r="K2397" s="45">
        <f t="shared" si="185"/>
        <v>22867809.414134651</v>
      </c>
    </row>
    <row r="2398" spans="2:11">
      <c r="B2398" s="43">
        <v>45656</v>
      </c>
      <c r="C2398" s="32" t="s">
        <v>25</v>
      </c>
      <c r="D2398" s="32" t="s">
        <v>132</v>
      </c>
      <c r="E2398" s="36">
        <f t="shared" si="188"/>
        <v>22867809.414134651</v>
      </c>
      <c r="F2398" s="36">
        <v>15642.28</v>
      </c>
      <c r="G2398" s="58">
        <v>0</v>
      </c>
      <c r="H2398" s="35">
        <f t="shared" si="189"/>
        <v>15642.28</v>
      </c>
      <c r="I2398" s="35">
        <f t="shared" si="186"/>
        <v>0</v>
      </c>
      <c r="J2398" s="35">
        <f t="shared" si="187"/>
        <v>2481.3972128390869</v>
      </c>
      <c r="K2398" s="45">
        <f t="shared" si="185"/>
        <v>22880970.296921812</v>
      </c>
    </row>
    <row r="2399" spans="2:11">
      <c r="B2399" s="43">
        <v>45656</v>
      </c>
      <c r="C2399" s="32" t="s">
        <v>27</v>
      </c>
      <c r="D2399" s="32" t="s">
        <v>132</v>
      </c>
      <c r="E2399" s="36">
        <f t="shared" si="188"/>
        <v>22880970.296921812</v>
      </c>
      <c r="F2399" s="36">
        <v>13543.91</v>
      </c>
      <c r="G2399" s="58">
        <v>0</v>
      </c>
      <c r="H2399" s="35">
        <f t="shared" si="189"/>
        <v>13543.91</v>
      </c>
      <c r="I2399" s="35">
        <f t="shared" si="186"/>
        <v>0</v>
      </c>
      <c r="J2399" s="35">
        <f t="shared" si="187"/>
        <v>1241.4126533419037</v>
      </c>
      <c r="K2399" s="45">
        <f t="shared" si="185"/>
        <v>22893272.79426847</v>
      </c>
    </row>
    <row r="2400" spans="2:11">
      <c r="B2400" s="43">
        <v>45656</v>
      </c>
      <c r="C2400" s="32" t="s">
        <v>29</v>
      </c>
      <c r="D2400" s="32" t="s">
        <v>132</v>
      </c>
      <c r="E2400" s="36">
        <f t="shared" si="188"/>
        <v>22893272.79426847</v>
      </c>
      <c r="F2400" s="36">
        <v>17152.63</v>
      </c>
      <c r="G2400" s="58">
        <v>0</v>
      </c>
      <c r="H2400" s="35">
        <f t="shared" si="189"/>
        <v>17152.63</v>
      </c>
      <c r="I2400" s="35">
        <f t="shared" si="186"/>
        <v>0</v>
      </c>
      <c r="J2400" s="35">
        <f t="shared" si="187"/>
        <v>1242.0801283517333</v>
      </c>
      <c r="K2400" s="45">
        <f t="shared" si="185"/>
        <v>22909183.344140116</v>
      </c>
    </row>
    <row r="2401" spans="2:11">
      <c r="B2401" s="43">
        <v>45656</v>
      </c>
      <c r="C2401" s="32" t="s">
        <v>25</v>
      </c>
      <c r="D2401" s="32" t="s">
        <v>132</v>
      </c>
      <c r="E2401" s="36">
        <f t="shared" si="188"/>
        <v>22909183.344140116</v>
      </c>
      <c r="F2401" s="36">
        <v>10117.370000000001</v>
      </c>
      <c r="G2401" s="58">
        <v>0</v>
      </c>
      <c r="H2401" s="35">
        <f t="shared" si="189"/>
        <v>10117.370000000001</v>
      </c>
      <c r="I2401" s="35">
        <f t="shared" si="186"/>
        <v>0</v>
      </c>
      <c r="J2401" s="35">
        <f t="shared" si="187"/>
        <v>1242.9433591359166</v>
      </c>
      <c r="K2401" s="45">
        <f t="shared" si="185"/>
        <v>22918057.770780981</v>
      </c>
    </row>
    <row r="2402" spans="2:11">
      <c r="B2402" s="43">
        <v>45656</v>
      </c>
      <c r="C2402" s="32" t="s">
        <v>27</v>
      </c>
      <c r="D2402" s="32" t="s">
        <v>132</v>
      </c>
      <c r="E2402" s="36">
        <f t="shared" si="188"/>
        <v>22918057.770780981</v>
      </c>
      <c r="F2402" s="36">
        <v>15839.91</v>
      </c>
      <c r="G2402" s="58">
        <v>0</v>
      </c>
      <c r="H2402" s="35">
        <f t="shared" si="189"/>
        <v>15839.91</v>
      </c>
      <c r="I2402" s="35">
        <f t="shared" si="186"/>
        <v>0</v>
      </c>
      <c r="J2402" s="35">
        <f t="shared" si="187"/>
        <v>1243.42484332912</v>
      </c>
      <c r="K2402" s="45">
        <f t="shared" si="185"/>
        <v>22932654.255937651</v>
      </c>
    </row>
    <row r="2403" spans="2:11">
      <c r="B2403" s="43">
        <v>45656</v>
      </c>
      <c r="C2403" s="32" t="s">
        <v>27</v>
      </c>
      <c r="D2403" s="32" t="s">
        <v>132</v>
      </c>
      <c r="E2403" s="36">
        <f t="shared" si="188"/>
        <v>22932654.255937651</v>
      </c>
      <c r="F2403" s="36">
        <v>13380.72</v>
      </c>
      <c r="G2403" s="58">
        <v>0</v>
      </c>
      <c r="H2403" s="35">
        <f t="shared" si="189"/>
        <v>13380.72</v>
      </c>
      <c r="I2403" s="35">
        <f t="shared" si="186"/>
        <v>0</v>
      </c>
      <c r="J2403" s="35">
        <f t="shared" si="187"/>
        <v>1244.2167792100142</v>
      </c>
      <c r="K2403" s="45">
        <f t="shared" si="185"/>
        <v>22944790.75915844</v>
      </c>
    </row>
    <row r="2404" spans="2:11">
      <c r="B2404" s="43">
        <v>45656</v>
      </c>
      <c r="C2404" s="32" t="s">
        <v>27</v>
      </c>
      <c r="D2404" s="32" t="s">
        <v>132</v>
      </c>
      <c r="E2404" s="36">
        <f t="shared" si="188"/>
        <v>22944790.75915844</v>
      </c>
      <c r="F2404" s="36">
        <v>8403.58</v>
      </c>
      <c r="G2404" s="58">
        <v>0</v>
      </c>
      <c r="H2404" s="35">
        <f t="shared" si="189"/>
        <v>8403.58</v>
      </c>
      <c r="I2404" s="35">
        <f t="shared" si="186"/>
        <v>0</v>
      </c>
      <c r="J2404" s="35">
        <f t="shared" si="187"/>
        <v>1244.8752481678468</v>
      </c>
      <c r="K2404" s="45">
        <f t="shared" si="185"/>
        <v>22951949.46391027</v>
      </c>
    </row>
    <row r="2405" spans="2:11">
      <c r="B2405" s="43">
        <v>45656</v>
      </c>
      <c r="C2405" s="32" t="s">
        <v>25</v>
      </c>
      <c r="D2405" s="32" t="s">
        <v>132</v>
      </c>
      <c r="E2405" s="36">
        <f t="shared" si="188"/>
        <v>22951949.46391027</v>
      </c>
      <c r="F2405" s="36">
        <v>16145.81</v>
      </c>
      <c r="G2405" s="58">
        <v>0</v>
      </c>
      <c r="H2405" s="35">
        <f t="shared" si="189"/>
        <v>16145.81</v>
      </c>
      <c r="I2405" s="35">
        <f t="shared" si="186"/>
        <v>0</v>
      </c>
      <c r="J2405" s="35">
        <f t="shared" si="187"/>
        <v>1245.2636454493054</v>
      </c>
      <c r="K2405" s="45">
        <f t="shared" si="185"/>
        <v>22966850.010264821</v>
      </c>
    </row>
    <row r="2406" spans="2:11">
      <c r="B2406" s="43">
        <v>45656</v>
      </c>
      <c r="C2406" s="32" t="s">
        <v>25</v>
      </c>
      <c r="D2406" s="32" t="s">
        <v>132</v>
      </c>
      <c r="E2406" s="36">
        <f t="shared" si="188"/>
        <v>22966850.010264821</v>
      </c>
      <c r="F2406" s="36">
        <v>15603.3</v>
      </c>
      <c r="G2406" s="58">
        <v>0</v>
      </c>
      <c r="H2406" s="35">
        <f t="shared" si="189"/>
        <v>15603.3</v>
      </c>
      <c r="I2406" s="35">
        <f t="shared" si="186"/>
        <v>0</v>
      </c>
      <c r="J2406" s="35">
        <f t="shared" si="187"/>
        <v>1246.0720782450394</v>
      </c>
      <c r="K2406" s="45">
        <f t="shared" si="185"/>
        <v>22981207.238186575</v>
      </c>
    </row>
    <row r="2407" spans="2:11">
      <c r="B2407" s="43">
        <v>45656</v>
      </c>
      <c r="C2407" s="32" t="s">
        <v>27</v>
      </c>
      <c r="D2407" s="32" t="s">
        <v>132</v>
      </c>
      <c r="E2407" s="36">
        <f t="shared" si="188"/>
        <v>22981207.238186575</v>
      </c>
      <c r="F2407" s="36">
        <v>12935.55</v>
      </c>
      <c r="G2407" s="58">
        <v>0</v>
      </c>
      <c r="H2407" s="35">
        <f t="shared" si="189"/>
        <v>12935.55</v>
      </c>
      <c r="I2407" s="35">
        <f t="shared" si="186"/>
        <v>0</v>
      </c>
      <c r="J2407" s="35">
        <f t="shared" si="187"/>
        <v>1246.8510331659929</v>
      </c>
      <c r="K2407" s="45">
        <f t="shared" si="185"/>
        <v>22992895.93715341</v>
      </c>
    </row>
    <row r="2408" spans="2:11">
      <c r="B2408" s="43">
        <v>45656</v>
      </c>
      <c r="C2408" s="32" t="s">
        <v>27</v>
      </c>
      <c r="D2408" s="32" t="s">
        <v>134</v>
      </c>
      <c r="E2408" s="36">
        <f t="shared" si="188"/>
        <v>22992895.93715341</v>
      </c>
      <c r="F2408" s="36">
        <v>0</v>
      </c>
      <c r="G2408" s="58">
        <v>-11387</v>
      </c>
      <c r="H2408" s="35">
        <f t="shared" si="189"/>
        <v>-11387</v>
      </c>
      <c r="I2408" s="35">
        <f t="shared" si="186"/>
        <v>0</v>
      </c>
      <c r="J2408" s="35">
        <f t="shared" si="187"/>
        <v>1247.4852063942362</v>
      </c>
      <c r="K2408" s="45">
        <f t="shared" si="185"/>
        <v>22980261.451947015</v>
      </c>
    </row>
    <row r="2409" spans="2:11">
      <c r="B2409" s="43">
        <v>45656</v>
      </c>
      <c r="C2409" s="32" t="s">
        <v>25</v>
      </c>
      <c r="D2409" s="32" t="s">
        <v>134</v>
      </c>
      <c r="E2409" s="36">
        <f t="shared" si="188"/>
        <v>22980261.451947015</v>
      </c>
      <c r="F2409" s="36">
        <v>0</v>
      </c>
      <c r="G2409" s="58">
        <v>-17231</v>
      </c>
      <c r="H2409" s="35">
        <f t="shared" si="189"/>
        <v>-17231</v>
      </c>
      <c r="I2409" s="35">
        <f t="shared" si="186"/>
        <v>0</v>
      </c>
      <c r="J2409" s="35">
        <f t="shared" si="187"/>
        <v>1246.7997193016809</v>
      </c>
      <c r="K2409" s="45">
        <f t="shared" si="185"/>
        <v>22961783.652227715</v>
      </c>
    </row>
    <row r="2410" spans="2:11">
      <c r="B2410" s="43">
        <v>45657</v>
      </c>
      <c r="C2410" s="32" t="s">
        <v>27</v>
      </c>
      <c r="D2410" s="32" t="s">
        <v>132</v>
      </c>
      <c r="E2410" s="36">
        <f t="shared" si="188"/>
        <v>22961783.652227715</v>
      </c>
      <c r="F2410" s="36">
        <v>19649.8</v>
      </c>
      <c r="G2410" s="58">
        <v>0</v>
      </c>
      <c r="H2410" s="35">
        <f t="shared" si="189"/>
        <v>19649.8</v>
      </c>
      <c r="I2410" s="35">
        <f t="shared" si="186"/>
        <v>0</v>
      </c>
      <c r="J2410" s="35">
        <f t="shared" si="187"/>
        <v>2491.5944034951658</v>
      </c>
      <c r="K2410" s="45">
        <f t="shared" si="185"/>
        <v>22978941.857824221</v>
      </c>
    </row>
    <row r="2411" spans="2:11">
      <c r="B2411" s="43">
        <v>45657</v>
      </c>
      <c r="C2411" s="32" t="s">
        <v>27</v>
      </c>
      <c r="D2411" s="32" t="s">
        <v>132</v>
      </c>
      <c r="E2411" s="36">
        <f t="shared" si="188"/>
        <v>22978941.857824221</v>
      </c>
      <c r="F2411" s="36">
        <v>17058.78</v>
      </c>
      <c r="G2411" s="58">
        <v>0</v>
      </c>
      <c r="H2411" s="35">
        <f t="shared" si="189"/>
        <v>17058.78</v>
      </c>
      <c r="I2411" s="35">
        <f t="shared" si="186"/>
        <v>0</v>
      </c>
      <c r="J2411" s="35">
        <f t="shared" si="187"/>
        <v>1246.7281243990149</v>
      </c>
      <c r="K2411" s="45">
        <f t="shared" si="185"/>
        <v>22994753.909699824</v>
      </c>
    </row>
    <row r="2412" spans="2:11">
      <c r="B2412" s="43">
        <v>45657</v>
      </c>
      <c r="C2412" s="32" t="s">
        <v>27</v>
      </c>
      <c r="D2412" s="32" t="s">
        <v>132</v>
      </c>
      <c r="E2412" s="36">
        <f t="shared" si="188"/>
        <v>22994753.909699824</v>
      </c>
      <c r="F2412" s="36">
        <v>16901.759999999998</v>
      </c>
      <c r="G2412" s="58">
        <v>0</v>
      </c>
      <c r="H2412" s="35">
        <f t="shared" si="189"/>
        <v>16901.759999999998</v>
      </c>
      <c r="I2412" s="35">
        <f t="shared" si="186"/>
        <v>0</v>
      </c>
      <c r="J2412" s="35">
        <f t="shared" si="187"/>
        <v>1247.5860111502734</v>
      </c>
      <c r="K2412" s="45">
        <f t="shared" si="185"/>
        <v>23010408.083688676</v>
      </c>
    </row>
    <row r="2413" spans="2:11">
      <c r="B2413" s="43">
        <v>45657</v>
      </c>
      <c r="C2413" s="32" t="s">
        <v>29</v>
      </c>
      <c r="D2413" s="32" t="s">
        <v>132</v>
      </c>
      <c r="E2413" s="36">
        <f t="shared" si="188"/>
        <v>23010408.083688676</v>
      </c>
      <c r="F2413" s="36">
        <v>10564.24</v>
      </c>
      <c r="G2413" s="58">
        <v>0</v>
      </c>
      <c r="H2413" s="35">
        <f t="shared" si="189"/>
        <v>10564.24</v>
      </c>
      <c r="I2413" s="35">
        <f t="shared" si="186"/>
        <v>0</v>
      </c>
      <c r="J2413" s="35">
        <f t="shared" si="187"/>
        <v>1248.4353321980784</v>
      </c>
      <c r="K2413" s="45">
        <f t="shared" si="185"/>
        <v>23019723.888356477</v>
      </c>
    </row>
    <row r="2414" spans="2:11">
      <c r="B2414" s="43">
        <v>45657</v>
      </c>
      <c r="C2414" s="32" t="s">
        <v>27</v>
      </c>
      <c r="D2414" s="32" t="s">
        <v>132</v>
      </c>
      <c r="E2414" s="36">
        <f t="shared" si="188"/>
        <v>23019723.888356477</v>
      </c>
      <c r="F2414" s="36">
        <v>16131.9</v>
      </c>
      <c r="G2414" s="58">
        <v>0</v>
      </c>
      <c r="H2414" s="35">
        <f t="shared" si="189"/>
        <v>16131.9</v>
      </c>
      <c r="I2414" s="35">
        <f t="shared" si="186"/>
        <v>0</v>
      </c>
      <c r="J2414" s="35">
        <f t="shared" si="187"/>
        <v>1248.9407634643489</v>
      </c>
      <c r="K2414" s="45">
        <f t="shared" si="185"/>
        <v>23034606.847593009</v>
      </c>
    </row>
    <row r="2415" spans="2:11">
      <c r="B2415" s="43">
        <v>45657</v>
      </c>
      <c r="C2415" s="32" t="s">
        <v>29</v>
      </c>
      <c r="D2415" s="32" t="s">
        <v>132</v>
      </c>
      <c r="E2415" s="36">
        <f t="shared" si="188"/>
        <v>23034606.847593009</v>
      </c>
      <c r="F2415" s="36">
        <v>13287.76</v>
      </c>
      <c r="G2415" s="58">
        <v>0</v>
      </c>
      <c r="H2415" s="35">
        <f t="shared" si="189"/>
        <v>13287.76</v>
      </c>
      <c r="I2415" s="35">
        <f t="shared" si="186"/>
        <v>0</v>
      </c>
      <c r="J2415" s="35">
        <f t="shared" si="187"/>
        <v>1249.7482420666829</v>
      </c>
      <c r="K2415" s="45">
        <f t="shared" si="185"/>
        <v>23046644.859350946</v>
      </c>
    </row>
    <row r="2416" spans="2:11">
      <c r="B2416" s="43">
        <v>45657</v>
      </c>
      <c r="C2416" s="32" t="s">
        <v>27</v>
      </c>
      <c r="D2416" s="32" t="s">
        <v>132</v>
      </c>
      <c r="E2416" s="36">
        <f t="shared" si="188"/>
        <v>23046644.859350946</v>
      </c>
      <c r="F2416" s="36">
        <v>15657.45</v>
      </c>
      <c r="G2416" s="58">
        <v>0</v>
      </c>
      <c r="H2416" s="35">
        <f t="shared" si="189"/>
        <v>15657.45</v>
      </c>
      <c r="I2416" s="35">
        <f t="shared" si="186"/>
        <v>0</v>
      </c>
      <c r="J2416" s="35">
        <f t="shared" si="187"/>
        <v>1250.4013673460506</v>
      </c>
      <c r="K2416" s="45">
        <f t="shared" si="185"/>
        <v>23061051.907983597</v>
      </c>
    </row>
    <row r="2417" spans="2:11">
      <c r="B2417" s="43">
        <v>45657</v>
      </c>
      <c r="C2417" s="32" t="s">
        <v>25</v>
      </c>
      <c r="D2417" s="32" t="s">
        <v>132</v>
      </c>
      <c r="E2417" s="36">
        <f t="shared" si="188"/>
        <v>23061051.907983597</v>
      </c>
      <c r="F2417" s="36">
        <v>17649.330000000002</v>
      </c>
      <c r="G2417" s="58">
        <v>0</v>
      </c>
      <c r="H2417" s="35">
        <f t="shared" si="189"/>
        <v>17649.330000000002</v>
      </c>
      <c r="I2417" s="35">
        <f t="shared" si="186"/>
        <v>0</v>
      </c>
      <c r="J2417" s="35">
        <f t="shared" si="187"/>
        <v>1251.1830253018888</v>
      </c>
      <c r="K2417" s="45">
        <f t="shared" si="185"/>
        <v>23077450.054958295</v>
      </c>
    </row>
    <row r="2418" spans="2:11">
      <c r="B2418" s="43">
        <v>45657</v>
      </c>
      <c r="C2418" s="32" t="s">
        <v>29</v>
      </c>
      <c r="D2418" s="32" t="s">
        <v>134</v>
      </c>
      <c r="E2418" s="36">
        <f t="shared" si="188"/>
        <v>23077450.054958295</v>
      </c>
      <c r="F2418" s="36">
        <v>0</v>
      </c>
      <c r="G2418" s="58">
        <v>-7925.95</v>
      </c>
      <c r="H2418" s="35">
        <f t="shared" si="189"/>
        <v>-7925.95</v>
      </c>
      <c r="I2418" s="35">
        <f t="shared" si="186"/>
        <v>0</v>
      </c>
      <c r="J2418" s="35">
        <f t="shared" si="187"/>
        <v>1252.0727107864457</v>
      </c>
      <c r="K2418" s="45">
        <f t="shared" si="185"/>
        <v>23068272.03224751</v>
      </c>
    </row>
    <row r="2419" spans="2:11">
      <c r="B2419" s="43">
        <v>45657</v>
      </c>
      <c r="C2419" s="32" t="s">
        <v>29</v>
      </c>
      <c r="D2419" s="32" t="s">
        <v>134</v>
      </c>
      <c r="E2419" s="36">
        <f t="shared" si="188"/>
        <v>23068272.03224751</v>
      </c>
      <c r="F2419" s="36">
        <v>0</v>
      </c>
      <c r="G2419" s="58">
        <v>-5011.1499999999996</v>
      </c>
      <c r="H2419" s="35">
        <f t="shared" si="189"/>
        <v>-5011.1499999999996</v>
      </c>
      <c r="I2419" s="35">
        <f t="shared" si="186"/>
        <v>0</v>
      </c>
      <c r="J2419" s="35">
        <f t="shared" si="187"/>
        <v>1251.574754914034</v>
      </c>
      <c r="K2419" s="45">
        <f t="shared" si="185"/>
        <v>23062009.307492599</v>
      </c>
    </row>
  </sheetData>
  <mergeCells count="1">
    <mergeCell ref="B17:K17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1FFA-D903-495B-A871-260BEE2F1F41}">
  <sheetPr>
    <tabColor theme="1"/>
  </sheetPr>
  <dimension ref="B2:R18"/>
  <sheetViews>
    <sheetView showGridLines="0" workbookViewId="0">
      <selection activeCell="I24" sqref="I24"/>
    </sheetView>
  </sheetViews>
  <sheetFormatPr defaultRowHeight="14.25"/>
  <cols>
    <col min="2" max="2" width="25.140625" bestFit="1" customWidth="1"/>
    <col min="8" max="8" width="13.5703125" customWidth="1"/>
    <col min="13" max="13" width="14" customWidth="1"/>
    <col min="15" max="15" width="12.5703125" customWidth="1"/>
    <col min="18" max="18" width="14.5703125" customWidth="1"/>
  </cols>
  <sheetData>
    <row r="2" spans="2:18" ht="33.75">
      <c r="B2" s="63" t="s">
        <v>158</v>
      </c>
      <c r="C2" s="53" t="s">
        <v>159</v>
      </c>
      <c r="D2" s="53" t="s">
        <v>160</v>
      </c>
      <c r="E2" s="53" t="s">
        <v>161</v>
      </c>
      <c r="F2" s="53" t="s">
        <v>162</v>
      </c>
      <c r="G2" s="53" t="s">
        <v>163</v>
      </c>
      <c r="H2" s="53" t="s">
        <v>164</v>
      </c>
      <c r="I2" s="53" t="s">
        <v>165</v>
      </c>
      <c r="J2" s="53" t="s">
        <v>166</v>
      </c>
      <c r="K2" s="53" t="s">
        <v>167</v>
      </c>
      <c r="L2" s="53" t="s">
        <v>168</v>
      </c>
      <c r="M2" s="53" t="s">
        <v>169</v>
      </c>
      <c r="N2" s="53" t="s">
        <v>170</v>
      </c>
      <c r="O2" s="53" t="s">
        <v>171</v>
      </c>
      <c r="P2" s="53" t="s">
        <v>172</v>
      </c>
      <c r="Q2" s="53" t="s">
        <v>173</v>
      </c>
      <c r="R2" s="53" t="s">
        <v>174</v>
      </c>
    </row>
    <row r="3" spans="2:18">
      <c r="B3" s="51"/>
      <c r="C3" s="64"/>
      <c r="D3" s="65"/>
      <c r="E3" s="66"/>
      <c r="F3" s="66"/>
      <c r="G3" s="67"/>
      <c r="H3" s="65"/>
      <c r="I3" s="66"/>
      <c r="J3" s="66"/>
      <c r="K3" s="66"/>
      <c r="L3" s="66"/>
      <c r="M3" s="66"/>
      <c r="N3" s="66"/>
      <c r="O3" s="66"/>
      <c r="P3" s="66"/>
      <c r="Q3" s="66"/>
      <c r="R3" s="68"/>
    </row>
    <row r="4" spans="2:18">
      <c r="B4" s="52" t="s">
        <v>175</v>
      </c>
      <c r="C4" s="69">
        <f>COUNTA(_xlfn.UNIQUE(Model!C20:C2419))</f>
        <v>3</v>
      </c>
      <c r="D4" s="65"/>
      <c r="E4" s="66"/>
      <c r="F4" s="66"/>
      <c r="G4" s="67"/>
      <c r="H4" s="65">
        <f>Model!C14</f>
        <v>23062009.307492599</v>
      </c>
      <c r="I4" s="66"/>
      <c r="J4" s="66"/>
      <c r="K4" s="66"/>
      <c r="L4" s="66"/>
      <c r="M4" s="66">
        <f>SUM(H4:L4)</f>
        <v>23062009.307492599</v>
      </c>
      <c r="N4" s="66"/>
      <c r="O4" s="66">
        <f>M4+P4</f>
        <v>23062009.307492599</v>
      </c>
      <c r="P4" s="66"/>
      <c r="Q4" s="66"/>
      <c r="R4" s="68">
        <f>O4</f>
        <v>23062009.307492599</v>
      </c>
    </row>
    <row r="5" spans="2:18">
      <c r="B5" s="70"/>
      <c r="C5" s="71">
        <f>SUM(C4:C4)</f>
        <v>3</v>
      </c>
      <c r="D5" s="72"/>
      <c r="E5" s="72">
        <f t="shared" ref="E5:R5" si="0">SUM(E4:E4)</f>
        <v>0</v>
      </c>
      <c r="F5" s="72">
        <f t="shared" si="0"/>
        <v>0</v>
      </c>
      <c r="G5" s="72">
        <f t="shared" si="0"/>
        <v>0</v>
      </c>
      <c r="H5" s="72">
        <f t="shared" si="0"/>
        <v>23062009.307492599</v>
      </c>
      <c r="I5" s="72">
        <f t="shared" si="0"/>
        <v>0</v>
      </c>
      <c r="J5" s="72">
        <f t="shared" si="0"/>
        <v>0</v>
      </c>
      <c r="K5" s="72">
        <f t="shared" si="0"/>
        <v>0</v>
      </c>
      <c r="L5" s="72">
        <f t="shared" si="0"/>
        <v>0</v>
      </c>
      <c r="M5" s="72">
        <f t="shared" si="0"/>
        <v>23062009.307492599</v>
      </c>
      <c r="N5" s="72">
        <f t="shared" si="0"/>
        <v>0</v>
      </c>
      <c r="O5" s="72">
        <f t="shared" si="0"/>
        <v>23062009.307492599</v>
      </c>
      <c r="P5" s="72">
        <f t="shared" si="0"/>
        <v>0</v>
      </c>
      <c r="Q5" s="72">
        <f t="shared" si="0"/>
        <v>0</v>
      </c>
      <c r="R5" s="72">
        <f t="shared" si="0"/>
        <v>23062009.307492599</v>
      </c>
    </row>
    <row r="6" spans="2:18"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</row>
    <row r="7" spans="2:18">
      <c r="B7" s="75" t="s">
        <v>176</v>
      </c>
      <c r="C7" s="76">
        <v>3</v>
      </c>
      <c r="D7" s="76"/>
      <c r="E7" s="76"/>
      <c r="F7" s="76"/>
      <c r="G7" s="76"/>
      <c r="H7" s="76">
        <v>30050953.829952668</v>
      </c>
      <c r="I7" s="76"/>
      <c r="J7" s="76"/>
      <c r="K7" s="76"/>
      <c r="L7" s="76"/>
      <c r="M7" s="76">
        <v>30050953.829952668</v>
      </c>
      <c r="N7" s="76"/>
      <c r="O7" s="76">
        <v>30050953.829952668</v>
      </c>
      <c r="P7" s="76"/>
      <c r="Q7" s="76"/>
      <c r="R7" s="77">
        <v>30050953.829952668</v>
      </c>
    </row>
    <row r="8" spans="2:18">
      <c r="B8" s="73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</row>
    <row r="9" spans="2:18">
      <c r="B9" s="7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</row>
    <row r="10" spans="2:18">
      <c r="B10" s="70" t="s">
        <v>177</v>
      </c>
      <c r="C10" s="72">
        <v>3</v>
      </c>
      <c r="D10" s="72"/>
      <c r="E10" s="72">
        <v>0</v>
      </c>
      <c r="F10" s="72">
        <v>0</v>
      </c>
      <c r="G10" s="72">
        <v>0</v>
      </c>
      <c r="H10" s="72">
        <v>38953126.040666088</v>
      </c>
      <c r="I10" s="72">
        <v>0</v>
      </c>
      <c r="J10" s="72">
        <v>0</v>
      </c>
      <c r="K10" s="72">
        <v>0</v>
      </c>
      <c r="L10" s="72">
        <v>0</v>
      </c>
      <c r="M10" s="72">
        <v>38953126.040666088</v>
      </c>
      <c r="N10" s="72">
        <v>0</v>
      </c>
      <c r="O10" s="72">
        <v>38953126.040666088</v>
      </c>
      <c r="P10" s="72">
        <v>0</v>
      </c>
      <c r="Q10" s="72">
        <v>0</v>
      </c>
      <c r="R10" s="72">
        <v>38953126.040666088</v>
      </c>
    </row>
    <row r="11" spans="2:18">
      <c r="B11" s="70" t="s">
        <v>178</v>
      </c>
      <c r="C11" s="72">
        <v>3</v>
      </c>
      <c r="D11" s="72"/>
      <c r="E11" s="72">
        <v>0</v>
      </c>
      <c r="F11" s="72">
        <v>0</v>
      </c>
      <c r="G11" s="72">
        <v>0</v>
      </c>
      <c r="H11" s="72">
        <v>44255148.317153625</v>
      </c>
      <c r="I11" s="72">
        <v>0</v>
      </c>
      <c r="J11" s="72">
        <v>0</v>
      </c>
      <c r="K11" s="72">
        <v>0</v>
      </c>
      <c r="L11" s="72">
        <v>0</v>
      </c>
      <c r="M11" s="72">
        <v>44255148.317153625</v>
      </c>
      <c r="N11" s="72">
        <v>0</v>
      </c>
      <c r="O11" s="72">
        <v>44255148.317153625</v>
      </c>
      <c r="P11" s="72">
        <v>0</v>
      </c>
      <c r="Q11" s="72">
        <v>0</v>
      </c>
      <c r="R11" s="72">
        <v>44255148.317153625</v>
      </c>
    </row>
    <row r="12" spans="2:18">
      <c r="B12" s="70" t="s">
        <v>179</v>
      </c>
      <c r="C12" s="71">
        <v>3</v>
      </c>
      <c r="D12" s="72"/>
      <c r="E12" s="72"/>
      <c r="F12" s="72"/>
      <c r="G12" s="72"/>
      <c r="H12" s="72">
        <v>23062009.307492599</v>
      </c>
      <c r="I12" s="72"/>
      <c r="J12" s="72"/>
      <c r="K12" s="72"/>
      <c r="L12" s="72"/>
      <c r="M12" s="72">
        <v>23062009.307492599</v>
      </c>
      <c r="N12" s="72"/>
      <c r="O12" s="72">
        <v>23062009.307492599</v>
      </c>
      <c r="P12" s="72"/>
      <c r="Q12" s="72"/>
      <c r="R12" s="72">
        <v>23062009.307492599</v>
      </c>
    </row>
    <row r="16" spans="2:18">
      <c r="B16" s="90" t="s">
        <v>180</v>
      </c>
    </row>
    <row r="17" spans="2:18">
      <c r="B17" s="70" t="s">
        <v>177</v>
      </c>
      <c r="C17" s="72">
        <f>C10-C7</f>
        <v>0</v>
      </c>
      <c r="D17" s="72">
        <f t="shared" ref="D17:R17" si="1">D10-D7</f>
        <v>0</v>
      </c>
      <c r="E17" s="72">
        <f t="shared" si="1"/>
        <v>0</v>
      </c>
      <c r="F17" s="72">
        <f t="shared" si="1"/>
        <v>0</v>
      </c>
      <c r="G17" s="72">
        <f t="shared" si="1"/>
        <v>0</v>
      </c>
      <c r="H17" s="72">
        <f t="shared" si="1"/>
        <v>8902172.2107134201</v>
      </c>
      <c r="I17" s="72">
        <f t="shared" si="1"/>
        <v>0</v>
      </c>
      <c r="J17" s="72">
        <f t="shared" si="1"/>
        <v>0</v>
      </c>
      <c r="K17" s="72">
        <f t="shared" si="1"/>
        <v>0</v>
      </c>
      <c r="L17" s="72">
        <f t="shared" si="1"/>
        <v>0</v>
      </c>
      <c r="M17" s="72">
        <f t="shared" si="1"/>
        <v>8902172.2107134201</v>
      </c>
      <c r="N17" s="72">
        <f t="shared" si="1"/>
        <v>0</v>
      </c>
      <c r="O17" s="72">
        <f t="shared" si="1"/>
        <v>8902172.2107134201</v>
      </c>
      <c r="P17" s="72">
        <f t="shared" si="1"/>
        <v>0</v>
      </c>
      <c r="Q17" s="72">
        <f t="shared" si="1"/>
        <v>0</v>
      </c>
      <c r="R17" s="72">
        <f t="shared" si="1"/>
        <v>8902172.2107134201</v>
      </c>
    </row>
    <row r="18" spans="2:18">
      <c r="B18" s="70" t="s">
        <v>178</v>
      </c>
      <c r="C18" s="72">
        <f>C11-C7</f>
        <v>0</v>
      </c>
      <c r="D18" s="72">
        <f t="shared" ref="D18:R18" si="2">D11-D7</f>
        <v>0</v>
      </c>
      <c r="E18" s="72">
        <f t="shared" si="2"/>
        <v>0</v>
      </c>
      <c r="F18" s="72">
        <f t="shared" si="2"/>
        <v>0</v>
      </c>
      <c r="G18" s="72">
        <f t="shared" si="2"/>
        <v>0</v>
      </c>
      <c r="H18" s="72">
        <f t="shared" si="2"/>
        <v>14204194.487200957</v>
      </c>
      <c r="I18" s="72">
        <f t="shared" si="2"/>
        <v>0</v>
      </c>
      <c r="J18" s="72">
        <f t="shared" si="2"/>
        <v>0</v>
      </c>
      <c r="K18" s="72">
        <f t="shared" si="2"/>
        <v>0</v>
      </c>
      <c r="L18" s="72">
        <f t="shared" si="2"/>
        <v>0</v>
      </c>
      <c r="M18" s="72">
        <f t="shared" si="2"/>
        <v>14204194.487200957</v>
      </c>
      <c r="N18" s="72">
        <f t="shared" si="2"/>
        <v>0</v>
      </c>
      <c r="O18" s="72">
        <f t="shared" si="2"/>
        <v>14204194.487200957</v>
      </c>
      <c r="P18" s="72">
        <f t="shared" si="2"/>
        <v>0</v>
      </c>
      <c r="Q18" s="72">
        <f t="shared" si="2"/>
        <v>0</v>
      </c>
      <c r="R18" s="72">
        <f t="shared" si="2"/>
        <v>14204194.487200957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cd1b912e7575a5780b4268f312c1597f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a31d8e20f961a93ecead141b6b8905aa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45AA3A-AABB-43CE-B198-1EF6DC876288}"/>
</file>

<file path=customXml/itemProps2.xml><?xml version="1.0" encoding="utf-8"?>
<ds:datastoreItem xmlns:ds="http://schemas.openxmlformats.org/officeDocument/2006/customXml" ds:itemID="{98D4FF9C-9133-4A31-8392-511E9B0A59F2}"/>
</file>

<file path=customXml/itemProps3.xml><?xml version="1.0" encoding="utf-8"?>
<ds:datastoreItem xmlns:ds="http://schemas.openxmlformats.org/officeDocument/2006/customXml" ds:itemID="{CDAF3162-50E7-4C43-991B-25B3EA556B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Akello</dc:creator>
  <cp:keywords/>
  <dc:description/>
  <cp:lastModifiedBy>Vanessa Moraa</cp:lastModifiedBy>
  <cp:revision/>
  <dcterms:created xsi:type="dcterms:W3CDTF">2025-10-07T08:39:29Z</dcterms:created>
  <dcterms:modified xsi:type="dcterms:W3CDTF">2026-01-14T09:34:05Z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